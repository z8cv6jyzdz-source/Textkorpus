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Parameter" sheetId="2" state="visible" r:id="rId4"/>
    <sheet name="Meldungen" sheetId="3" state="visible" r:id="rId5"/>
    <sheet name="Spieler" sheetId="4" state="visible" r:id="rId6"/>
  </sheets>
  <definedNames>
    <definedName function="false" hidden="true" localSheetId="2" name="_xlnm._FilterDatabase" vbProcedure="false">Meldungen!$A$1:$AK$112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Vom Verfasser zu ergänzen: Dauer des Wochenvideos Woche 5 (dezimale Minuten, z. B. 27,5). Solange leer, bleibt der sRPE-Load der W5-Einheiten leer.</t>
        </r>
      </text>
    </comment>
  </commentList>
</comments>
</file>

<file path=xl/sharedStrings.xml><?xml version="1.0" encoding="utf-8"?>
<sst xmlns="http://schemas.openxmlformats.org/spreadsheetml/2006/main" count="1449" uniqueCount="284">
  <si>
    <t xml:space="preserve">Fragebogen A (SoSci test546007) — aufbereiteter Datensatz</t>
  </si>
  <si>
    <t xml:space="preserve">Stand 12.09.2026 · erzeugt aus Auswertung_F1_Fragebogen_2026-09-12.py (Claude\03_Skripte) · Quellen: SoSci_Fragebogen\Fragebogen Datensatz.txt (111 Meldungen), data_test546007_2026-08-31_11-37.json (Sekunden, Originalfreitext CASE 189), Fragebogen\Fragebogen_Übersicht.txt (Codebuch), Statistik\Studiendaten_U15_gesamt.xlsx (01_Personen).</t>
  </si>
  <si>
    <t xml:space="preserve">Blatt Meldungen: eine Zeile je Meldung (sortiert nach Workbook-Code und Meldezeitpunkt). CASE-Korrekturen angewandt (59/70 → BW-06; 140/158/165/190/206 → BW-04); Listenplatz HL-04 = Workbook HL-05. Keine Meldung entfernt.</t>
  </si>
  <si>
    <t xml:space="preserve">Blatt Spieler: eine Zeile je zugeteiltem IG-Spieler (18). Die Zählungen sind Formeln über das Blatt Meldungen (COUNTIFS/SUMIFS) — sie stimmen mit der F1-Ausgabe überein (geprüft 12.09.2026).</t>
  </si>
  <si>
    <t xml:space="preserve">Blatt Parameter: Programmwochen, Bodenkontakte, Videodauern (Soll), Erwärmung. GELB = vom Verfasser zu ergänzen (Videodauer Woche 5). Load-Formeln greifen darauf zu.</t>
  </si>
  <si>
    <t xml:space="preserve">Zählregeln (F1 § 6.3, Entscheidung 12.09.2026):</t>
  </si>
  <si>
    <t xml:space="preserve">Hauptzählung = Meldungen mit Status „ganz“, je Meldung gezählt (Einheitennummer H003 unbeachtlich). Untergrenzen: wochen-gedeckelt (höchstens 2 je Programmwoche nach Meldedatum) und distinkte H003. „ganz + teilweise“ = Beteiligungsrate / Sensitivität.</t>
  </si>
  <si>
    <t xml:space="preserve">Programmwoche nach Datum: Kalenderregel Mo 00:00 – So 23:59 (W1 20.–26.07. … W6 24.–30.08.2026); Fensterregel (So 20:00 – So 19:59) nur als Sensitivität. Einheit_rekonstruiert: k-te durchgeführte Meldung der Datumswoche w → 2w−1 bzw. 2w; leer = 3. Meldung derselben Woche („über Soll“) oder „gar nicht“.</t>
  </si>
  <si>
    <t xml:space="preserve">CR10 = H005 − 1 (0 Ruhe … 10 Maximal). sRPE-Load = CR10 × Dauer (min), nur für Status „ganz“; Variante I = Wochenvideo, Variante II = Wochenvideo + Erwärmung 8:53 (Annahme: Erwärmung nicht in der Wochendauer enthalten — zu klären).</t>
  </si>
  <si>
    <t xml:space="preserve">Dublettenregel: zwei Meldungen desselben Spielers ≤ 5 min mit identischem kodiertem Inhalt (H003–H009) = Dublette (Flag), sonst Sammelmeldung. Einzige Dublette nach Regel: CASE 254 (HL-03, „gar nicht“) — ohne Zählfolge.</t>
  </si>
  <si>
    <t xml:space="preserve">„Nicht gemeldet“ ≠ „nicht trainiert“ · Meldeintervall ≠ Trainingsabstand · Attendance ≠ Compliance · Fremdtraining = Untergrenze (Item teils missverstanden).</t>
  </si>
  <si>
    <t xml:space="preserve">Parameter</t>
  </si>
  <si>
    <t xml:space="preserve">Programmwoche</t>
  </si>
  <si>
    <t xml:space="preserve">Zeitraum (nach Datum)</t>
  </si>
  <si>
    <t xml:space="preserve">Bodenkontakte je Einheit</t>
  </si>
  <si>
    <t xml:space="preserve">Videodauer Soll (min, dezimal)</t>
  </si>
  <si>
    <t xml:space="preserve">Videodauer (mm:ss)</t>
  </si>
  <si>
    <t xml:space="preserve">Erwärmung (min, dezimal)</t>
  </si>
  <si>
    <t xml:space="preserve">Dauer Variante II (min)</t>
  </si>
  <si>
    <t xml:space="preserve">20.07.–26.07.2026</t>
  </si>
  <si>
    <t xml:space="preserve">28:16</t>
  </si>
  <si>
    <t xml:space="preserve">27.07.–02.08.2026</t>
  </si>
  <si>
    <t xml:space="preserve">28:02</t>
  </si>
  <si>
    <t xml:space="preserve">03.08.–09.08.2026</t>
  </si>
  <si>
    <t xml:space="preserve">24:17</t>
  </si>
  <si>
    <t xml:space="preserve">10.08.–16.08.2026</t>
  </si>
  <si>
    <t xml:space="preserve">25:55</t>
  </si>
  <si>
    <t xml:space="preserve">17.08.–23.08.2026</t>
  </si>
  <si>
    <t xml:space="preserve">24.08.–30.08.2026</t>
  </si>
  <si>
    <t xml:space="preserve">31:03</t>
  </si>
  <si>
    <t xml:space="preserve">Quellen: Videodauern und Erwärmung 8:53 — Angabe des Verfassers, 12.09.2026 (Soll-Dauer der Wochenvideos). Bodenkontakte — Trainingsdokumentation_Block1-3.docx, Teil A. Programmwochen — Übergabe § 3 (Veröffentlichung sonntags 20 Uhr für die Folgewoche).</t>
  </si>
  <si>
    <t xml:space="preserve">GELB = einzutragen (D7/E7: Videodauer Woche 5). Variante II = Videodauer + Erwärmung — nur zutreffend, falls die Erwärmung nicht in der Wochendauer enthalten ist (offen).</t>
  </si>
  <si>
    <t xml:space="preserve">CASE</t>
  </si>
  <si>
    <t xml:space="preserve">Listencode</t>
  </si>
  <si>
    <t xml:space="preserve">Workbook-Code</t>
  </si>
  <si>
    <t xml:space="preserve">CASE-korrigiert</t>
  </si>
  <si>
    <t xml:space="preserve">Verein</t>
  </si>
  <si>
    <t xml:space="preserve">Meldezeitpunkt (STARTED)</t>
  </si>
  <si>
    <t xml:space="preserve">Wochentag</t>
  </si>
  <si>
    <t xml:space="preserve">Programmwoche nach Datum</t>
  </si>
  <si>
    <t xml:space="preserve">Programmwoche Fensterregel</t>
  </si>
  <si>
    <t xml:space="preserve">H003 Einheitennummer</t>
  </si>
  <si>
    <t xml:space="preserve">H003-Woche</t>
  </si>
  <si>
    <t xml:space="preserve">H003-Einheit</t>
  </si>
  <si>
    <t xml:space="preserve">Einheit rekonstruiert (nach Datum)</t>
  </si>
  <si>
    <t xml:space="preserve">Status (H004)</t>
  </si>
  <si>
    <t xml:space="preserve">durchgeführt (ganz/teilw.)</t>
  </si>
  <si>
    <t xml:space="preserve">ganz (1/0)</t>
  </si>
  <si>
    <t xml:space="preserve">CR-10</t>
  </si>
  <si>
    <t xml:space="preserve">Untergrund (H006)</t>
  </si>
  <si>
    <t xml:space="preserve">Schmerz (H007)</t>
  </si>
  <si>
    <t xml:space="preserve">Videopause (H008)</t>
  </si>
  <si>
    <t xml:space="preserve">Fremdtraining (H009)</t>
  </si>
  <si>
    <t xml:space="preserve">Grund teilweise (H004_02)</t>
  </si>
  <si>
    <t xml:space="preserve">Grund gar nicht (H004_03)</t>
  </si>
  <si>
    <t xml:space="preserve">Schmerz Freitext (H007_01)</t>
  </si>
  <si>
    <t xml:space="preserve">Videopause Freitext (H008_01)</t>
  </si>
  <si>
    <t xml:space="preserve">Fremdtraining Freitext (H009_01)</t>
  </si>
  <si>
    <t xml:space="preserve">TIME_SUM (s)</t>
  </si>
  <si>
    <t xml:space="preserve">So ≥ 20 Uhr</t>
  </si>
  <si>
    <t xml:space="preserve">Meldeintervall zur Vormeldung (h)</t>
  </si>
  <si>
    <t xml:space="preserve">Flag (Dublette/Sammelmeldung)</t>
  </si>
  <si>
    <t xml:space="preserve">Bodenkontakte (Woche)</t>
  </si>
  <si>
    <t xml:space="preserve">sRPE-Load I (ganz)</t>
  </si>
  <si>
    <t xml:space="preserve">sRPE-Load II (ganz)</t>
  </si>
  <si>
    <t xml:space="preserve">Hilfsspalte: zählt gedeckelt (ganz)</t>
  </si>
  <si>
    <t xml:space="preserve">Hilfsspalte: erste Meldung dieser H003 (ganz)</t>
  </si>
  <si>
    <t xml:space="preserve">Hilfsspalte: zählt gedeckelt (ganz+teilw.)</t>
  </si>
  <si>
    <t xml:space="preserve">Hilfsspalte: erste Meldung dieser H003 (ganz+teilw.)</t>
  </si>
  <si>
    <t xml:space="preserve">BW-02</t>
  </si>
  <si>
    <t xml:space="preserve">B</t>
  </si>
  <si>
    <t xml:space="preserve">Fr</t>
  </si>
  <si>
    <t xml:space="preserve">ganz</t>
  </si>
  <si>
    <t xml:space="preserve">ja</t>
  </si>
  <si>
    <t xml:space="preserve">Kunstrasen</t>
  </si>
  <si>
    <t xml:space="preserve">Leichte Knie schmerzen habe aber auch auf Socken trainiert</t>
  </si>
  <si>
    <t xml:space="preserve">Weil viele Übungen gleich waren und ich erstmal den Unterschied genau anschauen wollte bevor ich was falsch mache</t>
  </si>
  <si>
    <t xml:space="preserve">Ich war in einem Leistungs Camp und trainiere zusätzlich 1 mal</t>
  </si>
  <si>
    <t xml:space="preserve">So</t>
  </si>
  <si>
    <t xml:space="preserve">Anderes</t>
  </si>
  <si>
    <t xml:space="preserve">nein</t>
  </si>
  <si>
    <t xml:space="preserve">Ich war im gym und war fusballtraniren</t>
  </si>
  <si>
    <t xml:space="preserve">Di</t>
  </si>
  <si>
    <t xml:space="preserve">Ich habe heute Frühs schon Fußball trainiert</t>
  </si>
  <si>
    <t xml:space="preserve">Ich war im Fitnessstudio dazu habe ich noch Fußball traniert  wie oft weiß ich nicht aber aufjeden Fall sehr viel</t>
  </si>
  <si>
    <t xml:space="preserve">Rasen/Wiese</t>
  </si>
  <si>
    <t xml:space="preserve">Ich habe individuell Fußball trainiert</t>
  </si>
  <si>
    <t xml:space="preserve">Do</t>
  </si>
  <si>
    <t xml:space="preserve">Ja ich habe heute individuell 2 mal Fußball traning gemacht zum Schluss habe ich das hier gemacht</t>
  </si>
  <si>
    <t xml:space="preserve">Kurz nach  Mannschaft  traning</t>
  </si>
  <si>
    <t xml:space="preserve">Ja individuell meinen torschuß und ersten Kontakt trainiert</t>
  </si>
  <si>
    <t xml:space="preserve">Mi</t>
  </si>
  <si>
    <t xml:space="preserve">Ich habe heute Morgen individuell Fußball trainiert</t>
  </si>
  <si>
    <t xml:space="preserve">War schwimmen</t>
  </si>
  <si>
    <t xml:space="preserve">Drinnen</t>
  </si>
  <si>
    <t xml:space="preserve">Ich habe diese andere Einheit gemacht weil ich leider diese Woche voll vergessen habe das zu machen deswegen hab ich heute alles gemacht</t>
  </si>
  <si>
    <t xml:space="preserve">BW-04</t>
  </si>
  <si>
    <t xml:space="preserve">Sa</t>
  </si>
  <si>
    <t xml:space="preserve">teilweise</t>
  </si>
  <si>
    <t xml:space="preserve">Alles</t>
  </si>
  <si>
    <t xml:space="preserve">Knöchelverletzung</t>
  </si>
  <si>
    <t xml:space="preserve">HL-04</t>
  </si>
  <si>
    <t xml:space="preserve">Krafttraining 3 mal die Woche</t>
  </si>
  <si>
    <t xml:space="preserve">Mo</t>
  </si>
  <si>
    <t xml:space="preserve">Bastis Läufe</t>
  </si>
  <si>
    <t xml:space="preserve">Liege stütze 2 mal</t>
  </si>
  <si>
    <t xml:space="preserve">1 mal bei dem einbeinsprung</t>
  </si>
  <si>
    <t xml:space="preserve">Fussball 2</t>
  </si>
  <si>
    <t xml:space="preserve">BW-05</t>
  </si>
  <si>
    <t xml:space="preserve">gar nicht</t>
  </si>
  <si>
    <t xml:space="preserve">Hatte Kin Probleme</t>
  </si>
  <si>
    <t xml:space="preserve">HL-06</t>
  </si>
  <si>
    <t xml:space="preserve">BW-06</t>
  </si>
  <si>
    <t xml:space="preserve">Konnte die weitsprünge nicht machen, da ich zum wnde hin nur begrenzten platz hatte ich aber auch nucht abbrechen wollte</t>
  </si>
  <si>
    <t xml:space="preserve">Bisschen Muskelkater noch von der ersten Einheit</t>
  </si>
  <si>
    <t xml:space="preserve">Letzte paar minuten</t>
  </si>
  <si>
    <t xml:space="preserve">Fussball platz einmal und laufen einmal</t>
  </si>
  <si>
    <t xml:space="preserve">Schmerzen</t>
  </si>
  <si>
    <t xml:space="preserve">Knie und oberschenkel</t>
  </si>
  <si>
    <t xml:space="preserve">Fussball und laufen</t>
  </si>
  <si>
    <t xml:space="preserve">2 mal</t>
  </si>
  <si>
    <t xml:space="preserve">2 mal Training</t>
  </si>
  <si>
    <t xml:space="preserve">BW-07</t>
  </si>
  <si>
    <t xml:space="preserve">4</t>
  </si>
  <si>
    <t xml:space="preserve">Joggen 1 mal</t>
  </si>
  <si>
    <t xml:space="preserve">ca 3-6 mal</t>
  </si>
  <si>
    <t xml:space="preserve">Fußball und Joggen</t>
  </si>
  <si>
    <t xml:space="preserve">Sammelmeldung (Paar mit CASE 189, Δ 4 min)</t>
  </si>
  <si>
    <t xml:space="preserve">3-6</t>
  </si>
  <si>
    <t xml:space="preserve">Einmal Joggen</t>
  </si>
  <si>
    <t xml:space="preserve">Sammelmeldung (Paar mit CASE 188, Δ 4 min)</t>
  </si>
  <si>
    <t xml:space="preserve">3</t>
  </si>
  <si>
    <t xml:space="preserve">Training Fussball 2</t>
  </si>
  <si>
    <t xml:space="preserve">6</t>
  </si>
  <si>
    <t xml:space="preserve">Training 2x und ein Spiel</t>
  </si>
  <si>
    <t xml:space="preserve">BW-08</t>
  </si>
  <si>
    <t xml:space="preserve">nur ein bisschen muskelkater nicht schlimm</t>
  </si>
  <si>
    <t xml:space="preserve">Hartplatz/Asphalt</t>
  </si>
  <si>
    <t xml:space="preserve">knie wie immer ein bisschen</t>
  </si>
  <si>
    <t xml:space="preserve">halt unsere joggingsachen</t>
  </si>
  <si>
    <t xml:space="preserve">Sammelmeldung (Paar mit CASE 223, Δ 1 min)</t>
  </si>
  <si>
    <t xml:space="preserve">Sammelmeldung (Paar mit CASE 222, Δ 1 min)</t>
  </si>
  <si>
    <t xml:space="preserve">BW-09</t>
  </si>
  <si>
    <t xml:space="preserve">Oberschenkelmuskelkater vom joggen</t>
  </si>
  <si>
    <t xml:space="preserve">War schon drei mal diese Woche joggen</t>
  </si>
  <si>
    <t xml:space="preserve">Joggen und gym</t>
  </si>
  <si>
    <t xml:space="preserve">Joggen</t>
  </si>
  <si>
    <t xml:space="preserve">Joggen Gym und ich habe aber gestern nicht heute trainiert</t>
  </si>
  <si>
    <t xml:space="preserve">Gym</t>
  </si>
  <si>
    <t xml:space="preserve">Muskelkater in Beinen von Spiel</t>
  </si>
  <si>
    <t xml:space="preserve">Fußball</t>
  </si>
  <si>
    <t xml:space="preserve">Sammelmeldung (Paar mit CASE 261, Δ 1 min)</t>
  </si>
  <si>
    <t xml:space="preserve">Hatte es vergessen und konnte dann heute ja leider nur eine Einheit machen sorry</t>
  </si>
  <si>
    <t xml:space="preserve">Sammelmeldung (Paar mit CASE 260, Δ 1 min)</t>
  </si>
  <si>
    <t xml:space="preserve">BW-10</t>
  </si>
  <si>
    <t xml:space="preserve">Wenn ich was nicht verstanden hab</t>
  </si>
  <si>
    <t xml:space="preserve">Gym Fußball 4 mal</t>
  </si>
  <si>
    <t xml:space="preserve">Wenn ich was nicht verstanden habe</t>
  </si>
  <si>
    <t xml:space="preserve">4 mal gym und laufen</t>
  </si>
  <si>
    <t xml:space="preserve">1 mal gym</t>
  </si>
  <si>
    <t xml:space="preserve">BW-11</t>
  </si>
  <si>
    <t xml:space="preserve">Knie</t>
  </si>
  <si>
    <t xml:space="preserve">Gym 4 mal</t>
  </si>
  <si>
    <t xml:space="preserve">Gym 4x woche</t>
  </si>
  <si>
    <t xml:space="preserve">HL-01</t>
  </si>
  <si>
    <t xml:space="preserve">A</t>
  </si>
  <si>
    <t xml:space="preserve">Sprünge</t>
  </si>
  <si>
    <t xml:space="preserve">5x</t>
  </si>
  <si>
    <t xml:space="preserve">Habe die ersten beiden Übungen gemacht habe dann im Hinteren Oberschenkel mich leicht gezerrt musste deswegen abbrechen</t>
  </si>
  <si>
    <t xml:space="preserve">Hinter Oberschenkel</t>
  </si>
  <si>
    <t xml:space="preserve">Schwimmen 1-2</t>
  </si>
  <si>
    <t xml:space="preserve">Schwimmen und laufen (S 1-2) (L1-2)</t>
  </si>
  <si>
    <t xml:space="preserve">Laufen und schwimmen</t>
  </si>
  <si>
    <t xml:space="preserve">Joggen und Kraftstport</t>
  </si>
  <si>
    <t xml:space="preserve">Fußballtraining</t>
  </si>
  <si>
    <t xml:space="preserve">Training</t>
  </si>
  <si>
    <t xml:space="preserve">HL-02</t>
  </si>
  <si>
    <t xml:space="preserve">Hab denn Plan von Sven erledigt</t>
  </si>
  <si>
    <t xml:space="preserve">Svens Plan erledigt und im Nachhinein noch reingeschaut in die videos</t>
  </si>
  <si>
    <t xml:space="preserve">Von Sven</t>
  </si>
  <si>
    <t xml:space="preserve">Von sven</t>
  </si>
  <si>
    <t xml:space="preserve">HL-03</t>
  </si>
  <si>
    <t xml:space="preserve">In den Knien</t>
  </si>
  <si>
    <t xml:space="preserve">Laufen gegangen 3 mal und Fußball gespielt 2 mal.</t>
  </si>
  <si>
    <t xml:space="preserve">5-6 mal</t>
  </si>
  <si>
    <t xml:space="preserve">Fußball gespielt und laufen gegangen 2 mal</t>
  </si>
  <si>
    <t xml:space="preserve">Sammelmeldung (Paar mit CASE 154, Δ 1 min)</t>
  </si>
  <si>
    <t xml:space="preserve">war auf dem Weg in den Urlaub</t>
  </si>
  <si>
    <t xml:space="preserve">Sammelmeldung (Paar mit CASE 153, Δ 1 min)</t>
  </si>
  <si>
    <t xml:space="preserve">Fußballgespielt/ 3 mal</t>
  </si>
  <si>
    <t xml:space="preserve">5 mal</t>
  </si>
  <si>
    <t xml:space="preserve">Ganzkörper Training 1 mal</t>
  </si>
  <si>
    <t xml:space="preserve">Einmal Spiel gehabt</t>
  </si>
  <si>
    <t xml:space="preserve">Wegen dem Trainingslager</t>
  </si>
  <si>
    <t xml:space="preserve">Im Trainingslager trainiert</t>
  </si>
  <si>
    <t xml:space="preserve">Trainiert im Trainingslager</t>
  </si>
  <si>
    <t xml:space="preserve">Dublette (kodierter Inhalt identisch mit CASE 253, Δ 1 min)</t>
  </si>
  <si>
    <t xml:space="preserve">Hatte diese Woche Athletik Training und zwei Einheiten am Tag war zu antreffend um zu trainieren</t>
  </si>
  <si>
    <t xml:space="preserve">2mal täglich</t>
  </si>
  <si>
    <t xml:space="preserve">HL-07</t>
  </si>
  <si>
    <t xml:space="preserve">Krafttraining einmal ganzkörper</t>
  </si>
  <si>
    <t xml:space="preserve">Kraftübungen weil ich gestern das trainiert hatte</t>
  </si>
  <si>
    <t xml:space="preserve">Bei jeder Übung, während ich sie ausgeführt habe</t>
  </si>
  <si>
    <t xml:space="preserve">Bei jeder Übung</t>
  </si>
  <si>
    <t xml:space="preserve">Bei jeder Übung außer Pogos</t>
  </si>
  <si>
    <t xml:space="preserve">Bei jeder Übung außer pogos</t>
  </si>
  <si>
    <t xml:space="preserve">Kraft und Ausdauer</t>
  </si>
  <si>
    <t xml:space="preserve">Sammelmeldung (Paar mit CASE 172, Δ 1 min)</t>
  </si>
  <si>
    <t xml:space="preserve">Sammelmeldung (Paar mit CASE 171, Δ 1 min)</t>
  </si>
  <si>
    <t xml:space="preserve">Oberkörper</t>
  </si>
  <si>
    <t xml:space="preserve">Ich konnte nicht weil es in meiner Umgebung keinen Ort dafür gab im Urlaub</t>
  </si>
  <si>
    <t xml:space="preserve">Keine Zeit wegen dem Trainingslager</t>
  </si>
  <si>
    <t xml:space="preserve">Sammelmeldung (Paar mit CASE 251, Δ 1 min)</t>
  </si>
  <si>
    <t xml:space="preserve">Hatte es leider vergessen sorry hoffe das ist nicht zu schlimm</t>
  </si>
  <si>
    <t xml:space="preserve">Sammelmeldung (Paar mit CASE 250, Δ 1 min)</t>
  </si>
  <si>
    <t xml:space="preserve">HL-08</t>
  </si>
  <si>
    <t xml:space="preserve">3-4 mal</t>
  </si>
  <si>
    <t xml:space="preserve">Die letzten 2 Übungen</t>
  </si>
  <si>
    <t xml:space="preserve">4-5 mal</t>
  </si>
  <si>
    <t xml:space="preserve">Sammelmeldung (Paar mit CASE 119, Δ 1 min)</t>
  </si>
  <si>
    <t xml:space="preserve">Es waren 40 Grad in Wien und hatten keine Klimaanlage deswegen konnte ich erst heute Trainieren weil es heute auf 36 Htad runter gegangen ist</t>
  </si>
  <si>
    <t xml:space="preserve">Sammelmeldung (Paar mit CASE 118, Δ 1 min)</t>
  </si>
  <si>
    <t xml:space="preserve">Meine Knie aber das war auch schon ein bisschen vor dem Training</t>
  </si>
  <si>
    <t xml:space="preserve">Fitnessstudio, Laufen und Leistungsdiagnostik.Habe bei diesem Feld immer „nein" eingetragen weil ich die Frage Falsch verstanden habe obwohl ich Sport gemacht habe. Hoffe das beeinflusst nicht den Fragebogen</t>
  </si>
  <si>
    <t xml:space="preserve">Code</t>
  </si>
  <si>
    <t xml:space="preserve">Status Workbook</t>
  </si>
  <si>
    <t xml:space="preserve">Familiarisierung</t>
  </si>
  <si>
    <t xml:space="preserve">%PAH</t>
  </si>
  <si>
    <t xml:space="preserve">Meldungen</t>
  </si>
  <si>
    <t xml:space="preserve">ganz je Meldung (Haupt)</t>
  </si>
  <si>
    <t xml:space="preserve">ganz wochen-gedeckelt</t>
  </si>
  <si>
    <t xml:space="preserve">ganz distinkte H003</t>
  </si>
  <si>
    <t xml:space="preserve">ganz+teilw. je Meldung</t>
  </si>
  <si>
    <t xml:space="preserve">ganz+teilw. wochen-gedeckelt</t>
  </si>
  <si>
    <t xml:space="preserve">ganz+teilw. distinkte H003</t>
  </si>
  <si>
    <t xml:space="preserve">Umsetzungsrate ganz (von 12)</t>
  </si>
  <si>
    <t xml:space="preserve">Beteiligungsrate ganz+teilw. (von 12)</t>
  </si>
  <si>
    <t xml:space="preserve">≥ 6 (Per-Protokoll)</t>
  </si>
  <si>
    <t xml:space="preserve">≥ 9 (Antragskriterium)</t>
  </si>
  <si>
    <t xml:space="preserve">CR-10 M (ganz)</t>
  </si>
  <si>
    <t xml:space="preserve">CR-10 Median (ganz)</t>
  </si>
  <si>
    <t xml:space="preserve">sRPE-Load I Σ (AU, ohne W5)</t>
  </si>
  <si>
    <t xml:space="preserve">sRPE-Load II Σ (AU, ohne W5)</t>
  </si>
  <si>
    <t xml:space="preserve">Einheiten in W5 (Load offen)</t>
  </si>
  <si>
    <t xml:space="preserve">Untergrund Modalwert (durchgef.)</t>
  </si>
  <si>
    <t xml:space="preserve">Videopausen (Meld.)</t>
  </si>
  <si>
    <t xml:space="preserve">Fremdtraining (Meld.)</t>
  </si>
  <si>
    <t xml:space="preserve">Schmerzmeldungen</t>
  </si>
  <si>
    <t xml:space="preserve">Klasse / Bemerkung</t>
  </si>
  <si>
    <t xml:space="preserve">BW-01</t>
  </si>
  <si>
    <t xml:space="preserve">ausgewertet</t>
  </si>
  <si>
    <t xml:space="preserve">—</t>
  </si>
  <si>
    <t xml:space="preserve">Nichteinhaltung — keine Meldung; Post-Werte vorhanden (ITT ja, PP nein)</t>
  </si>
  <si>
    <t xml:space="preserve">Kunstrasen (6/12)</t>
  </si>
  <si>
    <t xml:space="preserve">Rasen/Wiese (4/7)</t>
  </si>
  <si>
    <t xml:space="preserve">W4 drei „ganz“-Meldungen (Deckelung greift); 5 Meldungen CASE-korrigiert von HL-04</t>
  </si>
  <si>
    <t xml:space="preserve">Drinnen (7/7)</t>
  </si>
  <si>
    <t xml:space="preserve">Drinnen (3/4)</t>
  </si>
  <si>
    <t xml:space="preserve">2 Meldungen CASE-korrigiert von BW-04; teilweise ×2</t>
  </si>
  <si>
    <t xml:space="preserve">Post nicht angetreten</t>
  </si>
  <si>
    <t xml:space="preserve">Drinnen (6/6)</t>
  </si>
  <si>
    <t xml:space="preserve">Post-Testung nicht angetreten — 6 vollständige Einheiten, keine Ergebnisanalyse</t>
  </si>
  <si>
    <t xml:space="preserve">Drinnen (6/9)</t>
  </si>
  <si>
    <t xml:space="preserve">W2 drei „ganz“-Meldungen (Deckelung greift); H003 = 5 doppelt</t>
  </si>
  <si>
    <t xml:space="preserve">Kunstrasen (3/5)</t>
  </si>
  <si>
    <t xml:space="preserve">Rasen/Wiese (2/2)</t>
  </si>
  <si>
    <t xml:space="preserve">BW-21</t>
  </si>
  <si>
    <t xml:space="preserve">Instrumentenfehler — kein Listenplatz; Post nicht angetreten (Teilnehmerfluss)</t>
  </si>
  <si>
    <t xml:space="preserve">Drinnen (8/9)</t>
  </si>
  <si>
    <t xml:space="preserve">teilweise 20.07. („Sprünge“ nicht geschafft, CR-10 9) → 9 mit „ganz + teilweise“</t>
  </si>
  <si>
    <t xml:space="preserve">Rasen/Wiese (4/8)</t>
  </si>
  <si>
    <t xml:space="preserve">H003 = 9 doppelt (16./17.08.)</t>
  </si>
  <si>
    <t xml:space="preserve">Drinnen (5/9)</t>
  </si>
  <si>
    <t xml:space="preserve">HL-03 09.08.: „5 ganz“/„5 gar nicht“ = zwei Meldungen (Verfasser 12.09.); H003 stets ungerade (Fehlwahl)</t>
  </si>
  <si>
    <t xml:space="preserve">HL-05</t>
  </si>
  <si>
    <t xml:space="preserve">Nichteinhaltung — keine Meldung (Listenplatz HL-04); Post-Werte vorhanden (ITT ja, PP nein)</t>
  </si>
  <si>
    <t xml:space="preserve">Nichteinhaltung mit Dokumentation — eine Meldung „gar nicht“ (23.07.)</t>
  </si>
  <si>
    <t xml:space="preserve">Drinnen (5/8)</t>
  </si>
  <si>
    <t xml:space="preserve">H003 = 7/10 als Sammelmeldung 14.08.; Videopause bei jeder Übung</t>
  </si>
  <si>
    <t xml:space="preserve">Drinnen (5/5)</t>
  </si>
  <si>
    <t xml:space="preserve">Fremdtraining-Item eigenem Bekunden nach falsch verstanden (CASE 152)</t>
  </si>
  <si>
    <t xml:space="preserve">Summe / IG</t>
  </si>
  <si>
    <t xml:space="preserve">Nenner 216 = 18 × 12 angebotene Einheiten. Load-Summen ohne W5 (Videodauer fehlt, Blatt Parameter). Spalten T und X sind Werte aus F1 (bedingter Median/Modalwert ohne Array-Formel).</t>
  </si>
  <si>
    <t xml:space="preserve">Legende: Formeln (schwarz) rechnen über das Blatt Meldungen; nur Blatt Parameter D7 (Videodauer W5) ist einzutragen (gelb). Klasse/Bemerkung: Arbeitsnotizen des Skripts F1, kein Manuskripttext.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</si>
</sst>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dd\.mm\.yyyy\ hh:mm:ss"/>
    <numFmt numFmtId="167" formatCode="0.0"/>
    <numFmt numFmtId="168" formatCode="0.0%"/>
    <numFmt numFmtId="169" formatCode="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3F9"/>
        <bgColor rgb="FFFFFFFF"/>
      </patternFill>
    </fill>
    <fill>
      <patternFill patternType="solid">
        <fgColor rgb="FFD6E4F0"/>
        <bgColor rgb="FFEEF3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9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22"/>
  </cols>
  <sheetData>
    <row r="1" customFormat="false" ht="15" hidden="false" customHeight="false" outlineLevel="0" collapsed="false">
      <c r="A1" s="4" t="s">
        <v>11</v>
      </c>
    </row>
    <row r="2" customFormat="false" ht="31.5" hidden="false" customHeight="true" outlineLevel="0" collapsed="false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</row>
    <row r="3" customFormat="false" ht="15" hidden="false" customHeight="false" outlineLevel="0" collapsed="false">
      <c r="A3" s="6" t="n">
        <v>1</v>
      </c>
      <c r="B3" s="6" t="s">
        <v>19</v>
      </c>
      <c r="C3" s="6" t="n">
        <v>52</v>
      </c>
      <c r="D3" s="7" t="n">
        <v>28.2666666666667</v>
      </c>
      <c r="E3" s="6" t="s">
        <v>20</v>
      </c>
      <c r="F3" s="7" t="n">
        <v>8.88333333333333</v>
      </c>
      <c r="G3" s="7" t="n">
        <f aca="false">IF(D3="","",D3+F3)</f>
        <v>37.15</v>
      </c>
    </row>
    <row r="4" customFormat="false" ht="15" hidden="false" customHeight="false" outlineLevel="0" collapsed="false">
      <c r="A4" s="6" t="n">
        <v>2</v>
      </c>
      <c r="B4" s="6" t="s">
        <v>21</v>
      </c>
      <c r="C4" s="6" t="n">
        <v>66</v>
      </c>
      <c r="D4" s="7" t="n">
        <v>28.0333333333333</v>
      </c>
      <c r="E4" s="6" t="s">
        <v>22</v>
      </c>
      <c r="F4" s="7" t="n">
        <v>8.88333333333333</v>
      </c>
      <c r="G4" s="7" t="n">
        <f aca="false">IF(D4="","",D4+F4)</f>
        <v>36.9166666666667</v>
      </c>
    </row>
    <row r="5" customFormat="false" ht="15" hidden="false" customHeight="false" outlineLevel="0" collapsed="false">
      <c r="A5" s="6" t="n">
        <v>3</v>
      </c>
      <c r="B5" s="6" t="s">
        <v>23</v>
      </c>
      <c r="C5" s="6" t="n">
        <v>80</v>
      </c>
      <c r="D5" s="7" t="n">
        <v>24.2833333333333</v>
      </c>
      <c r="E5" s="6" t="s">
        <v>24</v>
      </c>
      <c r="F5" s="7" t="n">
        <v>8.88333333333333</v>
      </c>
      <c r="G5" s="7" t="n">
        <f aca="false">IF(D5="","",D5+F5)</f>
        <v>33.1666666666667</v>
      </c>
    </row>
    <row r="6" customFormat="false" ht="15" hidden="false" customHeight="false" outlineLevel="0" collapsed="false">
      <c r="A6" s="6" t="n">
        <v>4</v>
      </c>
      <c r="B6" s="6" t="s">
        <v>25</v>
      </c>
      <c r="C6" s="6" t="n">
        <v>96</v>
      </c>
      <c r="D6" s="7" t="n">
        <v>25.9166666666667</v>
      </c>
      <c r="E6" s="6" t="s">
        <v>26</v>
      </c>
      <c r="F6" s="7" t="n">
        <v>8.88333333333333</v>
      </c>
      <c r="G6" s="7" t="n">
        <f aca="false">IF(D6="","",D6+F6)</f>
        <v>34.8</v>
      </c>
    </row>
    <row r="7" customFormat="false" ht="15" hidden="false" customHeight="false" outlineLevel="0" collapsed="false">
      <c r="A7" s="6" t="n">
        <v>5</v>
      </c>
      <c r="B7" s="6" t="s">
        <v>27</v>
      </c>
      <c r="C7" s="6" t="n">
        <v>106</v>
      </c>
      <c r="D7" s="8"/>
      <c r="E7" s="9"/>
      <c r="F7" s="7" t="n">
        <v>8.88333333333333</v>
      </c>
      <c r="G7" s="7" t="str">
        <f aca="false">IF(D7="","",D7+F7)</f>
        <v/>
      </c>
    </row>
    <row r="8" customFormat="false" ht="15" hidden="false" customHeight="false" outlineLevel="0" collapsed="false">
      <c r="A8" s="6" t="n">
        <v>6</v>
      </c>
      <c r="B8" s="6" t="s">
        <v>28</v>
      </c>
      <c r="C8" s="6" t="n">
        <v>120</v>
      </c>
      <c r="D8" s="7" t="n">
        <v>31.05</v>
      </c>
      <c r="E8" s="6" t="s">
        <v>29</v>
      </c>
      <c r="F8" s="7" t="n">
        <v>8.88333333333333</v>
      </c>
      <c r="G8" s="7" t="n">
        <f aca="false">IF(D8="","",D8+F8)</f>
        <v>39.9333333333333</v>
      </c>
    </row>
    <row r="10" customFormat="false" ht="42" hidden="false" customHeight="true" outlineLevel="0" collapsed="false">
      <c r="A10" s="10" t="s">
        <v>30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1" t="s">
        <v>31</v>
      </c>
      <c r="B11" s="11"/>
      <c r="C11" s="11"/>
      <c r="D11" s="11"/>
      <c r="E11" s="11"/>
      <c r="F11" s="11"/>
      <c r="G11" s="11"/>
    </row>
  </sheetData>
  <mergeCells count="2">
    <mergeCell ref="A10:G10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7" min="16" style="0" width="7"/>
    <col collapsed="false" customWidth="true" hidden="false" outlineLevel="0" max="18" min="18" style="0" width="15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30"/>
    <col collapsed="false" customWidth="true" hidden="false" outlineLevel="0" max="23" min="23" style="0" width="40"/>
    <col collapsed="false" customWidth="true" hidden="false" outlineLevel="0" max="24" min="24" style="0" width="30"/>
    <col collapsed="false" customWidth="true" hidden="false" outlineLevel="0" max="25" min="25" style="0" width="28"/>
    <col collapsed="false" customWidth="true" hidden="false" outlineLevel="0" max="26" min="26" style="0" width="40"/>
    <col collapsed="false" customWidth="true" hidden="false" outlineLevel="0" max="28" min="27" style="0" width="9"/>
    <col collapsed="false" customWidth="true" hidden="false" outlineLevel="0" max="29" min="29" style="0" width="13"/>
    <col collapsed="false" customWidth="true" hidden="false" outlineLevel="0" max="30" min="30" style="0" width="34"/>
    <col collapsed="false" customWidth="true" hidden="false" outlineLevel="0" max="31" min="31" style="0" width="11"/>
    <col collapsed="false" customWidth="true" hidden="false" outlineLevel="0" max="37" min="32" style="0" width="12"/>
  </cols>
  <sheetData>
    <row r="1" customFormat="false" ht="4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68</v>
      </c>
    </row>
    <row r="2" customFormat="false" ht="15" hidden="false" customHeight="false" outlineLevel="0" collapsed="false">
      <c r="A2" s="6" t="n">
        <v>44</v>
      </c>
      <c r="B2" s="6" t="s">
        <v>69</v>
      </c>
      <c r="C2" s="6" t="s">
        <v>69</v>
      </c>
      <c r="D2" s="6"/>
      <c r="E2" s="6" t="s">
        <v>70</v>
      </c>
      <c r="F2" s="12" t="n">
        <v>46227.7180671296</v>
      </c>
      <c r="G2" s="6" t="s">
        <v>71</v>
      </c>
      <c r="H2" s="6" t="n">
        <v>1</v>
      </c>
      <c r="I2" s="6" t="n">
        <v>1</v>
      </c>
      <c r="J2" s="6" t="n">
        <v>1</v>
      </c>
      <c r="K2" s="6" t="n">
        <v>1</v>
      </c>
      <c r="L2" s="6" t="n">
        <v>1</v>
      </c>
      <c r="M2" s="6" t="n">
        <v>1</v>
      </c>
      <c r="N2" s="6" t="s">
        <v>72</v>
      </c>
      <c r="O2" s="6" t="s">
        <v>73</v>
      </c>
      <c r="P2" s="6" t="n">
        <v>1</v>
      </c>
      <c r="Q2" s="6" t="n">
        <v>4</v>
      </c>
      <c r="R2" s="6" t="s">
        <v>74</v>
      </c>
      <c r="S2" s="6" t="s">
        <v>73</v>
      </c>
      <c r="T2" s="6" t="s">
        <v>73</v>
      </c>
      <c r="U2" s="6" t="s">
        <v>73</v>
      </c>
      <c r="V2" s="13"/>
      <c r="W2" s="13"/>
      <c r="X2" s="13" t="s">
        <v>75</v>
      </c>
      <c r="Y2" s="13" t="s">
        <v>76</v>
      </c>
      <c r="Z2" s="13" t="s">
        <v>77</v>
      </c>
      <c r="AA2" s="6" t="n">
        <v>53</v>
      </c>
      <c r="AB2" s="6"/>
      <c r="AC2" s="14"/>
      <c r="AD2" s="13"/>
      <c r="AE2" s="6" t="n">
        <f aca="false">INDEX(Parameter!$C$3:$C$8,H2)</f>
        <v>52</v>
      </c>
      <c r="AF2" s="14" t="n">
        <f aca="false">IF(AND(N2="ganz",INDEX(Parameter!$D$3:$D$8,H2)&lt;&gt;""),Q2*INDEX(Parameter!$D$3:$D$8,H2),"")</f>
        <v>113.066666666667</v>
      </c>
      <c r="AG2" s="14" t="n">
        <f aca="false">IF(AND(N2="ganz",INDEX(Parameter!$D$3:$D$8,H2)&lt;&gt;""),Q2*(INDEX(Parameter!$D$3:$D$8,H2)+INDEX(Parameter!$F$3:$F$8,H2)),"")</f>
        <v>148.6</v>
      </c>
      <c r="AH2" s="6" t="n">
        <f aca="false">IF(AND(N2="ganz",COUNTIFS($C$2:C2,C2,$H$2:H2,H2,$N$2:N2,"ganz")&lt;=2),1,0)</f>
        <v>1</v>
      </c>
      <c r="AI2" s="6" t="n">
        <f aca="false">IF(AND(N2="ganz",COUNTIFS($C$2:C2,C2,$J$2:J2,J2,$N$2:N2,"ganz")=1),1,0)</f>
        <v>1</v>
      </c>
      <c r="AJ2" s="6" t="n">
        <f aca="false">IF(AND(O2="ja",COUNTIFS($C$2:C2,C2,$H$2:H2,H2,$O$2:O2,"ja")&lt;=2),1,0)</f>
        <v>1</v>
      </c>
      <c r="AK2" s="6" t="n">
        <f aca="false">IF(AND(O2="ja",COUNTIFS($C$2:C2,C2,$J$2:J2,J2,$O$2:O2,"ja")=1),1,0)</f>
        <v>1</v>
      </c>
    </row>
    <row r="3" customFormat="false" ht="15" hidden="false" customHeight="false" outlineLevel="0" collapsed="false">
      <c r="A3" s="15" t="n">
        <v>66</v>
      </c>
      <c r="B3" s="15" t="s">
        <v>69</v>
      </c>
      <c r="C3" s="15" t="s">
        <v>69</v>
      </c>
      <c r="D3" s="15"/>
      <c r="E3" s="15" t="s">
        <v>70</v>
      </c>
      <c r="F3" s="16" t="n">
        <v>46229.7577893519</v>
      </c>
      <c r="G3" s="15" t="s">
        <v>78</v>
      </c>
      <c r="H3" s="15" t="n">
        <v>1</v>
      </c>
      <c r="I3" s="15" t="n">
        <v>1</v>
      </c>
      <c r="J3" s="15" t="n">
        <v>2</v>
      </c>
      <c r="K3" s="15" t="n">
        <v>1</v>
      </c>
      <c r="L3" s="15" t="n">
        <v>2</v>
      </c>
      <c r="M3" s="15" t="n">
        <v>2</v>
      </c>
      <c r="N3" s="15" t="s">
        <v>72</v>
      </c>
      <c r="O3" s="15" t="s">
        <v>73</v>
      </c>
      <c r="P3" s="15" t="n">
        <v>1</v>
      </c>
      <c r="Q3" s="15" t="n">
        <v>3</v>
      </c>
      <c r="R3" s="15" t="s">
        <v>79</v>
      </c>
      <c r="S3" s="15" t="s">
        <v>80</v>
      </c>
      <c r="T3" s="15" t="s">
        <v>80</v>
      </c>
      <c r="U3" s="15" t="s">
        <v>73</v>
      </c>
      <c r="V3" s="17"/>
      <c r="W3" s="17"/>
      <c r="X3" s="17"/>
      <c r="Y3" s="17"/>
      <c r="Z3" s="17" t="s">
        <v>81</v>
      </c>
      <c r="AA3" s="15" t="n">
        <v>95</v>
      </c>
      <c r="AB3" s="15"/>
      <c r="AC3" s="18" t="n">
        <f aca="false">IF(C3=C2,(F3-F2)*24,"")</f>
        <v>48.9533333333333</v>
      </c>
      <c r="AD3" s="17"/>
      <c r="AE3" s="15" t="n">
        <f aca="false">INDEX(Parameter!$C$3:$C$8,H3)</f>
        <v>52</v>
      </c>
      <c r="AF3" s="18" t="n">
        <f aca="false">IF(AND(N3="ganz",INDEX(Parameter!$D$3:$D$8,H3)&lt;&gt;""),Q3*INDEX(Parameter!$D$3:$D$8,H3),"")</f>
        <v>84.8</v>
      </c>
      <c r="AG3" s="18" t="n">
        <f aca="false">IF(AND(N3="ganz",INDEX(Parameter!$D$3:$D$8,H3)&lt;&gt;""),Q3*(INDEX(Parameter!$D$3:$D$8,H3)+INDEX(Parameter!$F$3:$F$8,H3)),"")</f>
        <v>111.45</v>
      </c>
      <c r="AH3" s="15" t="n">
        <f aca="false">IF(AND(N3="ganz",COUNTIFS($C$2:C3,C3,$H$2:H3,H3,$N$2:N3,"ganz")&lt;=2),1,0)</f>
        <v>1</v>
      </c>
      <c r="AI3" s="15" t="n">
        <f aca="false">IF(AND(N3="ganz",COUNTIFS($C$2:C3,C3,$J$2:J3,J3,$N$2:N3,"ganz")=1),1,0)</f>
        <v>1</v>
      </c>
      <c r="AJ3" s="15" t="n">
        <f aca="false">IF(AND(O3="ja",COUNTIFS($C$2:C3,C3,$H$2:H3,H3,$O$2:O3,"ja")&lt;=2),1,0)</f>
        <v>1</v>
      </c>
      <c r="AK3" s="15" t="n">
        <f aca="false">IF(AND(O3="ja",COUNTIFS($C$2:C3,C3,$J$2:J3,J3,$O$2:O3,"ja")=1),1,0)</f>
        <v>1</v>
      </c>
    </row>
    <row r="4" customFormat="false" ht="15" hidden="false" customHeight="false" outlineLevel="0" collapsed="false">
      <c r="A4" s="6" t="n">
        <v>78</v>
      </c>
      <c r="B4" s="6" t="s">
        <v>69</v>
      </c>
      <c r="C4" s="6" t="s">
        <v>69</v>
      </c>
      <c r="D4" s="6"/>
      <c r="E4" s="6" t="s">
        <v>70</v>
      </c>
      <c r="F4" s="12" t="n">
        <v>46231.7619791667</v>
      </c>
      <c r="G4" s="6" t="s">
        <v>82</v>
      </c>
      <c r="H4" s="6" t="n">
        <v>2</v>
      </c>
      <c r="I4" s="6" t="n">
        <v>2</v>
      </c>
      <c r="J4" s="6" t="n">
        <v>3</v>
      </c>
      <c r="K4" s="6" t="n">
        <v>2</v>
      </c>
      <c r="L4" s="6" t="n">
        <v>1</v>
      </c>
      <c r="M4" s="6" t="n">
        <v>3</v>
      </c>
      <c r="N4" s="6" t="s">
        <v>72</v>
      </c>
      <c r="O4" s="6" t="s">
        <v>73</v>
      </c>
      <c r="P4" s="6" t="n">
        <v>1</v>
      </c>
      <c r="Q4" s="6" t="n">
        <v>2</v>
      </c>
      <c r="R4" s="6" t="s">
        <v>74</v>
      </c>
      <c r="S4" s="6" t="s">
        <v>80</v>
      </c>
      <c r="T4" s="6" t="s">
        <v>80</v>
      </c>
      <c r="U4" s="6" t="s">
        <v>73</v>
      </c>
      <c r="V4" s="13"/>
      <c r="W4" s="13"/>
      <c r="X4" s="13"/>
      <c r="Y4" s="13"/>
      <c r="Z4" s="13" t="s">
        <v>83</v>
      </c>
      <c r="AA4" s="6" t="n">
        <v>46</v>
      </c>
      <c r="AB4" s="6"/>
      <c r="AC4" s="14" t="n">
        <f aca="false">IF(C4=C3,(F4-F3)*24,"")</f>
        <v>48.1005555558367</v>
      </c>
      <c r="AD4" s="13"/>
      <c r="AE4" s="6" t="n">
        <f aca="false">INDEX(Parameter!$C$3:$C$8,H4)</f>
        <v>66</v>
      </c>
      <c r="AF4" s="14" t="n">
        <f aca="false">IF(AND(N4="ganz",INDEX(Parameter!$D$3:$D$8,H4)&lt;&gt;""),Q4*INDEX(Parameter!$D$3:$D$8,H4),"")</f>
        <v>56.0666666666667</v>
      </c>
      <c r="AG4" s="14" t="n">
        <f aca="false">IF(AND(N4="ganz",INDEX(Parameter!$D$3:$D$8,H4)&lt;&gt;""),Q4*(INDEX(Parameter!$D$3:$D$8,H4)+INDEX(Parameter!$F$3:$F$8,H4)),"")</f>
        <v>73.8333333333333</v>
      </c>
      <c r="AH4" s="6" t="n">
        <f aca="false">IF(AND(N4="ganz",COUNTIFS($C$2:C4,C4,$H$2:H4,H4,$N$2:N4,"ganz")&lt;=2),1,0)</f>
        <v>1</v>
      </c>
      <c r="AI4" s="6" t="n">
        <f aca="false">IF(AND(N4="ganz",COUNTIFS($C$2:C4,C4,$J$2:J4,J4,$N$2:N4,"ganz")=1),1,0)</f>
        <v>1</v>
      </c>
      <c r="AJ4" s="6" t="n">
        <f aca="false">IF(AND(O4="ja",COUNTIFS($C$2:C4,C4,$H$2:H4,H4,$O$2:O4,"ja")&lt;=2),1,0)</f>
        <v>1</v>
      </c>
      <c r="AK4" s="6" t="n">
        <f aca="false">IF(AND(O4="ja",COUNTIFS($C$2:C4,C4,$J$2:J4,J4,$O$2:O4,"ja")=1),1,0)</f>
        <v>1</v>
      </c>
    </row>
    <row r="5" customFormat="false" ht="15" hidden="false" customHeight="false" outlineLevel="0" collapsed="false">
      <c r="A5" s="15" t="n">
        <v>90</v>
      </c>
      <c r="B5" s="15" t="s">
        <v>69</v>
      </c>
      <c r="C5" s="15" t="s">
        <v>69</v>
      </c>
      <c r="D5" s="15"/>
      <c r="E5" s="15" t="s">
        <v>70</v>
      </c>
      <c r="F5" s="16" t="n">
        <v>46234.3559375</v>
      </c>
      <c r="G5" s="15" t="s">
        <v>71</v>
      </c>
      <c r="H5" s="15" t="n">
        <v>2</v>
      </c>
      <c r="I5" s="15" t="n">
        <v>2</v>
      </c>
      <c r="J5" s="15" t="n">
        <v>4</v>
      </c>
      <c r="K5" s="15" t="n">
        <v>2</v>
      </c>
      <c r="L5" s="15" t="n">
        <v>2</v>
      </c>
      <c r="M5" s="15" t="n">
        <v>4</v>
      </c>
      <c r="N5" s="15" t="s">
        <v>72</v>
      </c>
      <c r="O5" s="15" t="s">
        <v>73</v>
      </c>
      <c r="P5" s="15" t="n">
        <v>1</v>
      </c>
      <c r="Q5" s="15" t="n">
        <v>3</v>
      </c>
      <c r="R5" s="15" t="s">
        <v>74</v>
      </c>
      <c r="S5" s="15" t="s">
        <v>80</v>
      </c>
      <c r="T5" s="15" t="s">
        <v>80</v>
      </c>
      <c r="U5" s="15" t="s">
        <v>73</v>
      </c>
      <c r="V5" s="17"/>
      <c r="W5" s="17"/>
      <c r="X5" s="17"/>
      <c r="Y5" s="17"/>
      <c r="Z5" s="17" t="s">
        <v>84</v>
      </c>
      <c r="AA5" s="15" t="n">
        <v>50</v>
      </c>
      <c r="AB5" s="15"/>
      <c r="AC5" s="18" t="n">
        <f aca="false">IF(C5=C4,(F5-F4)*24,"")</f>
        <v>62.255</v>
      </c>
      <c r="AD5" s="17"/>
      <c r="AE5" s="15" t="n">
        <f aca="false">INDEX(Parameter!$C$3:$C$8,H5)</f>
        <v>66</v>
      </c>
      <c r="AF5" s="18" t="n">
        <f aca="false">IF(AND(N5="ganz",INDEX(Parameter!$D$3:$D$8,H5)&lt;&gt;""),Q5*INDEX(Parameter!$D$3:$D$8,H5),"")</f>
        <v>84.1</v>
      </c>
      <c r="AG5" s="18" t="n">
        <f aca="false">IF(AND(N5="ganz",INDEX(Parameter!$D$3:$D$8,H5)&lt;&gt;""),Q5*(INDEX(Parameter!$D$3:$D$8,H5)+INDEX(Parameter!$F$3:$F$8,H5)),"")</f>
        <v>110.75</v>
      </c>
      <c r="AH5" s="15" t="n">
        <f aca="false">IF(AND(N5="ganz",COUNTIFS($C$2:C5,C5,$H$2:H5,H5,$N$2:N5,"ganz")&lt;=2),1,0)</f>
        <v>1</v>
      </c>
      <c r="AI5" s="15" t="n">
        <f aca="false">IF(AND(N5="ganz",COUNTIFS($C$2:C5,C5,$J$2:J5,J5,$N$2:N5,"ganz")=1),1,0)</f>
        <v>1</v>
      </c>
      <c r="AJ5" s="15" t="n">
        <f aca="false">IF(AND(O5="ja",COUNTIFS($C$2:C5,C5,$H$2:H5,H5,$O$2:O5,"ja")&lt;=2),1,0)</f>
        <v>1</v>
      </c>
      <c r="AK5" s="15" t="n">
        <f aca="false">IF(AND(O5="ja",COUNTIFS($C$2:C5,C5,$J$2:J5,J5,$O$2:O5,"ja")=1),1,0)</f>
        <v>1</v>
      </c>
    </row>
    <row r="6" customFormat="false" ht="15" hidden="false" customHeight="false" outlineLevel="0" collapsed="false">
      <c r="A6" s="6" t="n">
        <v>126</v>
      </c>
      <c r="B6" s="6" t="s">
        <v>69</v>
      </c>
      <c r="C6" s="6" t="s">
        <v>69</v>
      </c>
      <c r="D6" s="6"/>
      <c r="E6" s="6" t="s">
        <v>70</v>
      </c>
      <c r="F6" s="12" t="n">
        <v>46238.8024305556</v>
      </c>
      <c r="G6" s="6" t="s">
        <v>82</v>
      </c>
      <c r="H6" s="6" t="n">
        <v>3</v>
      </c>
      <c r="I6" s="6" t="n">
        <v>3</v>
      </c>
      <c r="J6" s="6" t="n">
        <v>5</v>
      </c>
      <c r="K6" s="6" t="n">
        <v>3</v>
      </c>
      <c r="L6" s="6" t="n">
        <v>1</v>
      </c>
      <c r="M6" s="6" t="n">
        <v>5</v>
      </c>
      <c r="N6" s="6" t="s">
        <v>72</v>
      </c>
      <c r="O6" s="6" t="s">
        <v>73</v>
      </c>
      <c r="P6" s="6" t="n">
        <v>1</v>
      </c>
      <c r="Q6" s="6" t="n">
        <v>3</v>
      </c>
      <c r="R6" s="6" t="s">
        <v>85</v>
      </c>
      <c r="S6" s="6" t="s">
        <v>80</v>
      </c>
      <c r="T6" s="6" t="s">
        <v>80</v>
      </c>
      <c r="U6" s="6" t="s">
        <v>73</v>
      </c>
      <c r="V6" s="13"/>
      <c r="W6" s="13"/>
      <c r="X6" s="13"/>
      <c r="Y6" s="13"/>
      <c r="Z6" s="13" t="s">
        <v>86</v>
      </c>
      <c r="AA6" s="6" t="n">
        <v>64</v>
      </c>
      <c r="AB6" s="6"/>
      <c r="AC6" s="14" t="n">
        <f aca="false">IF(C6=C5,(F6-F5)*24,"")</f>
        <v>106.715833333333</v>
      </c>
      <c r="AD6" s="13"/>
      <c r="AE6" s="6" t="n">
        <f aca="false">INDEX(Parameter!$C$3:$C$8,H6)</f>
        <v>80</v>
      </c>
      <c r="AF6" s="14" t="n">
        <f aca="false">IF(AND(N6="ganz",INDEX(Parameter!$D$3:$D$8,H6)&lt;&gt;""),Q6*INDEX(Parameter!$D$3:$D$8,H6),"")</f>
        <v>72.85</v>
      </c>
      <c r="AG6" s="14" t="n">
        <f aca="false">IF(AND(N6="ganz",INDEX(Parameter!$D$3:$D$8,H6)&lt;&gt;""),Q6*(INDEX(Parameter!$D$3:$D$8,H6)+INDEX(Parameter!$F$3:$F$8,H6)),"")</f>
        <v>99.5</v>
      </c>
      <c r="AH6" s="6" t="n">
        <f aca="false">IF(AND(N6="ganz",COUNTIFS($C$2:C6,C6,$H$2:H6,H6,$N$2:N6,"ganz")&lt;=2),1,0)</f>
        <v>1</v>
      </c>
      <c r="AI6" s="6" t="n">
        <f aca="false">IF(AND(N6="ganz",COUNTIFS($C$2:C6,C6,$J$2:J6,J6,$N$2:N6,"ganz")=1),1,0)</f>
        <v>1</v>
      </c>
      <c r="AJ6" s="6" t="n">
        <f aca="false">IF(AND(O6="ja",COUNTIFS($C$2:C6,C6,$H$2:H6,H6,$O$2:O6,"ja")&lt;=2),1,0)</f>
        <v>1</v>
      </c>
      <c r="AK6" s="6" t="n">
        <f aca="false">IF(AND(O6="ja",COUNTIFS($C$2:C6,C6,$J$2:J6,J6,$O$2:O6,"ja")=1),1,0)</f>
        <v>1</v>
      </c>
    </row>
    <row r="7" customFormat="false" ht="15" hidden="false" customHeight="false" outlineLevel="0" collapsed="false">
      <c r="A7" s="15" t="n">
        <v>133</v>
      </c>
      <c r="B7" s="15" t="s">
        <v>69</v>
      </c>
      <c r="C7" s="15" t="s">
        <v>69</v>
      </c>
      <c r="D7" s="15"/>
      <c r="E7" s="15" t="s">
        <v>70</v>
      </c>
      <c r="F7" s="16" t="n">
        <v>46240.9250925926</v>
      </c>
      <c r="G7" s="15" t="s">
        <v>87</v>
      </c>
      <c r="H7" s="15" t="n">
        <v>3</v>
      </c>
      <c r="I7" s="15" t="n">
        <v>3</v>
      </c>
      <c r="J7" s="15" t="n">
        <v>6</v>
      </c>
      <c r="K7" s="15" t="n">
        <v>3</v>
      </c>
      <c r="L7" s="15" t="n">
        <v>2</v>
      </c>
      <c r="M7" s="15" t="n">
        <v>6</v>
      </c>
      <c r="N7" s="15" t="s">
        <v>72</v>
      </c>
      <c r="O7" s="15" t="s">
        <v>73</v>
      </c>
      <c r="P7" s="15" t="n">
        <v>1</v>
      </c>
      <c r="Q7" s="15" t="n">
        <v>3</v>
      </c>
      <c r="R7" s="15" t="s">
        <v>74</v>
      </c>
      <c r="S7" s="15" t="s">
        <v>80</v>
      </c>
      <c r="T7" s="15" t="s">
        <v>80</v>
      </c>
      <c r="U7" s="15" t="s">
        <v>73</v>
      </c>
      <c r="V7" s="17"/>
      <c r="W7" s="17"/>
      <c r="X7" s="17"/>
      <c r="Y7" s="17"/>
      <c r="Z7" s="17" t="s">
        <v>88</v>
      </c>
      <c r="AA7" s="15" t="n">
        <v>48</v>
      </c>
      <c r="AB7" s="15"/>
      <c r="AC7" s="18" t="n">
        <f aca="false">IF(C7=C6,(F7-F6)*24,"")</f>
        <v>50.9438888888889</v>
      </c>
      <c r="AD7" s="17"/>
      <c r="AE7" s="15" t="n">
        <f aca="false">INDEX(Parameter!$C$3:$C$8,H7)</f>
        <v>80</v>
      </c>
      <c r="AF7" s="18" t="n">
        <f aca="false">IF(AND(N7="ganz",INDEX(Parameter!$D$3:$D$8,H7)&lt;&gt;""),Q7*INDEX(Parameter!$D$3:$D$8,H7),"")</f>
        <v>72.85</v>
      </c>
      <c r="AG7" s="18" t="n">
        <f aca="false">IF(AND(N7="ganz",INDEX(Parameter!$D$3:$D$8,H7)&lt;&gt;""),Q7*(INDEX(Parameter!$D$3:$D$8,H7)+INDEX(Parameter!$F$3:$F$8,H7)),"")</f>
        <v>99.5</v>
      </c>
      <c r="AH7" s="15" t="n">
        <f aca="false">IF(AND(N7="ganz",COUNTIFS($C$2:C7,C7,$H$2:H7,H7,$N$2:N7,"ganz")&lt;=2),1,0)</f>
        <v>1</v>
      </c>
      <c r="AI7" s="15" t="n">
        <f aca="false">IF(AND(N7="ganz",COUNTIFS($C$2:C7,C7,$J$2:J7,J7,$N$2:N7,"ganz")=1),1,0)</f>
        <v>1</v>
      </c>
      <c r="AJ7" s="15" t="n">
        <f aca="false">IF(AND(O7="ja",COUNTIFS($C$2:C7,C7,$H$2:H7,H7,$O$2:O7,"ja")&lt;=2),1,0)</f>
        <v>1</v>
      </c>
      <c r="AK7" s="15" t="n">
        <f aca="false">IF(AND(O7="ja",COUNTIFS($C$2:C7,C7,$J$2:J7,J7,$O$2:O7,"ja")=1),1,0)</f>
        <v>1</v>
      </c>
    </row>
    <row r="8" customFormat="false" ht="15" hidden="false" customHeight="false" outlineLevel="0" collapsed="false">
      <c r="A8" s="6" t="n">
        <v>167</v>
      </c>
      <c r="B8" s="6" t="s">
        <v>69</v>
      </c>
      <c r="C8" s="6" t="s">
        <v>69</v>
      </c>
      <c r="D8" s="6"/>
      <c r="E8" s="6" t="s">
        <v>70</v>
      </c>
      <c r="F8" s="12" t="n">
        <v>46245.8578009259</v>
      </c>
      <c r="G8" s="6" t="s">
        <v>82</v>
      </c>
      <c r="H8" s="6" t="n">
        <v>4</v>
      </c>
      <c r="I8" s="6" t="n">
        <v>4</v>
      </c>
      <c r="J8" s="6" t="n">
        <v>7</v>
      </c>
      <c r="K8" s="6" t="n">
        <v>4</v>
      </c>
      <c r="L8" s="6" t="n">
        <v>1</v>
      </c>
      <c r="M8" s="6" t="n">
        <v>7</v>
      </c>
      <c r="N8" s="6" t="s">
        <v>72</v>
      </c>
      <c r="O8" s="6" t="s">
        <v>73</v>
      </c>
      <c r="P8" s="6" t="n">
        <v>1</v>
      </c>
      <c r="Q8" s="6" t="n">
        <v>2</v>
      </c>
      <c r="R8" s="6" t="s">
        <v>74</v>
      </c>
      <c r="S8" s="6" t="s">
        <v>80</v>
      </c>
      <c r="T8" s="6" t="s">
        <v>80</v>
      </c>
      <c r="U8" s="6" t="s">
        <v>73</v>
      </c>
      <c r="V8" s="13"/>
      <c r="W8" s="13"/>
      <c r="X8" s="13"/>
      <c r="Y8" s="13"/>
      <c r="Z8" s="13" t="s">
        <v>89</v>
      </c>
      <c r="AA8" s="6" t="n">
        <v>35</v>
      </c>
      <c r="AB8" s="6"/>
      <c r="AC8" s="14" t="n">
        <f aca="false">IF(C8=C7,(F8-F7)*24,"")</f>
        <v>118.385</v>
      </c>
      <c r="AD8" s="13"/>
      <c r="AE8" s="6" t="n">
        <f aca="false">INDEX(Parameter!$C$3:$C$8,H8)</f>
        <v>96</v>
      </c>
      <c r="AF8" s="14" t="n">
        <f aca="false">IF(AND(N8="ganz",INDEX(Parameter!$D$3:$D$8,H8)&lt;&gt;""),Q8*INDEX(Parameter!$D$3:$D$8,H8),"")</f>
        <v>51.8333333333333</v>
      </c>
      <c r="AG8" s="14" t="n">
        <f aca="false">IF(AND(N8="ganz",INDEX(Parameter!$D$3:$D$8,H8)&lt;&gt;""),Q8*(INDEX(Parameter!$D$3:$D$8,H8)+INDEX(Parameter!$F$3:$F$8,H8)),"")</f>
        <v>69.6</v>
      </c>
      <c r="AH8" s="6" t="n">
        <f aca="false">IF(AND(N8="ganz",COUNTIFS($C$2:C8,C8,$H$2:H8,H8,$N$2:N8,"ganz")&lt;=2),1,0)</f>
        <v>1</v>
      </c>
      <c r="AI8" s="6" t="n">
        <f aca="false">IF(AND(N8="ganz",COUNTIFS($C$2:C8,C8,$J$2:J8,J8,$N$2:N8,"ganz")=1),1,0)</f>
        <v>1</v>
      </c>
      <c r="AJ8" s="6" t="n">
        <f aca="false">IF(AND(O8="ja",COUNTIFS($C$2:C8,C8,$H$2:H8,H8,$O$2:O8,"ja")&lt;=2),1,0)</f>
        <v>1</v>
      </c>
      <c r="AK8" s="6" t="n">
        <f aca="false">IF(AND(O8="ja",COUNTIFS($C$2:C8,C8,$J$2:J8,J8,$O$2:O8,"ja")=1),1,0)</f>
        <v>1</v>
      </c>
    </row>
    <row r="9" customFormat="false" ht="15" hidden="false" customHeight="false" outlineLevel="0" collapsed="false">
      <c r="A9" s="15" t="n">
        <v>197</v>
      </c>
      <c r="B9" s="15" t="s">
        <v>69</v>
      </c>
      <c r="C9" s="15" t="s">
        <v>69</v>
      </c>
      <c r="D9" s="15"/>
      <c r="E9" s="15" t="s">
        <v>70</v>
      </c>
      <c r="F9" s="16" t="n">
        <v>46250.8288541667</v>
      </c>
      <c r="G9" s="15" t="s">
        <v>78</v>
      </c>
      <c r="H9" s="15" t="n">
        <v>4</v>
      </c>
      <c r="I9" s="15" t="n">
        <v>4</v>
      </c>
      <c r="J9" s="15" t="n">
        <v>8</v>
      </c>
      <c r="K9" s="15" t="n">
        <v>4</v>
      </c>
      <c r="L9" s="15" t="n">
        <v>2</v>
      </c>
      <c r="M9" s="15" t="n">
        <v>8</v>
      </c>
      <c r="N9" s="15" t="s">
        <v>72</v>
      </c>
      <c r="O9" s="15" t="s">
        <v>73</v>
      </c>
      <c r="P9" s="15" t="n">
        <v>1</v>
      </c>
      <c r="Q9" s="15" t="n">
        <v>1</v>
      </c>
      <c r="R9" s="15" t="s">
        <v>85</v>
      </c>
      <c r="S9" s="15" t="s">
        <v>80</v>
      </c>
      <c r="T9" s="15" t="s">
        <v>80</v>
      </c>
      <c r="U9" s="15" t="s">
        <v>73</v>
      </c>
      <c r="V9" s="17"/>
      <c r="W9" s="17"/>
      <c r="X9" s="17"/>
      <c r="Y9" s="17"/>
      <c r="Z9" s="17" t="s">
        <v>90</v>
      </c>
      <c r="AA9" s="15" t="n">
        <v>61</v>
      </c>
      <c r="AB9" s="15"/>
      <c r="AC9" s="18" t="n">
        <f aca="false">IF(C9=C8,(F9-F8)*24,"")</f>
        <v>119.305277777778</v>
      </c>
      <c r="AD9" s="17"/>
      <c r="AE9" s="15" t="n">
        <f aca="false">INDEX(Parameter!$C$3:$C$8,H9)</f>
        <v>96</v>
      </c>
      <c r="AF9" s="18" t="n">
        <f aca="false">IF(AND(N9="ganz",INDEX(Parameter!$D$3:$D$8,H9)&lt;&gt;""),Q9*INDEX(Parameter!$D$3:$D$8,H9),"")</f>
        <v>25.9166666666667</v>
      </c>
      <c r="AG9" s="18" t="n">
        <f aca="false">IF(AND(N9="ganz",INDEX(Parameter!$D$3:$D$8,H9)&lt;&gt;""),Q9*(INDEX(Parameter!$D$3:$D$8,H9)+INDEX(Parameter!$F$3:$F$8,H9)),"")</f>
        <v>34.8</v>
      </c>
      <c r="AH9" s="15" t="n">
        <f aca="false">IF(AND(N9="ganz",COUNTIFS($C$2:C9,C9,$H$2:H9,H9,$N$2:N9,"ganz")&lt;=2),1,0)</f>
        <v>1</v>
      </c>
      <c r="AI9" s="15" t="n">
        <f aca="false">IF(AND(N9="ganz",COUNTIFS($C$2:C9,C9,$J$2:J9,J9,$N$2:N9,"ganz")=1),1,0)</f>
        <v>1</v>
      </c>
      <c r="AJ9" s="15" t="n">
        <f aca="false">IF(AND(O9="ja",COUNTIFS($C$2:C9,C9,$H$2:H9,H9,$O$2:O9,"ja")&lt;=2),1,0)</f>
        <v>1</v>
      </c>
      <c r="AK9" s="15" t="n">
        <f aca="false">IF(AND(O9="ja",COUNTIFS($C$2:C9,C9,$J$2:J9,J9,$O$2:O9,"ja")=1),1,0)</f>
        <v>1</v>
      </c>
    </row>
    <row r="10" customFormat="false" ht="15" hidden="false" customHeight="false" outlineLevel="0" collapsed="false">
      <c r="A10" s="6" t="n">
        <v>209</v>
      </c>
      <c r="B10" s="6" t="s">
        <v>69</v>
      </c>
      <c r="C10" s="6" t="s">
        <v>69</v>
      </c>
      <c r="D10" s="6"/>
      <c r="E10" s="6" t="s">
        <v>70</v>
      </c>
      <c r="F10" s="12" t="n">
        <v>46253.4828009259</v>
      </c>
      <c r="G10" s="6" t="s">
        <v>91</v>
      </c>
      <c r="H10" s="6" t="n">
        <v>5</v>
      </c>
      <c r="I10" s="6" t="n">
        <v>5</v>
      </c>
      <c r="J10" s="6" t="n">
        <v>9</v>
      </c>
      <c r="K10" s="6" t="n">
        <v>5</v>
      </c>
      <c r="L10" s="6" t="n">
        <v>1</v>
      </c>
      <c r="M10" s="6" t="n">
        <v>9</v>
      </c>
      <c r="N10" s="6" t="s">
        <v>72</v>
      </c>
      <c r="O10" s="6" t="s">
        <v>73</v>
      </c>
      <c r="P10" s="6" t="n">
        <v>1</v>
      </c>
      <c r="Q10" s="6" t="n">
        <v>1</v>
      </c>
      <c r="R10" s="6" t="s">
        <v>74</v>
      </c>
      <c r="S10" s="6" t="s">
        <v>80</v>
      </c>
      <c r="T10" s="6" t="s">
        <v>80</v>
      </c>
      <c r="U10" s="6" t="s">
        <v>73</v>
      </c>
      <c r="V10" s="13"/>
      <c r="W10" s="13"/>
      <c r="X10" s="13"/>
      <c r="Y10" s="13"/>
      <c r="Z10" s="13" t="s">
        <v>92</v>
      </c>
      <c r="AA10" s="6" t="n">
        <v>67</v>
      </c>
      <c r="AB10" s="6"/>
      <c r="AC10" s="14" t="n">
        <f aca="false">IF(C10=C9,(F10-F9)*24,"")</f>
        <v>63.6947222222222</v>
      </c>
      <c r="AD10" s="13"/>
      <c r="AE10" s="6" t="n">
        <f aca="false">INDEX(Parameter!$C$3:$C$8,H10)</f>
        <v>106</v>
      </c>
      <c r="AF10" s="14" t="str">
        <f aca="false">IF(AND(N10="ganz",INDEX(Parameter!$D$3:$D$8,H10)&lt;&gt;""),Q10*INDEX(Parameter!$D$3:$D$8,H10),"")</f>
        <v/>
      </c>
      <c r="AG10" s="14" t="str">
        <f aca="false">IF(AND(N10="ganz",INDEX(Parameter!$D$3:$D$8,H10)&lt;&gt;""),Q10*(INDEX(Parameter!$D$3:$D$8,H10)+INDEX(Parameter!$F$3:$F$8,H10)),"")</f>
        <v/>
      </c>
      <c r="AH10" s="6" t="n">
        <f aca="false">IF(AND(N10="ganz",COUNTIFS($C$2:C10,C10,$H$2:H10,H10,$N$2:N10,"ganz")&lt;=2),1,0)</f>
        <v>1</v>
      </c>
      <c r="AI10" s="6" t="n">
        <f aca="false">IF(AND(N10="ganz",COUNTIFS($C$2:C10,C10,$J$2:J10,J10,$N$2:N10,"ganz")=1),1,0)</f>
        <v>1</v>
      </c>
      <c r="AJ10" s="6" t="n">
        <f aca="false">IF(AND(O10="ja",COUNTIFS($C$2:C10,C10,$H$2:H10,H10,$O$2:O10,"ja")&lt;=2),1,0)</f>
        <v>1</v>
      </c>
      <c r="AK10" s="6" t="n">
        <f aca="false">IF(AND(O10="ja",COUNTIFS($C$2:C10,C10,$J$2:J10,J10,$O$2:O10,"ja")=1),1,0)</f>
        <v>1</v>
      </c>
    </row>
    <row r="11" customFormat="false" ht="15" hidden="false" customHeight="false" outlineLevel="0" collapsed="false">
      <c r="A11" s="15" t="n">
        <v>230</v>
      </c>
      <c r="B11" s="15" t="s">
        <v>69</v>
      </c>
      <c r="C11" s="15" t="s">
        <v>69</v>
      </c>
      <c r="D11" s="15"/>
      <c r="E11" s="15" t="s">
        <v>70</v>
      </c>
      <c r="F11" s="16" t="n">
        <v>46257.8852546296</v>
      </c>
      <c r="G11" s="15" t="s">
        <v>78</v>
      </c>
      <c r="H11" s="15" t="n">
        <v>5</v>
      </c>
      <c r="I11" s="15" t="n">
        <v>6</v>
      </c>
      <c r="J11" s="15" t="n">
        <v>10</v>
      </c>
      <c r="K11" s="15" t="n">
        <v>5</v>
      </c>
      <c r="L11" s="15" t="n">
        <v>2</v>
      </c>
      <c r="M11" s="15" t="n">
        <v>10</v>
      </c>
      <c r="N11" s="15" t="s">
        <v>72</v>
      </c>
      <c r="O11" s="15" t="s">
        <v>73</v>
      </c>
      <c r="P11" s="15" t="n">
        <v>1</v>
      </c>
      <c r="Q11" s="15" t="n">
        <v>2</v>
      </c>
      <c r="R11" s="15" t="s">
        <v>85</v>
      </c>
      <c r="S11" s="15" t="s">
        <v>80</v>
      </c>
      <c r="T11" s="15" t="s">
        <v>80</v>
      </c>
      <c r="U11" s="15" t="s">
        <v>73</v>
      </c>
      <c r="V11" s="17"/>
      <c r="W11" s="17"/>
      <c r="X11" s="17"/>
      <c r="Y11" s="17"/>
      <c r="Z11" s="17" t="s">
        <v>93</v>
      </c>
      <c r="AA11" s="15" t="n">
        <v>54</v>
      </c>
      <c r="AB11" s="15" t="s">
        <v>73</v>
      </c>
      <c r="AC11" s="18" t="n">
        <f aca="false">IF(C11=C10,(F11-F10)*24,"")</f>
        <v>105.658888888889</v>
      </c>
      <c r="AD11" s="17"/>
      <c r="AE11" s="15" t="n">
        <f aca="false">INDEX(Parameter!$C$3:$C$8,H11)</f>
        <v>106</v>
      </c>
      <c r="AF11" s="18" t="str">
        <f aca="false">IF(AND(N11="ganz",INDEX(Parameter!$D$3:$D$8,H11)&lt;&gt;""),Q11*INDEX(Parameter!$D$3:$D$8,H11),"")</f>
        <v/>
      </c>
      <c r="AG11" s="18" t="str">
        <f aca="false">IF(AND(N11="ganz",INDEX(Parameter!$D$3:$D$8,H11)&lt;&gt;""),Q11*(INDEX(Parameter!$D$3:$D$8,H11)+INDEX(Parameter!$F$3:$F$8,H11)),"")</f>
        <v/>
      </c>
      <c r="AH11" s="15" t="n">
        <f aca="false">IF(AND(N11="ganz",COUNTIFS($C$2:C11,C11,$H$2:H11,H11,$N$2:N11,"ganz")&lt;=2),1,0)</f>
        <v>1</v>
      </c>
      <c r="AI11" s="15" t="n">
        <f aca="false">IF(AND(N11="ganz",COUNTIFS($C$2:C11,C11,$J$2:J11,J11,$N$2:N11,"ganz")=1),1,0)</f>
        <v>1</v>
      </c>
      <c r="AJ11" s="15" t="n">
        <f aca="false">IF(AND(O11="ja",COUNTIFS($C$2:C11,C11,$H$2:H11,H11,$O$2:O11,"ja")&lt;=2),1,0)</f>
        <v>1</v>
      </c>
      <c r="AK11" s="15" t="n">
        <f aca="false">IF(AND(O11="ja",COUNTIFS($C$2:C11,C11,$J$2:J11,J11,$O$2:O11,"ja")=1),1,0)</f>
        <v>1</v>
      </c>
    </row>
    <row r="12" customFormat="false" ht="15" hidden="false" customHeight="false" outlineLevel="0" collapsed="false">
      <c r="A12" s="6" t="n">
        <v>257</v>
      </c>
      <c r="B12" s="6" t="s">
        <v>69</v>
      </c>
      <c r="C12" s="6" t="s">
        <v>69</v>
      </c>
      <c r="D12" s="6"/>
      <c r="E12" s="6" t="s">
        <v>70</v>
      </c>
      <c r="F12" s="12" t="n">
        <v>46264.6043981482</v>
      </c>
      <c r="G12" s="6" t="s">
        <v>78</v>
      </c>
      <c r="H12" s="6" t="n">
        <v>6</v>
      </c>
      <c r="I12" s="6" t="n">
        <v>6</v>
      </c>
      <c r="J12" s="6" t="n">
        <v>11</v>
      </c>
      <c r="K12" s="6" t="n">
        <v>6</v>
      </c>
      <c r="L12" s="6" t="n">
        <v>1</v>
      </c>
      <c r="M12" s="6" t="n">
        <v>11</v>
      </c>
      <c r="N12" s="6" t="s">
        <v>72</v>
      </c>
      <c r="O12" s="6" t="s">
        <v>73</v>
      </c>
      <c r="P12" s="6" t="n">
        <v>1</v>
      </c>
      <c r="Q12" s="6" t="n">
        <v>2</v>
      </c>
      <c r="R12" s="6" t="s">
        <v>94</v>
      </c>
      <c r="S12" s="6" t="s">
        <v>80</v>
      </c>
      <c r="T12" s="6" t="s">
        <v>80</v>
      </c>
      <c r="U12" s="6" t="s">
        <v>80</v>
      </c>
      <c r="V12" s="13"/>
      <c r="W12" s="13"/>
      <c r="X12" s="13"/>
      <c r="Y12" s="13"/>
      <c r="Z12" s="13"/>
      <c r="AA12" s="6" t="n">
        <v>39</v>
      </c>
      <c r="AB12" s="6"/>
      <c r="AC12" s="14" t="n">
        <f aca="false">IF(C12=C11,(F12-F11)*24,"")</f>
        <v>161.259444444444</v>
      </c>
      <c r="AD12" s="13"/>
      <c r="AE12" s="6" t="n">
        <f aca="false">INDEX(Parameter!$C$3:$C$8,H12)</f>
        <v>120</v>
      </c>
      <c r="AF12" s="14" t="n">
        <f aca="false">IF(AND(N12="ganz",INDEX(Parameter!$D$3:$D$8,H12)&lt;&gt;""),Q12*INDEX(Parameter!$D$3:$D$8,H12),"")</f>
        <v>62.1</v>
      </c>
      <c r="AG12" s="14" t="n">
        <f aca="false">IF(AND(N12="ganz",INDEX(Parameter!$D$3:$D$8,H12)&lt;&gt;""),Q12*(INDEX(Parameter!$D$3:$D$8,H12)+INDEX(Parameter!$F$3:$F$8,H12)),"")</f>
        <v>79.8666666666667</v>
      </c>
      <c r="AH12" s="6" t="n">
        <f aca="false">IF(AND(N12="ganz",COUNTIFS($C$2:C12,C12,$H$2:H12,H12,$N$2:N12,"ganz")&lt;=2),1,0)</f>
        <v>1</v>
      </c>
      <c r="AI12" s="6" t="n">
        <f aca="false">IF(AND(N12="ganz",COUNTIFS($C$2:C12,C12,$J$2:J12,J12,$N$2:N12,"ganz")=1),1,0)</f>
        <v>1</v>
      </c>
      <c r="AJ12" s="6" t="n">
        <f aca="false">IF(AND(O12="ja",COUNTIFS($C$2:C12,C12,$H$2:H12,H12,$O$2:O12,"ja")&lt;=2),1,0)</f>
        <v>1</v>
      </c>
      <c r="AK12" s="6" t="n">
        <f aca="false">IF(AND(O12="ja",COUNTIFS($C$2:C12,C12,$J$2:J12,J12,$O$2:O12,"ja")=1),1,0)</f>
        <v>1</v>
      </c>
    </row>
    <row r="13" customFormat="false" ht="15" hidden="false" customHeight="false" outlineLevel="0" collapsed="false">
      <c r="A13" s="15" t="n">
        <v>258</v>
      </c>
      <c r="B13" s="15" t="s">
        <v>69</v>
      </c>
      <c r="C13" s="15" t="s">
        <v>69</v>
      </c>
      <c r="D13" s="15"/>
      <c r="E13" s="15" t="s">
        <v>70</v>
      </c>
      <c r="F13" s="16" t="n">
        <v>46264.7046296296</v>
      </c>
      <c r="G13" s="15" t="s">
        <v>78</v>
      </c>
      <c r="H13" s="15" t="n">
        <v>6</v>
      </c>
      <c r="I13" s="15" t="n">
        <v>6</v>
      </c>
      <c r="J13" s="15" t="n">
        <v>12</v>
      </c>
      <c r="K13" s="15" t="n">
        <v>6</v>
      </c>
      <c r="L13" s="15" t="n">
        <v>2</v>
      </c>
      <c r="M13" s="15" t="n">
        <v>12</v>
      </c>
      <c r="N13" s="15" t="s">
        <v>72</v>
      </c>
      <c r="O13" s="15" t="s">
        <v>73</v>
      </c>
      <c r="P13" s="15" t="n">
        <v>1</v>
      </c>
      <c r="Q13" s="15" t="n">
        <v>2</v>
      </c>
      <c r="R13" s="15" t="s">
        <v>79</v>
      </c>
      <c r="S13" s="15" t="s">
        <v>80</v>
      </c>
      <c r="T13" s="15" t="s">
        <v>80</v>
      </c>
      <c r="U13" s="15" t="s">
        <v>73</v>
      </c>
      <c r="V13" s="17"/>
      <c r="W13" s="17"/>
      <c r="X13" s="17"/>
      <c r="Y13" s="17"/>
      <c r="Z13" s="17" t="s">
        <v>95</v>
      </c>
      <c r="AA13" s="15" t="n">
        <v>43</v>
      </c>
      <c r="AB13" s="15"/>
      <c r="AC13" s="18" t="n">
        <f aca="false">IF(C13=C12,(F13-F12)*24,"")</f>
        <v>2.40555555555556</v>
      </c>
      <c r="AD13" s="17"/>
      <c r="AE13" s="15" t="n">
        <f aca="false">INDEX(Parameter!$C$3:$C$8,H13)</f>
        <v>120</v>
      </c>
      <c r="AF13" s="18" t="n">
        <f aca="false">IF(AND(N13="ganz",INDEX(Parameter!$D$3:$D$8,H13)&lt;&gt;""),Q13*INDEX(Parameter!$D$3:$D$8,H13),"")</f>
        <v>62.1</v>
      </c>
      <c r="AG13" s="18" t="n">
        <f aca="false">IF(AND(N13="ganz",INDEX(Parameter!$D$3:$D$8,H13)&lt;&gt;""),Q13*(INDEX(Parameter!$D$3:$D$8,H13)+INDEX(Parameter!$F$3:$F$8,H13)),"")</f>
        <v>79.8666666666667</v>
      </c>
      <c r="AH13" s="15" t="n">
        <f aca="false">IF(AND(N13="ganz",COUNTIFS($C$2:C13,C13,$H$2:H13,H13,$N$2:N13,"ganz")&lt;=2),1,0)</f>
        <v>1</v>
      </c>
      <c r="AI13" s="15" t="n">
        <f aca="false">IF(AND(N13="ganz",COUNTIFS($C$2:C13,C13,$J$2:J13,J13,$N$2:N13,"ganz")=1),1,0)</f>
        <v>1</v>
      </c>
      <c r="AJ13" s="15" t="n">
        <f aca="false">IF(AND(O13="ja",COUNTIFS($C$2:C13,C13,$H$2:H13,H13,$O$2:O13,"ja")&lt;=2),1,0)</f>
        <v>1</v>
      </c>
      <c r="AK13" s="15" t="n">
        <f aca="false">IF(AND(O13="ja",COUNTIFS($C$2:C13,C13,$J$2:J13,J13,$O$2:O13,"ja")=1),1,0)</f>
        <v>1</v>
      </c>
    </row>
    <row r="14" customFormat="false" ht="15" hidden="false" customHeight="false" outlineLevel="0" collapsed="false">
      <c r="A14" s="6" t="n">
        <v>99</v>
      </c>
      <c r="B14" s="6" t="s">
        <v>96</v>
      </c>
      <c r="C14" s="6" t="s">
        <v>96</v>
      </c>
      <c r="D14" s="6"/>
      <c r="E14" s="6" t="s">
        <v>70</v>
      </c>
      <c r="F14" s="12" t="n">
        <v>46235.8457060185</v>
      </c>
      <c r="G14" s="6" t="s">
        <v>97</v>
      </c>
      <c r="H14" s="6" t="n">
        <v>2</v>
      </c>
      <c r="I14" s="6" t="n">
        <v>2</v>
      </c>
      <c r="J14" s="6" t="n">
        <v>3</v>
      </c>
      <c r="K14" s="6" t="n">
        <v>2</v>
      </c>
      <c r="L14" s="6" t="n">
        <v>1</v>
      </c>
      <c r="M14" s="6" t="n">
        <v>3</v>
      </c>
      <c r="N14" s="6" t="s">
        <v>98</v>
      </c>
      <c r="O14" s="6" t="s">
        <v>73</v>
      </c>
      <c r="P14" s="6" t="n">
        <v>0</v>
      </c>
      <c r="Q14" s="6" t="n">
        <v>9</v>
      </c>
      <c r="R14" s="6" t="s">
        <v>94</v>
      </c>
      <c r="S14" s="6" t="s">
        <v>73</v>
      </c>
      <c r="T14" s="6" t="s">
        <v>80</v>
      </c>
      <c r="U14" s="6" t="s">
        <v>80</v>
      </c>
      <c r="V14" s="13" t="s">
        <v>99</v>
      </c>
      <c r="W14" s="13"/>
      <c r="X14" s="13" t="s">
        <v>100</v>
      </c>
      <c r="Y14" s="13"/>
      <c r="Z14" s="13"/>
      <c r="AA14" s="6" t="n">
        <v>46</v>
      </c>
      <c r="AB14" s="6"/>
      <c r="AC14" s="14" t="str">
        <f aca="false">IF(C14=C13,(F14-F13)*24,"")</f>
        <v/>
      </c>
      <c r="AD14" s="13"/>
      <c r="AE14" s="6" t="n">
        <f aca="false">INDEX(Parameter!$C$3:$C$8,H14)</f>
        <v>66</v>
      </c>
      <c r="AF14" s="14" t="str">
        <f aca="false">IF(AND(N14="ganz",INDEX(Parameter!$D$3:$D$8,H14)&lt;&gt;""),Q14*INDEX(Parameter!$D$3:$D$8,H14),"")</f>
        <v/>
      </c>
      <c r="AG14" s="14" t="str">
        <f aca="false">IF(AND(N14="ganz",INDEX(Parameter!$D$3:$D$8,H14)&lt;&gt;""),Q14*(INDEX(Parameter!$D$3:$D$8,H14)+INDEX(Parameter!$F$3:$F$8,H14)),"")</f>
        <v/>
      </c>
      <c r="AH14" s="6" t="n">
        <f aca="false">IF(AND(N14="ganz",COUNTIFS($C$2:C14,C14,$H$2:H14,H14,$N$2:N14,"ganz")&lt;=2),1,0)</f>
        <v>0</v>
      </c>
      <c r="AI14" s="6" t="n">
        <f aca="false">IF(AND(N14="ganz",COUNTIFS($C$2:C14,C14,$J$2:J14,J14,$N$2:N14,"ganz")=1),1,0)</f>
        <v>0</v>
      </c>
      <c r="AJ14" s="6" t="n">
        <f aca="false">IF(AND(O14="ja",COUNTIFS($C$2:C14,C14,$H$2:H14,H14,$O$2:O14,"ja")&lt;=2),1,0)</f>
        <v>1</v>
      </c>
      <c r="AK14" s="6" t="n">
        <f aca="false">IF(AND(O14="ja",COUNTIFS($C$2:C14,C14,$J$2:J14,J14,$O$2:O14,"ja")=1),1,0)</f>
        <v>1</v>
      </c>
    </row>
    <row r="15" customFormat="false" ht="15" hidden="false" customHeight="false" outlineLevel="0" collapsed="false">
      <c r="A15" s="15" t="n">
        <v>140</v>
      </c>
      <c r="B15" s="15" t="s">
        <v>101</v>
      </c>
      <c r="C15" s="15" t="s">
        <v>96</v>
      </c>
      <c r="D15" s="15" t="s">
        <v>73</v>
      </c>
      <c r="E15" s="15" t="s">
        <v>70</v>
      </c>
      <c r="F15" s="16" t="n">
        <v>46241.7260763889</v>
      </c>
      <c r="G15" s="15" t="s">
        <v>71</v>
      </c>
      <c r="H15" s="15" t="n">
        <v>3</v>
      </c>
      <c r="I15" s="15" t="n">
        <v>3</v>
      </c>
      <c r="J15" s="15" t="n">
        <v>3</v>
      </c>
      <c r="K15" s="15" t="n">
        <v>2</v>
      </c>
      <c r="L15" s="15" t="n">
        <v>1</v>
      </c>
      <c r="M15" s="15" t="n">
        <v>5</v>
      </c>
      <c r="N15" s="15" t="s">
        <v>72</v>
      </c>
      <c r="O15" s="15" t="s">
        <v>73</v>
      </c>
      <c r="P15" s="15" t="n">
        <v>1</v>
      </c>
      <c r="Q15" s="15" t="n">
        <v>2</v>
      </c>
      <c r="R15" s="15" t="s">
        <v>94</v>
      </c>
      <c r="S15" s="15" t="s">
        <v>80</v>
      </c>
      <c r="T15" s="15" t="s">
        <v>80</v>
      </c>
      <c r="U15" s="15" t="s">
        <v>73</v>
      </c>
      <c r="V15" s="17"/>
      <c r="W15" s="17"/>
      <c r="X15" s="17"/>
      <c r="Y15" s="17"/>
      <c r="Z15" s="17" t="s">
        <v>102</v>
      </c>
      <c r="AA15" s="15" t="n">
        <v>64</v>
      </c>
      <c r="AB15" s="15"/>
      <c r="AC15" s="18" t="n">
        <f aca="false">IF(C15=C14,(F15-F14)*24,"")</f>
        <v>141.128888888889</v>
      </c>
      <c r="AD15" s="17"/>
      <c r="AE15" s="15" t="n">
        <f aca="false">INDEX(Parameter!$C$3:$C$8,H15)</f>
        <v>80</v>
      </c>
      <c r="AF15" s="18" t="n">
        <f aca="false">IF(AND(N15="ganz",INDEX(Parameter!$D$3:$D$8,H15)&lt;&gt;""),Q15*INDEX(Parameter!$D$3:$D$8,H15),"")</f>
        <v>48.5666666666667</v>
      </c>
      <c r="AG15" s="18" t="n">
        <f aca="false">IF(AND(N15="ganz",INDEX(Parameter!$D$3:$D$8,H15)&lt;&gt;""),Q15*(INDEX(Parameter!$D$3:$D$8,H15)+INDEX(Parameter!$F$3:$F$8,H15)),"")</f>
        <v>66.3333333333333</v>
      </c>
      <c r="AH15" s="15" t="n">
        <f aca="false">IF(AND(N15="ganz",COUNTIFS($C$2:C15,C15,$H$2:H15,H15,$N$2:N15,"ganz")&lt;=2),1,0)</f>
        <v>1</v>
      </c>
      <c r="AI15" s="15" t="n">
        <f aca="false">IF(AND(N15="ganz",COUNTIFS($C$2:C15,C15,$J$2:J15,J15,$N$2:N15,"ganz")=1),1,0)</f>
        <v>1</v>
      </c>
      <c r="AJ15" s="15" t="n">
        <f aca="false">IF(AND(O15="ja",COUNTIFS($C$2:C15,C15,$H$2:H15,H15,$O$2:O15,"ja")&lt;=2),1,0)</f>
        <v>1</v>
      </c>
      <c r="AK15" s="15" t="n">
        <f aca="false">IF(AND(O15="ja",COUNTIFS($C$2:C15,C15,$J$2:J15,J15,$O$2:O15,"ja")=1),1,0)</f>
        <v>0</v>
      </c>
    </row>
    <row r="16" customFormat="false" ht="15" hidden="false" customHeight="false" outlineLevel="0" collapsed="false">
      <c r="A16" s="6" t="n">
        <v>158</v>
      </c>
      <c r="B16" s="6" t="s">
        <v>101</v>
      </c>
      <c r="C16" s="6" t="s">
        <v>96</v>
      </c>
      <c r="D16" s="6" t="s">
        <v>73</v>
      </c>
      <c r="E16" s="6" t="s">
        <v>70</v>
      </c>
      <c r="F16" s="12" t="n">
        <v>46244.3396643519</v>
      </c>
      <c r="G16" s="6" t="s">
        <v>103</v>
      </c>
      <c r="H16" s="6" t="n">
        <v>4</v>
      </c>
      <c r="I16" s="6" t="n">
        <v>4</v>
      </c>
      <c r="J16" s="6" t="n">
        <v>1</v>
      </c>
      <c r="K16" s="6" t="n">
        <v>1</v>
      </c>
      <c r="L16" s="6" t="n">
        <v>1</v>
      </c>
      <c r="M16" s="6" t="n">
        <v>7</v>
      </c>
      <c r="N16" s="6" t="s">
        <v>72</v>
      </c>
      <c r="O16" s="6" t="s">
        <v>73</v>
      </c>
      <c r="P16" s="6" t="n">
        <v>1</v>
      </c>
      <c r="Q16" s="6" t="n">
        <v>2</v>
      </c>
      <c r="R16" s="6" t="s">
        <v>94</v>
      </c>
      <c r="S16" s="6" t="s">
        <v>80</v>
      </c>
      <c r="T16" s="6" t="s">
        <v>80</v>
      </c>
      <c r="U16" s="6" t="s">
        <v>73</v>
      </c>
      <c r="V16" s="13"/>
      <c r="W16" s="13"/>
      <c r="X16" s="13"/>
      <c r="Y16" s="13"/>
      <c r="Z16" s="13" t="s">
        <v>104</v>
      </c>
      <c r="AA16" s="6" t="n">
        <v>72</v>
      </c>
      <c r="AB16" s="6"/>
      <c r="AC16" s="14" t="n">
        <f aca="false">IF(C16=C15,(F16-F15)*24,"")</f>
        <v>62.7261111111111</v>
      </c>
      <c r="AD16" s="13"/>
      <c r="AE16" s="6" t="n">
        <f aca="false">INDEX(Parameter!$C$3:$C$8,H16)</f>
        <v>96</v>
      </c>
      <c r="AF16" s="14" t="n">
        <f aca="false">IF(AND(N16="ganz",INDEX(Parameter!$D$3:$D$8,H16)&lt;&gt;""),Q16*INDEX(Parameter!$D$3:$D$8,H16),"")</f>
        <v>51.8333333333333</v>
      </c>
      <c r="AG16" s="14" t="n">
        <f aca="false">IF(AND(N16="ganz",INDEX(Parameter!$D$3:$D$8,H16)&lt;&gt;""),Q16*(INDEX(Parameter!$D$3:$D$8,H16)+INDEX(Parameter!$F$3:$F$8,H16)),"")</f>
        <v>69.6</v>
      </c>
      <c r="AH16" s="6" t="n">
        <f aca="false">IF(AND(N16="ganz",COUNTIFS($C$2:C16,C16,$H$2:H16,H16,$N$2:N16,"ganz")&lt;=2),1,0)</f>
        <v>1</v>
      </c>
      <c r="AI16" s="6" t="n">
        <f aca="false">IF(AND(N16="ganz",COUNTIFS($C$2:C16,C16,$J$2:J16,J16,$N$2:N16,"ganz")=1),1,0)</f>
        <v>1</v>
      </c>
      <c r="AJ16" s="6" t="n">
        <f aca="false">IF(AND(O16="ja",COUNTIFS($C$2:C16,C16,$H$2:H16,H16,$O$2:O16,"ja")&lt;=2),1,0)</f>
        <v>1</v>
      </c>
      <c r="AK16" s="6" t="n">
        <f aca="false">IF(AND(O16="ja",COUNTIFS($C$2:C16,C16,$J$2:J16,J16,$O$2:O16,"ja")=1),1,0)</f>
        <v>1</v>
      </c>
    </row>
    <row r="17" customFormat="false" ht="15" hidden="false" customHeight="false" outlineLevel="0" collapsed="false">
      <c r="A17" s="15" t="n">
        <v>165</v>
      </c>
      <c r="B17" s="15" t="s">
        <v>101</v>
      </c>
      <c r="C17" s="15" t="s">
        <v>96</v>
      </c>
      <c r="D17" s="15" t="s">
        <v>73</v>
      </c>
      <c r="E17" s="15" t="s">
        <v>70</v>
      </c>
      <c r="F17" s="16" t="n">
        <v>46245.7521875</v>
      </c>
      <c r="G17" s="15" t="s">
        <v>82</v>
      </c>
      <c r="H17" s="15" t="n">
        <v>4</v>
      </c>
      <c r="I17" s="15" t="n">
        <v>4</v>
      </c>
      <c r="J17" s="15" t="n">
        <v>7</v>
      </c>
      <c r="K17" s="15" t="n">
        <v>4</v>
      </c>
      <c r="L17" s="15" t="n">
        <v>1</v>
      </c>
      <c r="M17" s="15" t="n">
        <v>8</v>
      </c>
      <c r="N17" s="15" t="s">
        <v>72</v>
      </c>
      <c r="O17" s="15" t="s">
        <v>73</v>
      </c>
      <c r="P17" s="15" t="n">
        <v>1</v>
      </c>
      <c r="Q17" s="15" t="n">
        <v>0</v>
      </c>
      <c r="R17" s="15" t="s">
        <v>85</v>
      </c>
      <c r="S17" s="15" t="s">
        <v>80</v>
      </c>
      <c r="T17" s="15" t="s">
        <v>80</v>
      </c>
      <c r="U17" s="15" t="s">
        <v>80</v>
      </c>
      <c r="V17" s="17"/>
      <c r="W17" s="17"/>
      <c r="X17" s="17"/>
      <c r="Y17" s="17"/>
      <c r="Z17" s="17"/>
      <c r="AA17" s="15" t="n">
        <v>46</v>
      </c>
      <c r="AB17" s="15"/>
      <c r="AC17" s="18" t="n">
        <f aca="false">IF(C17=C16,(F17-F16)*24,"")</f>
        <v>33.9005555555556</v>
      </c>
      <c r="AD17" s="17"/>
      <c r="AE17" s="15" t="n">
        <f aca="false">INDEX(Parameter!$C$3:$C$8,H17)</f>
        <v>96</v>
      </c>
      <c r="AF17" s="18" t="n">
        <f aca="false">IF(AND(N17="ganz",INDEX(Parameter!$D$3:$D$8,H17)&lt;&gt;""),Q17*INDEX(Parameter!$D$3:$D$8,H17),"")</f>
        <v>0</v>
      </c>
      <c r="AG17" s="18" t="n">
        <f aca="false">IF(AND(N17="ganz",INDEX(Parameter!$D$3:$D$8,H17)&lt;&gt;""),Q17*(INDEX(Parameter!$D$3:$D$8,H17)+INDEX(Parameter!$F$3:$F$8,H17)),"")</f>
        <v>0</v>
      </c>
      <c r="AH17" s="15" t="n">
        <f aca="false">IF(AND(N17="ganz",COUNTIFS($C$2:C17,C17,$H$2:H17,H17,$N$2:N17,"ganz")&lt;=2),1,0)</f>
        <v>1</v>
      </c>
      <c r="AI17" s="15" t="n">
        <f aca="false">IF(AND(N17="ganz",COUNTIFS($C$2:C17,C17,$J$2:J17,J17,$N$2:N17,"ganz")=1),1,0)</f>
        <v>1</v>
      </c>
      <c r="AJ17" s="15" t="n">
        <f aca="false">IF(AND(O17="ja",COUNTIFS($C$2:C17,C17,$H$2:H17,H17,$O$2:O17,"ja")&lt;=2),1,0)</f>
        <v>1</v>
      </c>
      <c r="AK17" s="15" t="n">
        <f aca="false">IF(AND(O17="ja",COUNTIFS($C$2:C17,C17,$J$2:J17,J17,$O$2:O17,"ja")=1),1,0)</f>
        <v>1</v>
      </c>
    </row>
    <row r="18" customFormat="false" ht="15" hidden="false" customHeight="false" outlineLevel="0" collapsed="false">
      <c r="A18" s="6" t="n">
        <v>190</v>
      </c>
      <c r="B18" s="6" t="s">
        <v>101</v>
      </c>
      <c r="C18" s="6" t="s">
        <v>96</v>
      </c>
      <c r="D18" s="6" t="s">
        <v>73</v>
      </c>
      <c r="E18" s="6" t="s">
        <v>70</v>
      </c>
      <c r="F18" s="12" t="n">
        <v>46250.6333680556</v>
      </c>
      <c r="G18" s="6" t="s">
        <v>78</v>
      </c>
      <c r="H18" s="6" t="n">
        <v>4</v>
      </c>
      <c r="I18" s="6" t="n">
        <v>4</v>
      </c>
      <c r="J18" s="6" t="n">
        <v>8</v>
      </c>
      <c r="K18" s="6" t="n">
        <v>4</v>
      </c>
      <c r="L18" s="6" t="n">
        <v>2</v>
      </c>
      <c r="M18" s="6"/>
      <c r="N18" s="6" t="s">
        <v>72</v>
      </c>
      <c r="O18" s="6" t="s">
        <v>73</v>
      </c>
      <c r="P18" s="6" t="n">
        <v>1</v>
      </c>
      <c r="Q18" s="6" t="n">
        <v>2</v>
      </c>
      <c r="R18" s="6" t="s">
        <v>85</v>
      </c>
      <c r="S18" s="6" t="s">
        <v>80</v>
      </c>
      <c r="T18" s="6" t="s">
        <v>80</v>
      </c>
      <c r="U18" s="6" t="s">
        <v>73</v>
      </c>
      <c r="V18" s="13"/>
      <c r="W18" s="13"/>
      <c r="X18" s="13"/>
      <c r="Y18" s="13"/>
      <c r="Z18" s="13" t="s">
        <v>105</v>
      </c>
      <c r="AA18" s="6" t="n">
        <v>51</v>
      </c>
      <c r="AB18" s="6"/>
      <c r="AC18" s="14" t="n">
        <f aca="false">IF(C18=C17,(F18-F17)*24,"")</f>
        <v>117.148333333333</v>
      </c>
      <c r="AD18" s="13"/>
      <c r="AE18" s="6" t="n">
        <f aca="false">INDEX(Parameter!$C$3:$C$8,H18)</f>
        <v>96</v>
      </c>
      <c r="AF18" s="14" t="n">
        <f aca="false">IF(AND(N18="ganz",INDEX(Parameter!$D$3:$D$8,H18)&lt;&gt;""),Q18*INDEX(Parameter!$D$3:$D$8,H18),"")</f>
        <v>51.8333333333333</v>
      </c>
      <c r="AG18" s="14" t="n">
        <f aca="false">IF(AND(N18="ganz",INDEX(Parameter!$D$3:$D$8,H18)&lt;&gt;""),Q18*(INDEX(Parameter!$D$3:$D$8,H18)+INDEX(Parameter!$F$3:$F$8,H18)),"")</f>
        <v>69.6</v>
      </c>
      <c r="AH18" s="6" t="n">
        <f aca="false">IF(AND(N18="ganz",COUNTIFS($C$2:C18,C18,$H$2:H18,H18,$N$2:N18,"ganz")&lt;=2),1,0)</f>
        <v>0</v>
      </c>
      <c r="AI18" s="6" t="n">
        <f aca="false">IF(AND(N18="ganz",COUNTIFS($C$2:C18,C18,$J$2:J18,J18,$N$2:N18,"ganz")=1),1,0)</f>
        <v>1</v>
      </c>
      <c r="AJ18" s="6" t="n">
        <f aca="false">IF(AND(O18="ja",COUNTIFS($C$2:C18,C18,$H$2:H18,H18,$O$2:O18,"ja")&lt;=2),1,0)</f>
        <v>0</v>
      </c>
      <c r="AK18" s="6" t="n">
        <f aca="false">IF(AND(O18="ja",COUNTIFS($C$2:C18,C18,$J$2:J18,J18,$O$2:O18,"ja")=1),1,0)</f>
        <v>1</v>
      </c>
    </row>
    <row r="19" customFormat="false" ht="15" hidden="false" customHeight="false" outlineLevel="0" collapsed="false">
      <c r="A19" s="15" t="n">
        <v>206</v>
      </c>
      <c r="B19" s="15" t="s">
        <v>101</v>
      </c>
      <c r="C19" s="15" t="s">
        <v>96</v>
      </c>
      <c r="D19" s="15" t="s">
        <v>73</v>
      </c>
      <c r="E19" s="15" t="s">
        <v>70</v>
      </c>
      <c r="F19" s="16" t="n">
        <v>46252.597349537</v>
      </c>
      <c r="G19" s="15" t="s">
        <v>82</v>
      </c>
      <c r="H19" s="15" t="n">
        <v>5</v>
      </c>
      <c r="I19" s="15" t="n">
        <v>5</v>
      </c>
      <c r="J19" s="15" t="n">
        <v>9</v>
      </c>
      <c r="K19" s="15" t="n">
        <v>5</v>
      </c>
      <c r="L19" s="15" t="n">
        <v>1</v>
      </c>
      <c r="M19" s="15" t="n">
        <v>9</v>
      </c>
      <c r="N19" s="15" t="s">
        <v>72</v>
      </c>
      <c r="O19" s="15" t="s">
        <v>73</v>
      </c>
      <c r="P19" s="15" t="n">
        <v>1</v>
      </c>
      <c r="Q19" s="15" t="n">
        <v>1</v>
      </c>
      <c r="R19" s="15" t="s">
        <v>85</v>
      </c>
      <c r="S19" s="15" t="s">
        <v>80</v>
      </c>
      <c r="T19" s="15" t="s">
        <v>73</v>
      </c>
      <c r="U19" s="15" t="s">
        <v>80</v>
      </c>
      <c r="V19" s="17"/>
      <c r="W19" s="17"/>
      <c r="X19" s="17"/>
      <c r="Y19" s="17" t="s">
        <v>106</v>
      </c>
      <c r="Z19" s="17"/>
      <c r="AA19" s="15" t="n">
        <v>37</v>
      </c>
      <c r="AB19" s="15"/>
      <c r="AC19" s="18" t="n">
        <f aca="false">IF(C19=C18,(F19-F18)*24,"")</f>
        <v>47.1355555555556</v>
      </c>
      <c r="AD19" s="17"/>
      <c r="AE19" s="15" t="n">
        <f aca="false">INDEX(Parameter!$C$3:$C$8,H19)</f>
        <v>106</v>
      </c>
      <c r="AF19" s="18" t="str">
        <f aca="false">IF(AND(N19="ganz",INDEX(Parameter!$D$3:$D$8,H19)&lt;&gt;""),Q19*INDEX(Parameter!$D$3:$D$8,H19),"")</f>
        <v/>
      </c>
      <c r="AG19" s="18" t="str">
        <f aca="false">IF(AND(N19="ganz",INDEX(Parameter!$D$3:$D$8,H19)&lt;&gt;""),Q19*(INDEX(Parameter!$D$3:$D$8,H19)+INDEX(Parameter!$F$3:$F$8,H19)),"")</f>
        <v/>
      </c>
      <c r="AH19" s="15" t="n">
        <f aca="false">IF(AND(N19="ganz",COUNTIFS($C$2:C19,C19,$H$2:H19,H19,$N$2:N19,"ganz")&lt;=2),1,0)</f>
        <v>1</v>
      </c>
      <c r="AI19" s="15" t="n">
        <f aca="false">IF(AND(N19="ganz",COUNTIFS($C$2:C19,C19,$J$2:J19,J19,$N$2:N19,"ganz")=1),1,0)</f>
        <v>1</v>
      </c>
      <c r="AJ19" s="15" t="n">
        <f aca="false">IF(AND(O19="ja",COUNTIFS($C$2:C19,C19,$H$2:H19,H19,$O$2:O19,"ja")&lt;=2),1,0)</f>
        <v>1</v>
      </c>
      <c r="AK19" s="15" t="n">
        <f aca="false">IF(AND(O19="ja",COUNTIFS($C$2:C19,C19,$J$2:J19,J19,$O$2:O19,"ja")=1),1,0)</f>
        <v>1</v>
      </c>
    </row>
    <row r="20" customFormat="false" ht="15" hidden="false" customHeight="false" outlineLevel="0" collapsed="false">
      <c r="A20" s="6" t="n">
        <v>256</v>
      </c>
      <c r="B20" s="6" t="s">
        <v>96</v>
      </c>
      <c r="C20" s="6" t="s">
        <v>96</v>
      </c>
      <c r="D20" s="6"/>
      <c r="E20" s="6" t="s">
        <v>70</v>
      </c>
      <c r="F20" s="12" t="n">
        <v>46264.5080439815</v>
      </c>
      <c r="G20" s="6" t="s">
        <v>78</v>
      </c>
      <c r="H20" s="6" t="n">
        <v>6</v>
      </c>
      <c r="I20" s="6" t="n">
        <v>6</v>
      </c>
      <c r="J20" s="6" t="n">
        <v>11</v>
      </c>
      <c r="K20" s="6" t="n">
        <v>6</v>
      </c>
      <c r="L20" s="6" t="n">
        <v>1</v>
      </c>
      <c r="M20" s="6" t="n">
        <v>11</v>
      </c>
      <c r="N20" s="6" t="s">
        <v>72</v>
      </c>
      <c r="O20" s="6" t="s">
        <v>73</v>
      </c>
      <c r="P20" s="6" t="n">
        <v>1</v>
      </c>
      <c r="Q20" s="6" t="n">
        <v>1</v>
      </c>
      <c r="R20" s="6" t="s">
        <v>85</v>
      </c>
      <c r="S20" s="6" t="s">
        <v>80</v>
      </c>
      <c r="T20" s="6" t="s">
        <v>80</v>
      </c>
      <c r="U20" s="6" t="s">
        <v>73</v>
      </c>
      <c r="V20" s="13"/>
      <c r="W20" s="13"/>
      <c r="X20" s="13"/>
      <c r="Y20" s="13"/>
      <c r="Z20" s="13" t="s">
        <v>107</v>
      </c>
      <c r="AA20" s="6" t="n">
        <v>60</v>
      </c>
      <c r="AB20" s="6"/>
      <c r="AC20" s="14" t="n">
        <f aca="false">IF(C20=C19,(F20-F19)*24,"")</f>
        <v>285.856666666667</v>
      </c>
      <c r="AD20" s="13"/>
      <c r="AE20" s="6" t="n">
        <f aca="false">INDEX(Parameter!$C$3:$C$8,H20)</f>
        <v>120</v>
      </c>
      <c r="AF20" s="14" t="n">
        <f aca="false">IF(AND(N20="ganz",INDEX(Parameter!$D$3:$D$8,H20)&lt;&gt;""),Q20*INDEX(Parameter!$D$3:$D$8,H20),"")</f>
        <v>31.05</v>
      </c>
      <c r="AG20" s="14" t="n">
        <f aca="false">IF(AND(N20="ganz",INDEX(Parameter!$D$3:$D$8,H20)&lt;&gt;""),Q20*(INDEX(Parameter!$D$3:$D$8,H20)+INDEX(Parameter!$F$3:$F$8,H20)),"")</f>
        <v>39.9333333333333</v>
      </c>
      <c r="AH20" s="6" t="n">
        <f aca="false">IF(AND(N20="ganz",COUNTIFS($C$2:C20,C20,$H$2:H20,H20,$N$2:N20,"ganz")&lt;=2),1,0)</f>
        <v>1</v>
      </c>
      <c r="AI20" s="6" t="n">
        <f aca="false">IF(AND(N20="ganz",COUNTIFS($C$2:C20,C20,$J$2:J20,J20,$N$2:N20,"ganz")=1),1,0)</f>
        <v>1</v>
      </c>
      <c r="AJ20" s="6" t="n">
        <f aca="false">IF(AND(O20="ja",COUNTIFS($C$2:C20,C20,$H$2:H20,H20,$O$2:O20,"ja")&lt;=2),1,0)</f>
        <v>1</v>
      </c>
      <c r="AK20" s="6" t="n">
        <f aca="false">IF(AND(O20="ja",COUNTIFS($C$2:C20,C20,$J$2:J20,J20,$O$2:O20,"ja")=1),1,0)</f>
        <v>1</v>
      </c>
    </row>
    <row r="21" customFormat="false" ht="15" hidden="false" customHeight="false" outlineLevel="0" collapsed="false">
      <c r="A21" s="15" t="n">
        <v>40</v>
      </c>
      <c r="B21" s="15" t="s">
        <v>108</v>
      </c>
      <c r="C21" s="15" t="s">
        <v>108</v>
      </c>
      <c r="D21" s="15"/>
      <c r="E21" s="15" t="s">
        <v>70</v>
      </c>
      <c r="F21" s="16" t="n">
        <v>46226.8795023148</v>
      </c>
      <c r="G21" s="15" t="s">
        <v>87</v>
      </c>
      <c r="H21" s="15" t="n">
        <v>1</v>
      </c>
      <c r="I21" s="15" t="n">
        <v>1</v>
      </c>
      <c r="J21" s="15" t="n">
        <v>2</v>
      </c>
      <c r="K21" s="15" t="n">
        <v>1</v>
      </c>
      <c r="L21" s="15" t="n">
        <v>2</v>
      </c>
      <c r="M21" s="15" t="n">
        <v>1</v>
      </c>
      <c r="N21" s="15" t="s">
        <v>72</v>
      </c>
      <c r="O21" s="15" t="s">
        <v>73</v>
      </c>
      <c r="P21" s="15" t="n">
        <v>1</v>
      </c>
      <c r="Q21" s="15" t="n">
        <v>2</v>
      </c>
      <c r="R21" s="15" t="s">
        <v>94</v>
      </c>
      <c r="S21" s="15" t="s">
        <v>80</v>
      </c>
      <c r="T21" s="15" t="s">
        <v>80</v>
      </c>
      <c r="U21" s="15" t="s">
        <v>80</v>
      </c>
      <c r="V21" s="17"/>
      <c r="W21" s="17"/>
      <c r="X21" s="17"/>
      <c r="Y21" s="17"/>
      <c r="Z21" s="17"/>
      <c r="AA21" s="15" t="n">
        <v>69</v>
      </c>
      <c r="AB21" s="15"/>
      <c r="AC21" s="18" t="str">
        <f aca="false">IF(C21=C20,(F21-F20)*24,"")</f>
        <v/>
      </c>
      <c r="AD21" s="17"/>
      <c r="AE21" s="15" t="n">
        <f aca="false">INDEX(Parameter!$C$3:$C$8,H21)</f>
        <v>52</v>
      </c>
      <c r="AF21" s="18" t="n">
        <f aca="false">IF(AND(N21="ganz",INDEX(Parameter!$D$3:$D$8,H21)&lt;&gt;""),Q21*INDEX(Parameter!$D$3:$D$8,H21),"")</f>
        <v>56.5333333333333</v>
      </c>
      <c r="AG21" s="18" t="n">
        <f aca="false">IF(AND(N21="ganz",INDEX(Parameter!$D$3:$D$8,H21)&lt;&gt;""),Q21*(INDEX(Parameter!$D$3:$D$8,H21)+INDEX(Parameter!$F$3:$F$8,H21)),"")</f>
        <v>74.3</v>
      </c>
      <c r="AH21" s="15" t="n">
        <f aca="false">IF(AND(N21="ganz",COUNTIFS($C$2:C21,C21,$H$2:H21,H21,$N$2:N21,"ganz")&lt;=2),1,0)</f>
        <v>1</v>
      </c>
      <c r="AI21" s="15" t="n">
        <f aca="false">IF(AND(N21="ganz",COUNTIFS($C$2:C21,C21,$J$2:J21,J21,$N$2:N21,"ganz")=1),1,0)</f>
        <v>1</v>
      </c>
      <c r="AJ21" s="15" t="n">
        <f aca="false">IF(AND(O21="ja",COUNTIFS($C$2:C21,C21,$H$2:H21,H21,$O$2:O21,"ja")&lt;=2),1,0)</f>
        <v>1</v>
      </c>
      <c r="AK21" s="15" t="n">
        <f aca="false">IF(AND(O21="ja",COUNTIFS($C$2:C21,C21,$J$2:J21,J21,$O$2:O21,"ja")=1),1,0)</f>
        <v>1</v>
      </c>
    </row>
    <row r="22" customFormat="false" ht="15" hidden="false" customHeight="false" outlineLevel="0" collapsed="false">
      <c r="A22" s="6" t="n">
        <v>61</v>
      </c>
      <c r="B22" s="6" t="s">
        <v>108</v>
      </c>
      <c r="C22" s="6" t="s">
        <v>108</v>
      </c>
      <c r="D22" s="6"/>
      <c r="E22" s="6" t="s">
        <v>70</v>
      </c>
      <c r="F22" s="12" t="n">
        <v>46229.6590046296</v>
      </c>
      <c r="G22" s="6" t="s">
        <v>78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/>
      <c r="N22" s="6" t="s">
        <v>109</v>
      </c>
      <c r="O22" s="6" t="s">
        <v>80</v>
      </c>
      <c r="P22" s="6" t="n">
        <v>0</v>
      </c>
      <c r="Q22" s="6" t="n">
        <v>0</v>
      </c>
      <c r="R22" s="6" t="s">
        <v>94</v>
      </c>
      <c r="S22" s="6" t="s">
        <v>80</v>
      </c>
      <c r="T22" s="6" t="s">
        <v>80</v>
      </c>
      <c r="U22" s="6" t="s">
        <v>80</v>
      </c>
      <c r="V22" s="13"/>
      <c r="W22" s="13" t="s">
        <v>110</v>
      </c>
      <c r="X22" s="13"/>
      <c r="Y22" s="13"/>
      <c r="Z22" s="13"/>
      <c r="AA22" s="6" t="n">
        <v>50</v>
      </c>
      <c r="AB22" s="6"/>
      <c r="AC22" s="14" t="n">
        <f aca="false">IF(C22=C21,(F22-F21)*24,"")</f>
        <v>66.7080555555556</v>
      </c>
      <c r="AD22" s="13"/>
      <c r="AE22" s="6" t="n">
        <f aca="false">INDEX(Parameter!$C$3:$C$8,H22)</f>
        <v>52</v>
      </c>
      <c r="AF22" s="14" t="str">
        <f aca="false">IF(AND(N22="ganz",INDEX(Parameter!$D$3:$D$8,H22)&lt;&gt;""),Q22*INDEX(Parameter!$D$3:$D$8,H22),"")</f>
        <v/>
      </c>
      <c r="AG22" s="14" t="str">
        <f aca="false">IF(AND(N22="ganz",INDEX(Parameter!$D$3:$D$8,H22)&lt;&gt;""),Q22*(INDEX(Parameter!$D$3:$D$8,H22)+INDEX(Parameter!$F$3:$F$8,H22)),"")</f>
        <v/>
      </c>
      <c r="AH22" s="6" t="n">
        <f aca="false">IF(AND(N22="ganz",COUNTIFS($C$2:C22,C22,$H$2:H22,H22,$N$2:N22,"ganz")&lt;=2),1,0)</f>
        <v>0</v>
      </c>
      <c r="AI22" s="6" t="n">
        <f aca="false">IF(AND(N22="ganz",COUNTIFS($C$2:C22,C22,$J$2:J22,J22,$N$2:N22,"ganz")=1),1,0)</f>
        <v>0</v>
      </c>
      <c r="AJ22" s="6" t="n">
        <f aca="false">IF(AND(O22="ja",COUNTIFS($C$2:C22,C22,$H$2:H22,H22,$O$2:O22,"ja")&lt;=2),1,0)</f>
        <v>0</v>
      </c>
      <c r="AK22" s="6" t="n">
        <f aca="false">IF(AND(O22="ja",COUNTIFS($C$2:C22,C22,$J$2:J22,J22,$O$2:O22,"ja")=1),1,0)</f>
        <v>0</v>
      </c>
    </row>
    <row r="23" customFormat="false" ht="15" hidden="false" customHeight="false" outlineLevel="0" collapsed="false">
      <c r="A23" s="15" t="n">
        <v>91</v>
      </c>
      <c r="B23" s="15" t="s">
        <v>108</v>
      </c>
      <c r="C23" s="15" t="s">
        <v>108</v>
      </c>
      <c r="D23" s="15"/>
      <c r="E23" s="15" t="s">
        <v>70</v>
      </c>
      <c r="F23" s="16" t="n">
        <v>46234.6122106482</v>
      </c>
      <c r="G23" s="15" t="s">
        <v>71</v>
      </c>
      <c r="H23" s="15" t="n">
        <v>2</v>
      </c>
      <c r="I23" s="15" t="n">
        <v>2</v>
      </c>
      <c r="J23" s="15" t="n">
        <v>3</v>
      </c>
      <c r="K23" s="15" t="n">
        <v>2</v>
      </c>
      <c r="L23" s="15" t="n">
        <v>1</v>
      </c>
      <c r="M23" s="15" t="n">
        <v>3</v>
      </c>
      <c r="N23" s="15" t="s">
        <v>72</v>
      </c>
      <c r="O23" s="15" t="s">
        <v>73</v>
      </c>
      <c r="P23" s="15" t="n">
        <v>1</v>
      </c>
      <c r="Q23" s="15" t="n">
        <v>3</v>
      </c>
      <c r="R23" s="15" t="s">
        <v>94</v>
      </c>
      <c r="S23" s="15" t="s">
        <v>80</v>
      </c>
      <c r="T23" s="15" t="s">
        <v>80</v>
      </c>
      <c r="U23" s="15" t="s">
        <v>80</v>
      </c>
      <c r="V23" s="17"/>
      <c r="W23" s="17"/>
      <c r="X23" s="17"/>
      <c r="Y23" s="17"/>
      <c r="Z23" s="17"/>
      <c r="AA23" s="15" t="n">
        <v>48</v>
      </c>
      <c r="AB23" s="15"/>
      <c r="AC23" s="18" t="n">
        <f aca="false">IF(C23=C22,(F23-F22)*24,"")</f>
        <v>118.876944444444</v>
      </c>
      <c r="AD23" s="17"/>
      <c r="AE23" s="15" t="n">
        <f aca="false">INDEX(Parameter!$C$3:$C$8,H23)</f>
        <v>66</v>
      </c>
      <c r="AF23" s="18" t="n">
        <f aca="false">IF(AND(N23="ganz",INDEX(Parameter!$D$3:$D$8,H23)&lt;&gt;""),Q23*INDEX(Parameter!$D$3:$D$8,H23),"")</f>
        <v>84.1</v>
      </c>
      <c r="AG23" s="18" t="n">
        <f aca="false">IF(AND(N23="ganz",INDEX(Parameter!$D$3:$D$8,H23)&lt;&gt;""),Q23*(INDEX(Parameter!$D$3:$D$8,H23)+INDEX(Parameter!$F$3:$F$8,H23)),"")</f>
        <v>110.75</v>
      </c>
      <c r="AH23" s="15" t="n">
        <f aca="false">IF(AND(N23="ganz",COUNTIFS($C$2:C23,C23,$H$2:H23,H23,$N$2:N23,"ganz")&lt;=2),1,0)</f>
        <v>1</v>
      </c>
      <c r="AI23" s="15" t="n">
        <f aca="false">IF(AND(N23="ganz",COUNTIFS($C$2:C23,C23,$J$2:J23,J23,$N$2:N23,"ganz")=1),1,0)</f>
        <v>1</v>
      </c>
      <c r="AJ23" s="15" t="n">
        <f aca="false">IF(AND(O23="ja",COUNTIFS($C$2:C23,C23,$H$2:H23,H23,$O$2:O23,"ja")&lt;=2),1,0)</f>
        <v>1</v>
      </c>
      <c r="AK23" s="15" t="n">
        <f aca="false">IF(AND(O23="ja",COUNTIFS($C$2:C23,C23,$J$2:J23,J23,$O$2:O23,"ja")=1),1,0)</f>
        <v>1</v>
      </c>
    </row>
    <row r="24" customFormat="false" ht="15" hidden="false" customHeight="false" outlineLevel="0" collapsed="false">
      <c r="A24" s="6" t="n">
        <v>117</v>
      </c>
      <c r="B24" s="6" t="s">
        <v>108</v>
      </c>
      <c r="C24" s="6" t="s">
        <v>108</v>
      </c>
      <c r="D24" s="6"/>
      <c r="E24" s="6" t="s">
        <v>70</v>
      </c>
      <c r="F24" s="12" t="n">
        <v>46236.9072106482</v>
      </c>
      <c r="G24" s="6" t="s">
        <v>78</v>
      </c>
      <c r="H24" s="6" t="n">
        <v>2</v>
      </c>
      <c r="I24" s="6" t="n">
        <v>3</v>
      </c>
      <c r="J24" s="6" t="n">
        <v>4</v>
      </c>
      <c r="K24" s="6" t="n">
        <v>2</v>
      </c>
      <c r="L24" s="6" t="n">
        <v>2</v>
      </c>
      <c r="M24" s="6" t="n">
        <v>4</v>
      </c>
      <c r="N24" s="6" t="s">
        <v>72</v>
      </c>
      <c r="O24" s="6" t="s">
        <v>73</v>
      </c>
      <c r="P24" s="6" t="n">
        <v>1</v>
      </c>
      <c r="Q24" s="6" t="n">
        <v>3</v>
      </c>
      <c r="R24" s="6" t="s">
        <v>94</v>
      </c>
      <c r="S24" s="6" t="s">
        <v>80</v>
      </c>
      <c r="T24" s="6" t="s">
        <v>80</v>
      </c>
      <c r="U24" s="6" t="s">
        <v>80</v>
      </c>
      <c r="V24" s="13"/>
      <c r="W24" s="13"/>
      <c r="X24" s="13"/>
      <c r="Y24" s="13"/>
      <c r="Z24" s="13"/>
      <c r="AA24" s="6" t="n">
        <v>39</v>
      </c>
      <c r="AB24" s="6" t="s">
        <v>73</v>
      </c>
      <c r="AC24" s="14" t="n">
        <f aca="false">IF(C24=C23,(F24-F23)*24,"")</f>
        <v>55.08</v>
      </c>
      <c r="AD24" s="13"/>
      <c r="AE24" s="6" t="n">
        <f aca="false">INDEX(Parameter!$C$3:$C$8,H24)</f>
        <v>66</v>
      </c>
      <c r="AF24" s="14" t="n">
        <f aca="false">IF(AND(N24="ganz",INDEX(Parameter!$D$3:$D$8,H24)&lt;&gt;""),Q24*INDEX(Parameter!$D$3:$D$8,H24),"")</f>
        <v>84.1</v>
      </c>
      <c r="AG24" s="14" t="n">
        <f aca="false">IF(AND(N24="ganz",INDEX(Parameter!$D$3:$D$8,H24)&lt;&gt;""),Q24*(INDEX(Parameter!$D$3:$D$8,H24)+INDEX(Parameter!$F$3:$F$8,H24)),"")</f>
        <v>110.75</v>
      </c>
      <c r="AH24" s="6" t="n">
        <f aca="false">IF(AND(N24="ganz",COUNTIFS($C$2:C24,C24,$H$2:H24,H24,$N$2:N24,"ganz")&lt;=2),1,0)</f>
        <v>1</v>
      </c>
      <c r="AI24" s="6" t="n">
        <f aca="false">IF(AND(N24="ganz",COUNTIFS($C$2:C24,C24,$J$2:J24,J24,$N$2:N24,"ganz")=1),1,0)</f>
        <v>1</v>
      </c>
      <c r="AJ24" s="6" t="n">
        <f aca="false">IF(AND(O24="ja",COUNTIFS($C$2:C24,C24,$H$2:H24,H24,$O$2:O24,"ja")&lt;=2),1,0)</f>
        <v>1</v>
      </c>
      <c r="AK24" s="6" t="n">
        <f aca="false">IF(AND(O24="ja",COUNTIFS($C$2:C24,C24,$J$2:J24,J24,$O$2:O24,"ja")=1),1,0)</f>
        <v>1</v>
      </c>
    </row>
    <row r="25" customFormat="false" ht="15" hidden="false" customHeight="false" outlineLevel="0" collapsed="false">
      <c r="A25" s="15" t="n">
        <v>144</v>
      </c>
      <c r="B25" s="15" t="s">
        <v>108</v>
      </c>
      <c r="C25" s="15" t="s">
        <v>108</v>
      </c>
      <c r="D25" s="15"/>
      <c r="E25" s="15" t="s">
        <v>70</v>
      </c>
      <c r="F25" s="16" t="n">
        <v>46242.8395601852</v>
      </c>
      <c r="G25" s="15" t="s">
        <v>97</v>
      </c>
      <c r="H25" s="15" t="n">
        <v>3</v>
      </c>
      <c r="I25" s="15" t="n">
        <v>3</v>
      </c>
      <c r="J25" s="15" t="n">
        <v>5</v>
      </c>
      <c r="K25" s="15" t="n">
        <v>3</v>
      </c>
      <c r="L25" s="15" t="n">
        <v>1</v>
      </c>
      <c r="M25" s="15" t="n">
        <v>5</v>
      </c>
      <c r="N25" s="15" t="s">
        <v>72</v>
      </c>
      <c r="O25" s="15" t="s">
        <v>73</v>
      </c>
      <c r="P25" s="15" t="n">
        <v>1</v>
      </c>
      <c r="Q25" s="15" t="n">
        <v>3</v>
      </c>
      <c r="R25" s="15" t="s">
        <v>94</v>
      </c>
      <c r="S25" s="15" t="s">
        <v>80</v>
      </c>
      <c r="T25" s="15" t="s">
        <v>80</v>
      </c>
      <c r="U25" s="15" t="s">
        <v>80</v>
      </c>
      <c r="V25" s="17"/>
      <c r="W25" s="17"/>
      <c r="X25" s="17"/>
      <c r="Y25" s="17"/>
      <c r="Z25" s="17"/>
      <c r="AA25" s="15" t="n">
        <v>59</v>
      </c>
      <c r="AB25" s="15"/>
      <c r="AC25" s="18" t="n">
        <f aca="false">IF(C25=C24,(F25-F24)*24,"")</f>
        <v>142.376388888889</v>
      </c>
      <c r="AD25" s="17"/>
      <c r="AE25" s="15" t="n">
        <f aca="false">INDEX(Parameter!$C$3:$C$8,H25)</f>
        <v>80</v>
      </c>
      <c r="AF25" s="18" t="n">
        <f aca="false">IF(AND(N25="ganz",INDEX(Parameter!$D$3:$D$8,H25)&lt;&gt;""),Q25*INDEX(Parameter!$D$3:$D$8,H25),"")</f>
        <v>72.85</v>
      </c>
      <c r="AG25" s="18" t="n">
        <f aca="false">IF(AND(N25="ganz",INDEX(Parameter!$D$3:$D$8,H25)&lt;&gt;""),Q25*(INDEX(Parameter!$D$3:$D$8,H25)+INDEX(Parameter!$F$3:$F$8,H25)),"")</f>
        <v>99.5</v>
      </c>
      <c r="AH25" s="15" t="n">
        <f aca="false">IF(AND(N25="ganz",COUNTIFS($C$2:C25,C25,$H$2:H25,H25,$N$2:N25,"ganz")&lt;=2),1,0)</f>
        <v>1</v>
      </c>
      <c r="AI25" s="15" t="n">
        <f aca="false">IF(AND(N25="ganz",COUNTIFS($C$2:C25,C25,$J$2:J25,J25,$N$2:N25,"ganz")=1),1,0)</f>
        <v>1</v>
      </c>
      <c r="AJ25" s="15" t="n">
        <f aca="false">IF(AND(O25="ja",COUNTIFS($C$2:C25,C25,$H$2:H25,H25,$O$2:O25,"ja")&lt;=2),1,0)</f>
        <v>1</v>
      </c>
      <c r="AK25" s="15" t="n">
        <f aca="false">IF(AND(O25="ja",COUNTIFS($C$2:C25,C25,$J$2:J25,J25,$O$2:O25,"ja")=1),1,0)</f>
        <v>1</v>
      </c>
    </row>
    <row r="26" customFormat="false" ht="15" hidden="false" customHeight="false" outlineLevel="0" collapsed="false">
      <c r="A26" s="6" t="n">
        <v>147</v>
      </c>
      <c r="B26" s="6" t="s">
        <v>108</v>
      </c>
      <c r="C26" s="6" t="s">
        <v>108</v>
      </c>
      <c r="D26" s="6"/>
      <c r="E26" s="6" t="s">
        <v>70</v>
      </c>
      <c r="F26" s="12" t="n">
        <v>46243.7452893519</v>
      </c>
      <c r="G26" s="6" t="s">
        <v>78</v>
      </c>
      <c r="H26" s="6" t="n">
        <v>3</v>
      </c>
      <c r="I26" s="6" t="n">
        <v>3</v>
      </c>
      <c r="J26" s="6" t="n">
        <v>6</v>
      </c>
      <c r="K26" s="6" t="n">
        <v>3</v>
      </c>
      <c r="L26" s="6" t="n">
        <v>2</v>
      </c>
      <c r="M26" s="6" t="n">
        <v>6</v>
      </c>
      <c r="N26" s="6" t="s">
        <v>72</v>
      </c>
      <c r="O26" s="6" t="s">
        <v>73</v>
      </c>
      <c r="P26" s="6" t="n">
        <v>1</v>
      </c>
      <c r="Q26" s="6" t="n">
        <v>2</v>
      </c>
      <c r="R26" s="6" t="s">
        <v>94</v>
      </c>
      <c r="S26" s="6" t="s">
        <v>80</v>
      </c>
      <c r="T26" s="6" t="s">
        <v>80</v>
      </c>
      <c r="U26" s="6" t="s">
        <v>80</v>
      </c>
      <c r="V26" s="13"/>
      <c r="W26" s="13"/>
      <c r="X26" s="13"/>
      <c r="Y26" s="13"/>
      <c r="Z26" s="13"/>
      <c r="AA26" s="6" t="n">
        <v>42</v>
      </c>
      <c r="AB26" s="6"/>
      <c r="AC26" s="14" t="n">
        <f aca="false">IF(C26=C25,(F26-F25)*24,"")</f>
        <v>21.7375</v>
      </c>
      <c r="AD26" s="13"/>
      <c r="AE26" s="6" t="n">
        <f aca="false">INDEX(Parameter!$C$3:$C$8,H26)</f>
        <v>80</v>
      </c>
      <c r="AF26" s="14" t="n">
        <f aca="false">IF(AND(N26="ganz",INDEX(Parameter!$D$3:$D$8,H26)&lt;&gt;""),Q26*INDEX(Parameter!$D$3:$D$8,H26),"")</f>
        <v>48.5666666666667</v>
      </c>
      <c r="AG26" s="14" t="n">
        <f aca="false">IF(AND(N26="ganz",INDEX(Parameter!$D$3:$D$8,H26)&lt;&gt;""),Q26*(INDEX(Parameter!$D$3:$D$8,H26)+INDEX(Parameter!$F$3:$F$8,H26)),"")</f>
        <v>66.3333333333333</v>
      </c>
      <c r="AH26" s="6" t="n">
        <f aca="false">IF(AND(N26="ganz",COUNTIFS($C$2:C26,C26,$H$2:H26,H26,$N$2:N26,"ganz")&lt;=2),1,0)</f>
        <v>1</v>
      </c>
      <c r="AI26" s="6" t="n">
        <f aca="false">IF(AND(N26="ganz",COUNTIFS($C$2:C26,C26,$J$2:J26,J26,$N$2:N26,"ganz")=1),1,0)</f>
        <v>1</v>
      </c>
      <c r="AJ26" s="6" t="n">
        <f aca="false">IF(AND(O26="ja",COUNTIFS($C$2:C26,C26,$H$2:H26,H26,$O$2:O26,"ja")&lt;=2),1,0)</f>
        <v>1</v>
      </c>
      <c r="AK26" s="6" t="n">
        <f aca="false">IF(AND(O26="ja",COUNTIFS($C$2:C26,C26,$J$2:J26,J26,$O$2:O26,"ja")=1),1,0)</f>
        <v>1</v>
      </c>
    </row>
    <row r="27" customFormat="false" ht="15" hidden="false" customHeight="false" outlineLevel="0" collapsed="false">
      <c r="A27" s="15" t="n">
        <v>181</v>
      </c>
      <c r="B27" s="15" t="s">
        <v>108</v>
      </c>
      <c r="C27" s="15" t="s">
        <v>108</v>
      </c>
      <c r="D27" s="15"/>
      <c r="E27" s="15" t="s">
        <v>70</v>
      </c>
      <c r="F27" s="16" t="n">
        <v>46249.7146643519</v>
      </c>
      <c r="G27" s="15" t="s">
        <v>97</v>
      </c>
      <c r="H27" s="15" t="n">
        <v>4</v>
      </c>
      <c r="I27" s="15" t="n">
        <v>4</v>
      </c>
      <c r="J27" s="15" t="n">
        <v>7</v>
      </c>
      <c r="K27" s="15" t="n">
        <v>4</v>
      </c>
      <c r="L27" s="15" t="n">
        <v>1</v>
      </c>
      <c r="M27" s="15" t="n">
        <v>7</v>
      </c>
      <c r="N27" s="15" t="s">
        <v>72</v>
      </c>
      <c r="O27" s="15" t="s">
        <v>73</v>
      </c>
      <c r="P27" s="15" t="n">
        <v>1</v>
      </c>
      <c r="Q27" s="15" t="n">
        <v>2</v>
      </c>
      <c r="R27" s="15" t="s">
        <v>94</v>
      </c>
      <c r="S27" s="15" t="s">
        <v>80</v>
      </c>
      <c r="T27" s="15" t="s">
        <v>80</v>
      </c>
      <c r="U27" s="15" t="s">
        <v>80</v>
      </c>
      <c r="V27" s="17"/>
      <c r="W27" s="17"/>
      <c r="X27" s="17"/>
      <c r="Y27" s="17"/>
      <c r="Z27" s="17"/>
      <c r="AA27" s="15" t="n">
        <v>38</v>
      </c>
      <c r="AB27" s="15"/>
      <c r="AC27" s="18" t="n">
        <f aca="false">IF(C27=C26,(F27-F26)*24,"")</f>
        <v>143.265</v>
      </c>
      <c r="AD27" s="17"/>
      <c r="AE27" s="15" t="n">
        <f aca="false">INDEX(Parameter!$C$3:$C$8,H27)</f>
        <v>96</v>
      </c>
      <c r="AF27" s="18" t="n">
        <f aca="false">IF(AND(N27="ganz",INDEX(Parameter!$D$3:$D$8,H27)&lt;&gt;""),Q27*INDEX(Parameter!$D$3:$D$8,H27),"")</f>
        <v>51.8333333333333</v>
      </c>
      <c r="AG27" s="18" t="n">
        <f aca="false">IF(AND(N27="ganz",INDEX(Parameter!$D$3:$D$8,H27)&lt;&gt;""),Q27*(INDEX(Parameter!$D$3:$D$8,H27)+INDEX(Parameter!$F$3:$F$8,H27)),"")</f>
        <v>69.6</v>
      </c>
      <c r="AH27" s="15" t="n">
        <f aca="false">IF(AND(N27="ganz",COUNTIFS($C$2:C27,C27,$H$2:H27,H27,$N$2:N27,"ganz")&lt;=2),1,0)</f>
        <v>1</v>
      </c>
      <c r="AI27" s="15" t="n">
        <f aca="false">IF(AND(N27="ganz",COUNTIFS($C$2:C27,C27,$J$2:J27,J27,$N$2:N27,"ganz")=1),1,0)</f>
        <v>1</v>
      </c>
      <c r="AJ27" s="15" t="n">
        <f aca="false">IF(AND(O27="ja",COUNTIFS($C$2:C27,C27,$H$2:H27,H27,$O$2:O27,"ja")&lt;=2),1,0)</f>
        <v>1</v>
      </c>
      <c r="AK27" s="15" t="n">
        <f aca="false">IF(AND(O27="ja",COUNTIFS($C$2:C27,C27,$J$2:J27,J27,$O$2:O27,"ja")=1),1,0)</f>
        <v>1</v>
      </c>
    </row>
    <row r="28" customFormat="false" ht="15" hidden="false" customHeight="false" outlineLevel="0" collapsed="false">
      <c r="A28" s="6" t="n">
        <v>198</v>
      </c>
      <c r="B28" s="6" t="s">
        <v>108</v>
      </c>
      <c r="C28" s="6" t="s">
        <v>108</v>
      </c>
      <c r="D28" s="6"/>
      <c r="E28" s="6" t="s">
        <v>70</v>
      </c>
      <c r="F28" s="12" t="n">
        <v>46250.8428703704</v>
      </c>
      <c r="G28" s="6" t="s">
        <v>78</v>
      </c>
      <c r="H28" s="6" t="n">
        <v>4</v>
      </c>
      <c r="I28" s="6" t="n">
        <v>5</v>
      </c>
      <c r="J28" s="6" t="n">
        <v>8</v>
      </c>
      <c r="K28" s="6" t="n">
        <v>4</v>
      </c>
      <c r="L28" s="6" t="n">
        <v>2</v>
      </c>
      <c r="M28" s="6" t="n">
        <v>8</v>
      </c>
      <c r="N28" s="6" t="s">
        <v>72</v>
      </c>
      <c r="O28" s="6" t="s">
        <v>73</v>
      </c>
      <c r="P28" s="6" t="n">
        <v>1</v>
      </c>
      <c r="Q28" s="6" t="n">
        <v>3</v>
      </c>
      <c r="R28" s="6" t="s">
        <v>94</v>
      </c>
      <c r="S28" s="6" t="s">
        <v>80</v>
      </c>
      <c r="T28" s="6" t="s">
        <v>80</v>
      </c>
      <c r="U28" s="6" t="s">
        <v>80</v>
      </c>
      <c r="V28" s="13"/>
      <c r="W28" s="13"/>
      <c r="X28" s="13"/>
      <c r="Y28" s="13"/>
      <c r="Z28" s="13"/>
      <c r="AA28" s="6" t="n">
        <v>39</v>
      </c>
      <c r="AB28" s="6" t="s">
        <v>73</v>
      </c>
      <c r="AC28" s="14" t="n">
        <f aca="false">IF(C28=C27,(F28-F27)*24,"")</f>
        <v>27.0769444444444</v>
      </c>
      <c r="AD28" s="13"/>
      <c r="AE28" s="6" t="n">
        <f aca="false">INDEX(Parameter!$C$3:$C$8,H28)</f>
        <v>96</v>
      </c>
      <c r="AF28" s="14" t="n">
        <f aca="false">IF(AND(N28="ganz",INDEX(Parameter!$D$3:$D$8,H28)&lt;&gt;""),Q28*INDEX(Parameter!$D$3:$D$8,H28),"")</f>
        <v>77.75</v>
      </c>
      <c r="AG28" s="14" t="n">
        <f aca="false">IF(AND(N28="ganz",INDEX(Parameter!$D$3:$D$8,H28)&lt;&gt;""),Q28*(INDEX(Parameter!$D$3:$D$8,H28)+INDEX(Parameter!$F$3:$F$8,H28)),"")</f>
        <v>104.4</v>
      </c>
      <c r="AH28" s="6" t="n">
        <f aca="false">IF(AND(N28="ganz",COUNTIFS($C$2:C28,C28,$H$2:H28,H28,$N$2:N28,"ganz")&lt;=2),1,0)</f>
        <v>1</v>
      </c>
      <c r="AI28" s="6" t="n">
        <f aca="false">IF(AND(N28="ganz",COUNTIFS($C$2:C28,C28,$J$2:J28,J28,$N$2:N28,"ganz")=1),1,0)</f>
        <v>1</v>
      </c>
      <c r="AJ28" s="6" t="n">
        <f aca="false">IF(AND(O28="ja",COUNTIFS($C$2:C28,C28,$H$2:H28,H28,$O$2:O28,"ja")&lt;=2),1,0)</f>
        <v>1</v>
      </c>
      <c r="AK28" s="6" t="n">
        <f aca="false">IF(AND(O28="ja",COUNTIFS($C$2:C28,C28,$J$2:J28,J28,$O$2:O28,"ja")=1),1,0)</f>
        <v>1</v>
      </c>
    </row>
    <row r="29" customFormat="false" ht="15" hidden="false" customHeight="false" outlineLevel="0" collapsed="false">
      <c r="A29" s="15" t="n">
        <v>59</v>
      </c>
      <c r="B29" s="15" t="s">
        <v>111</v>
      </c>
      <c r="C29" s="15" t="s">
        <v>112</v>
      </c>
      <c r="D29" s="15" t="s">
        <v>73</v>
      </c>
      <c r="E29" s="15" t="s">
        <v>70</v>
      </c>
      <c r="F29" s="16" t="n">
        <v>46228.7317361111</v>
      </c>
      <c r="G29" s="15" t="s">
        <v>97</v>
      </c>
      <c r="H29" s="15" t="n">
        <v>1</v>
      </c>
      <c r="I29" s="15" t="n">
        <v>1</v>
      </c>
      <c r="J29" s="15" t="n">
        <v>1</v>
      </c>
      <c r="K29" s="15" t="n">
        <v>1</v>
      </c>
      <c r="L29" s="15" t="n">
        <v>1</v>
      </c>
      <c r="M29" s="15" t="n">
        <v>1</v>
      </c>
      <c r="N29" s="15" t="s">
        <v>72</v>
      </c>
      <c r="O29" s="15" t="s">
        <v>73</v>
      </c>
      <c r="P29" s="15" t="n">
        <v>1</v>
      </c>
      <c r="Q29" s="15" t="n">
        <v>3</v>
      </c>
      <c r="R29" s="15" t="s">
        <v>94</v>
      </c>
      <c r="S29" s="15" t="s">
        <v>80</v>
      </c>
      <c r="T29" s="15" t="s">
        <v>80</v>
      </c>
      <c r="U29" s="15" t="s">
        <v>80</v>
      </c>
      <c r="V29" s="17"/>
      <c r="W29" s="17"/>
      <c r="X29" s="17"/>
      <c r="Y29" s="17"/>
      <c r="Z29" s="17"/>
      <c r="AA29" s="15" t="n">
        <v>54</v>
      </c>
      <c r="AB29" s="15"/>
      <c r="AC29" s="18" t="str">
        <f aca="false">IF(C29=C28,(F29-F28)*24,"")</f>
        <v/>
      </c>
      <c r="AD29" s="17"/>
      <c r="AE29" s="15" t="n">
        <f aca="false">INDEX(Parameter!$C$3:$C$8,H29)</f>
        <v>52</v>
      </c>
      <c r="AF29" s="18" t="n">
        <f aca="false">IF(AND(N29="ganz",INDEX(Parameter!$D$3:$D$8,H29)&lt;&gt;""),Q29*INDEX(Parameter!$D$3:$D$8,H29),"")</f>
        <v>84.8</v>
      </c>
      <c r="AG29" s="18" t="n">
        <f aca="false">IF(AND(N29="ganz",INDEX(Parameter!$D$3:$D$8,H29)&lt;&gt;""),Q29*(INDEX(Parameter!$D$3:$D$8,H29)+INDEX(Parameter!$F$3:$F$8,H29)),"")</f>
        <v>111.45</v>
      </c>
      <c r="AH29" s="15" t="n">
        <f aca="false">IF(AND(N29="ganz",COUNTIFS($C$2:C29,C29,$H$2:H29,H29,$N$2:N29,"ganz")&lt;=2),1,0)</f>
        <v>1</v>
      </c>
      <c r="AI29" s="15" t="n">
        <f aca="false">IF(AND(N29="ganz",COUNTIFS($C$2:C29,C29,$J$2:J29,J29,$N$2:N29,"ganz")=1),1,0)</f>
        <v>1</v>
      </c>
      <c r="AJ29" s="15" t="n">
        <f aca="false">IF(AND(O29="ja",COUNTIFS($C$2:C29,C29,$H$2:H29,H29,$O$2:O29,"ja")&lt;=2),1,0)</f>
        <v>1</v>
      </c>
      <c r="AK29" s="15" t="n">
        <f aca="false">IF(AND(O29="ja",COUNTIFS($C$2:C29,C29,$J$2:J29,J29,$O$2:O29,"ja")=1),1,0)</f>
        <v>1</v>
      </c>
    </row>
    <row r="30" customFormat="false" ht="15" hidden="false" customHeight="false" outlineLevel="0" collapsed="false">
      <c r="A30" s="6" t="n">
        <v>70</v>
      </c>
      <c r="B30" s="6" t="s">
        <v>111</v>
      </c>
      <c r="C30" s="6" t="s">
        <v>112</v>
      </c>
      <c r="D30" s="6" t="s">
        <v>73</v>
      </c>
      <c r="E30" s="6" t="s">
        <v>70</v>
      </c>
      <c r="F30" s="12" t="n">
        <v>46229.8484143519</v>
      </c>
      <c r="G30" s="6" t="s">
        <v>78</v>
      </c>
      <c r="H30" s="6" t="n">
        <v>1</v>
      </c>
      <c r="I30" s="6" t="n">
        <v>2</v>
      </c>
      <c r="J30" s="6" t="n">
        <v>2</v>
      </c>
      <c r="K30" s="6" t="n">
        <v>1</v>
      </c>
      <c r="L30" s="6" t="n">
        <v>2</v>
      </c>
      <c r="M30" s="6" t="n">
        <v>2</v>
      </c>
      <c r="N30" s="6" t="s">
        <v>98</v>
      </c>
      <c r="O30" s="6" t="s">
        <v>73</v>
      </c>
      <c r="P30" s="6" t="n">
        <v>0</v>
      </c>
      <c r="Q30" s="6" t="n">
        <v>7</v>
      </c>
      <c r="R30" s="6" t="s">
        <v>94</v>
      </c>
      <c r="S30" s="6" t="s">
        <v>73</v>
      </c>
      <c r="T30" s="6" t="s">
        <v>80</v>
      </c>
      <c r="U30" s="6" t="s">
        <v>80</v>
      </c>
      <c r="V30" s="13" t="s">
        <v>113</v>
      </c>
      <c r="W30" s="13"/>
      <c r="X30" s="13" t="s">
        <v>114</v>
      </c>
      <c r="Y30" s="13"/>
      <c r="Z30" s="13"/>
      <c r="AA30" s="6" t="n">
        <v>53</v>
      </c>
      <c r="AB30" s="6" t="s">
        <v>73</v>
      </c>
      <c r="AC30" s="14" t="n">
        <f aca="false">IF(C30=C29,(F30-F29)*24,"")</f>
        <v>26.8002777777778</v>
      </c>
      <c r="AD30" s="13"/>
      <c r="AE30" s="6" t="n">
        <f aca="false">INDEX(Parameter!$C$3:$C$8,H30)</f>
        <v>52</v>
      </c>
      <c r="AF30" s="14" t="str">
        <f aca="false">IF(AND(N30="ganz",INDEX(Parameter!$D$3:$D$8,H30)&lt;&gt;""),Q30*INDEX(Parameter!$D$3:$D$8,H30),"")</f>
        <v/>
      </c>
      <c r="AG30" s="14" t="str">
        <f aca="false">IF(AND(N30="ganz",INDEX(Parameter!$D$3:$D$8,H30)&lt;&gt;""),Q30*(INDEX(Parameter!$D$3:$D$8,H30)+INDEX(Parameter!$F$3:$F$8,H30)),"")</f>
        <v/>
      </c>
      <c r="AH30" s="6" t="n">
        <f aca="false">IF(AND(N30="ganz",COUNTIFS($C$2:C30,C30,$H$2:H30,H30,$N$2:N30,"ganz")&lt;=2),1,0)</f>
        <v>0</v>
      </c>
      <c r="AI30" s="6" t="n">
        <f aca="false">IF(AND(N30="ganz",COUNTIFS($C$2:C30,C30,$J$2:J30,J30,$N$2:N30,"ganz")=1),1,0)</f>
        <v>0</v>
      </c>
      <c r="AJ30" s="6" t="n">
        <f aca="false">IF(AND(O30="ja",COUNTIFS($C$2:C30,C30,$H$2:H30,H30,$O$2:O30,"ja")&lt;=2),1,0)</f>
        <v>1</v>
      </c>
      <c r="AK30" s="6" t="n">
        <f aca="false">IF(AND(O30="ja",COUNTIFS($C$2:C30,C30,$J$2:J30,J30,$O$2:O30,"ja")=1),1,0)</f>
        <v>1</v>
      </c>
    </row>
    <row r="31" customFormat="false" ht="15" hidden="false" customHeight="false" outlineLevel="0" collapsed="false">
      <c r="A31" s="15" t="n">
        <v>101</v>
      </c>
      <c r="B31" s="15" t="s">
        <v>112</v>
      </c>
      <c r="C31" s="15" t="s">
        <v>112</v>
      </c>
      <c r="D31" s="15"/>
      <c r="E31" s="15" t="s">
        <v>70</v>
      </c>
      <c r="F31" s="16" t="n">
        <v>46235.9368055556</v>
      </c>
      <c r="G31" s="15" t="s">
        <v>97</v>
      </c>
      <c r="H31" s="15" t="n">
        <v>2</v>
      </c>
      <c r="I31" s="15" t="n">
        <v>2</v>
      </c>
      <c r="J31" s="15" t="n">
        <v>3</v>
      </c>
      <c r="K31" s="15" t="n">
        <v>2</v>
      </c>
      <c r="L31" s="15" t="n">
        <v>1</v>
      </c>
      <c r="M31" s="15" t="n">
        <v>3</v>
      </c>
      <c r="N31" s="15" t="s">
        <v>98</v>
      </c>
      <c r="O31" s="15" t="s">
        <v>73</v>
      </c>
      <c r="P31" s="15" t="n">
        <v>0</v>
      </c>
      <c r="Q31" s="15" t="n">
        <v>4</v>
      </c>
      <c r="R31" s="15" t="s">
        <v>85</v>
      </c>
      <c r="S31" s="15" t="s">
        <v>80</v>
      </c>
      <c r="T31" s="15" t="s">
        <v>80</v>
      </c>
      <c r="U31" s="15" t="s">
        <v>73</v>
      </c>
      <c r="V31" s="17" t="s">
        <v>115</v>
      </c>
      <c r="W31" s="17"/>
      <c r="X31" s="17"/>
      <c r="Y31" s="17"/>
      <c r="Z31" s="17" t="s">
        <v>116</v>
      </c>
      <c r="AA31" s="15" t="n">
        <v>44</v>
      </c>
      <c r="AB31" s="15"/>
      <c r="AC31" s="18" t="n">
        <f aca="false">IF(C31=C30,(F31-F30)*24,"")</f>
        <v>146.121388888889</v>
      </c>
      <c r="AD31" s="17"/>
      <c r="AE31" s="15" t="n">
        <f aca="false">INDEX(Parameter!$C$3:$C$8,H31)</f>
        <v>66</v>
      </c>
      <c r="AF31" s="18" t="str">
        <f aca="false">IF(AND(N31="ganz",INDEX(Parameter!$D$3:$D$8,H31)&lt;&gt;""),Q31*INDEX(Parameter!$D$3:$D$8,H31),"")</f>
        <v/>
      </c>
      <c r="AG31" s="18" t="str">
        <f aca="false">IF(AND(N31="ganz",INDEX(Parameter!$D$3:$D$8,H31)&lt;&gt;""),Q31*(INDEX(Parameter!$D$3:$D$8,H31)+INDEX(Parameter!$F$3:$F$8,H31)),"")</f>
        <v/>
      </c>
      <c r="AH31" s="15" t="n">
        <f aca="false">IF(AND(N31="ganz",COUNTIFS($C$2:C31,C31,$H$2:H31,H31,$N$2:N31,"ganz")&lt;=2),1,0)</f>
        <v>0</v>
      </c>
      <c r="AI31" s="15" t="n">
        <f aca="false">IF(AND(N31="ganz",COUNTIFS($C$2:C31,C31,$J$2:J31,J31,$N$2:N31,"ganz")=1),1,0)</f>
        <v>0</v>
      </c>
      <c r="AJ31" s="15" t="n">
        <f aca="false">IF(AND(O31="ja",COUNTIFS($C$2:C31,C31,$H$2:H31,H31,$O$2:O31,"ja")&lt;=2),1,0)</f>
        <v>1</v>
      </c>
      <c r="AK31" s="15" t="n">
        <f aca="false">IF(AND(O31="ja",COUNTIFS($C$2:C31,C31,$J$2:J31,J31,$O$2:O31,"ja")=1),1,0)</f>
        <v>1</v>
      </c>
    </row>
    <row r="32" customFormat="false" ht="15" hidden="false" customHeight="false" outlineLevel="0" collapsed="false">
      <c r="A32" s="6" t="n">
        <v>116</v>
      </c>
      <c r="B32" s="6" t="s">
        <v>112</v>
      </c>
      <c r="C32" s="6" t="s">
        <v>112</v>
      </c>
      <c r="D32" s="6"/>
      <c r="E32" s="6" t="s">
        <v>70</v>
      </c>
      <c r="F32" s="12" t="n">
        <v>46236.8791203704</v>
      </c>
      <c r="G32" s="6" t="s">
        <v>78</v>
      </c>
      <c r="H32" s="6" t="n">
        <v>2</v>
      </c>
      <c r="I32" s="6" t="n">
        <v>3</v>
      </c>
      <c r="J32" s="6" t="n">
        <v>4</v>
      </c>
      <c r="K32" s="6" t="n">
        <v>2</v>
      </c>
      <c r="L32" s="6" t="n">
        <v>2</v>
      </c>
      <c r="M32" s="6"/>
      <c r="N32" s="6" t="s">
        <v>109</v>
      </c>
      <c r="O32" s="6" t="s">
        <v>80</v>
      </c>
      <c r="P32" s="6" t="n">
        <v>0</v>
      </c>
      <c r="Q32" s="6" t="n">
        <v>0</v>
      </c>
      <c r="R32" s="6" t="s">
        <v>79</v>
      </c>
      <c r="S32" s="6" t="s">
        <v>73</v>
      </c>
      <c r="T32" s="6" t="s">
        <v>80</v>
      </c>
      <c r="U32" s="6" t="s">
        <v>73</v>
      </c>
      <c r="V32" s="13"/>
      <c r="W32" s="13" t="s">
        <v>117</v>
      </c>
      <c r="X32" s="13" t="s">
        <v>118</v>
      </c>
      <c r="Y32" s="13"/>
      <c r="Z32" s="13" t="s">
        <v>119</v>
      </c>
      <c r="AA32" s="6" t="n">
        <v>43</v>
      </c>
      <c r="AB32" s="6" t="s">
        <v>73</v>
      </c>
      <c r="AC32" s="14" t="n">
        <f aca="false">IF(C32=C31,(F32-F31)*24,"")</f>
        <v>22.6155555555556</v>
      </c>
      <c r="AD32" s="13"/>
      <c r="AE32" s="6" t="n">
        <f aca="false">INDEX(Parameter!$C$3:$C$8,H32)</f>
        <v>66</v>
      </c>
      <c r="AF32" s="14" t="str">
        <f aca="false">IF(AND(N32="ganz",INDEX(Parameter!$D$3:$D$8,H32)&lt;&gt;""),Q32*INDEX(Parameter!$D$3:$D$8,H32),"")</f>
        <v/>
      </c>
      <c r="AG32" s="14" t="str">
        <f aca="false">IF(AND(N32="ganz",INDEX(Parameter!$D$3:$D$8,H32)&lt;&gt;""),Q32*(INDEX(Parameter!$D$3:$D$8,H32)+INDEX(Parameter!$F$3:$F$8,H32)),"")</f>
        <v/>
      </c>
      <c r="AH32" s="6" t="n">
        <f aca="false">IF(AND(N32="ganz",COUNTIFS($C$2:C32,C32,$H$2:H32,H32,$N$2:N32,"ganz")&lt;=2),1,0)</f>
        <v>0</v>
      </c>
      <c r="AI32" s="6" t="n">
        <f aca="false">IF(AND(N32="ganz",COUNTIFS($C$2:C32,C32,$J$2:J32,J32,$N$2:N32,"ganz")=1),1,0)</f>
        <v>0</v>
      </c>
      <c r="AJ32" s="6" t="n">
        <f aca="false">IF(AND(O32="ja",COUNTIFS($C$2:C32,C32,$H$2:H32,H32,$O$2:O32,"ja")&lt;=2),1,0)</f>
        <v>0</v>
      </c>
      <c r="AK32" s="6" t="n">
        <f aca="false">IF(AND(O32="ja",COUNTIFS($C$2:C32,C32,$J$2:J32,J32,$O$2:O32,"ja")=1),1,0)</f>
        <v>0</v>
      </c>
    </row>
    <row r="33" customFormat="false" ht="15" hidden="false" customHeight="false" outlineLevel="0" collapsed="false">
      <c r="A33" s="15" t="n">
        <v>187</v>
      </c>
      <c r="B33" s="15" t="s">
        <v>112</v>
      </c>
      <c r="C33" s="15" t="s">
        <v>112</v>
      </c>
      <c r="D33" s="15"/>
      <c r="E33" s="15" t="s">
        <v>70</v>
      </c>
      <c r="F33" s="16" t="n">
        <v>46250.5653240741</v>
      </c>
      <c r="G33" s="15" t="s">
        <v>78</v>
      </c>
      <c r="H33" s="15" t="n">
        <v>4</v>
      </c>
      <c r="I33" s="15" t="n">
        <v>4</v>
      </c>
      <c r="J33" s="15" t="n">
        <v>7</v>
      </c>
      <c r="K33" s="15" t="n">
        <v>4</v>
      </c>
      <c r="L33" s="15" t="n">
        <v>1</v>
      </c>
      <c r="M33" s="15" t="n">
        <v>7</v>
      </c>
      <c r="N33" s="15" t="s">
        <v>72</v>
      </c>
      <c r="O33" s="15" t="s">
        <v>73</v>
      </c>
      <c r="P33" s="15" t="n">
        <v>1</v>
      </c>
      <c r="Q33" s="15" t="n">
        <v>4</v>
      </c>
      <c r="R33" s="15" t="s">
        <v>94</v>
      </c>
      <c r="S33" s="15" t="s">
        <v>80</v>
      </c>
      <c r="T33" s="15" t="s">
        <v>73</v>
      </c>
      <c r="U33" s="15" t="s">
        <v>73</v>
      </c>
      <c r="V33" s="17"/>
      <c r="W33" s="17"/>
      <c r="X33" s="17"/>
      <c r="Y33" s="17" t="s">
        <v>120</v>
      </c>
      <c r="Z33" s="17" t="s">
        <v>121</v>
      </c>
      <c r="AA33" s="15" t="n">
        <v>52</v>
      </c>
      <c r="AB33" s="15"/>
      <c r="AC33" s="18" t="n">
        <f aca="false">IF(C33=C32,(F33-F32)*24,"")</f>
        <v>328.468888888889</v>
      </c>
      <c r="AD33" s="17"/>
      <c r="AE33" s="15" t="n">
        <f aca="false">INDEX(Parameter!$C$3:$C$8,H33)</f>
        <v>96</v>
      </c>
      <c r="AF33" s="18" t="n">
        <f aca="false">IF(AND(N33="ganz",INDEX(Parameter!$D$3:$D$8,H33)&lt;&gt;""),Q33*INDEX(Parameter!$D$3:$D$8,H33),"")</f>
        <v>103.666666666667</v>
      </c>
      <c r="AG33" s="18" t="n">
        <f aca="false">IF(AND(N33="ganz",INDEX(Parameter!$D$3:$D$8,H33)&lt;&gt;""),Q33*(INDEX(Parameter!$D$3:$D$8,H33)+INDEX(Parameter!$F$3:$F$8,H33)),"")</f>
        <v>139.2</v>
      </c>
      <c r="AH33" s="15" t="n">
        <f aca="false">IF(AND(N33="ganz",COUNTIFS($C$2:C33,C33,$H$2:H33,H33,$N$2:N33,"ganz")&lt;=2),1,0)</f>
        <v>1</v>
      </c>
      <c r="AI33" s="15" t="n">
        <f aca="false">IF(AND(N33="ganz",COUNTIFS($C$2:C33,C33,$J$2:J33,J33,$N$2:N33,"ganz")=1),1,0)</f>
        <v>1</v>
      </c>
      <c r="AJ33" s="15" t="n">
        <f aca="false">IF(AND(O33="ja",COUNTIFS($C$2:C33,C33,$H$2:H33,H33,$O$2:O33,"ja")&lt;=2),1,0)</f>
        <v>1</v>
      </c>
      <c r="AK33" s="15" t="n">
        <f aca="false">IF(AND(O33="ja",COUNTIFS($C$2:C33,C33,$J$2:J33,J33,$O$2:O33,"ja")=1),1,0)</f>
        <v>1</v>
      </c>
    </row>
    <row r="34" customFormat="false" ht="15" hidden="false" customHeight="false" outlineLevel="0" collapsed="false">
      <c r="A34" s="6" t="n">
        <v>39</v>
      </c>
      <c r="B34" s="6" t="s">
        <v>122</v>
      </c>
      <c r="C34" s="6" t="s">
        <v>122</v>
      </c>
      <c r="D34" s="6"/>
      <c r="E34" s="6" t="s">
        <v>70</v>
      </c>
      <c r="F34" s="12" t="n">
        <v>46226.876712963</v>
      </c>
      <c r="G34" s="6" t="s">
        <v>87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1</v>
      </c>
      <c r="N34" s="6" t="s">
        <v>72</v>
      </c>
      <c r="O34" s="6" t="s">
        <v>73</v>
      </c>
      <c r="P34" s="6" t="n">
        <v>1</v>
      </c>
      <c r="Q34" s="6" t="n">
        <v>2</v>
      </c>
      <c r="R34" s="6" t="s">
        <v>94</v>
      </c>
      <c r="S34" s="6" t="s">
        <v>80</v>
      </c>
      <c r="T34" s="6" t="s">
        <v>73</v>
      </c>
      <c r="U34" s="6" t="s">
        <v>80</v>
      </c>
      <c r="V34" s="13"/>
      <c r="W34" s="13"/>
      <c r="X34" s="13"/>
      <c r="Y34" s="13" t="s">
        <v>123</v>
      </c>
      <c r="Z34" s="13"/>
      <c r="AA34" s="6" t="n">
        <v>52</v>
      </c>
      <c r="AB34" s="6"/>
      <c r="AC34" s="14" t="str">
        <f aca="false">IF(C34=C33,(F34-F33)*24,"")</f>
        <v/>
      </c>
      <c r="AD34" s="13"/>
      <c r="AE34" s="6" t="n">
        <f aca="false">INDEX(Parameter!$C$3:$C$8,H34)</f>
        <v>52</v>
      </c>
      <c r="AF34" s="14" t="n">
        <f aca="false">IF(AND(N34="ganz",INDEX(Parameter!$D$3:$D$8,H34)&lt;&gt;""),Q34*INDEX(Parameter!$D$3:$D$8,H34),"")</f>
        <v>56.5333333333333</v>
      </c>
      <c r="AG34" s="14" t="n">
        <f aca="false">IF(AND(N34="ganz",INDEX(Parameter!$D$3:$D$8,H34)&lt;&gt;""),Q34*(INDEX(Parameter!$D$3:$D$8,H34)+INDEX(Parameter!$F$3:$F$8,H34)),"")</f>
        <v>74.3</v>
      </c>
      <c r="AH34" s="6" t="n">
        <f aca="false">IF(AND(N34="ganz",COUNTIFS($C$2:C34,C34,$H$2:H34,H34,$N$2:N34,"ganz")&lt;=2),1,0)</f>
        <v>1</v>
      </c>
      <c r="AI34" s="6" t="n">
        <f aca="false">IF(AND(N34="ganz",COUNTIFS($C$2:C34,C34,$J$2:J34,J34,$N$2:N34,"ganz")=1),1,0)</f>
        <v>1</v>
      </c>
      <c r="AJ34" s="6" t="n">
        <f aca="false">IF(AND(O34="ja",COUNTIFS($C$2:C34,C34,$H$2:H34,H34,$O$2:O34,"ja")&lt;=2),1,0)</f>
        <v>1</v>
      </c>
      <c r="AK34" s="6" t="n">
        <f aca="false">IF(AND(O34="ja",COUNTIFS($C$2:C34,C34,$J$2:J34,J34,$O$2:O34,"ja")=1),1,0)</f>
        <v>1</v>
      </c>
    </row>
    <row r="35" customFormat="false" ht="15" hidden="false" customHeight="false" outlineLevel="0" collapsed="false">
      <c r="A35" s="15" t="n">
        <v>48</v>
      </c>
      <c r="B35" s="15" t="s">
        <v>122</v>
      </c>
      <c r="C35" s="15" t="s">
        <v>122</v>
      </c>
      <c r="D35" s="15"/>
      <c r="E35" s="15" t="s">
        <v>70</v>
      </c>
      <c r="F35" s="16" t="n">
        <v>46227.7603240741</v>
      </c>
      <c r="G35" s="15" t="s">
        <v>71</v>
      </c>
      <c r="H35" s="15" t="n">
        <v>1</v>
      </c>
      <c r="I35" s="15" t="n">
        <v>1</v>
      </c>
      <c r="J35" s="15" t="n">
        <v>2</v>
      </c>
      <c r="K35" s="15" t="n">
        <v>1</v>
      </c>
      <c r="L35" s="15" t="n">
        <v>2</v>
      </c>
      <c r="M35" s="15" t="n">
        <v>2</v>
      </c>
      <c r="N35" s="15" t="s">
        <v>72</v>
      </c>
      <c r="O35" s="15" t="s">
        <v>73</v>
      </c>
      <c r="P35" s="15" t="n">
        <v>1</v>
      </c>
      <c r="Q35" s="15" t="n">
        <v>3</v>
      </c>
      <c r="R35" s="15" t="s">
        <v>94</v>
      </c>
      <c r="S35" s="15" t="s">
        <v>80</v>
      </c>
      <c r="T35" s="15" t="s">
        <v>80</v>
      </c>
      <c r="U35" s="15" t="s">
        <v>73</v>
      </c>
      <c r="V35" s="17"/>
      <c r="W35" s="17"/>
      <c r="X35" s="17"/>
      <c r="Y35" s="17"/>
      <c r="Z35" s="17" t="s">
        <v>124</v>
      </c>
      <c r="AA35" s="15" t="n">
        <v>51</v>
      </c>
      <c r="AB35" s="15"/>
      <c r="AC35" s="18" t="n">
        <f aca="false">IF(C35=C34,(F35-F34)*24,"")</f>
        <v>21.2066666666667</v>
      </c>
      <c r="AD35" s="17"/>
      <c r="AE35" s="15" t="n">
        <f aca="false">INDEX(Parameter!$C$3:$C$8,H35)</f>
        <v>52</v>
      </c>
      <c r="AF35" s="18" t="n">
        <f aca="false">IF(AND(N35="ganz",INDEX(Parameter!$D$3:$D$8,H35)&lt;&gt;""),Q35*INDEX(Parameter!$D$3:$D$8,H35),"")</f>
        <v>84.8</v>
      </c>
      <c r="AG35" s="18" t="n">
        <f aca="false">IF(AND(N35="ganz",INDEX(Parameter!$D$3:$D$8,H35)&lt;&gt;""),Q35*(INDEX(Parameter!$D$3:$D$8,H35)+INDEX(Parameter!$F$3:$F$8,H35)),"")</f>
        <v>111.45</v>
      </c>
      <c r="AH35" s="15" t="n">
        <f aca="false">IF(AND(N35="ganz",COUNTIFS($C$2:C35,C35,$H$2:H35,H35,$N$2:N35,"ganz")&lt;=2),1,0)</f>
        <v>1</v>
      </c>
      <c r="AI35" s="15" t="n">
        <f aca="false">IF(AND(N35="ganz",COUNTIFS($C$2:C35,C35,$J$2:J35,J35,$N$2:N35,"ganz")=1),1,0)</f>
        <v>1</v>
      </c>
      <c r="AJ35" s="15" t="n">
        <f aca="false">IF(AND(O35="ja",COUNTIFS($C$2:C35,C35,$H$2:H35,H35,$O$2:O35,"ja")&lt;=2),1,0)</f>
        <v>1</v>
      </c>
      <c r="AK35" s="15" t="n">
        <f aca="false">IF(AND(O35="ja",COUNTIFS($C$2:C35,C35,$J$2:J35,J35,$O$2:O35,"ja")=1),1,0)</f>
        <v>1</v>
      </c>
    </row>
    <row r="36" customFormat="false" ht="15" hidden="false" customHeight="false" outlineLevel="0" collapsed="false">
      <c r="A36" s="6" t="n">
        <v>188</v>
      </c>
      <c r="B36" s="6" t="s">
        <v>122</v>
      </c>
      <c r="C36" s="6" t="s">
        <v>122</v>
      </c>
      <c r="D36" s="6"/>
      <c r="E36" s="6" t="s">
        <v>70</v>
      </c>
      <c r="F36" s="12" t="n">
        <v>46250.5669444444</v>
      </c>
      <c r="G36" s="6" t="s">
        <v>78</v>
      </c>
      <c r="H36" s="6" t="n">
        <v>4</v>
      </c>
      <c r="I36" s="6" t="n">
        <v>4</v>
      </c>
      <c r="J36" s="6" t="n">
        <v>7</v>
      </c>
      <c r="K36" s="6" t="n">
        <v>4</v>
      </c>
      <c r="L36" s="6" t="n">
        <v>1</v>
      </c>
      <c r="M36" s="6" t="n">
        <v>7</v>
      </c>
      <c r="N36" s="6" t="s">
        <v>72</v>
      </c>
      <c r="O36" s="6" t="s">
        <v>73</v>
      </c>
      <c r="P36" s="6" t="n">
        <v>1</v>
      </c>
      <c r="Q36" s="6" t="n">
        <v>3</v>
      </c>
      <c r="R36" s="6" t="s">
        <v>94</v>
      </c>
      <c r="S36" s="6" t="s">
        <v>80</v>
      </c>
      <c r="T36" s="6" t="s">
        <v>73</v>
      </c>
      <c r="U36" s="6" t="s">
        <v>73</v>
      </c>
      <c r="V36" s="13"/>
      <c r="W36" s="13"/>
      <c r="X36" s="13"/>
      <c r="Y36" s="13" t="s">
        <v>125</v>
      </c>
      <c r="Z36" s="13" t="s">
        <v>126</v>
      </c>
      <c r="AA36" s="6" t="n">
        <v>63</v>
      </c>
      <c r="AB36" s="6"/>
      <c r="AC36" s="14" t="n">
        <f aca="false">IF(C36=C35,(F36-F35)*24,"")</f>
        <v>547.358888888889</v>
      </c>
      <c r="AD36" s="13" t="s">
        <v>127</v>
      </c>
      <c r="AE36" s="6" t="n">
        <f aca="false">INDEX(Parameter!$C$3:$C$8,H36)</f>
        <v>96</v>
      </c>
      <c r="AF36" s="14" t="n">
        <f aca="false">IF(AND(N36="ganz",INDEX(Parameter!$D$3:$D$8,H36)&lt;&gt;""),Q36*INDEX(Parameter!$D$3:$D$8,H36),"")</f>
        <v>77.75</v>
      </c>
      <c r="AG36" s="14" t="n">
        <f aca="false">IF(AND(N36="ganz",INDEX(Parameter!$D$3:$D$8,H36)&lt;&gt;""),Q36*(INDEX(Parameter!$D$3:$D$8,H36)+INDEX(Parameter!$F$3:$F$8,H36)),"")</f>
        <v>104.4</v>
      </c>
      <c r="AH36" s="6" t="n">
        <f aca="false">IF(AND(N36="ganz",COUNTIFS($C$2:C36,C36,$H$2:H36,H36,$N$2:N36,"ganz")&lt;=2),1,0)</f>
        <v>1</v>
      </c>
      <c r="AI36" s="6" t="n">
        <f aca="false">IF(AND(N36="ganz",COUNTIFS($C$2:C36,C36,$J$2:J36,J36,$N$2:N36,"ganz")=1),1,0)</f>
        <v>1</v>
      </c>
      <c r="AJ36" s="6" t="n">
        <f aca="false">IF(AND(O36="ja",COUNTIFS($C$2:C36,C36,$H$2:H36,H36,$O$2:O36,"ja")&lt;=2),1,0)</f>
        <v>1</v>
      </c>
      <c r="AK36" s="6" t="n">
        <f aca="false">IF(AND(O36="ja",COUNTIFS($C$2:C36,C36,$J$2:J36,J36,$O$2:O36,"ja")=1),1,0)</f>
        <v>1</v>
      </c>
    </row>
    <row r="37" customFormat="false" ht="15" hidden="false" customHeight="false" outlineLevel="0" collapsed="false">
      <c r="A37" s="15" t="n">
        <v>189</v>
      </c>
      <c r="B37" s="15" t="s">
        <v>122</v>
      </c>
      <c r="C37" s="15" t="s">
        <v>122</v>
      </c>
      <c r="D37" s="15"/>
      <c r="E37" s="15" t="s">
        <v>70</v>
      </c>
      <c r="F37" s="16" t="n">
        <v>46250.5696759259</v>
      </c>
      <c r="G37" s="15" t="s">
        <v>78</v>
      </c>
      <c r="H37" s="15" t="n">
        <v>4</v>
      </c>
      <c r="I37" s="15" t="n">
        <v>4</v>
      </c>
      <c r="J37" s="15" t="n">
        <v>8</v>
      </c>
      <c r="K37" s="15" t="n">
        <v>4</v>
      </c>
      <c r="L37" s="15" t="n">
        <v>2</v>
      </c>
      <c r="M37" s="15" t="n">
        <v>8</v>
      </c>
      <c r="N37" s="15" t="s">
        <v>72</v>
      </c>
      <c r="O37" s="15" t="s">
        <v>73</v>
      </c>
      <c r="P37" s="15" t="n">
        <v>1</v>
      </c>
      <c r="Q37" s="15" t="n">
        <v>4</v>
      </c>
      <c r="R37" s="15" t="s">
        <v>94</v>
      </c>
      <c r="S37" s="15" t="s">
        <v>80</v>
      </c>
      <c r="T37" s="15" t="s">
        <v>73</v>
      </c>
      <c r="U37" s="15" t="s">
        <v>73</v>
      </c>
      <c r="V37" s="17"/>
      <c r="W37" s="17"/>
      <c r="X37" s="17"/>
      <c r="Y37" s="17" t="s">
        <v>128</v>
      </c>
      <c r="Z37" s="17" t="s">
        <v>129</v>
      </c>
      <c r="AA37" s="15" t="n">
        <v>56</v>
      </c>
      <c r="AB37" s="15"/>
      <c r="AC37" s="18" t="n">
        <f aca="false">IF(C37=C36,(F37-F36)*24,"")</f>
        <v>0.0655555555555556</v>
      </c>
      <c r="AD37" s="17" t="s">
        <v>130</v>
      </c>
      <c r="AE37" s="15" t="n">
        <f aca="false">INDEX(Parameter!$C$3:$C$8,H37)</f>
        <v>96</v>
      </c>
      <c r="AF37" s="18" t="n">
        <f aca="false">IF(AND(N37="ganz",INDEX(Parameter!$D$3:$D$8,H37)&lt;&gt;""),Q37*INDEX(Parameter!$D$3:$D$8,H37),"")</f>
        <v>103.666666666667</v>
      </c>
      <c r="AG37" s="18" t="n">
        <f aca="false">IF(AND(N37="ganz",INDEX(Parameter!$D$3:$D$8,H37)&lt;&gt;""),Q37*(INDEX(Parameter!$D$3:$D$8,H37)+INDEX(Parameter!$F$3:$F$8,H37)),"")</f>
        <v>139.2</v>
      </c>
      <c r="AH37" s="15" t="n">
        <f aca="false">IF(AND(N37="ganz",COUNTIFS($C$2:C37,C37,$H$2:H37,H37,$N$2:N37,"ganz")&lt;=2),1,0)</f>
        <v>1</v>
      </c>
      <c r="AI37" s="15" t="n">
        <f aca="false">IF(AND(N37="ganz",COUNTIFS($C$2:C37,C37,$J$2:J37,J37,$N$2:N37,"ganz")=1),1,0)</f>
        <v>1</v>
      </c>
      <c r="AJ37" s="15" t="n">
        <f aca="false">IF(AND(O37="ja",COUNTIFS($C$2:C37,C37,$H$2:H37,H37,$O$2:O37,"ja")&lt;=2),1,0)</f>
        <v>1</v>
      </c>
      <c r="AK37" s="15" t="n">
        <f aca="false">IF(AND(O37="ja",COUNTIFS($C$2:C37,C37,$J$2:J37,J37,$O$2:O37,"ja")=1),1,0)</f>
        <v>1</v>
      </c>
    </row>
    <row r="38" customFormat="false" ht="15" hidden="false" customHeight="false" outlineLevel="0" collapsed="false">
      <c r="A38" s="6" t="n">
        <v>217</v>
      </c>
      <c r="B38" s="6" t="s">
        <v>122</v>
      </c>
      <c r="C38" s="6" t="s">
        <v>122</v>
      </c>
      <c r="D38" s="6"/>
      <c r="E38" s="6" t="s">
        <v>70</v>
      </c>
      <c r="F38" s="12" t="n">
        <v>46255.8544444444</v>
      </c>
      <c r="G38" s="6" t="s">
        <v>71</v>
      </c>
      <c r="H38" s="6" t="n">
        <v>5</v>
      </c>
      <c r="I38" s="6" t="n">
        <v>5</v>
      </c>
      <c r="J38" s="6" t="n">
        <v>9</v>
      </c>
      <c r="K38" s="6" t="n">
        <v>5</v>
      </c>
      <c r="L38" s="6" t="n">
        <v>1</v>
      </c>
      <c r="M38" s="6" t="n">
        <v>9</v>
      </c>
      <c r="N38" s="6" t="s">
        <v>72</v>
      </c>
      <c r="O38" s="6" t="s">
        <v>73</v>
      </c>
      <c r="P38" s="6" t="n">
        <v>1</v>
      </c>
      <c r="Q38" s="6" t="n">
        <v>4</v>
      </c>
      <c r="R38" s="6" t="s">
        <v>94</v>
      </c>
      <c r="S38" s="6" t="s">
        <v>80</v>
      </c>
      <c r="T38" s="6" t="s">
        <v>73</v>
      </c>
      <c r="U38" s="6" t="s">
        <v>73</v>
      </c>
      <c r="V38" s="13"/>
      <c r="W38" s="13"/>
      <c r="X38" s="13"/>
      <c r="Y38" s="13" t="s">
        <v>131</v>
      </c>
      <c r="Z38" s="13" t="s">
        <v>132</v>
      </c>
      <c r="AA38" s="6" t="n">
        <v>76</v>
      </c>
      <c r="AB38" s="6"/>
      <c r="AC38" s="14" t="n">
        <f aca="false">IF(C38=C37,(F38-F37)*24,"")</f>
        <v>126.834444444444</v>
      </c>
      <c r="AD38" s="13"/>
      <c r="AE38" s="6" t="n">
        <f aca="false">INDEX(Parameter!$C$3:$C$8,H38)</f>
        <v>106</v>
      </c>
      <c r="AF38" s="14" t="str">
        <f aca="false">IF(AND(N38="ganz",INDEX(Parameter!$D$3:$D$8,H38)&lt;&gt;""),Q38*INDEX(Parameter!$D$3:$D$8,H38),"")</f>
        <v/>
      </c>
      <c r="AG38" s="14" t="str">
        <f aca="false">IF(AND(N38="ganz",INDEX(Parameter!$D$3:$D$8,H38)&lt;&gt;""),Q38*(INDEX(Parameter!$D$3:$D$8,H38)+INDEX(Parameter!$F$3:$F$8,H38)),"")</f>
        <v/>
      </c>
      <c r="AH38" s="6" t="n">
        <f aca="false">IF(AND(N38="ganz",COUNTIFS($C$2:C38,C38,$H$2:H38,H38,$N$2:N38,"ganz")&lt;=2),1,0)</f>
        <v>1</v>
      </c>
      <c r="AI38" s="6" t="n">
        <f aca="false">IF(AND(N38="ganz",COUNTIFS($C$2:C38,C38,$J$2:J38,J38,$N$2:N38,"ganz")=1),1,0)</f>
        <v>1</v>
      </c>
      <c r="AJ38" s="6" t="n">
        <f aca="false">IF(AND(O38="ja",COUNTIFS($C$2:C38,C38,$H$2:H38,H38,$O$2:O38,"ja")&lt;=2),1,0)</f>
        <v>1</v>
      </c>
      <c r="AK38" s="6" t="n">
        <f aca="false">IF(AND(O38="ja",COUNTIFS($C$2:C38,C38,$J$2:J38,J38,$O$2:O38,"ja")=1),1,0)</f>
        <v>1</v>
      </c>
    </row>
    <row r="39" customFormat="false" ht="15" hidden="false" customHeight="false" outlineLevel="0" collapsed="false">
      <c r="A39" s="15" t="n">
        <v>246</v>
      </c>
      <c r="B39" s="15" t="s">
        <v>122</v>
      </c>
      <c r="C39" s="15" t="s">
        <v>122</v>
      </c>
      <c r="D39" s="15"/>
      <c r="E39" s="15" t="s">
        <v>70</v>
      </c>
      <c r="F39" s="16" t="n">
        <v>46262.5566319445</v>
      </c>
      <c r="G39" s="15" t="s">
        <v>71</v>
      </c>
      <c r="H39" s="15" t="n">
        <v>6</v>
      </c>
      <c r="I39" s="15" t="n">
        <v>6</v>
      </c>
      <c r="J39" s="15" t="n">
        <v>11</v>
      </c>
      <c r="K39" s="15" t="n">
        <v>6</v>
      </c>
      <c r="L39" s="15" t="n">
        <v>1</v>
      </c>
      <c r="M39" s="15" t="n">
        <v>11</v>
      </c>
      <c r="N39" s="15" t="s">
        <v>72</v>
      </c>
      <c r="O39" s="15" t="s">
        <v>73</v>
      </c>
      <c r="P39" s="15" t="n">
        <v>1</v>
      </c>
      <c r="Q39" s="15" t="n">
        <v>4</v>
      </c>
      <c r="R39" s="15" t="s">
        <v>94</v>
      </c>
      <c r="S39" s="15" t="s">
        <v>80</v>
      </c>
      <c r="T39" s="15" t="s">
        <v>73</v>
      </c>
      <c r="U39" s="15" t="s">
        <v>73</v>
      </c>
      <c r="V39" s="17"/>
      <c r="W39" s="17"/>
      <c r="X39" s="17"/>
      <c r="Y39" s="17" t="s">
        <v>133</v>
      </c>
      <c r="Z39" s="17" t="s">
        <v>134</v>
      </c>
      <c r="AA39" s="15" t="n">
        <v>48</v>
      </c>
      <c r="AB39" s="15"/>
      <c r="AC39" s="18" t="n">
        <f aca="false">IF(C39=C38,(F39-F38)*24,"")</f>
        <v>160.8525</v>
      </c>
      <c r="AD39" s="17"/>
      <c r="AE39" s="15" t="n">
        <f aca="false">INDEX(Parameter!$C$3:$C$8,H39)</f>
        <v>120</v>
      </c>
      <c r="AF39" s="18" t="n">
        <f aca="false">IF(AND(N39="ganz",INDEX(Parameter!$D$3:$D$8,H39)&lt;&gt;""),Q39*INDEX(Parameter!$D$3:$D$8,H39),"")</f>
        <v>124.2</v>
      </c>
      <c r="AG39" s="18" t="n">
        <f aca="false">IF(AND(N39="ganz",INDEX(Parameter!$D$3:$D$8,H39)&lt;&gt;""),Q39*(INDEX(Parameter!$D$3:$D$8,H39)+INDEX(Parameter!$F$3:$F$8,H39)),"")</f>
        <v>159.733333333333</v>
      </c>
      <c r="AH39" s="15" t="n">
        <f aca="false">IF(AND(N39="ganz",COUNTIFS($C$2:C39,C39,$H$2:H39,H39,$N$2:N39,"ganz")&lt;=2),1,0)</f>
        <v>1</v>
      </c>
      <c r="AI39" s="15" t="n">
        <f aca="false">IF(AND(N39="ganz",COUNTIFS($C$2:C39,C39,$J$2:J39,J39,$N$2:N39,"ganz")=1),1,0)</f>
        <v>1</v>
      </c>
      <c r="AJ39" s="15" t="n">
        <f aca="false">IF(AND(O39="ja",COUNTIFS($C$2:C39,C39,$H$2:H39,H39,$O$2:O39,"ja")&lt;=2),1,0)</f>
        <v>1</v>
      </c>
      <c r="AK39" s="15" t="n">
        <f aca="false">IF(AND(O39="ja",COUNTIFS($C$2:C39,C39,$J$2:J39,J39,$O$2:O39,"ja")=1),1,0)</f>
        <v>1</v>
      </c>
    </row>
    <row r="40" customFormat="false" ht="15" hidden="false" customHeight="false" outlineLevel="0" collapsed="false">
      <c r="A40" s="6" t="n">
        <v>46</v>
      </c>
      <c r="B40" s="6" t="s">
        <v>135</v>
      </c>
      <c r="C40" s="6" t="s">
        <v>135</v>
      </c>
      <c r="D40" s="6"/>
      <c r="E40" s="6" t="s">
        <v>70</v>
      </c>
      <c r="F40" s="12" t="n">
        <v>46227.7270138889</v>
      </c>
      <c r="G40" s="6" t="s">
        <v>71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s">
        <v>72</v>
      </c>
      <c r="O40" s="6" t="s">
        <v>73</v>
      </c>
      <c r="P40" s="6" t="n">
        <v>1</v>
      </c>
      <c r="Q40" s="6" t="n">
        <v>3</v>
      </c>
      <c r="R40" s="6" t="s">
        <v>94</v>
      </c>
      <c r="S40" s="6" t="s">
        <v>80</v>
      </c>
      <c r="T40" s="6" t="s">
        <v>80</v>
      </c>
      <c r="U40" s="6" t="s">
        <v>80</v>
      </c>
      <c r="V40" s="13"/>
      <c r="W40" s="13"/>
      <c r="X40" s="13"/>
      <c r="Y40" s="13"/>
      <c r="Z40" s="13"/>
      <c r="AA40" s="6" t="n">
        <v>62</v>
      </c>
      <c r="AB40" s="6"/>
      <c r="AC40" s="14" t="str">
        <f aca="false">IF(C40=C39,(F40-F39)*24,"")</f>
        <v/>
      </c>
      <c r="AD40" s="13"/>
      <c r="AE40" s="6" t="n">
        <f aca="false">INDEX(Parameter!$C$3:$C$8,H40)</f>
        <v>52</v>
      </c>
      <c r="AF40" s="14" t="n">
        <f aca="false">IF(AND(N40="ganz",INDEX(Parameter!$D$3:$D$8,H40)&lt;&gt;""),Q40*INDEX(Parameter!$D$3:$D$8,H40),"")</f>
        <v>84.8</v>
      </c>
      <c r="AG40" s="14" t="n">
        <f aca="false">IF(AND(N40="ganz",INDEX(Parameter!$D$3:$D$8,H40)&lt;&gt;""),Q40*(INDEX(Parameter!$D$3:$D$8,H40)+INDEX(Parameter!$F$3:$F$8,H40)),"")</f>
        <v>111.45</v>
      </c>
      <c r="AH40" s="6" t="n">
        <f aca="false">IF(AND(N40="ganz",COUNTIFS($C$2:C40,C40,$H$2:H40,H40,$N$2:N40,"ganz")&lt;=2),1,0)</f>
        <v>1</v>
      </c>
      <c r="AI40" s="6" t="n">
        <f aca="false">IF(AND(N40="ganz",COUNTIFS($C$2:C40,C40,$J$2:J40,J40,$N$2:N40,"ganz")=1),1,0)</f>
        <v>1</v>
      </c>
      <c r="AJ40" s="6" t="n">
        <f aca="false">IF(AND(O40="ja",COUNTIFS($C$2:C40,C40,$H$2:H40,H40,$O$2:O40,"ja")&lt;=2),1,0)</f>
        <v>1</v>
      </c>
      <c r="AK40" s="6" t="n">
        <f aca="false">IF(AND(O40="ja",COUNTIFS($C$2:C40,C40,$J$2:J40,J40,$O$2:O40,"ja")=1),1,0)</f>
        <v>1</v>
      </c>
    </row>
    <row r="41" customFormat="false" ht="15" hidden="false" customHeight="false" outlineLevel="0" collapsed="false">
      <c r="A41" s="15" t="n">
        <v>74</v>
      </c>
      <c r="B41" s="15" t="s">
        <v>135</v>
      </c>
      <c r="C41" s="15" t="s">
        <v>135</v>
      </c>
      <c r="D41" s="15"/>
      <c r="E41" s="15" t="s">
        <v>70</v>
      </c>
      <c r="F41" s="16" t="n">
        <v>46230.3904861111</v>
      </c>
      <c r="G41" s="15" t="s">
        <v>103</v>
      </c>
      <c r="H41" s="15" t="n">
        <v>2</v>
      </c>
      <c r="I41" s="15" t="n">
        <v>2</v>
      </c>
      <c r="J41" s="15" t="n">
        <v>2</v>
      </c>
      <c r="K41" s="15" t="n">
        <v>1</v>
      </c>
      <c r="L41" s="15" t="n">
        <v>2</v>
      </c>
      <c r="M41" s="15" t="n">
        <v>3</v>
      </c>
      <c r="N41" s="15" t="s">
        <v>72</v>
      </c>
      <c r="O41" s="15" t="s">
        <v>73</v>
      </c>
      <c r="P41" s="15" t="n">
        <v>1</v>
      </c>
      <c r="Q41" s="15" t="n">
        <v>3</v>
      </c>
      <c r="R41" s="15" t="s">
        <v>94</v>
      </c>
      <c r="S41" s="15" t="s">
        <v>73</v>
      </c>
      <c r="T41" s="15" t="s">
        <v>80</v>
      </c>
      <c r="U41" s="15" t="s">
        <v>80</v>
      </c>
      <c r="V41" s="17"/>
      <c r="W41" s="17"/>
      <c r="X41" s="17" t="s">
        <v>136</v>
      </c>
      <c r="Y41" s="17"/>
      <c r="Z41" s="17"/>
      <c r="AA41" s="15" t="n">
        <v>42</v>
      </c>
      <c r="AB41" s="15"/>
      <c r="AC41" s="18" t="n">
        <f aca="false">IF(C41=C40,(F41-F40)*24,"")</f>
        <v>63.9233333333333</v>
      </c>
      <c r="AD41" s="17"/>
      <c r="AE41" s="15" t="n">
        <f aca="false">INDEX(Parameter!$C$3:$C$8,H41)</f>
        <v>66</v>
      </c>
      <c r="AF41" s="18" t="n">
        <f aca="false">IF(AND(N41="ganz",INDEX(Parameter!$D$3:$D$8,H41)&lt;&gt;""),Q41*INDEX(Parameter!$D$3:$D$8,H41),"")</f>
        <v>84.1</v>
      </c>
      <c r="AG41" s="18" t="n">
        <f aca="false">IF(AND(N41="ganz",INDEX(Parameter!$D$3:$D$8,H41)&lt;&gt;""),Q41*(INDEX(Parameter!$D$3:$D$8,H41)+INDEX(Parameter!$F$3:$F$8,H41)),"")</f>
        <v>110.75</v>
      </c>
      <c r="AH41" s="15" t="n">
        <f aca="false">IF(AND(N41="ganz",COUNTIFS($C$2:C41,C41,$H$2:H41,H41,$N$2:N41,"ganz")&lt;=2),1,0)</f>
        <v>1</v>
      </c>
      <c r="AI41" s="15" t="n">
        <f aca="false">IF(AND(N41="ganz",COUNTIFS($C$2:C41,C41,$J$2:J41,J41,$N$2:N41,"ganz")=1),1,0)</f>
        <v>1</v>
      </c>
      <c r="AJ41" s="15" t="n">
        <f aca="false">IF(AND(O41="ja",COUNTIFS($C$2:C41,C41,$H$2:H41,H41,$O$2:O41,"ja")&lt;=2),1,0)</f>
        <v>1</v>
      </c>
      <c r="AK41" s="15" t="n">
        <f aca="false">IF(AND(O41="ja",COUNTIFS($C$2:C41,C41,$J$2:J41,J41,$O$2:O41,"ja")=1),1,0)</f>
        <v>1</v>
      </c>
    </row>
    <row r="42" customFormat="false" ht="15" hidden="false" customHeight="false" outlineLevel="0" collapsed="false">
      <c r="A42" s="6" t="n">
        <v>88</v>
      </c>
      <c r="B42" s="6" t="s">
        <v>135</v>
      </c>
      <c r="C42" s="6" t="s">
        <v>135</v>
      </c>
      <c r="D42" s="6"/>
      <c r="E42" s="6" t="s">
        <v>70</v>
      </c>
      <c r="F42" s="12" t="n">
        <v>46233.7664236111</v>
      </c>
      <c r="G42" s="6" t="s">
        <v>87</v>
      </c>
      <c r="H42" s="6" t="n">
        <v>2</v>
      </c>
      <c r="I42" s="6" t="n">
        <v>2</v>
      </c>
      <c r="J42" s="6" t="n">
        <v>3</v>
      </c>
      <c r="K42" s="6" t="n">
        <v>2</v>
      </c>
      <c r="L42" s="6" t="n">
        <v>1</v>
      </c>
      <c r="M42" s="6" t="n">
        <v>4</v>
      </c>
      <c r="N42" s="6" t="s">
        <v>72</v>
      </c>
      <c r="O42" s="6" t="s">
        <v>73</v>
      </c>
      <c r="P42" s="6" t="n">
        <v>1</v>
      </c>
      <c r="Q42" s="6" t="n">
        <v>3</v>
      </c>
      <c r="R42" s="6" t="s">
        <v>137</v>
      </c>
      <c r="S42" s="6" t="s">
        <v>73</v>
      </c>
      <c r="T42" s="6" t="s">
        <v>80</v>
      </c>
      <c r="U42" s="6" t="s">
        <v>80</v>
      </c>
      <c r="V42" s="13"/>
      <c r="W42" s="13"/>
      <c r="X42" s="13" t="s">
        <v>138</v>
      </c>
      <c r="Y42" s="13"/>
      <c r="Z42" s="13"/>
      <c r="AA42" s="6" t="n">
        <v>43</v>
      </c>
      <c r="AB42" s="6"/>
      <c r="AC42" s="14" t="n">
        <f aca="false">IF(C42=C41,(F42-F41)*24,"")</f>
        <v>81.0225</v>
      </c>
      <c r="AD42" s="13"/>
      <c r="AE42" s="6" t="n">
        <f aca="false">INDEX(Parameter!$C$3:$C$8,H42)</f>
        <v>66</v>
      </c>
      <c r="AF42" s="14" t="n">
        <f aca="false">IF(AND(N42="ganz",INDEX(Parameter!$D$3:$D$8,H42)&lt;&gt;""),Q42*INDEX(Parameter!$D$3:$D$8,H42),"")</f>
        <v>84.1</v>
      </c>
      <c r="AG42" s="14" t="n">
        <f aca="false">IF(AND(N42="ganz",INDEX(Parameter!$D$3:$D$8,H42)&lt;&gt;""),Q42*(INDEX(Parameter!$D$3:$D$8,H42)+INDEX(Parameter!$F$3:$F$8,H42)),"")</f>
        <v>110.75</v>
      </c>
      <c r="AH42" s="6" t="n">
        <f aca="false">IF(AND(N42="ganz",COUNTIFS($C$2:C42,C42,$H$2:H42,H42,$N$2:N42,"ganz")&lt;=2),1,0)</f>
        <v>1</v>
      </c>
      <c r="AI42" s="6" t="n">
        <f aca="false">IF(AND(N42="ganz",COUNTIFS($C$2:C42,C42,$J$2:J42,J42,$N$2:N42,"ganz")=1),1,0)</f>
        <v>1</v>
      </c>
      <c r="AJ42" s="6" t="n">
        <f aca="false">IF(AND(O42="ja",COUNTIFS($C$2:C42,C42,$H$2:H42,H42,$O$2:O42,"ja")&lt;=2),1,0)</f>
        <v>1</v>
      </c>
      <c r="AK42" s="6" t="n">
        <f aca="false">IF(AND(O42="ja",COUNTIFS($C$2:C42,C42,$J$2:J42,J42,$O$2:O42,"ja")=1),1,0)</f>
        <v>1</v>
      </c>
    </row>
    <row r="43" customFormat="false" ht="15" hidden="false" customHeight="false" outlineLevel="0" collapsed="false">
      <c r="A43" s="15" t="n">
        <v>103</v>
      </c>
      <c r="B43" s="15" t="s">
        <v>135</v>
      </c>
      <c r="C43" s="15" t="s">
        <v>135</v>
      </c>
      <c r="D43" s="15"/>
      <c r="E43" s="15" t="s">
        <v>70</v>
      </c>
      <c r="F43" s="16" t="n">
        <v>46236.5028125</v>
      </c>
      <c r="G43" s="15" t="s">
        <v>78</v>
      </c>
      <c r="H43" s="15" t="n">
        <v>2</v>
      </c>
      <c r="I43" s="15" t="n">
        <v>2</v>
      </c>
      <c r="J43" s="15" t="n">
        <v>4</v>
      </c>
      <c r="K43" s="15" t="n">
        <v>2</v>
      </c>
      <c r="L43" s="15" t="n">
        <v>2</v>
      </c>
      <c r="M43" s="15"/>
      <c r="N43" s="15" t="s">
        <v>72</v>
      </c>
      <c r="O43" s="15" t="s">
        <v>73</v>
      </c>
      <c r="P43" s="15" t="n">
        <v>1</v>
      </c>
      <c r="Q43" s="15" t="n">
        <v>3</v>
      </c>
      <c r="R43" s="15" t="s">
        <v>94</v>
      </c>
      <c r="S43" s="15" t="s">
        <v>80</v>
      </c>
      <c r="T43" s="15" t="s">
        <v>80</v>
      </c>
      <c r="U43" s="15" t="s">
        <v>80</v>
      </c>
      <c r="V43" s="17"/>
      <c r="W43" s="17"/>
      <c r="X43" s="17"/>
      <c r="Y43" s="17"/>
      <c r="Z43" s="17"/>
      <c r="AA43" s="15" t="n">
        <v>38</v>
      </c>
      <c r="AB43" s="15"/>
      <c r="AC43" s="18" t="n">
        <f aca="false">IF(C43=C42,(F43-F42)*24,"")</f>
        <v>65.6733333333333</v>
      </c>
      <c r="AD43" s="17"/>
      <c r="AE43" s="15" t="n">
        <f aca="false">INDEX(Parameter!$C$3:$C$8,H43)</f>
        <v>66</v>
      </c>
      <c r="AF43" s="18" t="n">
        <f aca="false">IF(AND(N43="ganz",INDEX(Parameter!$D$3:$D$8,H43)&lt;&gt;""),Q43*INDEX(Parameter!$D$3:$D$8,H43),"")</f>
        <v>84.1</v>
      </c>
      <c r="AG43" s="18" t="n">
        <f aca="false">IF(AND(N43="ganz",INDEX(Parameter!$D$3:$D$8,H43)&lt;&gt;""),Q43*(INDEX(Parameter!$D$3:$D$8,H43)+INDEX(Parameter!$F$3:$F$8,H43)),"")</f>
        <v>110.75</v>
      </c>
      <c r="AH43" s="15" t="n">
        <f aca="false">IF(AND(N43="ganz",COUNTIFS($C$2:C43,C43,$H$2:H43,H43,$N$2:N43,"ganz")&lt;=2),1,0)</f>
        <v>0</v>
      </c>
      <c r="AI43" s="15" t="n">
        <f aca="false">IF(AND(N43="ganz",COUNTIFS($C$2:C43,C43,$J$2:J43,J43,$N$2:N43,"ganz")=1),1,0)</f>
        <v>1</v>
      </c>
      <c r="AJ43" s="15" t="n">
        <f aca="false">IF(AND(O43="ja",COUNTIFS($C$2:C43,C43,$H$2:H43,H43,$O$2:O43,"ja")&lt;=2),1,0)</f>
        <v>0</v>
      </c>
      <c r="AK43" s="15" t="n">
        <f aca="false">IF(AND(O43="ja",COUNTIFS($C$2:C43,C43,$J$2:J43,J43,$O$2:O43,"ja")=1),1,0)</f>
        <v>1</v>
      </c>
    </row>
    <row r="44" customFormat="false" ht="15" hidden="false" customHeight="false" outlineLevel="0" collapsed="false">
      <c r="A44" s="6" t="n">
        <v>136</v>
      </c>
      <c r="B44" s="6" t="s">
        <v>135</v>
      </c>
      <c r="C44" s="6" t="s">
        <v>135</v>
      </c>
      <c r="D44" s="6"/>
      <c r="E44" s="6" t="s">
        <v>70</v>
      </c>
      <c r="F44" s="12" t="n">
        <v>46241.4585185185</v>
      </c>
      <c r="G44" s="6" t="s">
        <v>71</v>
      </c>
      <c r="H44" s="6" t="n">
        <v>3</v>
      </c>
      <c r="I44" s="6" t="n">
        <v>3</v>
      </c>
      <c r="J44" s="6" t="n">
        <v>5</v>
      </c>
      <c r="K44" s="6" t="n">
        <v>3</v>
      </c>
      <c r="L44" s="6" t="n">
        <v>1</v>
      </c>
      <c r="M44" s="6" t="n">
        <v>5</v>
      </c>
      <c r="N44" s="6" t="s">
        <v>72</v>
      </c>
      <c r="O44" s="6" t="s">
        <v>73</v>
      </c>
      <c r="P44" s="6" t="n">
        <v>1</v>
      </c>
      <c r="Q44" s="6" t="n">
        <v>3</v>
      </c>
      <c r="R44" s="6" t="s">
        <v>94</v>
      </c>
      <c r="S44" s="6" t="s">
        <v>80</v>
      </c>
      <c r="T44" s="6" t="s">
        <v>80</v>
      </c>
      <c r="U44" s="6" t="s">
        <v>73</v>
      </c>
      <c r="V44" s="13"/>
      <c r="W44" s="13"/>
      <c r="X44" s="13"/>
      <c r="Y44" s="13"/>
      <c r="Z44" s="13" t="s">
        <v>139</v>
      </c>
      <c r="AA44" s="6" t="n">
        <v>45</v>
      </c>
      <c r="AB44" s="6"/>
      <c r="AC44" s="14" t="n">
        <f aca="false">IF(C44=C43,(F44-F43)*24,"")</f>
        <v>118.936944444444</v>
      </c>
      <c r="AD44" s="13"/>
      <c r="AE44" s="6" t="n">
        <f aca="false">INDEX(Parameter!$C$3:$C$8,H44)</f>
        <v>80</v>
      </c>
      <c r="AF44" s="14" t="n">
        <f aca="false">IF(AND(N44="ganz",INDEX(Parameter!$D$3:$D$8,H44)&lt;&gt;""),Q44*INDEX(Parameter!$D$3:$D$8,H44),"")</f>
        <v>72.85</v>
      </c>
      <c r="AG44" s="14" t="n">
        <f aca="false">IF(AND(N44="ganz",INDEX(Parameter!$D$3:$D$8,H44)&lt;&gt;""),Q44*(INDEX(Parameter!$D$3:$D$8,H44)+INDEX(Parameter!$F$3:$F$8,H44)),"")</f>
        <v>99.5</v>
      </c>
      <c r="AH44" s="6" t="n">
        <f aca="false">IF(AND(N44="ganz",COUNTIFS($C$2:C44,C44,$H$2:H44,H44,$N$2:N44,"ganz")&lt;=2),1,0)</f>
        <v>1</v>
      </c>
      <c r="AI44" s="6" t="n">
        <f aca="false">IF(AND(N44="ganz",COUNTIFS($C$2:C44,C44,$J$2:J44,J44,$N$2:N44,"ganz")=1),1,0)</f>
        <v>1</v>
      </c>
      <c r="AJ44" s="6" t="n">
        <f aca="false">IF(AND(O44="ja",COUNTIFS($C$2:C44,C44,$H$2:H44,H44,$O$2:O44,"ja")&lt;=2),1,0)</f>
        <v>1</v>
      </c>
      <c r="AK44" s="6" t="n">
        <f aca="false">IF(AND(O44="ja",COUNTIFS($C$2:C44,C44,$J$2:J44,J44,$O$2:O44,"ja")=1),1,0)</f>
        <v>1</v>
      </c>
    </row>
    <row r="45" customFormat="false" ht="15" hidden="false" customHeight="false" outlineLevel="0" collapsed="false">
      <c r="A45" s="15" t="n">
        <v>150</v>
      </c>
      <c r="B45" s="15" t="s">
        <v>135</v>
      </c>
      <c r="C45" s="15" t="s">
        <v>135</v>
      </c>
      <c r="D45" s="15"/>
      <c r="E45" s="15" t="s">
        <v>70</v>
      </c>
      <c r="F45" s="16" t="n">
        <v>46243.7736111111</v>
      </c>
      <c r="G45" s="15" t="s">
        <v>78</v>
      </c>
      <c r="H45" s="15" t="n">
        <v>3</v>
      </c>
      <c r="I45" s="15" t="n">
        <v>3</v>
      </c>
      <c r="J45" s="15" t="n">
        <v>6</v>
      </c>
      <c r="K45" s="15" t="n">
        <v>3</v>
      </c>
      <c r="L45" s="15" t="n">
        <v>2</v>
      </c>
      <c r="M45" s="15" t="n">
        <v>6</v>
      </c>
      <c r="N45" s="15" t="s">
        <v>72</v>
      </c>
      <c r="O45" s="15" t="s">
        <v>73</v>
      </c>
      <c r="P45" s="15" t="n">
        <v>1</v>
      </c>
      <c r="Q45" s="15" t="n">
        <v>3</v>
      </c>
      <c r="R45" s="15" t="s">
        <v>137</v>
      </c>
      <c r="S45" s="15" t="s">
        <v>80</v>
      </c>
      <c r="T45" s="15" t="s">
        <v>80</v>
      </c>
      <c r="U45" s="15" t="s">
        <v>80</v>
      </c>
      <c r="V45" s="17"/>
      <c r="W45" s="17"/>
      <c r="X45" s="17"/>
      <c r="Y45" s="17"/>
      <c r="Z45" s="17"/>
      <c r="AA45" s="15" t="n">
        <v>32</v>
      </c>
      <c r="AB45" s="15"/>
      <c r="AC45" s="18" t="n">
        <f aca="false">IF(C45=C44,(F45-F44)*24,"")</f>
        <v>55.5622222222222</v>
      </c>
      <c r="AD45" s="17"/>
      <c r="AE45" s="15" t="n">
        <f aca="false">INDEX(Parameter!$C$3:$C$8,H45)</f>
        <v>80</v>
      </c>
      <c r="AF45" s="18" t="n">
        <f aca="false">IF(AND(N45="ganz",INDEX(Parameter!$D$3:$D$8,H45)&lt;&gt;""),Q45*INDEX(Parameter!$D$3:$D$8,H45),"")</f>
        <v>72.85</v>
      </c>
      <c r="AG45" s="18" t="n">
        <f aca="false">IF(AND(N45="ganz",INDEX(Parameter!$D$3:$D$8,H45)&lt;&gt;""),Q45*(INDEX(Parameter!$D$3:$D$8,H45)+INDEX(Parameter!$F$3:$F$8,H45)),"")</f>
        <v>99.5</v>
      </c>
      <c r="AH45" s="15" t="n">
        <f aca="false">IF(AND(N45="ganz",COUNTIFS($C$2:C45,C45,$H$2:H45,H45,$N$2:N45,"ganz")&lt;=2),1,0)</f>
        <v>1</v>
      </c>
      <c r="AI45" s="15" t="n">
        <f aca="false">IF(AND(N45="ganz",COUNTIFS($C$2:C45,C45,$J$2:J45,J45,$N$2:N45,"ganz")=1),1,0)</f>
        <v>1</v>
      </c>
      <c r="AJ45" s="15" t="n">
        <f aca="false">IF(AND(O45="ja",COUNTIFS($C$2:C45,C45,$H$2:H45,H45,$O$2:O45,"ja")&lt;=2),1,0)</f>
        <v>1</v>
      </c>
      <c r="AK45" s="15" t="n">
        <f aca="false">IF(AND(O45="ja",COUNTIFS($C$2:C45,C45,$J$2:J45,J45,$O$2:O45,"ja")=1),1,0)</f>
        <v>1</v>
      </c>
    </row>
    <row r="46" customFormat="false" ht="15" hidden="false" customHeight="false" outlineLevel="0" collapsed="false">
      <c r="A46" s="6" t="n">
        <v>191</v>
      </c>
      <c r="B46" s="6" t="s">
        <v>135</v>
      </c>
      <c r="C46" s="6" t="s">
        <v>135</v>
      </c>
      <c r="D46" s="6"/>
      <c r="E46" s="6" t="s">
        <v>70</v>
      </c>
      <c r="F46" s="12" t="n">
        <v>46250.7700578704</v>
      </c>
      <c r="G46" s="6" t="s">
        <v>78</v>
      </c>
      <c r="H46" s="6" t="n">
        <v>4</v>
      </c>
      <c r="I46" s="6" t="n">
        <v>4</v>
      </c>
      <c r="J46" s="6" t="n">
        <v>5</v>
      </c>
      <c r="K46" s="6" t="n">
        <v>3</v>
      </c>
      <c r="L46" s="6" t="n">
        <v>1</v>
      </c>
      <c r="M46" s="6" t="n">
        <v>7</v>
      </c>
      <c r="N46" s="6" t="s">
        <v>72</v>
      </c>
      <c r="O46" s="6" t="s">
        <v>73</v>
      </c>
      <c r="P46" s="6" t="n">
        <v>1</v>
      </c>
      <c r="Q46" s="6" t="n">
        <v>3</v>
      </c>
      <c r="R46" s="6" t="s">
        <v>94</v>
      </c>
      <c r="S46" s="6" t="s">
        <v>80</v>
      </c>
      <c r="T46" s="6" t="s">
        <v>80</v>
      </c>
      <c r="U46" s="6" t="s">
        <v>80</v>
      </c>
      <c r="V46" s="13"/>
      <c r="W46" s="13"/>
      <c r="X46" s="13"/>
      <c r="Y46" s="13"/>
      <c r="Z46" s="13"/>
      <c r="AA46" s="6" t="n">
        <v>24</v>
      </c>
      <c r="AB46" s="6"/>
      <c r="AC46" s="14" t="n">
        <f aca="false">IF(C46=C45,(F46-F45)*24,"")</f>
        <v>167.914722222222</v>
      </c>
      <c r="AD46" s="13"/>
      <c r="AE46" s="6" t="n">
        <f aca="false">INDEX(Parameter!$C$3:$C$8,H46)</f>
        <v>96</v>
      </c>
      <c r="AF46" s="14" t="n">
        <f aca="false">IF(AND(N46="ganz",INDEX(Parameter!$D$3:$D$8,H46)&lt;&gt;""),Q46*INDEX(Parameter!$D$3:$D$8,H46),"")</f>
        <v>77.75</v>
      </c>
      <c r="AG46" s="14" t="n">
        <f aca="false">IF(AND(N46="ganz",INDEX(Parameter!$D$3:$D$8,H46)&lt;&gt;""),Q46*(INDEX(Parameter!$D$3:$D$8,H46)+INDEX(Parameter!$F$3:$F$8,H46)),"")</f>
        <v>104.4</v>
      </c>
      <c r="AH46" s="6" t="n">
        <f aca="false">IF(AND(N46="ganz",COUNTIFS($C$2:C46,C46,$H$2:H46,H46,$N$2:N46,"ganz")&lt;=2),1,0)</f>
        <v>1</v>
      </c>
      <c r="AI46" s="6" t="n">
        <f aca="false">IF(AND(N46="ganz",COUNTIFS($C$2:C46,C46,$J$2:J46,J46,$N$2:N46,"ganz")=1),1,0)</f>
        <v>0</v>
      </c>
      <c r="AJ46" s="6" t="n">
        <f aca="false">IF(AND(O46="ja",COUNTIFS($C$2:C46,C46,$H$2:H46,H46,$O$2:O46,"ja")&lt;=2),1,0)</f>
        <v>1</v>
      </c>
      <c r="AK46" s="6" t="n">
        <f aca="false">IF(AND(O46="ja",COUNTIFS($C$2:C46,C46,$J$2:J46,J46,$O$2:O46,"ja")=1),1,0)</f>
        <v>0</v>
      </c>
    </row>
    <row r="47" customFormat="false" ht="15" hidden="false" customHeight="false" outlineLevel="0" collapsed="false">
      <c r="A47" s="15" t="n">
        <v>222</v>
      </c>
      <c r="B47" s="15" t="s">
        <v>135</v>
      </c>
      <c r="C47" s="15" t="s">
        <v>135</v>
      </c>
      <c r="D47" s="15"/>
      <c r="E47" s="15" t="s">
        <v>70</v>
      </c>
      <c r="F47" s="16" t="n">
        <v>46257.4534375</v>
      </c>
      <c r="G47" s="15" t="s">
        <v>78</v>
      </c>
      <c r="H47" s="15" t="n">
        <v>5</v>
      </c>
      <c r="I47" s="15" t="n">
        <v>5</v>
      </c>
      <c r="J47" s="15" t="n">
        <v>9</v>
      </c>
      <c r="K47" s="15" t="n">
        <v>5</v>
      </c>
      <c r="L47" s="15" t="n">
        <v>1</v>
      </c>
      <c r="M47" s="15" t="n">
        <v>9</v>
      </c>
      <c r="N47" s="15" t="s">
        <v>72</v>
      </c>
      <c r="O47" s="15" t="s">
        <v>73</v>
      </c>
      <c r="P47" s="15" t="n">
        <v>1</v>
      </c>
      <c r="Q47" s="15" t="n">
        <v>3</v>
      </c>
      <c r="R47" s="15" t="s">
        <v>74</v>
      </c>
      <c r="S47" s="15" t="s">
        <v>80</v>
      </c>
      <c r="T47" s="15" t="s">
        <v>80</v>
      </c>
      <c r="U47" s="15" t="s">
        <v>80</v>
      </c>
      <c r="V47" s="17"/>
      <c r="W47" s="17"/>
      <c r="X47" s="17"/>
      <c r="Y47" s="17"/>
      <c r="Z47" s="17"/>
      <c r="AA47" s="15" t="n">
        <v>24</v>
      </c>
      <c r="AB47" s="15"/>
      <c r="AC47" s="18" t="n">
        <f aca="false">IF(C47=C46,(F47-F46)*24,"")</f>
        <v>160.401111111111</v>
      </c>
      <c r="AD47" s="17" t="s">
        <v>140</v>
      </c>
      <c r="AE47" s="15" t="n">
        <f aca="false">INDEX(Parameter!$C$3:$C$8,H47)</f>
        <v>106</v>
      </c>
      <c r="AF47" s="18" t="str">
        <f aca="false">IF(AND(N47="ganz",INDEX(Parameter!$D$3:$D$8,H47)&lt;&gt;""),Q47*INDEX(Parameter!$D$3:$D$8,H47),"")</f>
        <v/>
      </c>
      <c r="AG47" s="18" t="str">
        <f aca="false">IF(AND(N47="ganz",INDEX(Parameter!$D$3:$D$8,H47)&lt;&gt;""),Q47*(INDEX(Parameter!$D$3:$D$8,H47)+INDEX(Parameter!$F$3:$F$8,H47)),"")</f>
        <v/>
      </c>
      <c r="AH47" s="15" t="n">
        <f aca="false">IF(AND(N47="ganz",COUNTIFS($C$2:C47,C47,$H$2:H47,H47,$N$2:N47,"ganz")&lt;=2),1,0)</f>
        <v>1</v>
      </c>
      <c r="AI47" s="15" t="n">
        <f aca="false">IF(AND(N47="ganz",COUNTIFS($C$2:C47,C47,$J$2:J47,J47,$N$2:N47,"ganz")=1),1,0)</f>
        <v>1</v>
      </c>
      <c r="AJ47" s="15" t="n">
        <f aca="false">IF(AND(O47="ja",COUNTIFS($C$2:C47,C47,$H$2:H47,H47,$O$2:O47,"ja")&lt;=2),1,0)</f>
        <v>1</v>
      </c>
      <c r="AK47" s="15" t="n">
        <f aca="false">IF(AND(O47="ja",COUNTIFS($C$2:C47,C47,$J$2:J47,J47,$O$2:O47,"ja")=1),1,0)</f>
        <v>1</v>
      </c>
    </row>
    <row r="48" customFormat="false" ht="15" hidden="false" customHeight="false" outlineLevel="0" collapsed="false">
      <c r="A48" s="6" t="n">
        <v>223</v>
      </c>
      <c r="B48" s="6" t="s">
        <v>135</v>
      </c>
      <c r="C48" s="6" t="s">
        <v>135</v>
      </c>
      <c r="D48" s="6"/>
      <c r="E48" s="6" t="s">
        <v>70</v>
      </c>
      <c r="F48" s="12" t="n">
        <v>46257.4538657407</v>
      </c>
      <c r="G48" s="6" t="s">
        <v>78</v>
      </c>
      <c r="H48" s="6" t="n">
        <v>5</v>
      </c>
      <c r="I48" s="6" t="n">
        <v>5</v>
      </c>
      <c r="J48" s="6" t="n">
        <v>10</v>
      </c>
      <c r="K48" s="6" t="n">
        <v>5</v>
      </c>
      <c r="L48" s="6" t="n">
        <v>2</v>
      </c>
      <c r="M48" s="6" t="n">
        <v>10</v>
      </c>
      <c r="N48" s="6" t="s">
        <v>72</v>
      </c>
      <c r="O48" s="6" t="s">
        <v>73</v>
      </c>
      <c r="P48" s="6" t="n">
        <v>1</v>
      </c>
      <c r="Q48" s="6" t="n">
        <v>3</v>
      </c>
      <c r="R48" s="6" t="s">
        <v>94</v>
      </c>
      <c r="S48" s="6" t="s">
        <v>80</v>
      </c>
      <c r="T48" s="6" t="s">
        <v>80</v>
      </c>
      <c r="U48" s="6" t="s">
        <v>80</v>
      </c>
      <c r="V48" s="13"/>
      <c r="W48" s="13"/>
      <c r="X48" s="13"/>
      <c r="Y48" s="13"/>
      <c r="Z48" s="13"/>
      <c r="AA48" s="6" t="n">
        <v>22</v>
      </c>
      <c r="AB48" s="6"/>
      <c r="AC48" s="14" t="n">
        <f aca="false">IF(C48=C47,(F48-F47)*24,"")</f>
        <v>0.0102777777777778</v>
      </c>
      <c r="AD48" s="13" t="s">
        <v>141</v>
      </c>
      <c r="AE48" s="6" t="n">
        <f aca="false">INDEX(Parameter!$C$3:$C$8,H48)</f>
        <v>106</v>
      </c>
      <c r="AF48" s="14" t="str">
        <f aca="false">IF(AND(N48="ganz",INDEX(Parameter!$D$3:$D$8,H48)&lt;&gt;""),Q48*INDEX(Parameter!$D$3:$D$8,H48),"")</f>
        <v/>
      </c>
      <c r="AG48" s="14" t="str">
        <f aca="false">IF(AND(N48="ganz",INDEX(Parameter!$D$3:$D$8,H48)&lt;&gt;""),Q48*(INDEX(Parameter!$D$3:$D$8,H48)+INDEX(Parameter!$F$3:$F$8,H48)),"")</f>
        <v/>
      </c>
      <c r="AH48" s="6" t="n">
        <f aca="false">IF(AND(N48="ganz",COUNTIFS($C$2:C48,C48,$H$2:H48,H48,$N$2:N48,"ganz")&lt;=2),1,0)</f>
        <v>1</v>
      </c>
      <c r="AI48" s="6" t="n">
        <f aca="false">IF(AND(N48="ganz",COUNTIFS($C$2:C48,C48,$J$2:J48,J48,$N$2:N48,"ganz")=1),1,0)</f>
        <v>1</v>
      </c>
      <c r="AJ48" s="6" t="n">
        <f aca="false">IF(AND(O48="ja",COUNTIFS($C$2:C48,C48,$H$2:H48,H48,$O$2:O48,"ja")&lt;=2),1,0)</f>
        <v>1</v>
      </c>
      <c r="AK48" s="6" t="n">
        <f aca="false">IF(AND(O48="ja",COUNTIFS($C$2:C48,C48,$J$2:J48,J48,$O$2:O48,"ja")=1),1,0)</f>
        <v>1</v>
      </c>
    </row>
    <row r="49" customFormat="false" ht="15" hidden="false" customHeight="false" outlineLevel="0" collapsed="false">
      <c r="A49" s="15" t="n">
        <v>49</v>
      </c>
      <c r="B49" s="15" t="s">
        <v>142</v>
      </c>
      <c r="C49" s="15" t="s">
        <v>142</v>
      </c>
      <c r="D49" s="15"/>
      <c r="E49" s="15" t="s">
        <v>70</v>
      </c>
      <c r="F49" s="16" t="n">
        <v>46227.7604050926</v>
      </c>
      <c r="G49" s="15" t="s">
        <v>71</v>
      </c>
      <c r="H49" s="15" t="n">
        <v>1</v>
      </c>
      <c r="I49" s="15" t="n">
        <v>1</v>
      </c>
      <c r="J49" s="15" t="n">
        <v>1</v>
      </c>
      <c r="K49" s="15" t="n">
        <v>1</v>
      </c>
      <c r="L49" s="15" t="n">
        <v>1</v>
      </c>
      <c r="M49" s="15" t="n">
        <v>1</v>
      </c>
      <c r="N49" s="15" t="s">
        <v>72</v>
      </c>
      <c r="O49" s="15" t="s">
        <v>73</v>
      </c>
      <c r="P49" s="15" t="n">
        <v>1</v>
      </c>
      <c r="Q49" s="15" t="n">
        <v>2</v>
      </c>
      <c r="R49" s="15" t="s">
        <v>94</v>
      </c>
      <c r="S49" s="15" t="s">
        <v>73</v>
      </c>
      <c r="T49" s="15" t="s">
        <v>80</v>
      </c>
      <c r="U49" s="15" t="s">
        <v>73</v>
      </c>
      <c r="V49" s="17"/>
      <c r="W49" s="17"/>
      <c r="X49" s="17" t="s">
        <v>143</v>
      </c>
      <c r="Y49" s="17"/>
      <c r="Z49" s="17" t="s">
        <v>144</v>
      </c>
      <c r="AA49" s="15" t="n">
        <v>83</v>
      </c>
      <c r="AB49" s="15"/>
      <c r="AC49" s="18" t="str">
        <f aca="false">IF(C49=C48,(F49-F48)*24,"")</f>
        <v/>
      </c>
      <c r="AD49" s="17"/>
      <c r="AE49" s="15" t="n">
        <f aca="false">INDEX(Parameter!$C$3:$C$8,H49)</f>
        <v>52</v>
      </c>
      <c r="AF49" s="18" t="n">
        <f aca="false">IF(AND(N49="ganz",INDEX(Parameter!$D$3:$D$8,H49)&lt;&gt;""),Q49*INDEX(Parameter!$D$3:$D$8,H49),"")</f>
        <v>56.5333333333333</v>
      </c>
      <c r="AG49" s="18" t="n">
        <f aca="false">IF(AND(N49="ganz",INDEX(Parameter!$D$3:$D$8,H49)&lt;&gt;""),Q49*(INDEX(Parameter!$D$3:$D$8,H49)+INDEX(Parameter!$F$3:$F$8,H49)),"")</f>
        <v>74.3</v>
      </c>
      <c r="AH49" s="15" t="n">
        <f aca="false">IF(AND(N49="ganz",COUNTIFS($C$2:C49,C49,$H$2:H49,H49,$N$2:N49,"ganz")&lt;=2),1,0)</f>
        <v>1</v>
      </c>
      <c r="AI49" s="15" t="n">
        <f aca="false">IF(AND(N49="ganz",COUNTIFS($C$2:C49,C49,$J$2:J49,J49,$N$2:N49,"ganz")=1),1,0)</f>
        <v>1</v>
      </c>
      <c r="AJ49" s="15" t="n">
        <f aca="false">IF(AND(O49="ja",COUNTIFS($C$2:C49,C49,$H$2:H49,H49,$O$2:O49,"ja")&lt;=2),1,0)</f>
        <v>1</v>
      </c>
      <c r="AK49" s="15" t="n">
        <f aca="false">IF(AND(O49="ja",COUNTIFS($C$2:C49,C49,$J$2:J49,J49,$O$2:O49,"ja")=1),1,0)</f>
        <v>1</v>
      </c>
    </row>
    <row r="50" customFormat="false" ht="15" hidden="false" customHeight="false" outlineLevel="0" collapsed="false">
      <c r="A50" s="6" t="n">
        <v>76</v>
      </c>
      <c r="B50" s="6" t="s">
        <v>142</v>
      </c>
      <c r="C50" s="6" t="s">
        <v>142</v>
      </c>
      <c r="D50" s="6"/>
      <c r="E50" s="6" t="s">
        <v>70</v>
      </c>
      <c r="F50" s="12" t="n">
        <v>46230.4655092593</v>
      </c>
      <c r="G50" s="6" t="s">
        <v>103</v>
      </c>
      <c r="H50" s="6" t="n">
        <v>2</v>
      </c>
      <c r="I50" s="6" t="n">
        <v>2</v>
      </c>
      <c r="J50" s="6" t="n">
        <v>2</v>
      </c>
      <c r="K50" s="6" t="n">
        <v>1</v>
      </c>
      <c r="L50" s="6" t="n">
        <v>2</v>
      </c>
      <c r="M50" s="6" t="n">
        <v>3</v>
      </c>
      <c r="N50" s="6" t="s">
        <v>72</v>
      </c>
      <c r="O50" s="6" t="s">
        <v>73</v>
      </c>
      <c r="P50" s="6" t="n">
        <v>1</v>
      </c>
      <c r="Q50" s="6" t="n">
        <v>2</v>
      </c>
      <c r="R50" s="6" t="s">
        <v>94</v>
      </c>
      <c r="S50" s="6" t="s">
        <v>80</v>
      </c>
      <c r="T50" s="6" t="s">
        <v>80</v>
      </c>
      <c r="U50" s="6" t="s">
        <v>73</v>
      </c>
      <c r="V50" s="13"/>
      <c r="W50" s="13"/>
      <c r="X50" s="13"/>
      <c r="Y50" s="13"/>
      <c r="Z50" s="13" t="s">
        <v>145</v>
      </c>
      <c r="AA50" s="6" t="n">
        <v>57</v>
      </c>
      <c r="AB50" s="6"/>
      <c r="AC50" s="14" t="n">
        <f aca="false">IF(C50=C49,(F50-F49)*24,"")</f>
        <v>64.9225</v>
      </c>
      <c r="AD50" s="13"/>
      <c r="AE50" s="6" t="n">
        <f aca="false">INDEX(Parameter!$C$3:$C$8,H50)</f>
        <v>66</v>
      </c>
      <c r="AF50" s="14" t="n">
        <f aca="false">IF(AND(N50="ganz",INDEX(Parameter!$D$3:$D$8,H50)&lt;&gt;""),Q50*INDEX(Parameter!$D$3:$D$8,H50),"")</f>
        <v>56.0666666666667</v>
      </c>
      <c r="AG50" s="14" t="n">
        <f aca="false">IF(AND(N50="ganz",INDEX(Parameter!$D$3:$D$8,H50)&lt;&gt;""),Q50*(INDEX(Parameter!$D$3:$D$8,H50)+INDEX(Parameter!$F$3:$F$8,H50)),"")</f>
        <v>73.8333333333333</v>
      </c>
      <c r="AH50" s="6" t="n">
        <f aca="false">IF(AND(N50="ganz",COUNTIFS($C$2:C50,C50,$H$2:H50,H50,$N$2:N50,"ganz")&lt;=2),1,0)</f>
        <v>1</v>
      </c>
      <c r="AI50" s="6" t="n">
        <f aca="false">IF(AND(N50="ganz",COUNTIFS($C$2:C50,C50,$J$2:J50,J50,$N$2:N50,"ganz")=1),1,0)</f>
        <v>1</v>
      </c>
      <c r="AJ50" s="6" t="n">
        <f aca="false">IF(AND(O50="ja",COUNTIFS($C$2:C50,C50,$H$2:H50,H50,$O$2:O50,"ja")&lt;=2),1,0)</f>
        <v>1</v>
      </c>
      <c r="AK50" s="6" t="n">
        <f aca="false">IF(AND(O50="ja",COUNTIFS($C$2:C50,C50,$J$2:J50,J50,$O$2:O50,"ja")=1),1,0)</f>
        <v>1</v>
      </c>
    </row>
    <row r="51" customFormat="false" ht="15" hidden="false" customHeight="false" outlineLevel="0" collapsed="false">
      <c r="A51" s="15" t="n">
        <v>120</v>
      </c>
      <c r="B51" s="15" t="s">
        <v>142</v>
      </c>
      <c r="C51" s="15" t="s">
        <v>142</v>
      </c>
      <c r="D51" s="15"/>
      <c r="E51" s="15" t="s">
        <v>70</v>
      </c>
      <c r="F51" s="16" t="n">
        <v>46236.9546527778</v>
      </c>
      <c r="G51" s="15" t="s">
        <v>78</v>
      </c>
      <c r="H51" s="15" t="n">
        <v>2</v>
      </c>
      <c r="I51" s="15" t="n">
        <v>3</v>
      </c>
      <c r="J51" s="15" t="n">
        <v>3</v>
      </c>
      <c r="K51" s="15" t="n">
        <v>2</v>
      </c>
      <c r="L51" s="15" t="n">
        <v>1</v>
      </c>
      <c r="M51" s="15" t="n">
        <v>4</v>
      </c>
      <c r="N51" s="15" t="s">
        <v>72</v>
      </c>
      <c r="O51" s="15" t="s">
        <v>73</v>
      </c>
      <c r="P51" s="15" t="n">
        <v>1</v>
      </c>
      <c r="Q51" s="15" t="n">
        <v>2</v>
      </c>
      <c r="R51" s="15" t="s">
        <v>94</v>
      </c>
      <c r="S51" s="15" t="s">
        <v>80</v>
      </c>
      <c r="T51" s="15" t="s">
        <v>80</v>
      </c>
      <c r="U51" s="15" t="s">
        <v>73</v>
      </c>
      <c r="V51" s="17"/>
      <c r="W51" s="17"/>
      <c r="X51" s="17"/>
      <c r="Y51" s="17"/>
      <c r="Z51" s="17" t="s">
        <v>146</v>
      </c>
      <c r="AA51" s="15" t="n">
        <v>48</v>
      </c>
      <c r="AB51" s="15" t="s">
        <v>73</v>
      </c>
      <c r="AC51" s="18" t="n">
        <f aca="false">IF(C51=C50,(F51-F50)*24,"")</f>
        <v>155.739444444444</v>
      </c>
      <c r="AD51" s="17"/>
      <c r="AE51" s="15" t="n">
        <f aca="false">INDEX(Parameter!$C$3:$C$8,H51)</f>
        <v>66</v>
      </c>
      <c r="AF51" s="18" t="n">
        <f aca="false">IF(AND(N51="ganz",INDEX(Parameter!$D$3:$D$8,H51)&lt;&gt;""),Q51*INDEX(Parameter!$D$3:$D$8,H51),"")</f>
        <v>56.0666666666667</v>
      </c>
      <c r="AG51" s="18" t="n">
        <f aca="false">IF(AND(N51="ganz",INDEX(Parameter!$D$3:$D$8,H51)&lt;&gt;""),Q51*(INDEX(Parameter!$D$3:$D$8,H51)+INDEX(Parameter!$F$3:$F$8,H51)),"")</f>
        <v>73.8333333333333</v>
      </c>
      <c r="AH51" s="15" t="n">
        <f aca="false">IF(AND(N51="ganz",COUNTIFS($C$2:C51,C51,$H$2:H51,H51,$N$2:N51,"ganz")&lt;=2),1,0)</f>
        <v>1</v>
      </c>
      <c r="AI51" s="15" t="n">
        <f aca="false">IF(AND(N51="ganz",COUNTIFS($C$2:C51,C51,$J$2:J51,J51,$N$2:N51,"ganz")=1),1,0)</f>
        <v>1</v>
      </c>
      <c r="AJ51" s="15" t="n">
        <f aca="false">IF(AND(O51="ja",COUNTIFS($C$2:C51,C51,$H$2:H51,H51,$O$2:O51,"ja")&lt;=2),1,0)</f>
        <v>1</v>
      </c>
      <c r="AK51" s="15" t="n">
        <f aca="false">IF(AND(O51="ja",COUNTIFS($C$2:C51,C51,$J$2:J51,J51,$O$2:O51,"ja")=1),1,0)</f>
        <v>1</v>
      </c>
    </row>
    <row r="52" customFormat="false" ht="15" hidden="false" customHeight="false" outlineLevel="0" collapsed="false">
      <c r="A52" s="6" t="n">
        <v>122</v>
      </c>
      <c r="B52" s="6" t="s">
        <v>142</v>
      </c>
      <c r="C52" s="6" t="s">
        <v>142</v>
      </c>
      <c r="D52" s="6"/>
      <c r="E52" s="6" t="s">
        <v>70</v>
      </c>
      <c r="F52" s="12" t="n">
        <v>46238.2033912037</v>
      </c>
      <c r="G52" s="6" t="s">
        <v>82</v>
      </c>
      <c r="H52" s="6" t="n">
        <v>3</v>
      </c>
      <c r="I52" s="6" t="n">
        <v>3</v>
      </c>
      <c r="J52" s="6" t="n">
        <v>4</v>
      </c>
      <c r="K52" s="6" t="n">
        <v>2</v>
      </c>
      <c r="L52" s="6" t="n">
        <v>2</v>
      </c>
      <c r="M52" s="6" t="n">
        <v>5</v>
      </c>
      <c r="N52" s="6" t="s">
        <v>72</v>
      </c>
      <c r="O52" s="6" t="s">
        <v>73</v>
      </c>
      <c r="P52" s="6" t="n">
        <v>1</v>
      </c>
      <c r="Q52" s="6" t="n">
        <v>3</v>
      </c>
      <c r="R52" s="6" t="s">
        <v>94</v>
      </c>
      <c r="S52" s="6" t="s">
        <v>80</v>
      </c>
      <c r="T52" s="6" t="s">
        <v>80</v>
      </c>
      <c r="U52" s="6" t="s">
        <v>73</v>
      </c>
      <c r="V52" s="13"/>
      <c r="W52" s="13"/>
      <c r="X52" s="13"/>
      <c r="Y52" s="13"/>
      <c r="Z52" s="13" t="s">
        <v>147</v>
      </c>
      <c r="AA52" s="6" t="n">
        <v>59</v>
      </c>
      <c r="AB52" s="6"/>
      <c r="AC52" s="14" t="n">
        <f aca="false">IF(C52=C51,(F52-F51)*24,"")</f>
        <v>29.9697222222222</v>
      </c>
      <c r="AD52" s="13"/>
      <c r="AE52" s="6" t="n">
        <f aca="false">INDEX(Parameter!$C$3:$C$8,H52)</f>
        <v>80</v>
      </c>
      <c r="AF52" s="14" t="n">
        <f aca="false">IF(AND(N52="ganz",INDEX(Parameter!$D$3:$D$8,H52)&lt;&gt;""),Q52*INDEX(Parameter!$D$3:$D$8,H52),"")</f>
        <v>72.85</v>
      </c>
      <c r="AG52" s="14" t="n">
        <f aca="false">IF(AND(N52="ganz",INDEX(Parameter!$D$3:$D$8,H52)&lt;&gt;""),Q52*(INDEX(Parameter!$D$3:$D$8,H52)+INDEX(Parameter!$F$3:$F$8,H52)),"")</f>
        <v>99.5</v>
      </c>
      <c r="AH52" s="6" t="n">
        <f aca="false">IF(AND(N52="ganz",COUNTIFS($C$2:C52,C52,$H$2:H52,H52,$N$2:N52,"ganz")&lt;=2),1,0)</f>
        <v>1</v>
      </c>
      <c r="AI52" s="6" t="n">
        <f aca="false">IF(AND(N52="ganz",COUNTIFS($C$2:C52,C52,$J$2:J52,J52,$N$2:N52,"ganz")=1),1,0)</f>
        <v>1</v>
      </c>
      <c r="AJ52" s="6" t="n">
        <f aca="false">IF(AND(O52="ja",COUNTIFS($C$2:C52,C52,$H$2:H52,H52,$O$2:O52,"ja")&lt;=2),1,0)</f>
        <v>1</v>
      </c>
      <c r="AK52" s="6" t="n">
        <f aca="false">IF(AND(O52="ja",COUNTIFS($C$2:C52,C52,$J$2:J52,J52,$O$2:O52,"ja")=1),1,0)</f>
        <v>1</v>
      </c>
    </row>
    <row r="53" customFormat="false" ht="15" hidden="false" customHeight="false" outlineLevel="0" collapsed="false">
      <c r="A53" s="15" t="n">
        <v>216</v>
      </c>
      <c r="B53" s="15" t="s">
        <v>142</v>
      </c>
      <c r="C53" s="15" t="s">
        <v>142</v>
      </c>
      <c r="D53" s="15"/>
      <c r="E53" s="15" t="s">
        <v>70</v>
      </c>
      <c r="F53" s="16" t="n">
        <v>46255.852337963</v>
      </c>
      <c r="G53" s="15" t="s">
        <v>71</v>
      </c>
      <c r="H53" s="15" t="n">
        <v>5</v>
      </c>
      <c r="I53" s="15" t="n">
        <v>5</v>
      </c>
      <c r="J53" s="15" t="n">
        <v>9</v>
      </c>
      <c r="K53" s="15" t="n">
        <v>5</v>
      </c>
      <c r="L53" s="15" t="n">
        <v>1</v>
      </c>
      <c r="M53" s="15" t="n">
        <v>9</v>
      </c>
      <c r="N53" s="15" t="s">
        <v>72</v>
      </c>
      <c r="O53" s="15" t="s">
        <v>73</v>
      </c>
      <c r="P53" s="15" t="n">
        <v>1</v>
      </c>
      <c r="Q53" s="15" t="n">
        <v>3</v>
      </c>
      <c r="R53" s="15" t="s">
        <v>94</v>
      </c>
      <c r="S53" s="15" t="s">
        <v>80</v>
      </c>
      <c r="T53" s="15" t="s">
        <v>80</v>
      </c>
      <c r="U53" s="15" t="s">
        <v>73</v>
      </c>
      <c r="V53" s="17"/>
      <c r="W53" s="17"/>
      <c r="X53" s="17"/>
      <c r="Y53" s="17"/>
      <c r="Z53" s="17" t="s">
        <v>148</v>
      </c>
      <c r="AA53" s="15" t="n">
        <v>53</v>
      </c>
      <c r="AB53" s="15"/>
      <c r="AC53" s="18" t="n">
        <f aca="false">IF(C53=C52,(F53-F52)*24,"")</f>
        <v>423.574722222222</v>
      </c>
      <c r="AD53" s="17"/>
      <c r="AE53" s="15" t="n">
        <f aca="false">INDEX(Parameter!$C$3:$C$8,H53)</f>
        <v>106</v>
      </c>
      <c r="AF53" s="18" t="str">
        <f aca="false">IF(AND(N53="ganz",INDEX(Parameter!$D$3:$D$8,H53)&lt;&gt;""),Q53*INDEX(Parameter!$D$3:$D$8,H53),"")</f>
        <v/>
      </c>
      <c r="AG53" s="18" t="str">
        <f aca="false">IF(AND(N53="ganz",INDEX(Parameter!$D$3:$D$8,H53)&lt;&gt;""),Q53*(INDEX(Parameter!$D$3:$D$8,H53)+INDEX(Parameter!$F$3:$F$8,H53)),"")</f>
        <v/>
      </c>
      <c r="AH53" s="15" t="n">
        <f aca="false">IF(AND(N53="ganz",COUNTIFS($C$2:C53,C53,$H$2:H53,H53,$N$2:N53,"ganz")&lt;=2),1,0)</f>
        <v>1</v>
      </c>
      <c r="AI53" s="15" t="n">
        <f aca="false">IF(AND(N53="ganz",COUNTIFS($C$2:C53,C53,$J$2:J53,J53,$N$2:N53,"ganz")=1),1,0)</f>
        <v>1</v>
      </c>
      <c r="AJ53" s="15" t="n">
        <f aca="false">IF(AND(O53="ja",COUNTIFS($C$2:C53,C53,$H$2:H53,H53,$O$2:O53,"ja")&lt;=2),1,0)</f>
        <v>1</v>
      </c>
      <c r="AK53" s="15" t="n">
        <f aca="false">IF(AND(O53="ja",COUNTIFS($C$2:C53,C53,$J$2:J53,J53,$O$2:O53,"ja")=1),1,0)</f>
        <v>1</v>
      </c>
    </row>
    <row r="54" customFormat="false" ht="15" hidden="false" customHeight="false" outlineLevel="0" collapsed="false">
      <c r="A54" s="6" t="n">
        <v>229</v>
      </c>
      <c r="B54" s="6" t="s">
        <v>142</v>
      </c>
      <c r="C54" s="6" t="s">
        <v>142</v>
      </c>
      <c r="D54" s="6"/>
      <c r="E54" s="6" t="s">
        <v>70</v>
      </c>
      <c r="F54" s="12" t="n">
        <v>46257.8800810185</v>
      </c>
      <c r="G54" s="6" t="s">
        <v>78</v>
      </c>
      <c r="H54" s="6" t="n">
        <v>5</v>
      </c>
      <c r="I54" s="6" t="n">
        <v>6</v>
      </c>
      <c r="J54" s="6" t="n">
        <v>10</v>
      </c>
      <c r="K54" s="6" t="n">
        <v>5</v>
      </c>
      <c r="L54" s="6" t="n">
        <v>2</v>
      </c>
      <c r="M54" s="6" t="n">
        <v>10</v>
      </c>
      <c r="N54" s="6" t="s">
        <v>72</v>
      </c>
      <c r="O54" s="6" t="s">
        <v>73</v>
      </c>
      <c r="P54" s="6" t="n">
        <v>1</v>
      </c>
      <c r="Q54" s="6" t="n">
        <v>4</v>
      </c>
      <c r="R54" s="6" t="s">
        <v>94</v>
      </c>
      <c r="S54" s="6" t="s">
        <v>73</v>
      </c>
      <c r="T54" s="6" t="s">
        <v>80</v>
      </c>
      <c r="U54" s="6" t="s">
        <v>73</v>
      </c>
      <c r="V54" s="13"/>
      <c r="W54" s="13"/>
      <c r="X54" s="13" t="s">
        <v>149</v>
      </c>
      <c r="Y54" s="13"/>
      <c r="Z54" s="13" t="s">
        <v>148</v>
      </c>
      <c r="AA54" s="6" t="n">
        <v>52</v>
      </c>
      <c r="AB54" s="6" t="s">
        <v>73</v>
      </c>
      <c r="AC54" s="14" t="n">
        <f aca="false">IF(C54=C53,(F54-F53)*24,"")</f>
        <v>48.6658333333333</v>
      </c>
      <c r="AD54" s="13"/>
      <c r="AE54" s="6" t="n">
        <f aca="false">INDEX(Parameter!$C$3:$C$8,H54)</f>
        <v>106</v>
      </c>
      <c r="AF54" s="14" t="str">
        <f aca="false">IF(AND(N54="ganz",INDEX(Parameter!$D$3:$D$8,H54)&lt;&gt;""),Q54*INDEX(Parameter!$D$3:$D$8,H54),"")</f>
        <v/>
      </c>
      <c r="AG54" s="14" t="str">
        <f aca="false">IF(AND(N54="ganz",INDEX(Parameter!$D$3:$D$8,H54)&lt;&gt;""),Q54*(INDEX(Parameter!$D$3:$D$8,H54)+INDEX(Parameter!$F$3:$F$8,H54)),"")</f>
        <v/>
      </c>
      <c r="AH54" s="6" t="n">
        <f aca="false">IF(AND(N54="ganz",COUNTIFS($C$2:C54,C54,$H$2:H54,H54,$N$2:N54,"ganz")&lt;=2),1,0)</f>
        <v>1</v>
      </c>
      <c r="AI54" s="6" t="n">
        <f aca="false">IF(AND(N54="ganz",COUNTIFS($C$2:C54,C54,$J$2:J54,J54,$N$2:N54,"ganz")=1),1,0)</f>
        <v>1</v>
      </c>
      <c r="AJ54" s="6" t="n">
        <f aca="false">IF(AND(O54="ja",COUNTIFS($C$2:C54,C54,$H$2:H54,H54,$O$2:O54,"ja")&lt;=2),1,0)</f>
        <v>1</v>
      </c>
      <c r="AK54" s="6" t="n">
        <f aca="false">IF(AND(O54="ja",COUNTIFS($C$2:C54,C54,$J$2:J54,J54,$O$2:O54,"ja")=1),1,0)</f>
        <v>1</v>
      </c>
    </row>
    <row r="55" customFormat="false" ht="15" hidden="false" customHeight="false" outlineLevel="0" collapsed="false">
      <c r="A55" s="15" t="n">
        <v>260</v>
      </c>
      <c r="B55" s="15" t="s">
        <v>142</v>
      </c>
      <c r="C55" s="15" t="s">
        <v>142</v>
      </c>
      <c r="D55" s="15"/>
      <c r="E55" s="15" t="s">
        <v>70</v>
      </c>
      <c r="F55" s="16" t="n">
        <v>46264.911087963</v>
      </c>
      <c r="G55" s="15" t="s">
        <v>78</v>
      </c>
      <c r="H55" s="15" t="n">
        <v>6</v>
      </c>
      <c r="I55" s="15" t="n">
        <v>7</v>
      </c>
      <c r="J55" s="15" t="n">
        <v>11</v>
      </c>
      <c r="K55" s="15" t="n">
        <v>6</v>
      </c>
      <c r="L55" s="15" t="n">
        <v>1</v>
      </c>
      <c r="M55" s="15" t="n">
        <v>11</v>
      </c>
      <c r="N55" s="15" t="s">
        <v>72</v>
      </c>
      <c r="O55" s="15" t="s">
        <v>73</v>
      </c>
      <c r="P55" s="15" t="n">
        <v>1</v>
      </c>
      <c r="Q55" s="15" t="n">
        <v>3</v>
      </c>
      <c r="R55" s="15" t="s">
        <v>94</v>
      </c>
      <c r="S55" s="15" t="s">
        <v>80</v>
      </c>
      <c r="T55" s="15" t="s">
        <v>80</v>
      </c>
      <c r="U55" s="15" t="s">
        <v>73</v>
      </c>
      <c r="V55" s="17"/>
      <c r="W55" s="17"/>
      <c r="X55" s="17"/>
      <c r="Y55" s="17"/>
      <c r="Z55" s="17" t="s">
        <v>150</v>
      </c>
      <c r="AA55" s="15" t="n">
        <v>51</v>
      </c>
      <c r="AB55" s="15" t="s">
        <v>73</v>
      </c>
      <c r="AC55" s="18" t="n">
        <f aca="false">IF(C55=C54,(F55-F54)*24,"")</f>
        <v>168.744166666667</v>
      </c>
      <c r="AD55" s="17" t="s">
        <v>151</v>
      </c>
      <c r="AE55" s="15" t="n">
        <f aca="false">INDEX(Parameter!$C$3:$C$8,H55)</f>
        <v>120</v>
      </c>
      <c r="AF55" s="18" t="n">
        <f aca="false">IF(AND(N55="ganz",INDEX(Parameter!$D$3:$D$8,H55)&lt;&gt;""),Q55*INDEX(Parameter!$D$3:$D$8,H55),"")</f>
        <v>93.15</v>
      </c>
      <c r="AG55" s="18" t="n">
        <f aca="false">IF(AND(N55="ganz",INDEX(Parameter!$D$3:$D$8,H55)&lt;&gt;""),Q55*(INDEX(Parameter!$D$3:$D$8,H55)+INDEX(Parameter!$F$3:$F$8,H55)),"")</f>
        <v>119.8</v>
      </c>
      <c r="AH55" s="15" t="n">
        <f aca="false">IF(AND(N55="ganz",COUNTIFS($C$2:C55,C55,$H$2:H55,H55,$N$2:N55,"ganz")&lt;=2),1,0)</f>
        <v>1</v>
      </c>
      <c r="AI55" s="15" t="n">
        <f aca="false">IF(AND(N55="ganz",COUNTIFS($C$2:C55,C55,$J$2:J55,J55,$N$2:N55,"ganz")=1),1,0)</f>
        <v>1</v>
      </c>
      <c r="AJ55" s="15" t="n">
        <f aca="false">IF(AND(O55="ja",COUNTIFS($C$2:C55,C55,$H$2:H55,H55,$O$2:O55,"ja")&lt;=2),1,0)</f>
        <v>1</v>
      </c>
      <c r="AK55" s="15" t="n">
        <f aca="false">IF(AND(O55="ja",COUNTIFS($C$2:C55,C55,$J$2:J55,J55,$O$2:O55,"ja")=1),1,0)</f>
        <v>1</v>
      </c>
    </row>
    <row r="56" customFormat="false" ht="15" hidden="false" customHeight="false" outlineLevel="0" collapsed="false">
      <c r="A56" s="6" t="n">
        <v>261</v>
      </c>
      <c r="B56" s="6" t="s">
        <v>142</v>
      </c>
      <c r="C56" s="6" t="s">
        <v>142</v>
      </c>
      <c r="D56" s="6"/>
      <c r="E56" s="6" t="s">
        <v>70</v>
      </c>
      <c r="F56" s="12" t="n">
        <v>46264.9118518519</v>
      </c>
      <c r="G56" s="6" t="s">
        <v>78</v>
      </c>
      <c r="H56" s="6" t="n">
        <v>6</v>
      </c>
      <c r="I56" s="6" t="n">
        <v>7</v>
      </c>
      <c r="J56" s="6" t="n">
        <v>12</v>
      </c>
      <c r="K56" s="6" t="n">
        <v>6</v>
      </c>
      <c r="L56" s="6" t="n">
        <v>2</v>
      </c>
      <c r="M56" s="6"/>
      <c r="N56" s="6" t="s">
        <v>109</v>
      </c>
      <c r="O56" s="6" t="s">
        <v>80</v>
      </c>
      <c r="P56" s="6" t="n">
        <v>0</v>
      </c>
      <c r="Q56" s="6" t="n">
        <v>0</v>
      </c>
      <c r="R56" s="6" t="s">
        <v>79</v>
      </c>
      <c r="S56" s="6" t="s">
        <v>80</v>
      </c>
      <c r="T56" s="6" t="s">
        <v>80</v>
      </c>
      <c r="U56" s="6" t="s">
        <v>80</v>
      </c>
      <c r="V56" s="13"/>
      <c r="W56" s="13" t="s">
        <v>152</v>
      </c>
      <c r="X56" s="13"/>
      <c r="Y56" s="13"/>
      <c r="Z56" s="13"/>
      <c r="AA56" s="6" t="n">
        <v>44</v>
      </c>
      <c r="AB56" s="6" t="s">
        <v>73</v>
      </c>
      <c r="AC56" s="14" t="n">
        <f aca="false">IF(C56=C55,(F56-F55)*24,"")</f>
        <v>0.0183333333333333</v>
      </c>
      <c r="AD56" s="13" t="s">
        <v>153</v>
      </c>
      <c r="AE56" s="6" t="n">
        <f aca="false">INDEX(Parameter!$C$3:$C$8,H56)</f>
        <v>120</v>
      </c>
      <c r="AF56" s="14" t="str">
        <f aca="false">IF(AND(N56="ganz",INDEX(Parameter!$D$3:$D$8,H56)&lt;&gt;""),Q56*INDEX(Parameter!$D$3:$D$8,H56),"")</f>
        <v/>
      </c>
      <c r="AG56" s="14" t="str">
        <f aca="false">IF(AND(N56="ganz",INDEX(Parameter!$D$3:$D$8,H56)&lt;&gt;""),Q56*(INDEX(Parameter!$D$3:$D$8,H56)+INDEX(Parameter!$F$3:$F$8,H56)),"")</f>
        <v/>
      </c>
      <c r="AH56" s="6" t="n">
        <f aca="false">IF(AND(N56="ganz",COUNTIFS($C$2:C56,C56,$H$2:H56,H56,$N$2:N56,"ganz")&lt;=2),1,0)</f>
        <v>0</v>
      </c>
      <c r="AI56" s="6" t="n">
        <f aca="false">IF(AND(N56="ganz",COUNTIFS($C$2:C56,C56,$J$2:J56,J56,$N$2:N56,"ganz")=1),1,0)</f>
        <v>0</v>
      </c>
      <c r="AJ56" s="6" t="n">
        <f aca="false">IF(AND(O56="ja",COUNTIFS($C$2:C56,C56,$H$2:H56,H56,$O$2:O56,"ja")&lt;=2),1,0)</f>
        <v>0</v>
      </c>
      <c r="AK56" s="6" t="n">
        <f aca="false">IF(AND(O56="ja",COUNTIFS($C$2:C56,C56,$J$2:J56,J56,$O$2:O56,"ja")=1),1,0)</f>
        <v>0</v>
      </c>
    </row>
    <row r="57" customFormat="false" ht="15" hidden="false" customHeight="false" outlineLevel="0" collapsed="false">
      <c r="A57" s="15" t="n">
        <v>53</v>
      </c>
      <c r="B57" s="15" t="s">
        <v>154</v>
      </c>
      <c r="C57" s="15" t="s">
        <v>154</v>
      </c>
      <c r="D57" s="15"/>
      <c r="E57" s="15" t="s">
        <v>70</v>
      </c>
      <c r="F57" s="16" t="n">
        <v>46228.6365625</v>
      </c>
      <c r="G57" s="15" t="s">
        <v>97</v>
      </c>
      <c r="H57" s="15" t="n">
        <v>1</v>
      </c>
      <c r="I57" s="15" t="n">
        <v>1</v>
      </c>
      <c r="J57" s="15" t="n">
        <v>1</v>
      </c>
      <c r="K57" s="15" t="n">
        <v>1</v>
      </c>
      <c r="L57" s="15" t="n">
        <v>1</v>
      </c>
      <c r="M57" s="15" t="n">
        <v>1</v>
      </c>
      <c r="N57" s="15" t="s">
        <v>72</v>
      </c>
      <c r="O57" s="15" t="s">
        <v>73</v>
      </c>
      <c r="P57" s="15" t="n">
        <v>1</v>
      </c>
      <c r="Q57" s="15" t="n">
        <v>3</v>
      </c>
      <c r="R57" s="15" t="s">
        <v>74</v>
      </c>
      <c r="S57" s="15" t="s">
        <v>80</v>
      </c>
      <c r="T57" s="15" t="s">
        <v>73</v>
      </c>
      <c r="U57" s="15" t="s">
        <v>73</v>
      </c>
      <c r="V57" s="17"/>
      <c r="W57" s="17"/>
      <c r="X57" s="17"/>
      <c r="Y57" s="17" t="s">
        <v>155</v>
      </c>
      <c r="Z57" s="17" t="s">
        <v>156</v>
      </c>
      <c r="AA57" s="15" t="n">
        <v>61</v>
      </c>
      <c r="AB57" s="15"/>
      <c r="AC57" s="18" t="str">
        <f aca="false">IF(C57=C56,(F57-F56)*24,"")</f>
        <v/>
      </c>
      <c r="AD57" s="17"/>
      <c r="AE57" s="15" t="n">
        <f aca="false">INDEX(Parameter!$C$3:$C$8,H57)</f>
        <v>52</v>
      </c>
      <c r="AF57" s="18" t="n">
        <f aca="false">IF(AND(N57="ganz",INDEX(Parameter!$D$3:$D$8,H57)&lt;&gt;""),Q57*INDEX(Parameter!$D$3:$D$8,H57),"")</f>
        <v>84.8</v>
      </c>
      <c r="AG57" s="18" t="n">
        <f aca="false">IF(AND(N57="ganz",INDEX(Parameter!$D$3:$D$8,H57)&lt;&gt;""),Q57*(INDEX(Parameter!$D$3:$D$8,H57)+INDEX(Parameter!$F$3:$F$8,H57)),"")</f>
        <v>111.45</v>
      </c>
      <c r="AH57" s="15" t="n">
        <f aca="false">IF(AND(N57="ganz",COUNTIFS($C$2:C57,C57,$H$2:H57,H57,$N$2:N57,"ganz")&lt;=2),1,0)</f>
        <v>1</v>
      </c>
      <c r="AI57" s="15" t="n">
        <f aca="false">IF(AND(N57="ganz",COUNTIFS($C$2:C57,C57,$J$2:J57,J57,$N$2:N57,"ganz")=1),1,0)</f>
        <v>1</v>
      </c>
      <c r="AJ57" s="15" t="n">
        <f aca="false">IF(AND(O57="ja",COUNTIFS($C$2:C57,C57,$H$2:H57,H57,$O$2:O57,"ja")&lt;=2),1,0)</f>
        <v>1</v>
      </c>
      <c r="AK57" s="15" t="n">
        <f aca="false">IF(AND(O57="ja",COUNTIFS($C$2:C57,C57,$J$2:J57,J57,$O$2:O57,"ja")=1),1,0)</f>
        <v>1</v>
      </c>
    </row>
    <row r="58" customFormat="false" ht="15" hidden="false" customHeight="false" outlineLevel="0" collapsed="false">
      <c r="A58" s="6" t="n">
        <v>102</v>
      </c>
      <c r="B58" s="6" t="s">
        <v>154</v>
      </c>
      <c r="C58" s="6" t="s">
        <v>154</v>
      </c>
      <c r="D58" s="6"/>
      <c r="E58" s="6" t="s">
        <v>70</v>
      </c>
      <c r="F58" s="12" t="n">
        <v>46236.1301388889</v>
      </c>
      <c r="G58" s="6" t="s">
        <v>78</v>
      </c>
      <c r="H58" s="6" t="n">
        <v>2</v>
      </c>
      <c r="I58" s="6" t="n">
        <v>2</v>
      </c>
      <c r="J58" s="6" t="n">
        <v>3</v>
      </c>
      <c r="K58" s="6" t="n">
        <v>2</v>
      </c>
      <c r="L58" s="6" t="n">
        <v>1</v>
      </c>
      <c r="M58" s="6" t="n">
        <v>3</v>
      </c>
      <c r="N58" s="6" t="s">
        <v>72</v>
      </c>
      <c r="O58" s="6" t="s">
        <v>73</v>
      </c>
      <c r="P58" s="6" t="n">
        <v>1</v>
      </c>
      <c r="Q58" s="6" t="n">
        <v>3</v>
      </c>
      <c r="R58" s="6" t="s">
        <v>74</v>
      </c>
      <c r="S58" s="6" t="s">
        <v>80</v>
      </c>
      <c r="T58" s="6" t="s">
        <v>73</v>
      </c>
      <c r="U58" s="6" t="s">
        <v>73</v>
      </c>
      <c r="V58" s="13"/>
      <c r="W58" s="13"/>
      <c r="X58" s="13"/>
      <c r="Y58" s="13" t="s">
        <v>157</v>
      </c>
      <c r="Z58" s="13" t="s">
        <v>158</v>
      </c>
      <c r="AA58" s="6" t="n">
        <v>55</v>
      </c>
      <c r="AB58" s="6"/>
      <c r="AC58" s="14" t="n">
        <f aca="false">IF(C58=C57,(F58-F57)*24,"")</f>
        <v>179.845833333333</v>
      </c>
      <c r="AD58" s="13"/>
      <c r="AE58" s="6" t="n">
        <f aca="false">INDEX(Parameter!$C$3:$C$8,H58)</f>
        <v>66</v>
      </c>
      <c r="AF58" s="14" t="n">
        <f aca="false">IF(AND(N58="ganz",INDEX(Parameter!$D$3:$D$8,H58)&lt;&gt;""),Q58*INDEX(Parameter!$D$3:$D$8,H58),"")</f>
        <v>84.1</v>
      </c>
      <c r="AG58" s="14" t="n">
        <f aca="false">IF(AND(N58="ganz",INDEX(Parameter!$D$3:$D$8,H58)&lt;&gt;""),Q58*(INDEX(Parameter!$D$3:$D$8,H58)+INDEX(Parameter!$F$3:$F$8,H58)),"")</f>
        <v>110.75</v>
      </c>
      <c r="AH58" s="6" t="n">
        <f aca="false">IF(AND(N58="ganz",COUNTIFS($C$2:C58,C58,$H$2:H58,H58,$N$2:N58,"ganz")&lt;=2),1,0)</f>
        <v>1</v>
      </c>
      <c r="AI58" s="6" t="n">
        <f aca="false">IF(AND(N58="ganz",COUNTIFS($C$2:C58,C58,$J$2:J58,J58,$N$2:N58,"ganz")=1),1,0)</f>
        <v>1</v>
      </c>
      <c r="AJ58" s="6" t="n">
        <f aca="false">IF(AND(O58="ja",COUNTIFS($C$2:C58,C58,$H$2:H58,H58,$O$2:O58,"ja")&lt;=2),1,0)</f>
        <v>1</v>
      </c>
      <c r="AK58" s="6" t="n">
        <f aca="false">IF(AND(O58="ja",COUNTIFS($C$2:C58,C58,$J$2:J58,J58,$O$2:O58,"ja")=1),1,0)</f>
        <v>1</v>
      </c>
    </row>
    <row r="59" customFormat="false" ht="15" hidden="false" customHeight="false" outlineLevel="0" collapsed="false">
      <c r="A59" s="15" t="n">
        <v>108</v>
      </c>
      <c r="B59" s="15" t="s">
        <v>154</v>
      </c>
      <c r="C59" s="15" t="s">
        <v>154</v>
      </c>
      <c r="D59" s="15"/>
      <c r="E59" s="15" t="s">
        <v>70</v>
      </c>
      <c r="F59" s="16" t="n">
        <v>46236.6449652778</v>
      </c>
      <c r="G59" s="15" t="s">
        <v>78</v>
      </c>
      <c r="H59" s="15" t="n">
        <v>2</v>
      </c>
      <c r="I59" s="15" t="n">
        <v>2</v>
      </c>
      <c r="J59" s="15" t="n">
        <v>4</v>
      </c>
      <c r="K59" s="15" t="n">
        <v>2</v>
      </c>
      <c r="L59" s="15" t="n">
        <v>2</v>
      </c>
      <c r="M59" s="15" t="n">
        <v>4</v>
      </c>
      <c r="N59" s="15" t="s">
        <v>72</v>
      </c>
      <c r="O59" s="15" t="s">
        <v>73</v>
      </c>
      <c r="P59" s="15" t="n">
        <v>1</v>
      </c>
      <c r="Q59" s="15" t="n">
        <v>4</v>
      </c>
      <c r="R59" s="15" t="s">
        <v>74</v>
      </c>
      <c r="S59" s="15" t="s">
        <v>80</v>
      </c>
      <c r="T59" s="15" t="s">
        <v>73</v>
      </c>
      <c r="U59" s="15" t="s">
        <v>73</v>
      </c>
      <c r="V59" s="17"/>
      <c r="W59" s="17"/>
      <c r="X59" s="17"/>
      <c r="Y59" s="17" t="s">
        <v>157</v>
      </c>
      <c r="Z59" s="17" t="s">
        <v>159</v>
      </c>
      <c r="AA59" s="15" t="n">
        <v>46</v>
      </c>
      <c r="AB59" s="15"/>
      <c r="AC59" s="18" t="n">
        <f aca="false">IF(C59=C58,(F59-F58)*24,"")</f>
        <v>12.3558333333333</v>
      </c>
      <c r="AD59" s="17"/>
      <c r="AE59" s="15" t="n">
        <f aca="false">INDEX(Parameter!$C$3:$C$8,H59)</f>
        <v>66</v>
      </c>
      <c r="AF59" s="18" t="n">
        <f aca="false">IF(AND(N59="ganz",INDEX(Parameter!$D$3:$D$8,H59)&lt;&gt;""),Q59*INDEX(Parameter!$D$3:$D$8,H59),"")</f>
        <v>112.133333333333</v>
      </c>
      <c r="AG59" s="18" t="n">
        <f aca="false">IF(AND(N59="ganz",INDEX(Parameter!$D$3:$D$8,H59)&lt;&gt;""),Q59*(INDEX(Parameter!$D$3:$D$8,H59)+INDEX(Parameter!$F$3:$F$8,H59)),"")</f>
        <v>147.666666666667</v>
      </c>
      <c r="AH59" s="15" t="n">
        <f aca="false">IF(AND(N59="ganz",COUNTIFS($C$2:C59,C59,$H$2:H59,H59,$N$2:N59,"ganz")&lt;=2),1,0)</f>
        <v>1</v>
      </c>
      <c r="AI59" s="15" t="n">
        <f aca="false">IF(AND(N59="ganz",COUNTIFS($C$2:C59,C59,$J$2:J59,J59,$N$2:N59,"ganz")=1),1,0)</f>
        <v>1</v>
      </c>
      <c r="AJ59" s="15" t="n">
        <f aca="false">IF(AND(O59="ja",COUNTIFS($C$2:C59,C59,$H$2:H59,H59,$O$2:O59,"ja")&lt;=2),1,0)</f>
        <v>1</v>
      </c>
      <c r="AK59" s="15" t="n">
        <f aca="false">IF(AND(O59="ja",COUNTIFS($C$2:C59,C59,$J$2:J59,J59,$O$2:O59,"ja")=1),1,0)</f>
        <v>1</v>
      </c>
    </row>
    <row r="60" customFormat="false" ht="15" hidden="false" customHeight="false" outlineLevel="0" collapsed="false">
      <c r="A60" s="6" t="n">
        <v>159</v>
      </c>
      <c r="B60" s="6" t="s">
        <v>154</v>
      </c>
      <c r="C60" s="6" t="s">
        <v>154</v>
      </c>
      <c r="D60" s="6"/>
      <c r="E60" s="6" t="s">
        <v>70</v>
      </c>
      <c r="F60" s="12" t="n">
        <v>46244.6091898148</v>
      </c>
      <c r="G60" s="6" t="s">
        <v>103</v>
      </c>
      <c r="H60" s="6" t="n">
        <v>4</v>
      </c>
      <c r="I60" s="6" t="n">
        <v>4</v>
      </c>
      <c r="J60" s="6" t="n">
        <v>8</v>
      </c>
      <c r="K60" s="6" t="n">
        <v>4</v>
      </c>
      <c r="L60" s="6" t="n">
        <v>2</v>
      </c>
      <c r="M60" s="6" t="n">
        <v>7</v>
      </c>
      <c r="N60" s="6" t="s">
        <v>72</v>
      </c>
      <c r="O60" s="6" t="s">
        <v>73</v>
      </c>
      <c r="P60" s="6" t="n">
        <v>1</v>
      </c>
      <c r="Q60" s="6" t="n">
        <v>5</v>
      </c>
      <c r="R60" s="6" t="s">
        <v>137</v>
      </c>
      <c r="S60" s="6" t="s">
        <v>80</v>
      </c>
      <c r="T60" s="6" t="s">
        <v>80</v>
      </c>
      <c r="U60" s="6" t="s">
        <v>73</v>
      </c>
      <c r="V60" s="13"/>
      <c r="W60" s="13"/>
      <c r="X60" s="13"/>
      <c r="Y60" s="13"/>
      <c r="Z60" s="13" t="s">
        <v>148</v>
      </c>
      <c r="AA60" s="6" t="n">
        <v>35</v>
      </c>
      <c r="AB60" s="6"/>
      <c r="AC60" s="14" t="n">
        <f aca="false">IF(C60=C59,(F60-F59)*24,"")</f>
        <v>191.141388888889</v>
      </c>
      <c r="AD60" s="13"/>
      <c r="AE60" s="6" t="n">
        <f aca="false">INDEX(Parameter!$C$3:$C$8,H60)</f>
        <v>96</v>
      </c>
      <c r="AF60" s="14" t="n">
        <f aca="false">IF(AND(N60="ganz",INDEX(Parameter!$D$3:$D$8,H60)&lt;&gt;""),Q60*INDEX(Parameter!$D$3:$D$8,H60),"")</f>
        <v>129.583333333333</v>
      </c>
      <c r="AG60" s="14" t="n">
        <f aca="false">IF(AND(N60="ganz",INDEX(Parameter!$D$3:$D$8,H60)&lt;&gt;""),Q60*(INDEX(Parameter!$D$3:$D$8,H60)+INDEX(Parameter!$F$3:$F$8,H60)),"")</f>
        <v>174</v>
      </c>
      <c r="AH60" s="6" t="n">
        <f aca="false">IF(AND(N60="ganz",COUNTIFS($C$2:C60,C60,$H$2:H60,H60,$N$2:N60,"ganz")&lt;=2),1,0)</f>
        <v>1</v>
      </c>
      <c r="AI60" s="6" t="n">
        <f aca="false">IF(AND(N60="ganz",COUNTIFS($C$2:C60,C60,$J$2:J60,J60,$N$2:N60,"ganz")=1),1,0)</f>
        <v>1</v>
      </c>
      <c r="AJ60" s="6" t="n">
        <f aca="false">IF(AND(O60="ja",COUNTIFS($C$2:C60,C60,$H$2:H60,H60,$O$2:O60,"ja")&lt;=2),1,0)</f>
        <v>1</v>
      </c>
      <c r="AK60" s="6" t="n">
        <f aca="false">IF(AND(O60="ja",COUNTIFS($C$2:C60,C60,$J$2:J60,J60,$O$2:O60,"ja")=1),1,0)</f>
        <v>1</v>
      </c>
    </row>
    <row r="61" customFormat="false" ht="15" hidden="false" customHeight="false" outlineLevel="0" collapsed="false">
      <c r="A61" s="15" t="n">
        <v>224</v>
      </c>
      <c r="B61" s="15" t="s">
        <v>154</v>
      </c>
      <c r="C61" s="15" t="s">
        <v>154</v>
      </c>
      <c r="D61" s="15"/>
      <c r="E61" s="15" t="s">
        <v>70</v>
      </c>
      <c r="F61" s="16" t="n">
        <v>46257.4753472222</v>
      </c>
      <c r="G61" s="15" t="s">
        <v>78</v>
      </c>
      <c r="H61" s="15" t="n">
        <v>5</v>
      </c>
      <c r="I61" s="15" t="n">
        <v>5</v>
      </c>
      <c r="J61" s="15" t="n">
        <v>10</v>
      </c>
      <c r="K61" s="15" t="n">
        <v>5</v>
      </c>
      <c r="L61" s="15" t="n">
        <v>2</v>
      </c>
      <c r="M61" s="15" t="n">
        <v>9</v>
      </c>
      <c r="N61" s="15" t="s">
        <v>72</v>
      </c>
      <c r="O61" s="15" t="s">
        <v>73</v>
      </c>
      <c r="P61" s="15" t="n">
        <v>1</v>
      </c>
      <c r="Q61" s="15" t="n">
        <v>5</v>
      </c>
      <c r="R61" s="15" t="s">
        <v>94</v>
      </c>
      <c r="S61" s="15" t="s">
        <v>80</v>
      </c>
      <c r="T61" s="15" t="s">
        <v>80</v>
      </c>
      <c r="U61" s="15" t="s">
        <v>80</v>
      </c>
      <c r="V61" s="17"/>
      <c r="W61" s="17"/>
      <c r="X61" s="17"/>
      <c r="Y61" s="17"/>
      <c r="Z61" s="17"/>
      <c r="AA61" s="15" t="n">
        <v>28</v>
      </c>
      <c r="AB61" s="15"/>
      <c r="AC61" s="18" t="n">
        <f aca="false">IF(C61=C60,(F61-F60)*24,"")</f>
        <v>308.787777777778</v>
      </c>
      <c r="AD61" s="17"/>
      <c r="AE61" s="15" t="n">
        <f aca="false">INDEX(Parameter!$C$3:$C$8,H61)</f>
        <v>106</v>
      </c>
      <c r="AF61" s="18" t="str">
        <f aca="false">IF(AND(N61="ganz",INDEX(Parameter!$D$3:$D$8,H61)&lt;&gt;""),Q61*INDEX(Parameter!$D$3:$D$8,H61),"")</f>
        <v/>
      </c>
      <c r="AG61" s="18" t="str">
        <f aca="false">IF(AND(N61="ganz",INDEX(Parameter!$D$3:$D$8,H61)&lt;&gt;""),Q61*(INDEX(Parameter!$D$3:$D$8,H61)+INDEX(Parameter!$F$3:$F$8,H61)),"")</f>
        <v/>
      </c>
      <c r="AH61" s="15" t="n">
        <f aca="false">IF(AND(N61="ganz",COUNTIFS($C$2:C61,C61,$H$2:H61,H61,$N$2:N61,"ganz")&lt;=2),1,0)</f>
        <v>1</v>
      </c>
      <c r="AI61" s="15" t="n">
        <f aca="false">IF(AND(N61="ganz",COUNTIFS($C$2:C61,C61,$J$2:J61,J61,$N$2:N61,"ganz")=1),1,0)</f>
        <v>1</v>
      </c>
      <c r="AJ61" s="15" t="n">
        <f aca="false">IF(AND(O61="ja",COUNTIFS($C$2:C61,C61,$H$2:H61,H61,$O$2:O61,"ja")&lt;=2),1,0)</f>
        <v>1</v>
      </c>
      <c r="AK61" s="15" t="n">
        <f aca="false">IF(AND(O61="ja",COUNTIFS($C$2:C61,C61,$J$2:J61,J61,$O$2:O61,"ja")=1),1,0)</f>
        <v>1</v>
      </c>
    </row>
    <row r="62" customFormat="false" ht="15" hidden="false" customHeight="false" outlineLevel="0" collapsed="false">
      <c r="A62" s="6" t="n">
        <v>51</v>
      </c>
      <c r="B62" s="6" t="s">
        <v>160</v>
      </c>
      <c r="C62" s="6" t="s">
        <v>160</v>
      </c>
      <c r="D62" s="6"/>
      <c r="E62" s="6" t="s">
        <v>70</v>
      </c>
      <c r="F62" s="12" t="n">
        <v>46228.6334490741</v>
      </c>
      <c r="G62" s="6" t="s">
        <v>97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s">
        <v>72</v>
      </c>
      <c r="O62" s="6" t="s">
        <v>73</v>
      </c>
      <c r="P62" s="6" t="n">
        <v>1</v>
      </c>
      <c r="Q62" s="6" t="n">
        <v>3</v>
      </c>
      <c r="R62" s="6" t="s">
        <v>85</v>
      </c>
      <c r="S62" s="6" t="s">
        <v>73</v>
      </c>
      <c r="T62" s="6" t="s">
        <v>80</v>
      </c>
      <c r="U62" s="6" t="s">
        <v>73</v>
      </c>
      <c r="V62" s="13"/>
      <c r="W62" s="13"/>
      <c r="X62" s="13" t="s">
        <v>161</v>
      </c>
      <c r="Y62" s="13"/>
      <c r="Z62" s="13" t="s">
        <v>162</v>
      </c>
      <c r="AA62" s="6" t="n">
        <v>58</v>
      </c>
      <c r="AB62" s="6"/>
      <c r="AC62" s="14" t="str">
        <f aca="false">IF(C62=C61,(F62-F61)*24,"")</f>
        <v/>
      </c>
      <c r="AD62" s="13"/>
      <c r="AE62" s="6" t="n">
        <f aca="false">INDEX(Parameter!$C$3:$C$8,H62)</f>
        <v>52</v>
      </c>
      <c r="AF62" s="14" t="n">
        <f aca="false">IF(AND(N62="ganz",INDEX(Parameter!$D$3:$D$8,H62)&lt;&gt;""),Q62*INDEX(Parameter!$D$3:$D$8,H62),"")</f>
        <v>84.8</v>
      </c>
      <c r="AG62" s="14" t="n">
        <f aca="false">IF(AND(N62="ganz",INDEX(Parameter!$D$3:$D$8,H62)&lt;&gt;""),Q62*(INDEX(Parameter!$D$3:$D$8,H62)+INDEX(Parameter!$F$3:$F$8,H62)),"")</f>
        <v>111.45</v>
      </c>
      <c r="AH62" s="6" t="n">
        <f aca="false">IF(AND(N62="ganz",COUNTIFS($C$2:C62,C62,$H$2:H62,H62,$N$2:N62,"ganz")&lt;=2),1,0)</f>
        <v>1</v>
      </c>
      <c r="AI62" s="6" t="n">
        <f aca="false">IF(AND(N62="ganz",COUNTIFS($C$2:C62,C62,$J$2:J62,J62,$N$2:N62,"ganz")=1),1,0)</f>
        <v>1</v>
      </c>
      <c r="AJ62" s="6" t="n">
        <f aca="false">IF(AND(O62="ja",COUNTIFS($C$2:C62,C62,$H$2:H62,H62,$O$2:O62,"ja")&lt;=2),1,0)</f>
        <v>1</v>
      </c>
      <c r="AK62" s="6" t="n">
        <f aca="false">IF(AND(O62="ja",COUNTIFS($C$2:C62,C62,$J$2:J62,J62,$O$2:O62,"ja")=1),1,0)</f>
        <v>1</v>
      </c>
    </row>
    <row r="63" customFormat="false" ht="15" hidden="false" customHeight="false" outlineLevel="0" collapsed="false">
      <c r="A63" s="15" t="n">
        <v>110</v>
      </c>
      <c r="B63" s="15" t="s">
        <v>160</v>
      </c>
      <c r="C63" s="15" t="s">
        <v>160</v>
      </c>
      <c r="D63" s="15"/>
      <c r="E63" s="15" t="s">
        <v>70</v>
      </c>
      <c r="F63" s="16" t="n">
        <v>46236.6784259259</v>
      </c>
      <c r="G63" s="15" t="s">
        <v>78</v>
      </c>
      <c r="H63" s="15" t="n">
        <v>2</v>
      </c>
      <c r="I63" s="15" t="n">
        <v>2</v>
      </c>
      <c r="J63" s="15" t="n">
        <v>4</v>
      </c>
      <c r="K63" s="15" t="n">
        <v>2</v>
      </c>
      <c r="L63" s="15" t="n">
        <v>2</v>
      </c>
      <c r="M63" s="15" t="n">
        <v>3</v>
      </c>
      <c r="N63" s="15" t="s">
        <v>72</v>
      </c>
      <c r="O63" s="15" t="s">
        <v>73</v>
      </c>
      <c r="P63" s="15" t="n">
        <v>1</v>
      </c>
      <c r="Q63" s="15" t="n">
        <v>4</v>
      </c>
      <c r="R63" s="15" t="s">
        <v>85</v>
      </c>
      <c r="S63" s="15" t="s">
        <v>80</v>
      </c>
      <c r="T63" s="15" t="s">
        <v>80</v>
      </c>
      <c r="U63" s="15" t="s">
        <v>73</v>
      </c>
      <c r="V63" s="17"/>
      <c r="W63" s="17"/>
      <c r="X63" s="17"/>
      <c r="Y63" s="17"/>
      <c r="Z63" s="17" t="s">
        <v>163</v>
      </c>
      <c r="AA63" s="15" t="n">
        <v>54</v>
      </c>
      <c r="AB63" s="15"/>
      <c r="AC63" s="18" t="n">
        <f aca="false">IF(C63=C62,(F63-F62)*24,"")</f>
        <v>193.079444444444</v>
      </c>
      <c r="AD63" s="17"/>
      <c r="AE63" s="15" t="n">
        <f aca="false">INDEX(Parameter!$C$3:$C$8,H63)</f>
        <v>66</v>
      </c>
      <c r="AF63" s="18" t="n">
        <f aca="false">IF(AND(N63="ganz",INDEX(Parameter!$D$3:$D$8,H63)&lt;&gt;""),Q63*INDEX(Parameter!$D$3:$D$8,H63),"")</f>
        <v>112.133333333333</v>
      </c>
      <c r="AG63" s="18" t="n">
        <f aca="false">IF(AND(N63="ganz",INDEX(Parameter!$D$3:$D$8,H63)&lt;&gt;""),Q63*(INDEX(Parameter!$D$3:$D$8,H63)+INDEX(Parameter!$F$3:$F$8,H63)),"")</f>
        <v>147.666666666667</v>
      </c>
      <c r="AH63" s="15" t="n">
        <f aca="false">IF(AND(N63="ganz",COUNTIFS($C$2:C63,C63,$H$2:H63,H63,$N$2:N63,"ganz")&lt;=2),1,0)</f>
        <v>1</v>
      </c>
      <c r="AI63" s="15" t="n">
        <f aca="false">IF(AND(N63="ganz",COUNTIFS($C$2:C63,C63,$J$2:J63,J63,$N$2:N63,"ganz")=1),1,0)</f>
        <v>1</v>
      </c>
      <c r="AJ63" s="15" t="n">
        <f aca="false">IF(AND(O63="ja",COUNTIFS($C$2:C63,C63,$H$2:H63,H63,$O$2:O63,"ja")&lt;=2),1,0)</f>
        <v>1</v>
      </c>
      <c r="AK63" s="15" t="n">
        <f aca="false">IF(AND(O63="ja",COUNTIFS($C$2:C63,C63,$J$2:J63,J63,$O$2:O63,"ja")=1),1,0)</f>
        <v>1</v>
      </c>
    </row>
    <row r="64" customFormat="false" ht="15" hidden="false" customHeight="false" outlineLevel="0" collapsed="false">
      <c r="A64" s="6" t="n">
        <v>18</v>
      </c>
      <c r="B64" s="6" t="s">
        <v>164</v>
      </c>
      <c r="C64" s="6" t="s">
        <v>164</v>
      </c>
      <c r="D64" s="6"/>
      <c r="E64" s="6" t="s">
        <v>165</v>
      </c>
      <c r="F64" s="12" t="n">
        <v>46223.7537152778</v>
      </c>
      <c r="G64" s="6" t="s">
        <v>103</v>
      </c>
      <c r="H64" s="6" t="n">
        <v>1</v>
      </c>
      <c r="I64" s="6" t="n">
        <v>1</v>
      </c>
      <c r="J64" s="6" t="n">
        <v>1</v>
      </c>
      <c r="K64" s="6" t="n">
        <v>1</v>
      </c>
      <c r="L64" s="6" t="n">
        <v>1</v>
      </c>
      <c r="M64" s="6" t="n">
        <v>1</v>
      </c>
      <c r="N64" s="6" t="s">
        <v>98</v>
      </c>
      <c r="O64" s="6" t="s">
        <v>73</v>
      </c>
      <c r="P64" s="6" t="n">
        <v>0</v>
      </c>
      <c r="Q64" s="6" t="n">
        <v>9</v>
      </c>
      <c r="R64" s="6" t="s">
        <v>85</v>
      </c>
      <c r="S64" s="6" t="s">
        <v>80</v>
      </c>
      <c r="T64" s="6" t="s">
        <v>73</v>
      </c>
      <c r="U64" s="6" t="s">
        <v>80</v>
      </c>
      <c r="V64" s="13" t="s">
        <v>166</v>
      </c>
      <c r="W64" s="13"/>
      <c r="X64" s="13"/>
      <c r="Y64" s="13" t="s">
        <v>167</v>
      </c>
      <c r="Z64" s="13"/>
      <c r="AA64" s="6" t="n">
        <v>69</v>
      </c>
      <c r="AB64" s="6"/>
      <c r="AC64" s="14" t="str">
        <f aca="false">IF(C64=C63,(F64-F63)*24,"")</f>
        <v/>
      </c>
      <c r="AD64" s="13"/>
      <c r="AE64" s="6" t="n">
        <f aca="false">INDEX(Parameter!$C$3:$C$8,H64)</f>
        <v>52</v>
      </c>
      <c r="AF64" s="14" t="str">
        <f aca="false">IF(AND(N64="ganz",INDEX(Parameter!$D$3:$D$8,H64)&lt;&gt;""),Q64*INDEX(Parameter!$D$3:$D$8,H64),"")</f>
        <v/>
      </c>
      <c r="AG64" s="14" t="str">
        <f aca="false">IF(AND(N64="ganz",INDEX(Parameter!$D$3:$D$8,H64)&lt;&gt;""),Q64*(INDEX(Parameter!$D$3:$D$8,H64)+INDEX(Parameter!$F$3:$F$8,H64)),"")</f>
        <v/>
      </c>
      <c r="AH64" s="6" t="n">
        <f aca="false">IF(AND(N64="ganz",COUNTIFS($C$2:C64,C64,$H$2:H64,H64,$N$2:N64,"ganz")&lt;=2),1,0)</f>
        <v>0</v>
      </c>
      <c r="AI64" s="6" t="n">
        <f aca="false">IF(AND(N64="ganz",COUNTIFS($C$2:C64,C64,$J$2:J64,J64,$N$2:N64,"ganz")=1),1,0)</f>
        <v>0</v>
      </c>
      <c r="AJ64" s="6" t="n">
        <f aca="false">IF(AND(O64="ja",COUNTIFS($C$2:C64,C64,$H$2:H64,H64,$O$2:O64,"ja")&lt;=2),1,0)</f>
        <v>1</v>
      </c>
      <c r="AK64" s="6" t="n">
        <f aca="false">IF(AND(O64="ja",COUNTIFS($C$2:C64,C64,$J$2:J64,J64,$O$2:O64,"ja")=1),1,0)</f>
        <v>1</v>
      </c>
    </row>
    <row r="65" customFormat="false" ht="15" hidden="false" customHeight="false" outlineLevel="0" collapsed="false">
      <c r="A65" s="15" t="n">
        <v>41</v>
      </c>
      <c r="B65" s="15" t="s">
        <v>164</v>
      </c>
      <c r="C65" s="15" t="s">
        <v>164</v>
      </c>
      <c r="D65" s="15"/>
      <c r="E65" s="15" t="s">
        <v>165</v>
      </c>
      <c r="F65" s="16" t="n">
        <v>46227.4090625</v>
      </c>
      <c r="G65" s="15" t="s">
        <v>71</v>
      </c>
      <c r="H65" s="15" t="n">
        <v>1</v>
      </c>
      <c r="I65" s="15" t="n">
        <v>1</v>
      </c>
      <c r="J65" s="15" t="n">
        <v>1</v>
      </c>
      <c r="K65" s="15" t="n">
        <v>1</v>
      </c>
      <c r="L65" s="15" t="n">
        <v>1</v>
      </c>
      <c r="M65" s="15"/>
      <c r="N65" s="15" t="s">
        <v>109</v>
      </c>
      <c r="O65" s="15" t="s">
        <v>80</v>
      </c>
      <c r="P65" s="15" t="n">
        <v>0</v>
      </c>
      <c r="Q65" s="15" t="n">
        <v>0</v>
      </c>
      <c r="R65" s="15" t="s">
        <v>94</v>
      </c>
      <c r="S65" s="15" t="s">
        <v>73</v>
      </c>
      <c r="T65" s="15" t="s">
        <v>80</v>
      </c>
      <c r="U65" s="15" t="s">
        <v>73</v>
      </c>
      <c r="V65" s="17"/>
      <c r="W65" s="17" t="s">
        <v>168</v>
      </c>
      <c r="X65" s="17" t="s">
        <v>169</v>
      </c>
      <c r="Y65" s="17"/>
      <c r="Z65" s="17" t="s">
        <v>170</v>
      </c>
      <c r="AA65" s="15" t="n">
        <v>70</v>
      </c>
      <c r="AB65" s="15"/>
      <c r="AC65" s="18" t="n">
        <f aca="false">IF(C65=C64,(F65-F64)*24,"")</f>
        <v>87.7283333333333</v>
      </c>
      <c r="AD65" s="17"/>
      <c r="AE65" s="15" t="n">
        <f aca="false">INDEX(Parameter!$C$3:$C$8,H65)</f>
        <v>52</v>
      </c>
      <c r="AF65" s="18" t="str">
        <f aca="false">IF(AND(N65="ganz",INDEX(Parameter!$D$3:$D$8,H65)&lt;&gt;""),Q65*INDEX(Parameter!$D$3:$D$8,H65),"")</f>
        <v/>
      </c>
      <c r="AG65" s="18" t="str">
        <f aca="false">IF(AND(N65="ganz",INDEX(Parameter!$D$3:$D$8,H65)&lt;&gt;""),Q65*(INDEX(Parameter!$D$3:$D$8,H65)+INDEX(Parameter!$F$3:$F$8,H65)),"")</f>
        <v/>
      </c>
      <c r="AH65" s="15" t="n">
        <f aca="false">IF(AND(N65="ganz",COUNTIFS($C$2:C65,C65,$H$2:H65,H65,$N$2:N65,"ganz")&lt;=2),1,0)</f>
        <v>0</v>
      </c>
      <c r="AI65" s="15" t="n">
        <f aca="false">IF(AND(N65="ganz",COUNTIFS($C$2:C65,C65,$J$2:J65,J65,$N$2:N65,"ganz")=1),1,0)</f>
        <v>0</v>
      </c>
      <c r="AJ65" s="15" t="n">
        <f aca="false">IF(AND(O65="ja",COUNTIFS($C$2:C65,C65,$H$2:H65,H65,$O$2:O65,"ja")&lt;=2),1,0)</f>
        <v>0</v>
      </c>
      <c r="AK65" s="15" t="n">
        <f aca="false">IF(AND(O65="ja",COUNTIFS($C$2:C65,C65,$J$2:J65,J65,$O$2:O65,"ja")=1),1,0)</f>
        <v>0</v>
      </c>
    </row>
    <row r="66" customFormat="false" ht="15" hidden="false" customHeight="false" outlineLevel="0" collapsed="false">
      <c r="A66" s="6" t="n">
        <v>62</v>
      </c>
      <c r="B66" s="6" t="s">
        <v>164</v>
      </c>
      <c r="C66" s="6" t="s">
        <v>164</v>
      </c>
      <c r="D66" s="6"/>
      <c r="E66" s="6" t="s">
        <v>165</v>
      </c>
      <c r="F66" s="12" t="n">
        <v>46229.7120717593</v>
      </c>
      <c r="G66" s="6" t="s">
        <v>78</v>
      </c>
      <c r="H66" s="6" t="n">
        <v>1</v>
      </c>
      <c r="I66" s="6" t="n">
        <v>1</v>
      </c>
      <c r="J66" s="6" t="n">
        <v>2</v>
      </c>
      <c r="K66" s="6" t="n">
        <v>1</v>
      </c>
      <c r="L66" s="6" t="n">
        <v>2</v>
      </c>
      <c r="M66" s="6" t="n">
        <v>2</v>
      </c>
      <c r="N66" s="6" t="s">
        <v>72</v>
      </c>
      <c r="O66" s="6" t="s">
        <v>73</v>
      </c>
      <c r="P66" s="6" t="n">
        <v>1</v>
      </c>
      <c r="Q66" s="6" t="n">
        <v>2</v>
      </c>
      <c r="R66" s="6" t="s">
        <v>94</v>
      </c>
      <c r="S66" s="6" t="s">
        <v>80</v>
      </c>
      <c r="T66" s="6" t="s">
        <v>80</v>
      </c>
      <c r="U66" s="6" t="s">
        <v>73</v>
      </c>
      <c r="V66" s="13"/>
      <c r="W66" s="13"/>
      <c r="X66" s="13"/>
      <c r="Y66" s="13"/>
      <c r="Z66" s="13" t="s">
        <v>171</v>
      </c>
      <c r="AA66" s="6" t="n">
        <v>53</v>
      </c>
      <c r="AB66" s="6"/>
      <c r="AC66" s="14" t="n">
        <f aca="false">IF(C66=C65,(F66-F65)*24,"")</f>
        <v>55.2722222222222</v>
      </c>
      <c r="AD66" s="13"/>
      <c r="AE66" s="6" t="n">
        <f aca="false">INDEX(Parameter!$C$3:$C$8,H66)</f>
        <v>52</v>
      </c>
      <c r="AF66" s="14" t="n">
        <f aca="false">IF(AND(N66="ganz",INDEX(Parameter!$D$3:$D$8,H66)&lt;&gt;""),Q66*INDEX(Parameter!$D$3:$D$8,H66),"")</f>
        <v>56.5333333333333</v>
      </c>
      <c r="AG66" s="14" t="n">
        <f aca="false">IF(AND(N66="ganz",INDEX(Parameter!$D$3:$D$8,H66)&lt;&gt;""),Q66*(INDEX(Parameter!$D$3:$D$8,H66)+INDEX(Parameter!$F$3:$F$8,H66)),"")</f>
        <v>74.3</v>
      </c>
      <c r="AH66" s="6" t="n">
        <f aca="false">IF(AND(N66="ganz",COUNTIFS($C$2:C66,C66,$H$2:H66,H66,$N$2:N66,"ganz")&lt;=2),1,0)</f>
        <v>1</v>
      </c>
      <c r="AI66" s="6" t="n">
        <f aca="false">IF(AND(N66="ganz",COUNTIFS($C$2:C66,C66,$J$2:J66,J66,$N$2:N66,"ganz")=1),1,0)</f>
        <v>1</v>
      </c>
      <c r="AJ66" s="6" t="n">
        <f aca="false">IF(AND(O66="ja",COUNTIFS($C$2:C66,C66,$H$2:H66,H66,$O$2:O66,"ja")&lt;=2),1,0)</f>
        <v>1</v>
      </c>
      <c r="AK66" s="6" t="n">
        <f aca="false">IF(AND(O66="ja",COUNTIFS($C$2:C66,C66,$J$2:J66,J66,$O$2:O66,"ja")=1),1,0)</f>
        <v>1</v>
      </c>
    </row>
    <row r="67" customFormat="false" ht="15" hidden="false" customHeight="false" outlineLevel="0" collapsed="false">
      <c r="A67" s="15" t="n">
        <v>87</v>
      </c>
      <c r="B67" s="15" t="s">
        <v>164</v>
      </c>
      <c r="C67" s="15" t="s">
        <v>164</v>
      </c>
      <c r="D67" s="15"/>
      <c r="E67" s="15" t="s">
        <v>165</v>
      </c>
      <c r="F67" s="16" t="n">
        <v>46233.500162037</v>
      </c>
      <c r="G67" s="15" t="s">
        <v>87</v>
      </c>
      <c r="H67" s="15" t="n">
        <v>2</v>
      </c>
      <c r="I67" s="15" t="n">
        <v>2</v>
      </c>
      <c r="J67" s="15" t="n">
        <v>3</v>
      </c>
      <c r="K67" s="15" t="n">
        <v>2</v>
      </c>
      <c r="L67" s="15" t="n">
        <v>1</v>
      </c>
      <c r="M67" s="15" t="n">
        <v>3</v>
      </c>
      <c r="N67" s="15" t="s">
        <v>72</v>
      </c>
      <c r="O67" s="15" t="s">
        <v>73</v>
      </c>
      <c r="P67" s="15" t="n">
        <v>1</v>
      </c>
      <c r="Q67" s="15" t="n">
        <v>3</v>
      </c>
      <c r="R67" s="15" t="s">
        <v>94</v>
      </c>
      <c r="S67" s="15" t="s">
        <v>80</v>
      </c>
      <c r="T67" s="15" t="s">
        <v>80</v>
      </c>
      <c r="U67" s="15" t="s">
        <v>73</v>
      </c>
      <c r="V67" s="17"/>
      <c r="W67" s="17"/>
      <c r="X67" s="17"/>
      <c r="Y67" s="17"/>
      <c r="Z67" s="17" t="s">
        <v>172</v>
      </c>
      <c r="AA67" s="15" t="n">
        <v>62</v>
      </c>
      <c r="AB67" s="15"/>
      <c r="AC67" s="18" t="n">
        <f aca="false">IF(C67=C66,(F67-F66)*24,"")</f>
        <v>90.9141666666667</v>
      </c>
      <c r="AD67" s="17"/>
      <c r="AE67" s="15" t="n">
        <f aca="false">INDEX(Parameter!$C$3:$C$8,H67)</f>
        <v>66</v>
      </c>
      <c r="AF67" s="18" t="n">
        <f aca="false">IF(AND(N67="ganz",INDEX(Parameter!$D$3:$D$8,H67)&lt;&gt;""),Q67*INDEX(Parameter!$D$3:$D$8,H67),"")</f>
        <v>84.1</v>
      </c>
      <c r="AG67" s="18" t="n">
        <f aca="false">IF(AND(N67="ganz",INDEX(Parameter!$D$3:$D$8,H67)&lt;&gt;""),Q67*(INDEX(Parameter!$D$3:$D$8,H67)+INDEX(Parameter!$F$3:$F$8,H67)),"")</f>
        <v>110.75</v>
      </c>
      <c r="AH67" s="15" t="n">
        <f aca="false">IF(AND(N67="ganz",COUNTIFS($C$2:C67,C67,$H$2:H67,H67,$N$2:N67,"ganz")&lt;=2),1,0)</f>
        <v>1</v>
      </c>
      <c r="AI67" s="15" t="n">
        <f aca="false">IF(AND(N67="ganz",COUNTIFS($C$2:C67,C67,$J$2:J67,J67,$N$2:N67,"ganz")=1),1,0)</f>
        <v>1</v>
      </c>
      <c r="AJ67" s="15" t="n">
        <f aca="false">IF(AND(O67="ja",COUNTIFS($C$2:C67,C67,$H$2:H67,H67,$O$2:O67,"ja")&lt;=2),1,0)</f>
        <v>1</v>
      </c>
      <c r="AK67" s="15" t="n">
        <f aca="false">IF(AND(O67="ja",COUNTIFS($C$2:C67,C67,$J$2:J67,J67,$O$2:O67,"ja")=1),1,0)</f>
        <v>1</v>
      </c>
    </row>
    <row r="68" customFormat="false" ht="15" hidden="false" customHeight="false" outlineLevel="0" collapsed="false">
      <c r="A68" s="6" t="n">
        <v>115</v>
      </c>
      <c r="B68" s="6" t="s">
        <v>164</v>
      </c>
      <c r="C68" s="6" t="s">
        <v>164</v>
      </c>
      <c r="D68" s="6"/>
      <c r="E68" s="6" t="s">
        <v>165</v>
      </c>
      <c r="F68" s="12" t="n">
        <v>46236.8304166667</v>
      </c>
      <c r="G68" s="6" t="s">
        <v>78</v>
      </c>
      <c r="H68" s="6" t="n">
        <v>2</v>
      </c>
      <c r="I68" s="6" t="n">
        <v>2</v>
      </c>
      <c r="J68" s="6" t="n">
        <v>4</v>
      </c>
      <c r="K68" s="6" t="n">
        <v>2</v>
      </c>
      <c r="L68" s="6" t="n">
        <v>2</v>
      </c>
      <c r="M68" s="6" t="n">
        <v>4</v>
      </c>
      <c r="N68" s="6" t="s">
        <v>72</v>
      </c>
      <c r="O68" s="6" t="s">
        <v>73</v>
      </c>
      <c r="P68" s="6" t="n">
        <v>1</v>
      </c>
      <c r="Q68" s="6" t="n">
        <v>3</v>
      </c>
      <c r="R68" s="6" t="s">
        <v>94</v>
      </c>
      <c r="S68" s="6" t="s">
        <v>80</v>
      </c>
      <c r="T68" s="6" t="s">
        <v>80</v>
      </c>
      <c r="U68" s="6" t="s">
        <v>73</v>
      </c>
      <c r="V68" s="13"/>
      <c r="W68" s="13"/>
      <c r="X68" s="13"/>
      <c r="Y68" s="13"/>
      <c r="Z68" s="13" t="s">
        <v>173</v>
      </c>
      <c r="AA68" s="6" t="n">
        <v>52</v>
      </c>
      <c r="AB68" s="6"/>
      <c r="AC68" s="14" t="n">
        <f aca="false">IF(C68=C67,(F68-F67)*24,"")</f>
        <v>79.9261111111111</v>
      </c>
      <c r="AD68" s="13"/>
      <c r="AE68" s="6" t="n">
        <f aca="false">INDEX(Parameter!$C$3:$C$8,H68)</f>
        <v>66</v>
      </c>
      <c r="AF68" s="14" t="n">
        <f aca="false">IF(AND(N68="ganz",INDEX(Parameter!$D$3:$D$8,H68)&lt;&gt;""),Q68*INDEX(Parameter!$D$3:$D$8,H68),"")</f>
        <v>84.1</v>
      </c>
      <c r="AG68" s="14" t="n">
        <f aca="false">IF(AND(N68="ganz",INDEX(Parameter!$D$3:$D$8,H68)&lt;&gt;""),Q68*(INDEX(Parameter!$D$3:$D$8,H68)+INDEX(Parameter!$F$3:$F$8,H68)),"")</f>
        <v>110.75</v>
      </c>
      <c r="AH68" s="6" t="n">
        <f aca="false">IF(AND(N68="ganz",COUNTIFS($C$2:C68,C68,$H$2:H68,H68,$N$2:N68,"ganz")&lt;=2),1,0)</f>
        <v>1</v>
      </c>
      <c r="AI68" s="6" t="n">
        <f aca="false">IF(AND(N68="ganz",COUNTIFS($C$2:C68,C68,$J$2:J68,J68,$N$2:N68,"ganz")=1),1,0)</f>
        <v>1</v>
      </c>
      <c r="AJ68" s="6" t="n">
        <f aca="false">IF(AND(O68="ja",COUNTIFS($C$2:C68,C68,$H$2:H68,H68,$O$2:O68,"ja")&lt;=2),1,0)</f>
        <v>1</v>
      </c>
      <c r="AK68" s="6" t="n">
        <f aca="false">IF(AND(O68="ja",COUNTIFS($C$2:C68,C68,$J$2:J68,J68,$O$2:O68,"ja")=1),1,0)</f>
        <v>1</v>
      </c>
    </row>
    <row r="69" customFormat="false" ht="15" hidden="false" customHeight="false" outlineLevel="0" collapsed="false">
      <c r="A69" s="15" t="n">
        <v>138</v>
      </c>
      <c r="B69" s="15" t="s">
        <v>164</v>
      </c>
      <c r="C69" s="15" t="s">
        <v>164</v>
      </c>
      <c r="D69" s="15"/>
      <c r="E69" s="15" t="s">
        <v>165</v>
      </c>
      <c r="F69" s="16" t="n">
        <v>46241.7159259259</v>
      </c>
      <c r="G69" s="15" t="s">
        <v>71</v>
      </c>
      <c r="H69" s="15" t="n">
        <v>3</v>
      </c>
      <c r="I69" s="15" t="n">
        <v>3</v>
      </c>
      <c r="J69" s="15" t="n">
        <v>5</v>
      </c>
      <c r="K69" s="15" t="n">
        <v>3</v>
      </c>
      <c r="L69" s="15" t="n">
        <v>1</v>
      </c>
      <c r="M69" s="15" t="n">
        <v>5</v>
      </c>
      <c r="N69" s="15" t="s">
        <v>72</v>
      </c>
      <c r="O69" s="15" t="s">
        <v>73</v>
      </c>
      <c r="P69" s="15" t="n">
        <v>1</v>
      </c>
      <c r="Q69" s="15" t="n">
        <v>3</v>
      </c>
      <c r="R69" s="15" t="s">
        <v>94</v>
      </c>
      <c r="S69" s="15" t="s">
        <v>80</v>
      </c>
      <c r="T69" s="15" t="s">
        <v>80</v>
      </c>
      <c r="U69" s="15" t="s">
        <v>73</v>
      </c>
      <c r="V69" s="17"/>
      <c r="W69" s="17"/>
      <c r="X69" s="17"/>
      <c r="Y69" s="17"/>
      <c r="Z69" s="17" t="s">
        <v>150</v>
      </c>
      <c r="AA69" s="15" t="n">
        <v>41</v>
      </c>
      <c r="AB69" s="15"/>
      <c r="AC69" s="18" t="n">
        <f aca="false">IF(C69=C68,(F69-F68)*24,"")</f>
        <v>117.252222222509</v>
      </c>
      <c r="AD69" s="17"/>
      <c r="AE69" s="15" t="n">
        <f aca="false">INDEX(Parameter!$C$3:$C$8,H69)</f>
        <v>80</v>
      </c>
      <c r="AF69" s="18" t="n">
        <f aca="false">IF(AND(N69="ganz",INDEX(Parameter!$D$3:$D$8,H69)&lt;&gt;""),Q69*INDEX(Parameter!$D$3:$D$8,H69),"")</f>
        <v>72.85</v>
      </c>
      <c r="AG69" s="18" t="n">
        <f aca="false">IF(AND(N69="ganz",INDEX(Parameter!$D$3:$D$8,H69)&lt;&gt;""),Q69*(INDEX(Parameter!$D$3:$D$8,H69)+INDEX(Parameter!$F$3:$F$8,H69)),"")</f>
        <v>99.5</v>
      </c>
      <c r="AH69" s="15" t="n">
        <f aca="false">IF(AND(N69="ganz",COUNTIFS($C$2:C69,C69,$H$2:H69,H69,$N$2:N69,"ganz")&lt;=2),1,0)</f>
        <v>1</v>
      </c>
      <c r="AI69" s="15" t="n">
        <f aca="false">IF(AND(N69="ganz",COUNTIFS($C$2:C69,C69,$J$2:J69,J69,$N$2:N69,"ganz")=1),1,0)</f>
        <v>1</v>
      </c>
      <c r="AJ69" s="15" t="n">
        <f aca="false">IF(AND(O69="ja",COUNTIFS($C$2:C69,C69,$H$2:H69,H69,$O$2:O69,"ja")&lt;=2),1,0)</f>
        <v>1</v>
      </c>
      <c r="AK69" s="15" t="n">
        <f aca="false">IF(AND(O69="ja",COUNTIFS($C$2:C69,C69,$J$2:J69,J69,$O$2:O69,"ja")=1),1,0)</f>
        <v>1</v>
      </c>
    </row>
    <row r="70" customFormat="false" ht="15" hidden="false" customHeight="false" outlineLevel="0" collapsed="false">
      <c r="A70" s="6" t="n">
        <v>149</v>
      </c>
      <c r="B70" s="6" t="s">
        <v>164</v>
      </c>
      <c r="C70" s="6" t="s">
        <v>164</v>
      </c>
      <c r="D70" s="6"/>
      <c r="E70" s="6" t="s">
        <v>165</v>
      </c>
      <c r="F70" s="12" t="n">
        <v>46243.7716087963</v>
      </c>
      <c r="G70" s="6" t="s">
        <v>78</v>
      </c>
      <c r="H70" s="6" t="n">
        <v>3</v>
      </c>
      <c r="I70" s="6" t="n">
        <v>3</v>
      </c>
      <c r="J70" s="6" t="n">
        <v>6</v>
      </c>
      <c r="K70" s="6" t="n">
        <v>3</v>
      </c>
      <c r="L70" s="6" t="n">
        <v>2</v>
      </c>
      <c r="M70" s="6" t="n">
        <v>6</v>
      </c>
      <c r="N70" s="6" t="s">
        <v>72</v>
      </c>
      <c r="O70" s="6" t="s">
        <v>73</v>
      </c>
      <c r="P70" s="6" t="n">
        <v>1</v>
      </c>
      <c r="Q70" s="6" t="n">
        <v>3</v>
      </c>
      <c r="R70" s="6" t="s">
        <v>94</v>
      </c>
      <c r="S70" s="6" t="s">
        <v>80</v>
      </c>
      <c r="T70" s="6" t="s">
        <v>80</v>
      </c>
      <c r="U70" s="6" t="s">
        <v>73</v>
      </c>
      <c r="V70" s="13"/>
      <c r="W70" s="13"/>
      <c r="X70" s="13"/>
      <c r="Y70" s="13"/>
      <c r="Z70" s="13" t="s">
        <v>174</v>
      </c>
      <c r="AA70" s="6" t="n">
        <v>48</v>
      </c>
      <c r="AB70" s="6"/>
      <c r="AC70" s="14" t="n">
        <f aca="false">IF(C70=C69,(F70-F69)*24,"")</f>
        <v>49.3363888888889</v>
      </c>
      <c r="AD70" s="13"/>
      <c r="AE70" s="6" t="n">
        <f aca="false">INDEX(Parameter!$C$3:$C$8,H70)</f>
        <v>80</v>
      </c>
      <c r="AF70" s="14" t="n">
        <f aca="false">IF(AND(N70="ganz",INDEX(Parameter!$D$3:$D$8,H70)&lt;&gt;""),Q70*INDEX(Parameter!$D$3:$D$8,H70),"")</f>
        <v>72.85</v>
      </c>
      <c r="AG70" s="14" t="n">
        <f aca="false">IF(AND(N70="ganz",INDEX(Parameter!$D$3:$D$8,H70)&lt;&gt;""),Q70*(INDEX(Parameter!$D$3:$D$8,H70)+INDEX(Parameter!$F$3:$F$8,H70)),"")</f>
        <v>99.5</v>
      </c>
      <c r="AH70" s="6" t="n">
        <f aca="false">IF(AND(N70="ganz",COUNTIFS($C$2:C70,C70,$H$2:H70,H70,$N$2:N70,"ganz")&lt;=2),1,0)</f>
        <v>1</v>
      </c>
      <c r="AI70" s="6" t="n">
        <f aca="false">IF(AND(N70="ganz",COUNTIFS($C$2:C70,C70,$J$2:J70,J70,$N$2:N70,"ganz")=1),1,0)</f>
        <v>1</v>
      </c>
      <c r="AJ70" s="6" t="n">
        <f aca="false">IF(AND(O70="ja",COUNTIFS($C$2:C70,C70,$H$2:H70,H70,$O$2:O70,"ja")&lt;=2),1,0)</f>
        <v>1</v>
      </c>
      <c r="AK70" s="6" t="n">
        <f aca="false">IF(AND(O70="ja",COUNTIFS($C$2:C70,C70,$J$2:J70,J70,$O$2:O70,"ja")=1),1,0)</f>
        <v>1</v>
      </c>
    </row>
    <row r="71" customFormat="false" ht="15" hidden="false" customHeight="false" outlineLevel="0" collapsed="false">
      <c r="A71" s="15" t="n">
        <v>185</v>
      </c>
      <c r="B71" s="15" t="s">
        <v>164</v>
      </c>
      <c r="C71" s="15" t="s">
        <v>164</v>
      </c>
      <c r="D71" s="15"/>
      <c r="E71" s="15" t="s">
        <v>165</v>
      </c>
      <c r="F71" s="16" t="n">
        <v>46250.5647222222</v>
      </c>
      <c r="G71" s="15" t="s">
        <v>78</v>
      </c>
      <c r="H71" s="15" t="n">
        <v>4</v>
      </c>
      <c r="I71" s="15" t="n">
        <v>4</v>
      </c>
      <c r="J71" s="15" t="n">
        <v>8</v>
      </c>
      <c r="K71" s="15" t="n">
        <v>4</v>
      </c>
      <c r="L71" s="15" t="n">
        <v>2</v>
      </c>
      <c r="M71" s="15" t="n">
        <v>7</v>
      </c>
      <c r="N71" s="15" t="s">
        <v>72</v>
      </c>
      <c r="O71" s="15" t="s">
        <v>73</v>
      </c>
      <c r="P71" s="15" t="n">
        <v>1</v>
      </c>
      <c r="Q71" s="15" t="n">
        <v>4</v>
      </c>
      <c r="R71" s="15" t="s">
        <v>94</v>
      </c>
      <c r="S71" s="15" t="s">
        <v>80</v>
      </c>
      <c r="T71" s="15" t="s">
        <v>80</v>
      </c>
      <c r="U71" s="15" t="s">
        <v>80</v>
      </c>
      <c r="V71" s="17"/>
      <c r="W71" s="17"/>
      <c r="X71" s="17"/>
      <c r="Y71" s="17"/>
      <c r="Z71" s="17"/>
      <c r="AA71" s="15" t="n">
        <v>28</v>
      </c>
      <c r="AB71" s="15"/>
      <c r="AC71" s="18" t="n">
        <f aca="false">IF(C71=C70,(F71-F70)*24,"")</f>
        <v>163.034722222222</v>
      </c>
      <c r="AD71" s="17"/>
      <c r="AE71" s="15" t="n">
        <f aca="false">INDEX(Parameter!$C$3:$C$8,H71)</f>
        <v>96</v>
      </c>
      <c r="AF71" s="18" t="n">
        <f aca="false">IF(AND(N71="ganz",INDEX(Parameter!$D$3:$D$8,H71)&lt;&gt;""),Q71*INDEX(Parameter!$D$3:$D$8,H71),"")</f>
        <v>103.666666666667</v>
      </c>
      <c r="AG71" s="18" t="n">
        <f aca="false">IF(AND(N71="ganz",INDEX(Parameter!$D$3:$D$8,H71)&lt;&gt;""),Q71*(INDEX(Parameter!$D$3:$D$8,H71)+INDEX(Parameter!$F$3:$F$8,H71)),"")</f>
        <v>139.2</v>
      </c>
      <c r="AH71" s="15" t="n">
        <f aca="false">IF(AND(N71="ganz",COUNTIFS($C$2:C71,C71,$H$2:H71,H71,$N$2:N71,"ganz")&lt;=2),1,0)</f>
        <v>1</v>
      </c>
      <c r="AI71" s="15" t="n">
        <f aca="false">IF(AND(N71="ganz",COUNTIFS($C$2:C71,C71,$J$2:J71,J71,$N$2:N71,"ganz")=1),1,0)</f>
        <v>1</v>
      </c>
      <c r="AJ71" s="15" t="n">
        <f aca="false">IF(AND(O71="ja",COUNTIFS($C$2:C71,C71,$H$2:H71,H71,$O$2:O71,"ja")&lt;=2),1,0)</f>
        <v>1</v>
      </c>
      <c r="AK71" s="15" t="n">
        <f aca="false">IF(AND(O71="ja",COUNTIFS($C$2:C71,C71,$J$2:J71,J71,$O$2:O71,"ja")=1),1,0)</f>
        <v>1</v>
      </c>
    </row>
    <row r="72" customFormat="false" ht="15" hidden="false" customHeight="false" outlineLevel="0" collapsed="false">
      <c r="A72" s="6" t="n">
        <v>232</v>
      </c>
      <c r="B72" s="6" t="s">
        <v>164</v>
      </c>
      <c r="C72" s="6" t="s">
        <v>164</v>
      </c>
      <c r="D72" s="6"/>
      <c r="E72" s="6" t="s">
        <v>165</v>
      </c>
      <c r="F72" s="12" t="n">
        <v>46257.8866319444</v>
      </c>
      <c r="G72" s="6" t="s">
        <v>78</v>
      </c>
      <c r="H72" s="6" t="n">
        <v>5</v>
      </c>
      <c r="I72" s="6" t="n">
        <v>6</v>
      </c>
      <c r="J72" s="6" t="n">
        <v>10</v>
      </c>
      <c r="K72" s="6" t="n">
        <v>5</v>
      </c>
      <c r="L72" s="6" t="n">
        <v>2</v>
      </c>
      <c r="M72" s="6" t="n">
        <v>9</v>
      </c>
      <c r="N72" s="6" t="s">
        <v>72</v>
      </c>
      <c r="O72" s="6" t="s">
        <v>73</v>
      </c>
      <c r="P72" s="6" t="n">
        <v>1</v>
      </c>
      <c r="Q72" s="6" t="n">
        <v>3</v>
      </c>
      <c r="R72" s="6" t="s">
        <v>94</v>
      </c>
      <c r="S72" s="6" t="s">
        <v>80</v>
      </c>
      <c r="T72" s="6" t="s">
        <v>80</v>
      </c>
      <c r="U72" s="6" t="s">
        <v>73</v>
      </c>
      <c r="V72" s="13"/>
      <c r="W72" s="13"/>
      <c r="X72" s="13"/>
      <c r="Y72" s="13"/>
      <c r="Z72" s="13" t="s">
        <v>175</v>
      </c>
      <c r="AA72" s="6" t="n">
        <v>39</v>
      </c>
      <c r="AB72" s="6" t="s">
        <v>73</v>
      </c>
      <c r="AC72" s="14" t="n">
        <f aca="false">IF(C72=C71,(F72-F71)*24,"")</f>
        <v>175.725833333039</v>
      </c>
      <c r="AD72" s="13"/>
      <c r="AE72" s="6" t="n">
        <f aca="false">INDEX(Parameter!$C$3:$C$8,H72)</f>
        <v>106</v>
      </c>
      <c r="AF72" s="14" t="str">
        <f aca="false">IF(AND(N72="ganz",INDEX(Parameter!$D$3:$D$8,H72)&lt;&gt;""),Q72*INDEX(Parameter!$D$3:$D$8,H72),"")</f>
        <v/>
      </c>
      <c r="AG72" s="14" t="str">
        <f aca="false">IF(AND(N72="ganz",INDEX(Parameter!$D$3:$D$8,H72)&lt;&gt;""),Q72*(INDEX(Parameter!$D$3:$D$8,H72)+INDEX(Parameter!$F$3:$F$8,H72)),"")</f>
        <v/>
      </c>
      <c r="AH72" s="6" t="n">
        <f aca="false">IF(AND(N72="ganz",COUNTIFS($C$2:C72,C72,$H$2:H72,H72,$N$2:N72,"ganz")&lt;=2),1,0)</f>
        <v>1</v>
      </c>
      <c r="AI72" s="6" t="n">
        <f aca="false">IF(AND(N72="ganz",COUNTIFS($C$2:C72,C72,$J$2:J72,J72,$N$2:N72,"ganz")=1),1,0)</f>
        <v>1</v>
      </c>
      <c r="AJ72" s="6" t="n">
        <f aca="false">IF(AND(O72="ja",COUNTIFS($C$2:C72,C72,$H$2:H72,H72,$O$2:O72,"ja")&lt;=2),1,0)</f>
        <v>1</v>
      </c>
      <c r="AK72" s="6" t="n">
        <f aca="false">IF(AND(O72="ja",COUNTIFS($C$2:C72,C72,$J$2:J72,J72,$O$2:O72,"ja")=1),1,0)</f>
        <v>1</v>
      </c>
    </row>
    <row r="73" customFormat="false" ht="15" hidden="false" customHeight="false" outlineLevel="0" collapsed="false">
      <c r="A73" s="15" t="n">
        <v>252</v>
      </c>
      <c r="B73" s="15" t="s">
        <v>164</v>
      </c>
      <c r="C73" s="15" t="s">
        <v>164</v>
      </c>
      <c r="D73" s="15"/>
      <c r="E73" s="15" t="s">
        <v>165</v>
      </c>
      <c r="F73" s="16" t="n">
        <v>46264.4859143519</v>
      </c>
      <c r="G73" s="15" t="s">
        <v>78</v>
      </c>
      <c r="H73" s="15" t="n">
        <v>6</v>
      </c>
      <c r="I73" s="15" t="n">
        <v>6</v>
      </c>
      <c r="J73" s="15" t="n">
        <v>12</v>
      </c>
      <c r="K73" s="15" t="n">
        <v>6</v>
      </c>
      <c r="L73" s="15" t="n">
        <v>2</v>
      </c>
      <c r="M73" s="15" t="n">
        <v>11</v>
      </c>
      <c r="N73" s="15" t="s">
        <v>72</v>
      </c>
      <c r="O73" s="15" t="s">
        <v>73</v>
      </c>
      <c r="P73" s="15" t="n">
        <v>1</v>
      </c>
      <c r="Q73" s="15" t="n">
        <v>4</v>
      </c>
      <c r="R73" s="15" t="s">
        <v>94</v>
      </c>
      <c r="S73" s="15" t="s">
        <v>80</v>
      </c>
      <c r="T73" s="15" t="s">
        <v>80</v>
      </c>
      <c r="U73" s="15" t="s">
        <v>73</v>
      </c>
      <c r="V73" s="17"/>
      <c r="W73" s="17"/>
      <c r="X73" s="17"/>
      <c r="Y73" s="17"/>
      <c r="Z73" s="17" t="s">
        <v>175</v>
      </c>
      <c r="AA73" s="15" t="n">
        <v>35</v>
      </c>
      <c r="AB73" s="15"/>
      <c r="AC73" s="18" t="n">
        <f aca="false">IF(C73=C72,(F73-F72)*24,"")</f>
        <v>158.382777778083</v>
      </c>
      <c r="AD73" s="17"/>
      <c r="AE73" s="15" t="n">
        <f aca="false">INDEX(Parameter!$C$3:$C$8,H73)</f>
        <v>120</v>
      </c>
      <c r="AF73" s="18" t="n">
        <f aca="false">IF(AND(N73="ganz",INDEX(Parameter!$D$3:$D$8,H73)&lt;&gt;""),Q73*INDEX(Parameter!$D$3:$D$8,H73),"")</f>
        <v>124.2</v>
      </c>
      <c r="AG73" s="18" t="n">
        <f aca="false">IF(AND(N73="ganz",INDEX(Parameter!$D$3:$D$8,H73)&lt;&gt;""),Q73*(INDEX(Parameter!$D$3:$D$8,H73)+INDEX(Parameter!$F$3:$F$8,H73)),"")</f>
        <v>159.733333333333</v>
      </c>
      <c r="AH73" s="15" t="n">
        <f aca="false">IF(AND(N73="ganz",COUNTIFS($C$2:C73,C73,$H$2:H73,H73,$N$2:N73,"ganz")&lt;=2),1,0)</f>
        <v>1</v>
      </c>
      <c r="AI73" s="15" t="n">
        <f aca="false">IF(AND(N73="ganz",COUNTIFS($C$2:C73,C73,$J$2:J73,J73,$N$2:N73,"ganz")=1),1,0)</f>
        <v>1</v>
      </c>
      <c r="AJ73" s="15" t="n">
        <f aca="false">IF(AND(O73="ja",COUNTIFS($C$2:C73,C73,$H$2:H73,H73,$O$2:O73,"ja")&lt;=2),1,0)</f>
        <v>1</v>
      </c>
      <c r="AK73" s="15" t="n">
        <f aca="false">IF(AND(O73="ja",COUNTIFS($C$2:C73,C73,$J$2:J73,J73,$O$2:O73,"ja")=1),1,0)</f>
        <v>1</v>
      </c>
    </row>
    <row r="74" customFormat="false" ht="15" hidden="false" customHeight="false" outlineLevel="0" collapsed="false">
      <c r="A74" s="6" t="n">
        <v>36</v>
      </c>
      <c r="B74" s="6" t="s">
        <v>176</v>
      </c>
      <c r="C74" s="6" t="s">
        <v>176</v>
      </c>
      <c r="D74" s="6"/>
      <c r="E74" s="6" t="s">
        <v>165</v>
      </c>
      <c r="F74" s="12" t="n">
        <v>46226.8425810185</v>
      </c>
      <c r="G74" s="6" t="s">
        <v>87</v>
      </c>
      <c r="H74" s="6" t="n">
        <v>1</v>
      </c>
      <c r="I74" s="6" t="n">
        <v>1</v>
      </c>
      <c r="J74" s="6" t="n">
        <v>1</v>
      </c>
      <c r="K74" s="6" t="n">
        <v>1</v>
      </c>
      <c r="L74" s="6" t="n">
        <v>1</v>
      </c>
      <c r="M74" s="6"/>
      <c r="N74" s="6" t="s">
        <v>109</v>
      </c>
      <c r="O74" s="6" t="s">
        <v>80</v>
      </c>
      <c r="P74" s="6" t="n">
        <v>0</v>
      </c>
      <c r="Q74" s="6" t="n">
        <v>0</v>
      </c>
      <c r="R74" s="6" t="s">
        <v>79</v>
      </c>
      <c r="S74" s="6" t="s">
        <v>80</v>
      </c>
      <c r="T74" s="6" t="s">
        <v>80</v>
      </c>
      <c r="U74" s="6" t="s">
        <v>73</v>
      </c>
      <c r="V74" s="13"/>
      <c r="W74" s="13" t="s">
        <v>177</v>
      </c>
      <c r="X74" s="13"/>
      <c r="Y74" s="13"/>
      <c r="Z74" s="13" t="s">
        <v>178</v>
      </c>
      <c r="AA74" s="6" t="n">
        <v>91</v>
      </c>
      <c r="AB74" s="6"/>
      <c r="AC74" s="14" t="str">
        <f aca="false">IF(C74=C73,(F74-F73)*24,"")</f>
        <v/>
      </c>
      <c r="AD74" s="13"/>
      <c r="AE74" s="6" t="n">
        <f aca="false">INDEX(Parameter!$C$3:$C$8,H74)</f>
        <v>52</v>
      </c>
      <c r="AF74" s="14" t="str">
        <f aca="false">IF(AND(N74="ganz",INDEX(Parameter!$D$3:$D$8,H74)&lt;&gt;""),Q74*INDEX(Parameter!$D$3:$D$8,H74),"")</f>
        <v/>
      </c>
      <c r="AG74" s="14" t="str">
        <f aca="false">IF(AND(N74="ganz",INDEX(Parameter!$D$3:$D$8,H74)&lt;&gt;""),Q74*(INDEX(Parameter!$D$3:$D$8,H74)+INDEX(Parameter!$F$3:$F$8,H74)),"")</f>
        <v/>
      </c>
      <c r="AH74" s="6" t="n">
        <f aca="false">IF(AND(N74="ganz",COUNTIFS($C$2:C74,C74,$H$2:H74,H74,$N$2:N74,"ganz")&lt;=2),1,0)</f>
        <v>0</v>
      </c>
      <c r="AI74" s="6" t="n">
        <f aca="false">IF(AND(N74="ganz",COUNTIFS($C$2:C74,C74,$J$2:J74,J74,$N$2:N74,"ganz")=1),1,0)</f>
        <v>0</v>
      </c>
      <c r="AJ74" s="6" t="n">
        <f aca="false">IF(AND(O74="ja",COUNTIFS($C$2:C74,C74,$H$2:H74,H74,$O$2:O74,"ja")&lt;=2),1,0)</f>
        <v>0</v>
      </c>
      <c r="AK74" s="6" t="n">
        <f aca="false">IF(AND(O74="ja",COUNTIFS($C$2:C74,C74,$J$2:J74,J74,$O$2:O74,"ja")=1),1,0)</f>
        <v>0</v>
      </c>
    </row>
    <row r="75" customFormat="false" ht="15" hidden="false" customHeight="false" outlineLevel="0" collapsed="false">
      <c r="A75" s="15" t="n">
        <v>56</v>
      </c>
      <c r="B75" s="15" t="s">
        <v>176</v>
      </c>
      <c r="C75" s="15" t="s">
        <v>176</v>
      </c>
      <c r="D75" s="15"/>
      <c r="E75" s="15" t="s">
        <v>165</v>
      </c>
      <c r="F75" s="16" t="n">
        <v>46228.6817939815</v>
      </c>
      <c r="G75" s="15" t="s">
        <v>97</v>
      </c>
      <c r="H75" s="15" t="n">
        <v>1</v>
      </c>
      <c r="I75" s="15" t="n">
        <v>1</v>
      </c>
      <c r="J75" s="15" t="n">
        <v>2</v>
      </c>
      <c r="K75" s="15" t="n">
        <v>1</v>
      </c>
      <c r="L75" s="15" t="n">
        <v>2</v>
      </c>
      <c r="M75" s="15" t="n">
        <v>1</v>
      </c>
      <c r="N75" s="15" t="s">
        <v>72</v>
      </c>
      <c r="O75" s="15" t="s">
        <v>73</v>
      </c>
      <c r="P75" s="15" t="n">
        <v>1</v>
      </c>
      <c r="Q75" s="15" t="n">
        <v>3</v>
      </c>
      <c r="R75" s="15" t="s">
        <v>85</v>
      </c>
      <c r="S75" s="15" t="s">
        <v>80</v>
      </c>
      <c r="T75" s="15" t="s">
        <v>80</v>
      </c>
      <c r="U75" s="15" t="s">
        <v>73</v>
      </c>
      <c r="V75" s="17"/>
      <c r="W75" s="17"/>
      <c r="X75" s="17"/>
      <c r="Y75" s="17"/>
      <c r="Z75" s="17" t="s">
        <v>179</v>
      </c>
      <c r="AA75" s="15" t="n">
        <v>82</v>
      </c>
      <c r="AB75" s="15"/>
      <c r="AC75" s="18" t="n">
        <f aca="false">IF(C75=C74,(F75-F74)*24,"")</f>
        <v>44.1411111111111</v>
      </c>
      <c r="AD75" s="17"/>
      <c r="AE75" s="15" t="n">
        <f aca="false">INDEX(Parameter!$C$3:$C$8,H75)</f>
        <v>52</v>
      </c>
      <c r="AF75" s="18" t="n">
        <f aca="false">IF(AND(N75="ganz",INDEX(Parameter!$D$3:$D$8,H75)&lt;&gt;""),Q75*INDEX(Parameter!$D$3:$D$8,H75),"")</f>
        <v>84.8</v>
      </c>
      <c r="AG75" s="18" t="n">
        <f aca="false">IF(AND(N75="ganz",INDEX(Parameter!$D$3:$D$8,H75)&lt;&gt;""),Q75*(INDEX(Parameter!$D$3:$D$8,H75)+INDEX(Parameter!$F$3:$F$8,H75)),"")</f>
        <v>111.45</v>
      </c>
      <c r="AH75" s="15" t="n">
        <f aca="false">IF(AND(N75="ganz",COUNTIFS($C$2:C75,C75,$H$2:H75,H75,$N$2:N75,"ganz")&lt;=2),1,0)</f>
        <v>1</v>
      </c>
      <c r="AI75" s="15" t="n">
        <f aca="false">IF(AND(N75="ganz",COUNTIFS($C$2:C75,C75,$J$2:J75,J75,$N$2:N75,"ganz")=1),1,0)</f>
        <v>1</v>
      </c>
      <c r="AJ75" s="15" t="n">
        <f aca="false">IF(AND(O75="ja",COUNTIFS($C$2:C75,C75,$H$2:H75,H75,$O$2:O75,"ja")&lt;=2),1,0)</f>
        <v>1</v>
      </c>
      <c r="AK75" s="15" t="n">
        <f aca="false">IF(AND(O75="ja",COUNTIFS($C$2:C75,C75,$J$2:J75,J75,$O$2:O75,"ja")=1),1,0)</f>
        <v>1</v>
      </c>
    </row>
    <row r="76" customFormat="false" ht="15" hidden="false" customHeight="false" outlineLevel="0" collapsed="false">
      <c r="A76" s="6" t="n">
        <v>94</v>
      </c>
      <c r="B76" s="6" t="s">
        <v>176</v>
      </c>
      <c r="C76" s="6" t="s">
        <v>176</v>
      </c>
      <c r="D76" s="6"/>
      <c r="E76" s="6" t="s">
        <v>165</v>
      </c>
      <c r="F76" s="12" t="n">
        <v>46235.7607175926</v>
      </c>
      <c r="G76" s="6" t="s">
        <v>97</v>
      </c>
      <c r="H76" s="6" t="n">
        <v>2</v>
      </c>
      <c r="I76" s="6" t="n">
        <v>2</v>
      </c>
      <c r="J76" s="6" t="n">
        <v>3</v>
      </c>
      <c r="K76" s="6" t="n">
        <v>2</v>
      </c>
      <c r="L76" s="6" t="n">
        <v>1</v>
      </c>
      <c r="M76" s="6" t="n">
        <v>3</v>
      </c>
      <c r="N76" s="6" t="s">
        <v>72</v>
      </c>
      <c r="O76" s="6" t="s">
        <v>73</v>
      </c>
      <c r="P76" s="6" t="n">
        <v>1</v>
      </c>
      <c r="Q76" s="6" t="n">
        <v>3</v>
      </c>
      <c r="R76" s="6" t="s">
        <v>85</v>
      </c>
      <c r="S76" s="6" t="s">
        <v>80</v>
      </c>
      <c r="T76" s="6" t="s">
        <v>80</v>
      </c>
      <c r="U76" s="6" t="s">
        <v>73</v>
      </c>
      <c r="V76" s="13"/>
      <c r="W76" s="13"/>
      <c r="X76" s="13"/>
      <c r="Y76" s="13"/>
      <c r="Z76" s="13" t="s">
        <v>180</v>
      </c>
      <c r="AA76" s="6" t="n">
        <v>44</v>
      </c>
      <c r="AB76" s="6"/>
      <c r="AC76" s="14" t="n">
        <f aca="false">IF(C76=C75,(F76-F75)*24,"")</f>
        <v>169.894166666956</v>
      </c>
      <c r="AD76" s="13"/>
      <c r="AE76" s="6" t="n">
        <f aca="false">INDEX(Parameter!$C$3:$C$8,H76)</f>
        <v>66</v>
      </c>
      <c r="AF76" s="14" t="n">
        <f aca="false">IF(AND(N76="ganz",INDEX(Parameter!$D$3:$D$8,H76)&lt;&gt;""),Q76*INDEX(Parameter!$D$3:$D$8,H76),"")</f>
        <v>84.1</v>
      </c>
      <c r="AG76" s="14" t="n">
        <f aca="false">IF(AND(N76="ganz",INDEX(Parameter!$D$3:$D$8,H76)&lt;&gt;""),Q76*(INDEX(Parameter!$D$3:$D$8,H76)+INDEX(Parameter!$F$3:$F$8,H76)),"")</f>
        <v>110.75</v>
      </c>
      <c r="AH76" s="6" t="n">
        <f aca="false">IF(AND(N76="ganz",COUNTIFS($C$2:C76,C76,$H$2:H76,H76,$N$2:N76,"ganz")&lt;=2),1,0)</f>
        <v>1</v>
      </c>
      <c r="AI76" s="6" t="n">
        <f aca="false">IF(AND(N76="ganz",COUNTIFS($C$2:C76,C76,$J$2:J76,J76,$N$2:N76,"ganz")=1),1,0)</f>
        <v>1</v>
      </c>
      <c r="AJ76" s="6" t="n">
        <f aca="false">IF(AND(O76="ja",COUNTIFS($C$2:C76,C76,$H$2:H76,H76,$O$2:O76,"ja")&lt;=2),1,0)</f>
        <v>1</v>
      </c>
      <c r="AK76" s="6" t="n">
        <f aca="false">IF(AND(O76="ja",COUNTIFS($C$2:C76,C76,$J$2:J76,J76,$O$2:O76,"ja")=1),1,0)</f>
        <v>1</v>
      </c>
    </row>
    <row r="77" customFormat="false" ht="15" hidden="false" customHeight="false" outlineLevel="0" collapsed="false">
      <c r="A77" s="15" t="n">
        <v>114</v>
      </c>
      <c r="B77" s="15" t="s">
        <v>176</v>
      </c>
      <c r="C77" s="15" t="s">
        <v>176</v>
      </c>
      <c r="D77" s="15"/>
      <c r="E77" s="15" t="s">
        <v>165</v>
      </c>
      <c r="F77" s="16" t="n">
        <v>46236.7590046296</v>
      </c>
      <c r="G77" s="15" t="s">
        <v>78</v>
      </c>
      <c r="H77" s="15" t="n">
        <v>2</v>
      </c>
      <c r="I77" s="15" t="n">
        <v>2</v>
      </c>
      <c r="J77" s="15" t="n">
        <v>4</v>
      </c>
      <c r="K77" s="15" t="n">
        <v>2</v>
      </c>
      <c r="L77" s="15" t="n">
        <v>2</v>
      </c>
      <c r="M77" s="15" t="n">
        <v>4</v>
      </c>
      <c r="N77" s="15" t="s">
        <v>72</v>
      </c>
      <c r="O77" s="15" t="s">
        <v>73</v>
      </c>
      <c r="P77" s="15" t="n">
        <v>1</v>
      </c>
      <c r="Q77" s="15" t="n">
        <v>3</v>
      </c>
      <c r="R77" s="15" t="s">
        <v>137</v>
      </c>
      <c r="S77" s="15" t="s">
        <v>80</v>
      </c>
      <c r="T77" s="15" t="s">
        <v>80</v>
      </c>
      <c r="U77" s="15" t="s">
        <v>80</v>
      </c>
      <c r="V77" s="17"/>
      <c r="W77" s="17"/>
      <c r="X77" s="17"/>
      <c r="Y77" s="17"/>
      <c r="Z77" s="17"/>
      <c r="AA77" s="15" t="n">
        <v>37</v>
      </c>
      <c r="AB77" s="15"/>
      <c r="AC77" s="18" t="n">
        <f aca="false">IF(C77=C76,(F77-F76)*24,"")</f>
        <v>23.9588888888889</v>
      </c>
      <c r="AD77" s="17"/>
      <c r="AE77" s="15" t="n">
        <f aca="false">INDEX(Parameter!$C$3:$C$8,H77)</f>
        <v>66</v>
      </c>
      <c r="AF77" s="18" t="n">
        <f aca="false">IF(AND(N77="ganz",INDEX(Parameter!$D$3:$D$8,H77)&lt;&gt;""),Q77*INDEX(Parameter!$D$3:$D$8,H77),"")</f>
        <v>84.1</v>
      </c>
      <c r="AG77" s="18" t="n">
        <f aca="false">IF(AND(N77="ganz",INDEX(Parameter!$D$3:$D$8,H77)&lt;&gt;""),Q77*(INDEX(Parameter!$D$3:$D$8,H77)+INDEX(Parameter!$F$3:$F$8,H77)),"")</f>
        <v>110.75</v>
      </c>
      <c r="AH77" s="15" t="n">
        <f aca="false">IF(AND(N77="ganz",COUNTIFS($C$2:C77,C77,$H$2:H77,H77,$N$2:N77,"ganz")&lt;=2),1,0)</f>
        <v>1</v>
      </c>
      <c r="AI77" s="15" t="n">
        <f aca="false">IF(AND(N77="ganz",COUNTIFS($C$2:C77,C77,$J$2:J77,J77,$N$2:N77,"ganz")=1),1,0)</f>
        <v>1</v>
      </c>
      <c r="AJ77" s="15" t="n">
        <f aca="false">IF(AND(O77="ja",COUNTIFS($C$2:C77,C77,$H$2:H77,H77,$O$2:O77,"ja")&lt;=2),1,0)</f>
        <v>1</v>
      </c>
      <c r="AK77" s="15" t="n">
        <f aca="false">IF(AND(O77="ja",COUNTIFS($C$2:C77,C77,$J$2:J77,J77,$O$2:O77,"ja")=1),1,0)</f>
        <v>1</v>
      </c>
    </row>
    <row r="78" customFormat="false" ht="15" hidden="false" customHeight="false" outlineLevel="0" collapsed="false">
      <c r="A78" s="6" t="n">
        <v>151</v>
      </c>
      <c r="B78" s="6" t="s">
        <v>176</v>
      </c>
      <c r="C78" s="6" t="s">
        <v>176</v>
      </c>
      <c r="D78" s="6"/>
      <c r="E78" s="6" t="s">
        <v>165</v>
      </c>
      <c r="F78" s="12" t="n">
        <v>46243.7755092593</v>
      </c>
      <c r="G78" s="6" t="s">
        <v>78</v>
      </c>
      <c r="H78" s="6" t="n">
        <v>3</v>
      </c>
      <c r="I78" s="6" t="n">
        <v>3</v>
      </c>
      <c r="J78" s="6" t="n">
        <v>5</v>
      </c>
      <c r="K78" s="6" t="n">
        <v>3</v>
      </c>
      <c r="L78" s="6" t="n">
        <v>1</v>
      </c>
      <c r="M78" s="6" t="n">
        <v>5</v>
      </c>
      <c r="N78" s="6" t="s">
        <v>72</v>
      </c>
      <c r="O78" s="6" t="s">
        <v>73</v>
      </c>
      <c r="P78" s="6" t="n">
        <v>1</v>
      </c>
      <c r="Q78" s="6" t="n">
        <v>3</v>
      </c>
      <c r="R78" s="6" t="s">
        <v>85</v>
      </c>
      <c r="S78" s="6" t="s">
        <v>80</v>
      </c>
      <c r="T78" s="6" t="s">
        <v>80</v>
      </c>
      <c r="U78" s="6" t="s">
        <v>80</v>
      </c>
      <c r="V78" s="13"/>
      <c r="W78" s="13"/>
      <c r="X78" s="13"/>
      <c r="Y78" s="13"/>
      <c r="Z78" s="13"/>
      <c r="AA78" s="6" t="n">
        <v>34</v>
      </c>
      <c r="AB78" s="6"/>
      <c r="AC78" s="14" t="n">
        <f aca="false">IF(C78=C77,(F78-F77)*24,"")</f>
        <v>168.396111111111</v>
      </c>
      <c r="AD78" s="13"/>
      <c r="AE78" s="6" t="n">
        <f aca="false">INDEX(Parameter!$C$3:$C$8,H78)</f>
        <v>80</v>
      </c>
      <c r="AF78" s="14" t="n">
        <f aca="false">IF(AND(N78="ganz",INDEX(Parameter!$D$3:$D$8,H78)&lt;&gt;""),Q78*INDEX(Parameter!$D$3:$D$8,H78),"")</f>
        <v>72.85</v>
      </c>
      <c r="AG78" s="14" t="n">
        <f aca="false">IF(AND(N78="ganz",INDEX(Parameter!$D$3:$D$8,H78)&lt;&gt;""),Q78*(INDEX(Parameter!$D$3:$D$8,H78)+INDEX(Parameter!$F$3:$F$8,H78)),"")</f>
        <v>99.5</v>
      </c>
      <c r="AH78" s="6" t="n">
        <f aca="false">IF(AND(N78="ganz",COUNTIFS($C$2:C78,C78,$H$2:H78,H78,$N$2:N78,"ganz")&lt;=2),1,0)</f>
        <v>1</v>
      </c>
      <c r="AI78" s="6" t="n">
        <f aca="false">IF(AND(N78="ganz",COUNTIFS($C$2:C78,C78,$J$2:J78,J78,$N$2:N78,"ganz")=1),1,0)</f>
        <v>1</v>
      </c>
      <c r="AJ78" s="6" t="n">
        <f aca="false">IF(AND(O78="ja",COUNTIFS($C$2:C78,C78,$H$2:H78,H78,$O$2:O78,"ja")&lt;=2),1,0)</f>
        <v>1</v>
      </c>
      <c r="AK78" s="6" t="n">
        <f aca="false">IF(AND(O78="ja",COUNTIFS($C$2:C78,C78,$J$2:J78,J78,$O$2:O78,"ja")=1),1,0)</f>
        <v>1</v>
      </c>
    </row>
    <row r="79" customFormat="false" ht="15" hidden="false" customHeight="false" outlineLevel="0" collapsed="false">
      <c r="A79" s="15" t="n">
        <v>194</v>
      </c>
      <c r="B79" s="15" t="s">
        <v>176</v>
      </c>
      <c r="C79" s="15" t="s">
        <v>176</v>
      </c>
      <c r="D79" s="15"/>
      <c r="E79" s="15" t="s">
        <v>165</v>
      </c>
      <c r="F79" s="16" t="n">
        <v>46250.811724537</v>
      </c>
      <c r="G79" s="15" t="s">
        <v>78</v>
      </c>
      <c r="H79" s="15" t="n">
        <v>4</v>
      </c>
      <c r="I79" s="15" t="n">
        <v>4</v>
      </c>
      <c r="J79" s="15" t="n">
        <v>9</v>
      </c>
      <c r="K79" s="15" t="n">
        <v>5</v>
      </c>
      <c r="L79" s="15" t="n">
        <v>1</v>
      </c>
      <c r="M79" s="15" t="n">
        <v>7</v>
      </c>
      <c r="N79" s="15" t="s">
        <v>72</v>
      </c>
      <c r="O79" s="15" t="s">
        <v>73</v>
      </c>
      <c r="P79" s="15" t="n">
        <v>1</v>
      </c>
      <c r="Q79" s="15" t="n">
        <v>4</v>
      </c>
      <c r="R79" s="15" t="s">
        <v>74</v>
      </c>
      <c r="S79" s="15" t="s">
        <v>80</v>
      </c>
      <c r="T79" s="15" t="s">
        <v>80</v>
      </c>
      <c r="U79" s="15" t="s">
        <v>80</v>
      </c>
      <c r="V79" s="17"/>
      <c r="W79" s="17"/>
      <c r="X79" s="17"/>
      <c r="Y79" s="17"/>
      <c r="Z79" s="17"/>
      <c r="AA79" s="15" t="n">
        <v>34</v>
      </c>
      <c r="AB79" s="15"/>
      <c r="AC79" s="18" t="n">
        <f aca="false">IF(C79=C78,(F79-F78)*24,"")</f>
        <v>168.869166666667</v>
      </c>
      <c r="AD79" s="17"/>
      <c r="AE79" s="15" t="n">
        <f aca="false">INDEX(Parameter!$C$3:$C$8,H79)</f>
        <v>96</v>
      </c>
      <c r="AF79" s="18" t="n">
        <f aca="false">IF(AND(N79="ganz",INDEX(Parameter!$D$3:$D$8,H79)&lt;&gt;""),Q79*INDEX(Parameter!$D$3:$D$8,H79),"")</f>
        <v>103.666666666667</v>
      </c>
      <c r="AG79" s="18" t="n">
        <f aca="false">IF(AND(N79="ganz",INDEX(Parameter!$D$3:$D$8,H79)&lt;&gt;""),Q79*(INDEX(Parameter!$D$3:$D$8,H79)+INDEX(Parameter!$F$3:$F$8,H79)),"")</f>
        <v>139.2</v>
      </c>
      <c r="AH79" s="15" t="n">
        <f aca="false">IF(AND(N79="ganz",COUNTIFS($C$2:C79,C79,$H$2:H79,H79,$N$2:N79,"ganz")&lt;=2),1,0)</f>
        <v>1</v>
      </c>
      <c r="AI79" s="15" t="n">
        <f aca="false">IF(AND(N79="ganz",COUNTIFS($C$2:C79,C79,$J$2:J79,J79,$N$2:N79,"ganz")=1),1,0)</f>
        <v>1</v>
      </c>
      <c r="AJ79" s="15" t="n">
        <f aca="false">IF(AND(O79="ja",COUNTIFS($C$2:C79,C79,$H$2:H79,H79,$O$2:O79,"ja")&lt;=2),1,0)</f>
        <v>1</v>
      </c>
      <c r="AK79" s="15" t="n">
        <f aca="false">IF(AND(O79="ja",COUNTIFS($C$2:C79,C79,$J$2:J79,J79,$O$2:O79,"ja")=1),1,0)</f>
        <v>1</v>
      </c>
    </row>
    <row r="80" customFormat="false" ht="15" hidden="false" customHeight="false" outlineLevel="0" collapsed="false">
      <c r="A80" s="6" t="n">
        <v>201</v>
      </c>
      <c r="B80" s="6" t="s">
        <v>176</v>
      </c>
      <c r="C80" s="6" t="s">
        <v>176</v>
      </c>
      <c r="D80" s="6"/>
      <c r="E80" s="6" t="s">
        <v>165</v>
      </c>
      <c r="F80" s="12" t="n">
        <v>46251.8081365741</v>
      </c>
      <c r="G80" s="6" t="s">
        <v>103</v>
      </c>
      <c r="H80" s="6" t="n">
        <v>5</v>
      </c>
      <c r="I80" s="6" t="n">
        <v>5</v>
      </c>
      <c r="J80" s="6" t="n">
        <v>9</v>
      </c>
      <c r="K80" s="6" t="n">
        <v>5</v>
      </c>
      <c r="L80" s="6" t="n">
        <v>1</v>
      </c>
      <c r="M80" s="6" t="n">
        <v>9</v>
      </c>
      <c r="N80" s="6" t="s">
        <v>72</v>
      </c>
      <c r="O80" s="6" t="s">
        <v>73</v>
      </c>
      <c r="P80" s="6" t="n">
        <v>1</v>
      </c>
      <c r="Q80" s="6" t="n">
        <v>4</v>
      </c>
      <c r="R80" s="6" t="s">
        <v>85</v>
      </c>
      <c r="S80" s="6" t="s">
        <v>80</v>
      </c>
      <c r="T80" s="6" t="s">
        <v>80</v>
      </c>
      <c r="U80" s="6" t="s">
        <v>80</v>
      </c>
      <c r="V80" s="13"/>
      <c r="W80" s="13"/>
      <c r="X80" s="13"/>
      <c r="Y80" s="13"/>
      <c r="Z80" s="13"/>
      <c r="AA80" s="6" t="n">
        <v>29</v>
      </c>
      <c r="AB80" s="6"/>
      <c r="AC80" s="14" t="n">
        <f aca="false">IF(C80=C79,(F80-F79)*24,"")</f>
        <v>23.9138888888889</v>
      </c>
      <c r="AD80" s="13"/>
      <c r="AE80" s="6" t="n">
        <f aca="false">INDEX(Parameter!$C$3:$C$8,H80)</f>
        <v>106</v>
      </c>
      <c r="AF80" s="14" t="str">
        <f aca="false">IF(AND(N80="ganz",INDEX(Parameter!$D$3:$D$8,H80)&lt;&gt;""),Q80*INDEX(Parameter!$D$3:$D$8,H80),"")</f>
        <v/>
      </c>
      <c r="AG80" s="14" t="str">
        <f aca="false">IF(AND(N80="ganz",INDEX(Parameter!$D$3:$D$8,H80)&lt;&gt;""),Q80*(INDEX(Parameter!$D$3:$D$8,H80)+INDEX(Parameter!$F$3:$F$8,H80)),"")</f>
        <v/>
      </c>
      <c r="AH80" s="6" t="n">
        <f aca="false">IF(AND(N80="ganz",COUNTIFS($C$2:C80,C80,$H$2:H80,H80,$N$2:N80,"ganz")&lt;=2),1,0)</f>
        <v>1</v>
      </c>
      <c r="AI80" s="6" t="n">
        <f aca="false">IF(AND(N80="ganz",COUNTIFS($C$2:C80,C80,$J$2:J80,J80,$N$2:N80,"ganz")=1),1,0)</f>
        <v>0</v>
      </c>
      <c r="AJ80" s="6" t="n">
        <f aca="false">IF(AND(O80="ja",COUNTIFS($C$2:C80,C80,$H$2:H80,H80,$O$2:O80,"ja")&lt;=2),1,0)</f>
        <v>1</v>
      </c>
      <c r="AK80" s="6" t="n">
        <f aca="false">IF(AND(O80="ja",COUNTIFS($C$2:C80,C80,$J$2:J80,J80,$O$2:O80,"ja")=1),1,0)</f>
        <v>0</v>
      </c>
    </row>
    <row r="81" customFormat="false" ht="15" hidden="false" customHeight="false" outlineLevel="0" collapsed="false">
      <c r="A81" s="15" t="n">
        <v>214</v>
      </c>
      <c r="B81" s="15" t="s">
        <v>176</v>
      </c>
      <c r="C81" s="15" t="s">
        <v>176</v>
      </c>
      <c r="D81" s="15"/>
      <c r="E81" s="15" t="s">
        <v>165</v>
      </c>
      <c r="F81" s="16" t="n">
        <v>46255.6357407407</v>
      </c>
      <c r="G81" s="15" t="s">
        <v>71</v>
      </c>
      <c r="H81" s="15" t="n">
        <v>5</v>
      </c>
      <c r="I81" s="15" t="n">
        <v>5</v>
      </c>
      <c r="J81" s="15" t="n">
        <v>10</v>
      </c>
      <c r="K81" s="15" t="n">
        <v>5</v>
      </c>
      <c r="L81" s="15" t="n">
        <v>2</v>
      </c>
      <c r="M81" s="15" t="n">
        <v>10</v>
      </c>
      <c r="N81" s="15" t="s">
        <v>72</v>
      </c>
      <c r="O81" s="15" t="s">
        <v>73</v>
      </c>
      <c r="P81" s="15" t="n">
        <v>1</v>
      </c>
      <c r="Q81" s="15" t="n">
        <v>4</v>
      </c>
      <c r="R81" s="15" t="s">
        <v>94</v>
      </c>
      <c r="S81" s="15" t="s">
        <v>80</v>
      </c>
      <c r="T81" s="15" t="s">
        <v>80</v>
      </c>
      <c r="U81" s="15" t="s">
        <v>80</v>
      </c>
      <c r="V81" s="17"/>
      <c r="W81" s="17"/>
      <c r="X81" s="17"/>
      <c r="Y81" s="17"/>
      <c r="Z81" s="17"/>
      <c r="AA81" s="15" t="n">
        <v>32</v>
      </c>
      <c r="AB81" s="15"/>
      <c r="AC81" s="18" t="n">
        <f aca="false">IF(C81=C80,(F81-F80)*24,"")</f>
        <v>91.8625</v>
      </c>
      <c r="AD81" s="17"/>
      <c r="AE81" s="15" t="n">
        <f aca="false">INDEX(Parameter!$C$3:$C$8,H81)</f>
        <v>106</v>
      </c>
      <c r="AF81" s="18" t="str">
        <f aca="false">IF(AND(N81="ganz",INDEX(Parameter!$D$3:$D$8,H81)&lt;&gt;""),Q81*INDEX(Parameter!$D$3:$D$8,H81),"")</f>
        <v/>
      </c>
      <c r="AG81" s="18" t="str">
        <f aca="false">IF(AND(N81="ganz",INDEX(Parameter!$D$3:$D$8,H81)&lt;&gt;""),Q81*(INDEX(Parameter!$D$3:$D$8,H81)+INDEX(Parameter!$F$3:$F$8,H81)),"")</f>
        <v/>
      </c>
      <c r="AH81" s="15" t="n">
        <f aca="false">IF(AND(N81="ganz",COUNTIFS($C$2:C81,C81,$H$2:H81,H81,$N$2:N81,"ganz")&lt;=2),1,0)</f>
        <v>1</v>
      </c>
      <c r="AI81" s="15" t="n">
        <f aca="false">IF(AND(N81="ganz",COUNTIFS($C$2:C81,C81,$J$2:J81,J81,$N$2:N81,"ganz")=1),1,0)</f>
        <v>1</v>
      </c>
      <c r="AJ81" s="15" t="n">
        <f aca="false">IF(AND(O81="ja",COUNTIFS($C$2:C81,C81,$H$2:H81,H81,$O$2:O81,"ja")&lt;=2),1,0)</f>
        <v>1</v>
      </c>
      <c r="AK81" s="15" t="n">
        <f aca="false">IF(AND(O81="ja",COUNTIFS($C$2:C81,C81,$J$2:J81,J81,$O$2:O81,"ja")=1),1,0)</f>
        <v>1</v>
      </c>
    </row>
    <row r="82" customFormat="false" ht="15" hidden="false" customHeight="false" outlineLevel="0" collapsed="false">
      <c r="A82" s="6" t="n">
        <v>255</v>
      </c>
      <c r="B82" s="6" t="s">
        <v>176</v>
      </c>
      <c r="C82" s="6" t="s">
        <v>176</v>
      </c>
      <c r="D82" s="6"/>
      <c r="E82" s="6" t="s">
        <v>165</v>
      </c>
      <c r="F82" s="12" t="n">
        <v>46264.5063541667</v>
      </c>
      <c r="G82" s="6" t="s">
        <v>78</v>
      </c>
      <c r="H82" s="6" t="n">
        <v>6</v>
      </c>
      <c r="I82" s="6" t="n">
        <v>6</v>
      </c>
      <c r="J82" s="6" t="n">
        <v>11</v>
      </c>
      <c r="K82" s="6" t="n">
        <v>6</v>
      </c>
      <c r="L82" s="6" t="n">
        <v>1</v>
      </c>
      <c r="M82" s="6" t="n">
        <v>11</v>
      </c>
      <c r="N82" s="6" t="s">
        <v>72</v>
      </c>
      <c r="O82" s="6" t="s">
        <v>73</v>
      </c>
      <c r="P82" s="6" t="n">
        <v>1</v>
      </c>
      <c r="Q82" s="6" t="n">
        <v>4</v>
      </c>
      <c r="R82" s="6" t="s">
        <v>74</v>
      </c>
      <c r="S82" s="6" t="s">
        <v>80</v>
      </c>
      <c r="T82" s="6" t="s">
        <v>80</v>
      </c>
      <c r="U82" s="6" t="s">
        <v>80</v>
      </c>
      <c r="V82" s="13"/>
      <c r="W82" s="13"/>
      <c r="X82" s="13"/>
      <c r="Y82" s="13"/>
      <c r="Z82" s="13"/>
      <c r="AA82" s="6" t="n">
        <v>27</v>
      </c>
      <c r="AB82" s="6"/>
      <c r="AC82" s="14" t="n">
        <f aca="false">IF(C82=C81,(F82-F81)*24,"")</f>
        <v>212.894722222222</v>
      </c>
      <c r="AD82" s="13"/>
      <c r="AE82" s="6" t="n">
        <f aca="false">INDEX(Parameter!$C$3:$C$8,H82)</f>
        <v>120</v>
      </c>
      <c r="AF82" s="14" t="n">
        <f aca="false">IF(AND(N82="ganz",INDEX(Parameter!$D$3:$D$8,H82)&lt;&gt;""),Q82*INDEX(Parameter!$D$3:$D$8,H82),"")</f>
        <v>124.2</v>
      </c>
      <c r="AG82" s="14" t="n">
        <f aca="false">IF(AND(N82="ganz",INDEX(Parameter!$D$3:$D$8,H82)&lt;&gt;""),Q82*(INDEX(Parameter!$D$3:$D$8,H82)+INDEX(Parameter!$F$3:$F$8,H82)),"")</f>
        <v>159.733333333333</v>
      </c>
      <c r="AH82" s="6" t="n">
        <f aca="false">IF(AND(N82="ganz",COUNTIFS($C$2:C82,C82,$H$2:H82,H82,$N$2:N82,"ganz")&lt;=2),1,0)</f>
        <v>1</v>
      </c>
      <c r="AI82" s="6" t="n">
        <f aca="false">IF(AND(N82="ganz",COUNTIFS($C$2:C82,C82,$J$2:J82,J82,$N$2:N82,"ganz")=1),1,0)</f>
        <v>1</v>
      </c>
      <c r="AJ82" s="6" t="n">
        <f aca="false">IF(AND(O82="ja",COUNTIFS($C$2:C82,C82,$H$2:H82,H82,$O$2:O82,"ja")&lt;=2),1,0)</f>
        <v>1</v>
      </c>
      <c r="AK82" s="6" t="n">
        <f aca="false">IF(AND(O82="ja",COUNTIFS($C$2:C82,C82,$J$2:J82,J82,$O$2:O82,"ja")=1),1,0)</f>
        <v>1</v>
      </c>
    </row>
    <row r="83" customFormat="false" ht="15" hidden="false" customHeight="false" outlineLevel="0" collapsed="false">
      <c r="A83" s="15" t="n">
        <v>26</v>
      </c>
      <c r="B83" s="15" t="s">
        <v>181</v>
      </c>
      <c r="C83" s="15" t="s">
        <v>181</v>
      </c>
      <c r="D83" s="15"/>
      <c r="E83" s="15" t="s">
        <v>165</v>
      </c>
      <c r="F83" s="16" t="n">
        <v>46224.8208680556</v>
      </c>
      <c r="G83" s="15" t="s">
        <v>82</v>
      </c>
      <c r="H83" s="15" t="n">
        <v>1</v>
      </c>
      <c r="I83" s="15" t="n">
        <v>1</v>
      </c>
      <c r="J83" s="15" t="n">
        <v>1</v>
      </c>
      <c r="K83" s="15" t="n">
        <v>1</v>
      </c>
      <c r="L83" s="15" t="n">
        <v>1</v>
      </c>
      <c r="M83" s="15" t="n">
        <v>1</v>
      </c>
      <c r="N83" s="15" t="s">
        <v>72</v>
      </c>
      <c r="O83" s="15" t="s">
        <v>73</v>
      </c>
      <c r="P83" s="15" t="n">
        <v>1</v>
      </c>
      <c r="Q83" s="15" t="n">
        <v>4</v>
      </c>
      <c r="R83" s="15" t="s">
        <v>94</v>
      </c>
      <c r="S83" s="15" t="s">
        <v>73</v>
      </c>
      <c r="T83" s="15" t="s">
        <v>80</v>
      </c>
      <c r="U83" s="15" t="s">
        <v>80</v>
      </c>
      <c r="V83" s="17"/>
      <c r="W83" s="17"/>
      <c r="X83" s="17" t="s">
        <v>182</v>
      </c>
      <c r="Y83" s="17"/>
      <c r="Z83" s="17"/>
      <c r="AA83" s="15" t="n">
        <v>60</v>
      </c>
      <c r="AB83" s="15"/>
      <c r="AC83" s="18" t="str">
        <f aca="false">IF(C83=C82,(F83-F82)*24,"")</f>
        <v/>
      </c>
      <c r="AD83" s="17"/>
      <c r="AE83" s="15" t="n">
        <f aca="false">INDEX(Parameter!$C$3:$C$8,H83)</f>
        <v>52</v>
      </c>
      <c r="AF83" s="18" t="n">
        <f aca="false">IF(AND(N83="ganz",INDEX(Parameter!$D$3:$D$8,H83)&lt;&gt;""),Q83*INDEX(Parameter!$D$3:$D$8,H83),"")</f>
        <v>113.066666666667</v>
      </c>
      <c r="AG83" s="18" t="n">
        <f aca="false">IF(AND(N83="ganz",INDEX(Parameter!$D$3:$D$8,H83)&lt;&gt;""),Q83*(INDEX(Parameter!$D$3:$D$8,H83)+INDEX(Parameter!$F$3:$F$8,H83)),"")</f>
        <v>148.6</v>
      </c>
      <c r="AH83" s="15" t="n">
        <f aca="false">IF(AND(N83="ganz",COUNTIFS($C$2:C83,C83,$H$2:H83,H83,$N$2:N83,"ganz")&lt;=2),1,0)</f>
        <v>1</v>
      </c>
      <c r="AI83" s="15" t="n">
        <f aca="false">IF(AND(N83="ganz",COUNTIFS($C$2:C83,C83,$J$2:J83,J83,$N$2:N83,"ganz")=1),1,0)</f>
        <v>1</v>
      </c>
      <c r="AJ83" s="15" t="n">
        <f aca="false">IF(AND(O83="ja",COUNTIFS($C$2:C83,C83,$H$2:H83,H83,$O$2:O83,"ja")&lt;=2),1,0)</f>
        <v>1</v>
      </c>
      <c r="AK83" s="15" t="n">
        <f aca="false">IF(AND(O83="ja",COUNTIFS($C$2:C83,C83,$J$2:J83,J83,$O$2:O83,"ja")=1),1,0)</f>
        <v>1</v>
      </c>
    </row>
    <row r="84" customFormat="false" ht="15" hidden="false" customHeight="false" outlineLevel="0" collapsed="false">
      <c r="A84" s="6" t="n">
        <v>63</v>
      </c>
      <c r="B84" s="6" t="s">
        <v>181</v>
      </c>
      <c r="C84" s="6" t="s">
        <v>181</v>
      </c>
      <c r="D84" s="6"/>
      <c r="E84" s="6" t="s">
        <v>165</v>
      </c>
      <c r="F84" s="12" t="n">
        <v>46229.737025463</v>
      </c>
      <c r="G84" s="6" t="s">
        <v>78</v>
      </c>
      <c r="H84" s="6" t="n">
        <v>1</v>
      </c>
      <c r="I84" s="6" t="n">
        <v>1</v>
      </c>
      <c r="J84" s="6" t="n">
        <v>1</v>
      </c>
      <c r="K84" s="6" t="n">
        <v>1</v>
      </c>
      <c r="L84" s="6" t="n">
        <v>1</v>
      </c>
      <c r="M84" s="6" t="n">
        <v>2</v>
      </c>
      <c r="N84" s="6" t="s">
        <v>72</v>
      </c>
      <c r="O84" s="6" t="s">
        <v>73</v>
      </c>
      <c r="P84" s="6" t="n">
        <v>1</v>
      </c>
      <c r="Q84" s="6" t="n">
        <v>3</v>
      </c>
      <c r="R84" s="6" t="s">
        <v>94</v>
      </c>
      <c r="S84" s="6" t="s">
        <v>80</v>
      </c>
      <c r="T84" s="6" t="s">
        <v>80</v>
      </c>
      <c r="U84" s="6" t="s">
        <v>73</v>
      </c>
      <c r="V84" s="13"/>
      <c r="W84" s="13"/>
      <c r="X84" s="13"/>
      <c r="Y84" s="13"/>
      <c r="Z84" s="13" t="s">
        <v>183</v>
      </c>
      <c r="AA84" s="6" t="n">
        <v>68</v>
      </c>
      <c r="AB84" s="6"/>
      <c r="AC84" s="14" t="n">
        <f aca="false">IF(C84=C83,(F84-F83)*24,"")</f>
        <v>117.987777777778</v>
      </c>
      <c r="AD84" s="13"/>
      <c r="AE84" s="6" t="n">
        <f aca="false">INDEX(Parameter!$C$3:$C$8,H84)</f>
        <v>52</v>
      </c>
      <c r="AF84" s="14" t="n">
        <f aca="false">IF(AND(N84="ganz",INDEX(Parameter!$D$3:$D$8,H84)&lt;&gt;""),Q84*INDEX(Parameter!$D$3:$D$8,H84),"")</f>
        <v>84.8</v>
      </c>
      <c r="AG84" s="14" t="n">
        <f aca="false">IF(AND(N84="ganz",INDEX(Parameter!$D$3:$D$8,H84)&lt;&gt;""),Q84*(INDEX(Parameter!$D$3:$D$8,H84)+INDEX(Parameter!$F$3:$F$8,H84)),"")</f>
        <v>111.45</v>
      </c>
      <c r="AH84" s="6" t="n">
        <f aca="false">IF(AND(N84="ganz",COUNTIFS($C$2:C84,C84,$H$2:H84,H84,$N$2:N84,"ganz")&lt;=2),1,0)</f>
        <v>1</v>
      </c>
      <c r="AI84" s="6" t="n">
        <f aca="false">IF(AND(N84="ganz",COUNTIFS($C$2:C84,C84,$J$2:J84,J84,$N$2:N84,"ganz")=1),1,0)</f>
        <v>0</v>
      </c>
      <c r="AJ84" s="6" t="n">
        <f aca="false">IF(AND(O84="ja",COUNTIFS($C$2:C84,C84,$H$2:H84,H84,$O$2:O84,"ja")&lt;=2),1,0)</f>
        <v>1</v>
      </c>
      <c r="AK84" s="6" t="n">
        <f aca="false">IF(AND(O84="ja",COUNTIFS($C$2:C84,C84,$J$2:J84,J84,$O$2:O84,"ja")=1),1,0)</f>
        <v>0</v>
      </c>
    </row>
    <row r="85" customFormat="false" ht="15" hidden="false" customHeight="false" outlineLevel="0" collapsed="false">
      <c r="A85" s="15" t="n">
        <v>79</v>
      </c>
      <c r="B85" s="15" t="s">
        <v>181</v>
      </c>
      <c r="C85" s="15" t="s">
        <v>181</v>
      </c>
      <c r="D85" s="15"/>
      <c r="E85" s="15" t="s">
        <v>165</v>
      </c>
      <c r="F85" s="16" t="n">
        <v>46231.8274537037</v>
      </c>
      <c r="G85" s="15" t="s">
        <v>82</v>
      </c>
      <c r="H85" s="15" t="n">
        <v>2</v>
      </c>
      <c r="I85" s="15" t="n">
        <v>2</v>
      </c>
      <c r="J85" s="15" t="n">
        <v>3</v>
      </c>
      <c r="K85" s="15" t="n">
        <v>2</v>
      </c>
      <c r="L85" s="15" t="n">
        <v>1</v>
      </c>
      <c r="M85" s="15" t="n">
        <v>3</v>
      </c>
      <c r="N85" s="15" t="s">
        <v>72</v>
      </c>
      <c r="O85" s="15" t="s">
        <v>73</v>
      </c>
      <c r="P85" s="15" t="n">
        <v>1</v>
      </c>
      <c r="Q85" s="15" t="n">
        <v>4</v>
      </c>
      <c r="R85" s="15" t="s">
        <v>94</v>
      </c>
      <c r="S85" s="15" t="s">
        <v>80</v>
      </c>
      <c r="T85" s="15" t="s">
        <v>73</v>
      </c>
      <c r="U85" s="15" t="s">
        <v>73</v>
      </c>
      <c r="V85" s="17"/>
      <c r="W85" s="17"/>
      <c r="X85" s="17"/>
      <c r="Y85" s="17" t="s">
        <v>184</v>
      </c>
      <c r="Z85" s="17" t="s">
        <v>185</v>
      </c>
      <c r="AA85" s="15" t="n">
        <v>54</v>
      </c>
      <c r="AB85" s="15"/>
      <c r="AC85" s="18" t="n">
        <f aca="false">IF(C85=C84,(F85-F84)*24,"")</f>
        <v>50.1702777777778</v>
      </c>
      <c r="AD85" s="17"/>
      <c r="AE85" s="15" t="n">
        <f aca="false">INDEX(Parameter!$C$3:$C$8,H85)</f>
        <v>66</v>
      </c>
      <c r="AF85" s="18" t="n">
        <f aca="false">IF(AND(N85="ganz",INDEX(Parameter!$D$3:$D$8,H85)&lt;&gt;""),Q85*INDEX(Parameter!$D$3:$D$8,H85),"")</f>
        <v>112.133333333333</v>
      </c>
      <c r="AG85" s="18" t="n">
        <f aca="false">IF(AND(N85="ganz",INDEX(Parameter!$D$3:$D$8,H85)&lt;&gt;""),Q85*(INDEX(Parameter!$D$3:$D$8,H85)+INDEX(Parameter!$F$3:$F$8,H85)),"")</f>
        <v>147.666666666667</v>
      </c>
      <c r="AH85" s="15" t="n">
        <f aca="false">IF(AND(N85="ganz",COUNTIFS($C$2:C85,C85,$H$2:H85,H85,$N$2:N85,"ganz")&lt;=2),1,0)</f>
        <v>1</v>
      </c>
      <c r="AI85" s="15" t="n">
        <f aca="false">IF(AND(N85="ganz",COUNTIFS($C$2:C85,C85,$J$2:J85,J85,$N$2:N85,"ganz")=1),1,0)</f>
        <v>1</v>
      </c>
      <c r="AJ85" s="15" t="n">
        <f aca="false">IF(AND(O85="ja",COUNTIFS($C$2:C85,C85,$H$2:H85,H85,$O$2:O85,"ja")&lt;=2),1,0)</f>
        <v>1</v>
      </c>
      <c r="AK85" s="15" t="n">
        <f aca="false">IF(AND(O85="ja",COUNTIFS($C$2:C85,C85,$J$2:J85,J85,$O$2:O85,"ja")=1),1,0)</f>
        <v>1</v>
      </c>
    </row>
    <row r="86" customFormat="false" ht="15" hidden="false" customHeight="false" outlineLevel="0" collapsed="false">
      <c r="A86" s="6" t="n">
        <v>107</v>
      </c>
      <c r="B86" s="6" t="s">
        <v>181</v>
      </c>
      <c r="C86" s="6" t="s">
        <v>181</v>
      </c>
      <c r="D86" s="6"/>
      <c r="E86" s="6" t="s">
        <v>165</v>
      </c>
      <c r="F86" s="12" t="n">
        <v>46236.5989814815</v>
      </c>
      <c r="G86" s="6" t="s">
        <v>78</v>
      </c>
      <c r="H86" s="6" t="n">
        <v>2</v>
      </c>
      <c r="I86" s="6" t="n">
        <v>2</v>
      </c>
      <c r="J86" s="6" t="n">
        <v>3</v>
      </c>
      <c r="K86" s="6" t="n">
        <v>2</v>
      </c>
      <c r="L86" s="6" t="n">
        <v>1</v>
      </c>
      <c r="M86" s="6" t="n">
        <v>4</v>
      </c>
      <c r="N86" s="6" t="s">
        <v>72</v>
      </c>
      <c r="O86" s="6" t="s">
        <v>73</v>
      </c>
      <c r="P86" s="6" t="n">
        <v>1</v>
      </c>
      <c r="Q86" s="6" t="n">
        <v>2</v>
      </c>
      <c r="R86" s="6" t="s">
        <v>94</v>
      </c>
      <c r="S86" s="6" t="s">
        <v>80</v>
      </c>
      <c r="T86" s="6" t="s">
        <v>73</v>
      </c>
      <c r="U86" s="6" t="s">
        <v>80</v>
      </c>
      <c r="V86" s="13"/>
      <c r="W86" s="13"/>
      <c r="X86" s="13"/>
      <c r="Y86" s="13" t="s">
        <v>120</v>
      </c>
      <c r="Z86" s="13"/>
      <c r="AA86" s="6" t="n">
        <v>42</v>
      </c>
      <c r="AB86" s="6"/>
      <c r="AC86" s="14" t="n">
        <f aca="false">IF(C86=C85,(F86-F85)*24,"")</f>
        <v>114.516666666667</v>
      </c>
      <c r="AD86" s="13"/>
      <c r="AE86" s="6" t="n">
        <f aca="false">INDEX(Parameter!$C$3:$C$8,H86)</f>
        <v>66</v>
      </c>
      <c r="AF86" s="14" t="n">
        <f aca="false">IF(AND(N86="ganz",INDEX(Parameter!$D$3:$D$8,H86)&lt;&gt;""),Q86*INDEX(Parameter!$D$3:$D$8,H86),"")</f>
        <v>56.0666666666667</v>
      </c>
      <c r="AG86" s="14" t="n">
        <f aca="false">IF(AND(N86="ganz",INDEX(Parameter!$D$3:$D$8,H86)&lt;&gt;""),Q86*(INDEX(Parameter!$D$3:$D$8,H86)+INDEX(Parameter!$F$3:$F$8,H86)),"")</f>
        <v>73.8333333333333</v>
      </c>
      <c r="AH86" s="6" t="n">
        <f aca="false">IF(AND(N86="ganz",COUNTIFS($C$2:C86,C86,$H$2:H86,H86,$N$2:N86,"ganz")&lt;=2),1,0)</f>
        <v>1</v>
      </c>
      <c r="AI86" s="6" t="n">
        <f aca="false">IF(AND(N86="ganz",COUNTIFS($C$2:C86,C86,$J$2:J86,J86,$N$2:N86,"ganz")=1),1,0)</f>
        <v>0</v>
      </c>
      <c r="AJ86" s="6" t="n">
        <f aca="false">IF(AND(O86="ja",COUNTIFS($C$2:C86,C86,$H$2:H86,H86,$O$2:O86,"ja")&lt;=2),1,0)</f>
        <v>1</v>
      </c>
      <c r="AK86" s="6" t="n">
        <f aca="false">IF(AND(O86="ja",COUNTIFS($C$2:C86,C86,$J$2:J86,J86,$O$2:O86,"ja")=1),1,0)</f>
        <v>0</v>
      </c>
    </row>
    <row r="87" customFormat="false" ht="15" hidden="false" customHeight="false" outlineLevel="0" collapsed="false">
      <c r="A87" s="15" t="n">
        <v>153</v>
      </c>
      <c r="B87" s="15" t="s">
        <v>181</v>
      </c>
      <c r="C87" s="15" t="s">
        <v>181</v>
      </c>
      <c r="D87" s="15"/>
      <c r="E87" s="15" t="s">
        <v>165</v>
      </c>
      <c r="F87" s="16" t="n">
        <v>46243.8611921296</v>
      </c>
      <c r="G87" s="15" t="s">
        <v>78</v>
      </c>
      <c r="H87" s="15" t="n">
        <v>3</v>
      </c>
      <c r="I87" s="15" t="n">
        <v>4</v>
      </c>
      <c r="J87" s="15" t="n">
        <v>5</v>
      </c>
      <c r="K87" s="15" t="n">
        <v>3</v>
      </c>
      <c r="L87" s="15" t="n">
        <v>1</v>
      </c>
      <c r="M87" s="15" t="n">
        <v>5</v>
      </c>
      <c r="N87" s="15" t="s">
        <v>72</v>
      </c>
      <c r="O87" s="15" t="s">
        <v>73</v>
      </c>
      <c r="P87" s="15" t="n">
        <v>1</v>
      </c>
      <c r="Q87" s="15" t="n">
        <v>3</v>
      </c>
      <c r="R87" s="15" t="s">
        <v>85</v>
      </c>
      <c r="S87" s="15" t="s">
        <v>80</v>
      </c>
      <c r="T87" s="15" t="s">
        <v>80</v>
      </c>
      <c r="U87" s="15" t="s">
        <v>80</v>
      </c>
      <c r="V87" s="17"/>
      <c r="W87" s="17"/>
      <c r="X87" s="17"/>
      <c r="Y87" s="17"/>
      <c r="Z87" s="17"/>
      <c r="AA87" s="15" t="n">
        <v>36</v>
      </c>
      <c r="AB87" s="15" t="s">
        <v>73</v>
      </c>
      <c r="AC87" s="18" t="n">
        <f aca="false">IF(C87=C86,(F87-F86)*24,"")</f>
        <v>174.293055555556</v>
      </c>
      <c r="AD87" s="17" t="s">
        <v>186</v>
      </c>
      <c r="AE87" s="15" t="n">
        <f aca="false">INDEX(Parameter!$C$3:$C$8,H87)</f>
        <v>80</v>
      </c>
      <c r="AF87" s="18" t="n">
        <f aca="false">IF(AND(N87="ganz",INDEX(Parameter!$D$3:$D$8,H87)&lt;&gt;""),Q87*INDEX(Parameter!$D$3:$D$8,H87),"")</f>
        <v>72.85</v>
      </c>
      <c r="AG87" s="18" t="n">
        <f aca="false">IF(AND(N87="ganz",INDEX(Parameter!$D$3:$D$8,H87)&lt;&gt;""),Q87*(INDEX(Parameter!$D$3:$D$8,H87)+INDEX(Parameter!$F$3:$F$8,H87)),"")</f>
        <v>99.5</v>
      </c>
      <c r="AH87" s="15" t="n">
        <f aca="false">IF(AND(N87="ganz",COUNTIFS($C$2:C87,C87,$H$2:H87,H87,$N$2:N87,"ganz")&lt;=2),1,0)</f>
        <v>1</v>
      </c>
      <c r="AI87" s="15" t="n">
        <f aca="false">IF(AND(N87="ganz",COUNTIFS($C$2:C87,C87,$J$2:J87,J87,$N$2:N87,"ganz")=1),1,0)</f>
        <v>1</v>
      </c>
      <c r="AJ87" s="15" t="n">
        <f aca="false">IF(AND(O87="ja",COUNTIFS($C$2:C87,C87,$H$2:H87,H87,$O$2:O87,"ja")&lt;=2),1,0)</f>
        <v>1</v>
      </c>
      <c r="AK87" s="15" t="n">
        <f aca="false">IF(AND(O87="ja",COUNTIFS($C$2:C87,C87,$J$2:J87,J87,$O$2:O87,"ja")=1),1,0)</f>
        <v>1</v>
      </c>
    </row>
    <row r="88" customFormat="false" ht="15" hidden="false" customHeight="false" outlineLevel="0" collapsed="false">
      <c r="A88" s="6" t="n">
        <v>154</v>
      </c>
      <c r="B88" s="6" t="s">
        <v>181</v>
      </c>
      <c r="C88" s="6" t="s">
        <v>181</v>
      </c>
      <c r="D88" s="6"/>
      <c r="E88" s="6" t="s">
        <v>165</v>
      </c>
      <c r="F88" s="12" t="n">
        <v>46243.8619097222</v>
      </c>
      <c r="G88" s="6" t="s">
        <v>78</v>
      </c>
      <c r="H88" s="6" t="n">
        <v>3</v>
      </c>
      <c r="I88" s="6" t="n">
        <v>4</v>
      </c>
      <c r="J88" s="6" t="n">
        <v>5</v>
      </c>
      <c r="K88" s="6" t="n">
        <v>3</v>
      </c>
      <c r="L88" s="6" t="n">
        <v>1</v>
      </c>
      <c r="M88" s="6"/>
      <c r="N88" s="6" t="s">
        <v>109</v>
      </c>
      <c r="O88" s="6" t="s">
        <v>80</v>
      </c>
      <c r="P88" s="6" t="n">
        <v>0</v>
      </c>
      <c r="Q88" s="6" t="n">
        <v>0</v>
      </c>
      <c r="R88" s="6" t="s">
        <v>79</v>
      </c>
      <c r="S88" s="6" t="s">
        <v>80</v>
      </c>
      <c r="T88" s="6" t="s">
        <v>80</v>
      </c>
      <c r="U88" s="6" t="s">
        <v>80</v>
      </c>
      <c r="V88" s="13"/>
      <c r="W88" s="13" t="s">
        <v>187</v>
      </c>
      <c r="X88" s="13"/>
      <c r="Y88" s="13"/>
      <c r="Z88" s="13"/>
      <c r="AA88" s="6" t="n">
        <v>28</v>
      </c>
      <c r="AB88" s="6" t="s">
        <v>73</v>
      </c>
      <c r="AC88" s="14" t="n">
        <f aca="false">IF(C88=C87,(F88-F87)*24,"")</f>
        <v>0.0172222222222222</v>
      </c>
      <c r="AD88" s="13" t="s">
        <v>188</v>
      </c>
      <c r="AE88" s="6" t="n">
        <f aca="false">INDEX(Parameter!$C$3:$C$8,H88)</f>
        <v>80</v>
      </c>
      <c r="AF88" s="14" t="str">
        <f aca="false">IF(AND(N88="ganz",INDEX(Parameter!$D$3:$D$8,H88)&lt;&gt;""),Q88*INDEX(Parameter!$D$3:$D$8,H88),"")</f>
        <v/>
      </c>
      <c r="AG88" s="14" t="str">
        <f aca="false">IF(AND(N88="ganz",INDEX(Parameter!$D$3:$D$8,H88)&lt;&gt;""),Q88*(INDEX(Parameter!$D$3:$D$8,H88)+INDEX(Parameter!$F$3:$F$8,H88)),"")</f>
        <v/>
      </c>
      <c r="AH88" s="6" t="n">
        <f aca="false">IF(AND(N88="ganz",COUNTIFS($C$2:C88,C88,$H$2:H88,H88,$N$2:N88,"ganz")&lt;=2),1,0)</f>
        <v>0</v>
      </c>
      <c r="AI88" s="6" t="n">
        <f aca="false">IF(AND(N88="ganz",COUNTIFS($C$2:C88,C88,$J$2:J88,J88,$N$2:N88,"ganz")=1),1,0)</f>
        <v>0</v>
      </c>
      <c r="AJ88" s="6" t="n">
        <f aca="false">IF(AND(O88="ja",COUNTIFS($C$2:C88,C88,$H$2:H88,H88,$O$2:O88,"ja")&lt;=2),1,0)</f>
        <v>0</v>
      </c>
      <c r="AK88" s="6" t="n">
        <f aca="false">IF(AND(O88="ja",COUNTIFS($C$2:C88,C88,$J$2:J88,J88,$O$2:O88,"ja")=1),1,0)</f>
        <v>0</v>
      </c>
    </row>
    <row r="89" customFormat="false" ht="15" hidden="false" customHeight="false" outlineLevel="0" collapsed="false">
      <c r="A89" s="15" t="n">
        <v>182</v>
      </c>
      <c r="B89" s="15" t="s">
        <v>181</v>
      </c>
      <c r="C89" s="15" t="s">
        <v>181</v>
      </c>
      <c r="D89" s="15"/>
      <c r="E89" s="15" t="s">
        <v>165</v>
      </c>
      <c r="F89" s="16" t="n">
        <v>46249.9229282407</v>
      </c>
      <c r="G89" s="15" t="s">
        <v>97</v>
      </c>
      <c r="H89" s="15" t="n">
        <v>4</v>
      </c>
      <c r="I89" s="15" t="n">
        <v>4</v>
      </c>
      <c r="J89" s="15" t="n">
        <v>5</v>
      </c>
      <c r="K89" s="15" t="n">
        <v>3</v>
      </c>
      <c r="L89" s="15" t="n">
        <v>1</v>
      </c>
      <c r="M89" s="15" t="n">
        <v>7</v>
      </c>
      <c r="N89" s="15" t="s">
        <v>72</v>
      </c>
      <c r="O89" s="15" t="s">
        <v>73</v>
      </c>
      <c r="P89" s="15" t="n">
        <v>1</v>
      </c>
      <c r="Q89" s="15" t="n">
        <v>4</v>
      </c>
      <c r="R89" s="15" t="s">
        <v>85</v>
      </c>
      <c r="S89" s="15" t="s">
        <v>80</v>
      </c>
      <c r="T89" s="15" t="s">
        <v>73</v>
      </c>
      <c r="U89" s="15" t="s">
        <v>73</v>
      </c>
      <c r="V89" s="17"/>
      <c r="W89" s="17"/>
      <c r="X89" s="17"/>
      <c r="Y89" s="17" t="s">
        <v>184</v>
      </c>
      <c r="Z89" s="17" t="s">
        <v>189</v>
      </c>
      <c r="AA89" s="15" t="n">
        <v>55</v>
      </c>
      <c r="AB89" s="15"/>
      <c r="AC89" s="18" t="n">
        <f aca="false">IF(C89=C88,(F89-F88)*24,"")</f>
        <v>145.464444444166</v>
      </c>
      <c r="AD89" s="17"/>
      <c r="AE89" s="15" t="n">
        <f aca="false">INDEX(Parameter!$C$3:$C$8,H89)</f>
        <v>96</v>
      </c>
      <c r="AF89" s="18" t="n">
        <f aca="false">IF(AND(N89="ganz",INDEX(Parameter!$D$3:$D$8,H89)&lt;&gt;""),Q89*INDEX(Parameter!$D$3:$D$8,H89),"")</f>
        <v>103.666666666667</v>
      </c>
      <c r="AG89" s="18" t="n">
        <f aca="false">IF(AND(N89="ganz",INDEX(Parameter!$D$3:$D$8,H89)&lt;&gt;""),Q89*(INDEX(Parameter!$D$3:$D$8,H89)+INDEX(Parameter!$F$3:$F$8,H89)),"")</f>
        <v>139.2</v>
      </c>
      <c r="AH89" s="15" t="n">
        <f aca="false">IF(AND(N89="ganz",COUNTIFS($C$2:C89,C89,$H$2:H89,H89,$N$2:N89,"ganz")&lt;=2),1,0)</f>
        <v>1</v>
      </c>
      <c r="AI89" s="15" t="n">
        <f aca="false">IF(AND(N89="ganz",COUNTIFS($C$2:C89,C89,$J$2:J89,J89,$N$2:N89,"ganz")=1),1,0)</f>
        <v>0</v>
      </c>
      <c r="AJ89" s="15" t="n">
        <f aca="false">IF(AND(O89="ja",COUNTIFS($C$2:C89,C89,$H$2:H89,H89,$O$2:O89,"ja")&lt;=2),1,0)</f>
        <v>1</v>
      </c>
      <c r="AK89" s="15" t="n">
        <f aca="false">IF(AND(O89="ja",COUNTIFS($C$2:C89,C89,$J$2:J89,J89,$O$2:O89,"ja")=1),1,0)</f>
        <v>0</v>
      </c>
    </row>
    <row r="90" customFormat="false" ht="15" hidden="false" customHeight="false" outlineLevel="0" collapsed="false">
      <c r="A90" s="6" t="n">
        <v>195</v>
      </c>
      <c r="B90" s="6" t="s">
        <v>181</v>
      </c>
      <c r="C90" s="6" t="s">
        <v>181</v>
      </c>
      <c r="D90" s="6"/>
      <c r="E90" s="6" t="s">
        <v>165</v>
      </c>
      <c r="F90" s="12" t="n">
        <v>46250.8234027778</v>
      </c>
      <c r="G90" s="6" t="s">
        <v>78</v>
      </c>
      <c r="H90" s="6" t="n">
        <v>4</v>
      </c>
      <c r="I90" s="6" t="n">
        <v>4</v>
      </c>
      <c r="J90" s="6" t="n">
        <v>7</v>
      </c>
      <c r="K90" s="6" t="n">
        <v>4</v>
      </c>
      <c r="L90" s="6" t="n">
        <v>1</v>
      </c>
      <c r="M90" s="6" t="n">
        <v>8</v>
      </c>
      <c r="N90" s="6" t="s">
        <v>72</v>
      </c>
      <c r="O90" s="6" t="s">
        <v>73</v>
      </c>
      <c r="P90" s="6" t="n">
        <v>1</v>
      </c>
      <c r="Q90" s="6" t="n">
        <v>3</v>
      </c>
      <c r="R90" s="6" t="s">
        <v>85</v>
      </c>
      <c r="S90" s="6" t="s">
        <v>80</v>
      </c>
      <c r="T90" s="6" t="s">
        <v>73</v>
      </c>
      <c r="U90" s="6" t="s">
        <v>80</v>
      </c>
      <c r="V90" s="13"/>
      <c r="W90" s="13"/>
      <c r="X90" s="13"/>
      <c r="Y90" s="13" t="s">
        <v>190</v>
      </c>
      <c r="Z90" s="13"/>
      <c r="AA90" s="6" t="n">
        <v>28</v>
      </c>
      <c r="AB90" s="6"/>
      <c r="AC90" s="14" t="n">
        <f aca="false">IF(C90=C89,(F90-F89)*24,"")</f>
        <v>21.6113888888889</v>
      </c>
      <c r="AD90" s="13"/>
      <c r="AE90" s="6" t="n">
        <f aca="false">INDEX(Parameter!$C$3:$C$8,H90)</f>
        <v>96</v>
      </c>
      <c r="AF90" s="14" t="n">
        <f aca="false">IF(AND(N90="ganz",INDEX(Parameter!$D$3:$D$8,H90)&lt;&gt;""),Q90*INDEX(Parameter!$D$3:$D$8,H90),"")</f>
        <v>77.75</v>
      </c>
      <c r="AG90" s="14" t="n">
        <f aca="false">IF(AND(N90="ganz",INDEX(Parameter!$D$3:$D$8,H90)&lt;&gt;""),Q90*(INDEX(Parameter!$D$3:$D$8,H90)+INDEX(Parameter!$F$3:$F$8,H90)),"")</f>
        <v>104.4</v>
      </c>
      <c r="AH90" s="6" t="n">
        <f aca="false">IF(AND(N90="ganz",COUNTIFS($C$2:C90,C90,$H$2:H90,H90,$N$2:N90,"ganz")&lt;=2),1,0)</f>
        <v>1</v>
      </c>
      <c r="AI90" s="6" t="n">
        <f aca="false">IF(AND(N90="ganz",COUNTIFS($C$2:C90,C90,$J$2:J90,J90,$N$2:N90,"ganz")=1),1,0)</f>
        <v>1</v>
      </c>
      <c r="AJ90" s="6" t="n">
        <f aca="false">IF(AND(O90="ja",COUNTIFS($C$2:C90,C90,$H$2:H90,H90,$O$2:O90,"ja")&lt;=2),1,0)</f>
        <v>1</v>
      </c>
      <c r="AK90" s="6" t="n">
        <f aca="false">IF(AND(O90="ja",COUNTIFS($C$2:C90,C90,$J$2:J90,J90,$O$2:O90,"ja")=1),1,0)</f>
        <v>1</v>
      </c>
    </row>
    <row r="91" customFormat="false" ht="15" hidden="false" customHeight="false" outlineLevel="0" collapsed="false">
      <c r="A91" s="15" t="n">
        <v>204</v>
      </c>
      <c r="B91" s="15" t="s">
        <v>181</v>
      </c>
      <c r="C91" s="15" t="s">
        <v>181</v>
      </c>
      <c r="D91" s="15"/>
      <c r="E91" s="15" t="s">
        <v>165</v>
      </c>
      <c r="F91" s="16" t="n">
        <v>46252.3423842593</v>
      </c>
      <c r="G91" s="15" t="s">
        <v>82</v>
      </c>
      <c r="H91" s="15" t="n">
        <v>5</v>
      </c>
      <c r="I91" s="15" t="n">
        <v>5</v>
      </c>
      <c r="J91" s="15" t="n">
        <v>9</v>
      </c>
      <c r="K91" s="15" t="n">
        <v>5</v>
      </c>
      <c r="L91" s="15" t="n">
        <v>1</v>
      </c>
      <c r="M91" s="15" t="n">
        <v>9</v>
      </c>
      <c r="N91" s="15" t="s">
        <v>72</v>
      </c>
      <c r="O91" s="15" t="s">
        <v>73</v>
      </c>
      <c r="P91" s="15" t="n">
        <v>1</v>
      </c>
      <c r="Q91" s="15" t="n">
        <v>4</v>
      </c>
      <c r="R91" s="15" t="s">
        <v>85</v>
      </c>
      <c r="S91" s="15" t="s">
        <v>80</v>
      </c>
      <c r="T91" s="15" t="s">
        <v>73</v>
      </c>
      <c r="U91" s="15" t="s">
        <v>73</v>
      </c>
      <c r="V91" s="17"/>
      <c r="W91" s="17"/>
      <c r="X91" s="17"/>
      <c r="Y91" s="17" t="s">
        <v>190</v>
      </c>
      <c r="Z91" s="17" t="s">
        <v>191</v>
      </c>
      <c r="AA91" s="15" t="n">
        <v>54</v>
      </c>
      <c r="AB91" s="15"/>
      <c r="AC91" s="18" t="n">
        <f aca="false">IF(C91=C90,(F91-F90)*24,"")</f>
        <v>36.4555555555556</v>
      </c>
      <c r="AD91" s="17"/>
      <c r="AE91" s="15" t="n">
        <f aca="false">INDEX(Parameter!$C$3:$C$8,H91)</f>
        <v>106</v>
      </c>
      <c r="AF91" s="18" t="str">
        <f aca="false">IF(AND(N91="ganz",INDEX(Parameter!$D$3:$D$8,H91)&lt;&gt;""),Q91*INDEX(Parameter!$D$3:$D$8,H91),"")</f>
        <v/>
      </c>
      <c r="AG91" s="18" t="str">
        <f aca="false">IF(AND(N91="ganz",INDEX(Parameter!$D$3:$D$8,H91)&lt;&gt;""),Q91*(INDEX(Parameter!$D$3:$D$8,H91)+INDEX(Parameter!$F$3:$F$8,H91)),"")</f>
        <v/>
      </c>
      <c r="AH91" s="15" t="n">
        <f aca="false">IF(AND(N91="ganz",COUNTIFS($C$2:C91,C91,$H$2:H91,H91,$N$2:N91,"ganz")&lt;=2),1,0)</f>
        <v>1</v>
      </c>
      <c r="AI91" s="15" t="n">
        <f aca="false">IF(AND(N91="ganz",COUNTIFS($C$2:C91,C91,$J$2:J91,J91,$N$2:N91,"ganz")=1),1,0)</f>
        <v>1</v>
      </c>
      <c r="AJ91" s="15" t="n">
        <f aca="false">IF(AND(O91="ja",COUNTIFS($C$2:C91,C91,$H$2:H91,H91,$O$2:O91,"ja")&lt;=2),1,0)</f>
        <v>1</v>
      </c>
      <c r="AK91" s="15" t="n">
        <f aca="false">IF(AND(O91="ja",COUNTIFS($C$2:C91,C91,$J$2:J91,J91,$O$2:O91,"ja")=1),1,0)</f>
        <v>1</v>
      </c>
    </row>
    <row r="92" customFormat="false" ht="15" hidden="false" customHeight="false" outlineLevel="0" collapsed="false">
      <c r="A92" s="6" t="n">
        <v>228</v>
      </c>
      <c r="B92" s="6" t="s">
        <v>181</v>
      </c>
      <c r="C92" s="6" t="s">
        <v>181</v>
      </c>
      <c r="D92" s="6"/>
      <c r="E92" s="6" t="s">
        <v>165</v>
      </c>
      <c r="F92" s="12" t="n">
        <v>46257.8777893519</v>
      </c>
      <c r="G92" s="6" t="s">
        <v>78</v>
      </c>
      <c r="H92" s="6" t="n">
        <v>5</v>
      </c>
      <c r="I92" s="6" t="n">
        <v>6</v>
      </c>
      <c r="J92" s="6" t="n">
        <v>9</v>
      </c>
      <c r="K92" s="6" t="n">
        <v>5</v>
      </c>
      <c r="L92" s="6" t="n">
        <v>1</v>
      </c>
      <c r="M92" s="6" t="n">
        <v>10</v>
      </c>
      <c r="N92" s="6" t="s">
        <v>72</v>
      </c>
      <c r="O92" s="6" t="s">
        <v>73</v>
      </c>
      <c r="P92" s="6" t="n">
        <v>1</v>
      </c>
      <c r="Q92" s="6" t="n">
        <v>4</v>
      </c>
      <c r="R92" s="6" t="s">
        <v>94</v>
      </c>
      <c r="S92" s="6" t="s">
        <v>80</v>
      </c>
      <c r="T92" s="6" t="s">
        <v>80</v>
      </c>
      <c r="U92" s="6" t="s">
        <v>73</v>
      </c>
      <c r="V92" s="13"/>
      <c r="W92" s="13"/>
      <c r="X92" s="13"/>
      <c r="Y92" s="13"/>
      <c r="Z92" s="13" t="s">
        <v>192</v>
      </c>
      <c r="AA92" s="6" t="n">
        <v>37</v>
      </c>
      <c r="AB92" s="6" t="s">
        <v>73</v>
      </c>
      <c r="AC92" s="14" t="n">
        <f aca="false">IF(C92=C91,(F92-F91)*24,"")</f>
        <v>132.849722222222</v>
      </c>
      <c r="AD92" s="13"/>
      <c r="AE92" s="6" t="n">
        <f aca="false">INDEX(Parameter!$C$3:$C$8,H92)</f>
        <v>106</v>
      </c>
      <c r="AF92" s="14" t="str">
        <f aca="false">IF(AND(N92="ganz",INDEX(Parameter!$D$3:$D$8,H92)&lt;&gt;""),Q92*INDEX(Parameter!$D$3:$D$8,H92),"")</f>
        <v/>
      </c>
      <c r="AG92" s="14" t="str">
        <f aca="false">IF(AND(N92="ganz",INDEX(Parameter!$D$3:$D$8,H92)&lt;&gt;""),Q92*(INDEX(Parameter!$D$3:$D$8,H92)+INDEX(Parameter!$F$3:$F$8,H92)),"")</f>
        <v/>
      </c>
      <c r="AH92" s="6" t="n">
        <f aca="false">IF(AND(N92="ganz",COUNTIFS($C$2:C92,C92,$H$2:H92,H92,$N$2:N92,"ganz")&lt;=2),1,0)</f>
        <v>1</v>
      </c>
      <c r="AI92" s="6" t="n">
        <f aca="false">IF(AND(N92="ganz",COUNTIFS($C$2:C92,C92,$J$2:J92,J92,$N$2:N92,"ganz")=1),1,0)</f>
        <v>0</v>
      </c>
      <c r="AJ92" s="6" t="n">
        <f aca="false">IF(AND(O92="ja",COUNTIFS($C$2:C92,C92,$H$2:H92,H92,$O$2:O92,"ja")&lt;=2),1,0)</f>
        <v>1</v>
      </c>
      <c r="AK92" s="6" t="n">
        <f aca="false">IF(AND(O92="ja",COUNTIFS($C$2:C92,C92,$J$2:J92,J92,$O$2:O92,"ja")=1),1,0)</f>
        <v>0</v>
      </c>
    </row>
    <row r="93" customFormat="false" ht="15" hidden="false" customHeight="false" outlineLevel="0" collapsed="false">
      <c r="A93" s="15" t="n">
        <v>253</v>
      </c>
      <c r="B93" s="15" t="s">
        <v>181</v>
      </c>
      <c r="C93" s="15" t="s">
        <v>181</v>
      </c>
      <c r="D93" s="15"/>
      <c r="E93" s="15" t="s">
        <v>165</v>
      </c>
      <c r="F93" s="16" t="n">
        <v>46264.4860763889</v>
      </c>
      <c r="G93" s="15" t="s">
        <v>78</v>
      </c>
      <c r="H93" s="15" t="n">
        <v>6</v>
      </c>
      <c r="I93" s="15" t="n">
        <v>6</v>
      </c>
      <c r="J93" s="15" t="n">
        <v>11</v>
      </c>
      <c r="K93" s="15" t="n">
        <v>6</v>
      </c>
      <c r="L93" s="15" t="n">
        <v>1</v>
      </c>
      <c r="M93" s="15"/>
      <c r="N93" s="15" t="s">
        <v>109</v>
      </c>
      <c r="O93" s="15" t="s">
        <v>80</v>
      </c>
      <c r="P93" s="15" t="n">
        <v>0</v>
      </c>
      <c r="Q93" s="15" t="n">
        <v>0</v>
      </c>
      <c r="R93" s="15" t="s">
        <v>79</v>
      </c>
      <c r="S93" s="15" t="s">
        <v>80</v>
      </c>
      <c r="T93" s="15" t="s">
        <v>80</v>
      </c>
      <c r="U93" s="15" t="s">
        <v>73</v>
      </c>
      <c r="V93" s="17"/>
      <c r="W93" s="17" t="s">
        <v>193</v>
      </c>
      <c r="X93" s="17"/>
      <c r="Y93" s="17"/>
      <c r="Z93" s="17" t="s">
        <v>194</v>
      </c>
      <c r="AA93" s="15" t="n">
        <v>40</v>
      </c>
      <c r="AB93" s="15"/>
      <c r="AC93" s="18" t="n">
        <f aca="false">IF(C93=C92,(F93-F92)*24,"")</f>
        <v>158.598888888889</v>
      </c>
      <c r="AD93" s="17"/>
      <c r="AE93" s="15" t="n">
        <f aca="false">INDEX(Parameter!$C$3:$C$8,H93)</f>
        <v>120</v>
      </c>
      <c r="AF93" s="18" t="str">
        <f aca="false">IF(AND(N93="ganz",INDEX(Parameter!$D$3:$D$8,H93)&lt;&gt;""),Q93*INDEX(Parameter!$D$3:$D$8,H93),"")</f>
        <v/>
      </c>
      <c r="AG93" s="18" t="str">
        <f aca="false">IF(AND(N93="ganz",INDEX(Parameter!$D$3:$D$8,H93)&lt;&gt;""),Q93*(INDEX(Parameter!$D$3:$D$8,H93)+INDEX(Parameter!$F$3:$F$8,H93)),"")</f>
        <v/>
      </c>
      <c r="AH93" s="15" t="n">
        <f aca="false">IF(AND(N93="ganz",COUNTIFS($C$2:C93,C93,$H$2:H93,H93,$N$2:N93,"ganz")&lt;=2),1,0)</f>
        <v>0</v>
      </c>
      <c r="AI93" s="15" t="n">
        <f aca="false">IF(AND(N93="ganz",COUNTIFS($C$2:C93,C93,$J$2:J93,J93,$N$2:N93,"ganz")=1),1,0)</f>
        <v>0</v>
      </c>
      <c r="AJ93" s="15" t="n">
        <f aca="false">IF(AND(O93="ja",COUNTIFS($C$2:C93,C93,$H$2:H93,H93,$O$2:O93,"ja")&lt;=2),1,0)</f>
        <v>0</v>
      </c>
      <c r="AK93" s="15" t="n">
        <f aca="false">IF(AND(O93="ja",COUNTIFS($C$2:C93,C93,$J$2:J93,J93,$O$2:O93,"ja")=1),1,0)</f>
        <v>0</v>
      </c>
    </row>
    <row r="94" customFormat="false" ht="15" hidden="false" customHeight="false" outlineLevel="0" collapsed="false">
      <c r="A94" s="6" t="n">
        <v>254</v>
      </c>
      <c r="B94" s="6" t="s">
        <v>181</v>
      </c>
      <c r="C94" s="6" t="s">
        <v>181</v>
      </c>
      <c r="D94" s="6"/>
      <c r="E94" s="6" t="s">
        <v>165</v>
      </c>
      <c r="F94" s="12" t="n">
        <v>46264.4866435185</v>
      </c>
      <c r="G94" s="6" t="s">
        <v>78</v>
      </c>
      <c r="H94" s="6" t="n">
        <v>6</v>
      </c>
      <c r="I94" s="6" t="n">
        <v>6</v>
      </c>
      <c r="J94" s="6" t="n">
        <v>11</v>
      </c>
      <c r="K94" s="6" t="n">
        <v>6</v>
      </c>
      <c r="L94" s="6" t="n">
        <v>1</v>
      </c>
      <c r="M94" s="6"/>
      <c r="N94" s="6" t="s">
        <v>109</v>
      </c>
      <c r="O94" s="6" t="s">
        <v>80</v>
      </c>
      <c r="P94" s="6" t="n">
        <v>0</v>
      </c>
      <c r="Q94" s="6" t="n">
        <v>0</v>
      </c>
      <c r="R94" s="6" t="s">
        <v>79</v>
      </c>
      <c r="S94" s="6" t="s">
        <v>80</v>
      </c>
      <c r="T94" s="6" t="s">
        <v>80</v>
      </c>
      <c r="U94" s="6" t="s">
        <v>73</v>
      </c>
      <c r="V94" s="13"/>
      <c r="W94" s="13" t="s">
        <v>193</v>
      </c>
      <c r="X94" s="13"/>
      <c r="Y94" s="13"/>
      <c r="Z94" s="13" t="s">
        <v>195</v>
      </c>
      <c r="AA94" s="6" t="n">
        <v>33</v>
      </c>
      <c r="AB94" s="6"/>
      <c r="AC94" s="14" t="n">
        <f aca="false">IF(C94=C93,(F94-F93)*24,"")</f>
        <v>0.0136111111111111</v>
      </c>
      <c r="AD94" s="13" t="s">
        <v>196</v>
      </c>
      <c r="AE94" s="6" t="n">
        <f aca="false">INDEX(Parameter!$C$3:$C$8,H94)</f>
        <v>120</v>
      </c>
      <c r="AF94" s="14" t="str">
        <f aca="false">IF(AND(N94="ganz",INDEX(Parameter!$D$3:$D$8,H94)&lt;&gt;""),Q94*INDEX(Parameter!$D$3:$D$8,H94),"")</f>
        <v/>
      </c>
      <c r="AG94" s="14" t="str">
        <f aca="false">IF(AND(N94="ganz",INDEX(Parameter!$D$3:$D$8,H94)&lt;&gt;""),Q94*(INDEX(Parameter!$D$3:$D$8,H94)+INDEX(Parameter!$F$3:$F$8,H94)),"")</f>
        <v/>
      </c>
      <c r="AH94" s="6" t="n">
        <f aca="false">IF(AND(N94="ganz",COUNTIFS($C$2:C94,C94,$H$2:H94,H94,$N$2:N94,"ganz")&lt;=2),1,0)</f>
        <v>0</v>
      </c>
      <c r="AI94" s="6" t="n">
        <f aca="false">IF(AND(N94="ganz",COUNTIFS($C$2:C94,C94,$J$2:J94,J94,$N$2:N94,"ganz")=1),1,0)</f>
        <v>0</v>
      </c>
      <c r="AJ94" s="6" t="n">
        <f aca="false">IF(AND(O94="ja",COUNTIFS($C$2:C94,C94,$H$2:H94,H94,$O$2:O94,"ja")&lt;=2),1,0)</f>
        <v>0</v>
      </c>
      <c r="AK94" s="6" t="n">
        <f aca="false">IF(AND(O94="ja",COUNTIFS($C$2:C94,C94,$J$2:J94,J94,$O$2:O94,"ja")=1),1,0)</f>
        <v>0</v>
      </c>
    </row>
    <row r="95" customFormat="false" ht="15" hidden="false" customHeight="false" outlineLevel="0" collapsed="false">
      <c r="A95" s="15" t="n">
        <v>38</v>
      </c>
      <c r="B95" s="15" t="s">
        <v>111</v>
      </c>
      <c r="C95" s="15" t="s">
        <v>111</v>
      </c>
      <c r="D95" s="15"/>
      <c r="E95" s="15" t="s">
        <v>165</v>
      </c>
      <c r="F95" s="16" t="n">
        <v>46226.8464351852</v>
      </c>
      <c r="G95" s="15" t="s">
        <v>87</v>
      </c>
      <c r="H95" s="15" t="n">
        <v>1</v>
      </c>
      <c r="I95" s="15" t="n">
        <v>1</v>
      </c>
      <c r="J95" s="15" t="n">
        <v>1</v>
      </c>
      <c r="K95" s="15" t="n">
        <v>1</v>
      </c>
      <c r="L95" s="15" t="n">
        <v>1</v>
      </c>
      <c r="M95" s="15"/>
      <c r="N95" s="15" t="s">
        <v>109</v>
      </c>
      <c r="O95" s="15" t="s">
        <v>80</v>
      </c>
      <c r="P95" s="15" t="n">
        <v>0</v>
      </c>
      <c r="Q95" s="15" t="n">
        <v>0</v>
      </c>
      <c r="R95" s="15" t="s">
        <v>79</v>
      </c>
      <c r="S95" s="15" t="s">
        <v>80</v>
      </c>
      <c r="T95" s="15" t="s">
        <v>80</v>
      </c>
      <c r="U95" s="15" t="s">
        <v>73</v>
      </c>
      <c r="V95" s="17"/>
      <c r="W95" s="17" t="s">
        <v>197</v>
      </c>
      <c r="X95" s="17"/>
      <c r="Y95" s="17"/>
      <c r="Z95" s="17" t="s">
        <v>198</v>
      </c>
      <c r="AA95" s="15" t="n">
        <v>60</v>
      </c>
      <c r="AB95" s="15"/>
      <c r="AC95" s="18" t="str">
        <f aca="false">IF(C95=C94,(F95-F94)*24,"")</f>
        <v/>
      </c>
      <c r="AD95" s="17"/>
      <c r="AE95" s="15" t="n">
        <f aca="false">INDEX(Parameter!$C$3:$C$8,H95)</f>
        <v>52</v>
      </c>
      <c r="AF95" s="18" t="str">
        <f aca="false">IF(AND(N95="ganz",INDEX(Parameter!$D$3:$D$8,H95)&lt;&gt;""),Q95*INDEX(Parameter!$D$3:$D$8,H95),"")</f>
        <v/>
      </c>
      <c r="AG95" s="18" t="str">
        <f aca="false">IF(AND(N95="ganz",INDEX(Parameter!$D$3:$D$8,H95)&lt;&gt;""),Q95*(INDEX(Parameter!$D$3:$D$8,H95)+INDEX(Parameter!$F$3:$F$8,H95)),"")</f>
        <v/>
      </c>
      <c r="AH95" s="15" t="n">
        <f aca="false">IF(AND(N95="ganz",COUNTIFS($C$2:C95,C95,$H$2:H95,H95,$N$2:N95,"ganz")&lt;=2),1,0)</f>
        <v>0</v>
      </c>
      <c r="AI95" s="15" t="n">
        <f aca="false">IF(AND(N95="ganz",COUNTIFS($C$2:C95,C95,$J$2:J95,J95,$N$2:N95,"ganz")=1),1,0)</f>
        <v>0</v>
      </c>
      <c r="AJ95" s="15" t="n">
        <f aca="false">IF(AND(O95="ja",COUNTIFS($C$2:C95,C95,$H$2:H95,H95,$O$2:O95,"ja")&lt;=2),1,0)</f>
        <v>0</v>
      </c>
      <c r="AK95" s="15" t="n">
        <f aca="false">IF(AND(O95="ja",COUNTIFS($C$2:C95,C95,$J$2:J95,J95,$O$2:O95,"ja")=1),1,0)</f>
        <v>0</v>
      </c>
    </row>
    <row r="96" customFormat="false" ht="15" hidden="false" customHeight="false" outlineLevel="0" collapsed="false">
      <c r="A96" s="6" t="n">
        <v>37</v>
      </c>
      <c r="B96" s="6" t="s">
        <v>199</v>
      </c>
      <c r="C96" s="6" t="s">
        <v>199</v>
      </c>
      <c r="D96" s="6"/>
      <c r="E96" s="6" t="s">
        <v>165</v>
      </c>
      <c r="F96" s="12" t="n">
        <v>46226.8462037037</v>
      </c>
      <c r="G96" s="6" t="s">
        <v>87</v>
      </c>
      <c r="H96" s="6" t="n">
        <v>1</v>
      </c>
      <c r="I96" s="6" t="n">
        <v>1</v>
      </c>
      <c r="J96" s="6" t="n">
        <v>1</v>
      </c>
      <c r="K96" s="6" t="n">
        <v>1</v>
      </c>
      <c r="L96" s="6" t="n">
        <v>1</v>
      </c>
      <c r="M96" s="6" t="n">
        <v>1</v>
      </c>
      <c r="N96" s="6" t="s">
        <v>72</v>
      </c>
      <c r="O96" s="6" t="s">
        <v>73</v>
      </c>
      <c r="P96" s="6" t="n">
        <v>1</v>
      </c>
      <c r="Q96" s="6" t="n">
        <v>2</v>
      </c>
      <c r="R96" s="6" t="s">
        <v>94</v>
      </c>
      <c r="S96" s="6" t="s">
        <v>80</v>
      </c>
      <c r="T96" s="6" t="s">
        <v>80</v>
      </c>
      <c r="U96" s="6" t="s">
        <v>73</v>
      </c>
      <c r="V96" s="13"/>
      <c r="W96" s="13"/>
      <c r="X96" s="13"/>
      <c r="Y96" s="13"/>
      <c r="Z96" s="13" t="s">
        <v>200</v>
      </c>
      <c r="AA96" s="6" t="n">
        <v>81</v>
      </c>
      <c r="AB96" s="6"/>
      <c r="AC96" s="14" t="str">
        <f aca="false">IF(C96=C95,(F96-F95)*24,"")</f>
        <v/>
      </c>
      <c r="AD96" s="13"/>
      <c r="AE96" s="6" t="n">
        <f aca="false">INDEX(Parameter!$C$3:$C$8,H96)</f>
        <v>52</v>
      </c>
      <c r="AF96" s="14" t="n">
        <f aca="false">IF(AND(N96="ganz",INDEX(Parameter!$D$3:$D$8,H96)&lt;&gt;""),Q96*INDEX(Parameter!$D$3:$D$8,H96),"")</f>
        <v>56.5333333333333</v>
      </c>
      <c r="AG96" s="14" t="n">
        <f aca="false">IF(AND(N96="ganz",INDEX(Parameter!$D$3:$D$8,H96)&lt;&gt;""),Q96*(INDEX(Parameter!$D$3:$D$8,H96)+INDEX(Parameter!$F$3:$F$8,H96)),"")</f>
        <v>74.3</v>
      </c>
      <c r="AH96" s="6" t="n">
        <f aca="false">IF(AND(N96="ganz",COUNTIFS($C$2:C96,C96,$H$2:H96,H96,$N$2:N96,"ganz")&lt;=2),1,0)</f>
        <v>1</v>
      </c>
      <c r="AI96" s="6" t="n">
        <f aca="false">IF(AND(N96="ganz",COUNTIFS($C$2:C96,C96,$J$2:J96,J96,$N$2:N96,"ganz")=1),1,0)</f>
        <v>1</v>
      </c>
      <c r="AJ96" s="6" t="n">
        <f aca="false">IF(AND(O96="ja",COUNTIFS($C$2:C96,C96,$H$2:H96,H96,$O$2:O96,"ja")&lt;=2),1,0)</f>
        <v>1</v>
      </c>
      <c r="AK96" s="6" t="n">
        <f aca="false">IF(AND(O96="ja",COUNTIFS($C$2:C96,C96,$J$2:J96,J96,$O$2:O96,"ja")=1),1,0)</f>
        <v>1</v>
      </c>
    </row>
    <row r="97" customFormat="false" ht="15" hidden="false" customHeight="false" outlineLevel="0" collapsed="false">
      <c r="A97" s="15" t="n">
        <v>50</v>
      </c>
      <c r="B97" s="15" t="s">
        <v>199</v>
      </c>
      <c r="C97" s="15" t="s">
        <v>199</v>
      </c>
      <c r="D97" s="15"/>
      <c r="E97" s="15" t="s">
        <v>165</v>
      </c>
      <c r="F97" s="16" t="n">
        <v>46228.3840740741</v>
      </c>
      <c r="G97" s="15" t="s">
        <v>97</v>
      </c>
      <c r="H97" s="15" t="n">
        <v>1</v>
      </c>
      <c r="I97" s="15" t="n">
        <v>1</v>
      </c>
      <c r="J97" s="15" t="n">
        <v>2</v>
      </c>
      <c r="K97" s="15" t="n">
        <v>1</v>
      </c>
      <c r="L97" s="15" t="n">
        <v>2</v>
      </c>
      <c r="M97" s="15" t="n">
        <v>2</v>
      </c>
      <c r="N97" s="15" t="s">
        <v>98</v>
      </c>
      <c r="O97" s="15" t="s">
        <v>73</v>
      </c>
      <c r="P97" s="15" t="n">
        <v>0</v>
      </c>
      <c r="Q97" s="15" t="n">
        <v>4</v>
      </c>
      <c r="R97" s="15" t="s">
        <v>94</v>
      </c>
      <c r="S97" s="15" t="s">
        <v>80</v>
      </c>
      <c r="T97" s="15" t="s">
        <v>73</v>
      </c>
      <c r="U97" s="15" t="s">
        <v>80</v>
      </c>
      <c r="V97" s="17" t="s">
        <v>201</v>
      </c>
      <c r="W97" s="17"/>
      <c r="X97" s="17"/>
      <c r="Y97" s="17" t="s">
        <v>202</v>
      </c>
      <c r="Z97" s="17"/>
      <c r="AA97" s="15" t="n">
        <v>46</v>
      </c>
      <c r="AB97" s="15"/>
      <c r="AC97" s="18" t="n">
        <f aca="false">IF(C97=C96,(F97-F96)*24,"")</f>
        <v>36.9088888888889</v>
      </c>
      <c r="AD97" s="17"/>
      <c r="AE97" s="15" t="n">
        <f aca="false">INDEX(Parameter!$C$3:$C$8,H97)</f>
        <v>52</v>
      </c>
      <c r="AF97" s="18" t="str">
        <f aca="false">IF(AND(N97="ganz",INDEX(Parameter!$D$3:$D$8,H97)&lt;&gt;""),Q97*INDEX(Parameter!$D$3:$D$8,H97),"")</f>
        <v/>
      </c>
      <c r="AG97" s="18" t="str">
        <f aca="false">IF(AND(N97="ganz",INDEX(Parameter!$D$3:$D$8,H97)&lt;&gt;""),Q97*(INDEX(Parameter!$D$3:$D$8,H97)+INDEX(Parameter!$F$3:$F$8,H97)),"")</f>
        <v/>
      </c>
      <c r="AH97" s="15" t="n">
        <f aca="false">IF(AND(N97="ganz",COUNTIFS($C$2:C97,C97,$H$2:H97,H97,$N$2:N97,"ganz")&lt;=2),1,0)</f>
        <v>0</v>
      </c>
      <c r="AI97" s="15" t="n">
        <f aca="false">IF(AND(N97="ganz",COUNTIFS($C$2:C97,C97,$J$2:J97,J97,$N$2:N97,"ganz")=1),1,0)</f>
        <v>0</v>
      </c>
      <c r="AJ97" s="15" t="n">
        <f aca="false">IF(AND(O97="ja",COUNTIFS($C$2:C97,C97,$H$2:H97,H97,$O$2:O97,"ja")&lt;=2),1,0)</f>
        <v>1</v>
      </c>
      <c r="AK97" s="15" t="n">
        <f aca="false">IF(AND(O97="ja",COUNTIFS($C$2:C97,C97,$J$2:J97,J97,$O$2:O97,"ja")=1),1,0)</f>
        <v>1</v>
      </c>
    </row>
    <row r="98" customFormat="false" ht="15" hidden="false" customHeight="false" outlineLevel="0" collapsed="false">
      <c r="A98" s="6" t="n">
        <v>95</v>
      </c>
      <c r="B98" s="6" t="s">
        <v>199</v>
      </c>
      <c r="C98" s="6" t="s">
        <v>199</v>
      </c>
      <c r="D98" s="6"/>
      <c r="E98" s="6" t="s">
        <v>165</v>
      </c>
      <c r="F98" s="12" t="n">
        <v>46235.8114467593</v>
      </c>
      <c r="G98" s="6" t="s">
        <v>97</v>
      </c>
      <c r="H98" s="6" t="n">
        <v>2</v>
      </c>
      <c r="I98" s="6" t="n">
        <v>2</v>
      </c>
      <c r="J98" s="6" t="n">
        <v>4</v>
      </c>
      <c r="K98" s="6" t="n">
        <v>2</v>
      </c>
      <c r="L98" s="6" t="n">
        <v>2</v>
      </c>
      <c r="M98" s="6" t="n">
        <v>3</v>
      </c>
      <c r="N98" s="6" t="s">
        <v>72</v>
      </c>
      <c r="O98" s="6" t="s">
        <v>73</v>
      </c>
      <c r="P98" s="6" t="n">
        <v>1</v>
      </c>
      <c r="Q98" s="6" t="n">
        <v>3</v>
      </c>
      <c r="R98" s="6" t="s">
        <v>137</v>
      </c>
      <c r="S98" s="6" t="s">
        <v>80</v>
      </c>
      <c r="T98" s="6" t="s">
        <v>73</v>
      </c>
      <c r="U98" s="6" t="s">
        <v>80</v>
      </c>
      <c r="V98" s="13"/>
      <c r="W98" s="13"/>
      <c r="X98" s="13"/>
      <c r="Y98" s="13" t="s">
        <v>203</v>
      </c>
      <c r="Z98" s="13"/>
      <c r="AA98" s="6" t="n">
        <v>52</v>
      </c>
      <c r="AB98" s="6"/>
      <c r="AC98" s="14" t="n">
        <f aca="false">IF(C98=C97,(F98-F97)*24,"")</f>
        <v>178.256944444444</v>
      </c>
      <c r="AD98" s="13"/>
      <c r="AE98" s="6" t="n">
        <f aca="false">INDEX(Parameter!$C$3:$C$8,H98)</f>
        <v>66</v>
      </c>
      <c r="AF98" s="14" t="n">
        <f aca="false">IF(AND(N98="ganz",INDEX(Parameter!$D$3:$D$8,H98)&lt;&gt;""),Q98*INDEX(Parameter!$D$3:$D$8,H98),"")</f>
        <v>84.1</v>
      </c>
      <c r="AG98" s="14" t="n">
        <f aca="false">IF(AND(N98="ganz",INDEX(Parameter!$D$3:$D$8,H98)&lt;&gt;""),Q98*(INDEX(Parameter!$D$3:$D$8,H98)+INDEX(Parameter!$F$3:$F$8,H98)),"")</f>
        <v>110.75</v>
      </c>
      <c r="AH98" s="6" t="n">
        <f aca="false">IF(AND(N98="ganz",COUNTIFS($C$2:C98,C98,$H$2:H98,H98,$N$2:N98,"ganz")&lt;=2),1,0)</f>
        <v>1</v>
      </c>
      <c r="AI98" s="6" t="n">
        <f aca="false">IF(AND(N98="ganz",COUNTIFS($C$2:C98,C98,$J$2:J98,J98,$N$2:N98,"ganz")=1),1,0)</f>
        <v>1</v>
      </c>
      <c r="AJ98" s="6" t="n">
        <f aca="false">IF(AND(O98="ja",COUNTIFS($C$2:C98,C98,$H$2:H98,H98,$O$2:O98,"ja")&lt;=2),1,0)</f>
        <v>1</v>
      </c>
      <c r="AK98" s="6" t="n">
        <f aca="false">IF(AND(O98="ja",COUNTIFS($C$2:C98,C98,$J$2:J98,J98,$O$2:O98,"ja")=1),1,0)</f>
        <v>1</v>
      </c>
    </row>
    <row r="99" customFormat="false" ht="15" hidden="false" customHeight="false" outlineLevel="0" collapsed="false">
      <c r="A99" s="15" t="n">
        <v>128</v>
      </c>
      <c r="B99" s="15" t="s">
        <v>199</v>
      </c>
      <c r="C99" s="15" t="s">
        <v>199</v>
      </c>
      <c r="D99" s="15"/>
      <c r="E99" s="15" t="s">
        <v>165</v>
      </c>
      <c r="F99" s="16" t="n">
        <v>46239.3899537037</v>
      </c>
      <c r="G99" s="15" t="s">
        <v>91</v>
      </c>
      <c r="H99" s="15" t="n">
        <v>3</v>
      </c>
      <c r="I99" s="15" t="n">
        <v>3</v>
      </c>
      <c r="J99" s="15" t="n">
        <v>5</v>
      </c>
      <c r="K99" s="15" t="n">
        <v>3</v>
      </c>
      <c r="L99" s="15" t="n">
        <v>1</v>
      </c>
      <c r="M99" s="15" t="n">
        <v>5</v>
      </c>
      <c r="N99" s="15" t="s">
        <v>72</v>
      </c>
      <c r="O99" s="15" t="s">
        <v>73</v>
      </c>
      <c r="P99" s="15" t="n">
        <v>1</v>
      </c>
      <c r="Q99" s="15" t="n">
        <v>2</v>
      </c>
      <c r="R99" s="15" t="s">
        <v>137</v>
      </c>
      <c r="S99" s="15" t="s">
        <v>80</v>
      </c>
      <c r="T99" s="15" t="s">
        <v>73</v>
      </c>
      <c r="U99" s="15" t="s">
        <v>80</v>
      </c>
      <c r="V99" s="17"/>
      <c r="W99" s="17"/>
      <c r="X99" s="17"/>
      <c r="Y99" s="17" t="s">
        <v>204</v>
      </c>
      <c r="Z99" s="17"/>
      <c r="AA99" s="15" t="n">
        <v>42</v>
      </c>
      <c r="AB99" s="15"/>
      <c r="AC99" s="18" t="n">
        <f aca="false">IF(C99=C98,(F99-F98)*24,"")</f>
        <v>85.8841666666667</v>
      </c>
      <c r="AD99" s="17"/>
      <c r="AE99" s="15" t="n">
        <f aca="false">INDEX(Parameter!$C$3:$C$8,H99)</f>
        <v>80</v>
      </c>
      <c r="AF99" s="18" t="n">
        <f aca="false">IF(AND(N99="ganz",INDEX(Parameter!$D$3:$D$8,H99)&lt;&gt;""),Q99*INDEX(Parameter!$D$3:$D$8,H99),"")</f>
        <v>48.5666666666667</v>
      </c>
      <c r="AG99" s="18" t="n">
        <f aca="false">IF(AND(N99="ganz",INDEX(Parameter!$D$3:$D$8,H99)&lt;&gt;""),Q99*(INDEX(Parameter!$D$3:$D$8,H99)+INDEX(Parameter!$F$3:$F$8,H99)),"")</f>
        <v>66.3333333333333</v>
      </c>
      <c r="AH99" s="15" t="n">
        <f aca="false">IF(AND(N99="ganz",COUNTIFS($C$2:C99,C99,$H$2:H99,H99,$N$2:N99,"ganz")&lt;=2),1,0)</f>
        <v>1</v>
      </c>
      <c r="AI99" s="15" t="n">
        <f aca="false">IF(AND(N99="ganz",COUNTIFS($C$2:C99,C99,$J$2:J99,J99,$N$2:N99,"ganz")=1),1,0)</f>
        <v>1</v>
      </c>
      <c r="AJ99" s="15" t="n">
        <f aca="false">IF(AND(O99="ja",COUNTIFS($C$2:C99,C99,$H$2:H99,H99,$O$2:O99,"ja")&lt;=2),1,0)</f>
        <v>1</v>
      </c>
      <c r="AK99" s="15" t="n">
        <f aca="false">IF(AND(O99="ja",COUNTIFS($C$2:C99,C99,$J$2:J99,J99,$O$2:O99,"ja")=1),1,0)</f>
        <v>1</v>
      </c>
    </row>
    <row r="100" customFormat="false" ht="15" hidden="false" customHeight="false" outlineLevel="0" collapsed="false">
      <c r="A100" s="6" t="n">
        <v>134</v>
      </c>
      <c r="B100" s="6" t="s">
        <v>199</v>
      </c>
      <c r="C100" s="6" t="s">
        <v>199</v>
      </c>
      <c r="D100" s="6"/>
      <c r="E100" s="6" t="s">
        <v>165</v>
      </c>
      <c r="F100" s="12" t="n">
        <v>46241.4101157407</v>
      </c>
      <c r="G100" s="6" t="s">
        <v>71</v>
      </c>
      <c r="H100" s="6" t="n">
        <v>3</v>
      </c>
      <c r="I100" s="6" t="n">
        <v>3</v>
      </c>
      <c r="J100" s="6" t="n">
        <v>6</v>
      </c>
      <c r="K100" s="6" t="n">
        <v>3</v>
      </c>
      <c r="L100" s="6" t="n">
        <v>2</v>
      </c>
      <c r="M100" s="6" t="n">
        <v>6</v>
      </c>
      <c r="N100" s="6" t="s">
        <v>72</v>
      </c>
      <c r="O100" s="6" t="s">
        <v>73</v>
      </c>
      <c r="P100" s="6" t="n">
        <v>1</v>
      </c>
      <c r="Q100" s="6" t="n">
        <v>2</v>
      </c>
      <c r="R100" s="6" t="s">
        <v>137</v>
      </c>
      <c r="S100" s="6" t="s">
        <v>80</v>
      </c>
      <c r="T100" s="6" t="s">
        <v>73</v>
      </c>
      <c r="U100" s="6" t="s">
        <v>80</v>
      </c>
      <c r="V100" s="13"/>
      <c r="W100" s="13"/>
      <c r="X100" s="13"/>
      <c r="Y100" s="13" t="s">
        <v>204</v>
      </c>
      <c r="Z100" s="13"/>
      <c r="AA100" s="6" t="n">
        <v>39</v>
      </c>
      <c r="AB100" s="6"/>
      <c r="AC100" s="14" t="n">
        <f aca="false">IF(C100=C99,(F100-F99)*24,"")</f>
        <v>48.4838888888889</v>
      </c>
      <c r="AD100" s="13"/>
      <c r="AE100" s="6" t="n">
        <f aca="false">INDEX(Parameter!$C$3:$C$8,H100)</f>
        <v>80</v>
      </c>
      <c r="AF100" s="14" t="n">
        <f aca="false">IF(AND(N100="ganz",INDEX(Parameter!$D$3:$D$8,H100)&lt;&gt;""),Q100*INDEX(Parameter!$D$3:$D$8,H100),"")</f>
        <v>48.5666666666667</v>
      </c>
      <c r="AG100" s="14" t="n">
        <f aca="false">IF(AND(N100="ganz",INDEX(Parameter!$D$3:$D$8,H100)&lt;&gt;""),Q100*(INDEX(Parameter!$D$3:$D$8,H100)+INDEX(Parameter!$F$3:$F$8,H100)),"")</f>
        <v>66.3333333333333</v>
      </c>
      <c r="AH100" s="6" t="n">
        <f aca="false">IF(AND(N100="ganz",COUNTIFS($C$2:C100,C100,$H$2:H100,H100,$N$2:N100,"ganz")&lt;=2),1,0)</f>
        <v>1</v>
      </c>
      <c r="AI100" s="6" t="n">
        <f aca="false">IF(AND(N100="ganz",COUNTIFS($C$2:C100,C100,$J$2:J100,J100,$N$2:N100,"ganz")=1),1,0)</f>
        <v>1</v>
      </c>
      <c r="AJ100" s="6" t="n">
        <f aca="false">IF(AND(O100="ja",COUNTIFS($C$2:C100,C100,$H$2:H100,H100,$O$2:O100,"ja")&lt;=2),1,0)</f>
        <v>1</v>
      </c>
      <c r="AK100" s="6" t="n">
        <f aca="false">IF(AND(O100="ja",COUNTIFS($C$2:C100,C100,$J$2:J100,J100,$O$2:O100,"ja")=1),1,0)</f>
        <v>1</v>
      </c>
    </row>
    <row r="101" customFormat="false" ht="15" hidden="false" customHeight="false" outlineLevel="0" collapsed="false">
      <c r="A101" s="15" t="n">
        <v>171</v>
      </c>
      <c r="B101" s="15" t="s">
        <v>199</v>
      </c>
      <c r="C101" s="15" t="s">
        <v>199</v>
      </c>
      <c r="D101" s="15"/>
      <c r="E101" s="15" t="s">
        <v>165</v>
      </c>
      <c r="F101" s="16" t="n">
        <v>46248.3264583333</v>
      </c>
      <c r="G101" s="15" t="s">
        <v>71</v>
      </c>
      <c r="H101" s="15" t="n">
        <v>4</v>
      </c>
      <c r="I101" s="15" t="n">
        <v>4</v>
      </c>
      <c r="J101" s="15" t="n">
        <v>7</v>
      </c>
      <c r="K101" s="15" t="n">
        <v>4</v>
      </c>
      <c r="L101" s="15" t="n">
        <v>1</v>
      </c>
      <c r="M101" s="15" t="n">
        <v>7</v>
      </c>
      <c r="N101" s="15" t="s">
        <v>72</v>
      </c>
      <c r="O101" s="15" t="s">
        <v>73</v>
      </c>
      <c r="P101" s="15" t="n">
        <v>1</v>
      </c>
      <c r="Q101" s="15" t="n">
        <v>2</v>
      </c>
      <c r="R101" s="15" t="s">
        <v>94</v>
      </c>
      <c r="S101" s="15" t="s">
        <v>80</v>
      </c>
      <c r="T101" s="15" t="s">
        <v>73</v>
      </c>
      <c r="U101" s="15" t="s">
        <v>73</v>
      </c>
      <c r="V101" s="17"/>
      <c r="W101" s="17"/>
      <c r="X101" s="17"/>
      <c r="Y101" s="17" t="s">
        <v>205</v>
      </c>
      <c r="Z101" s="17" t="s">
        <v>206</v>
      </c>
      <c r="AA101" s="15" t="n">
        <v>61</v>
      </c>
      <c r="AB101" s="15"/>
      <c r="AC101" s="18" t="n">
        <f aca="false">IF(C101=C100,(F101-F100)*24,"")</f>
        <v>165.992222222222</v>
      </c>
      <c r="AD101" s="17" t="s">
        <v>207</v>
      </c>
      <c r="AE101" s="15" t="n">
        <f aca="false">INDEX(Parameter!$C$3:$C$8,H101)</f>
        <v>96</v>
      </c>
      <c r="AF101" s="18" t="n">
        <f aca="false">IF(AND(N101="ganz",INDEX(Parameter!$D$3:$D$8,H101)&lt;&gt;""),Q101*INDEX(Parameter!$D$3:$D$8,H101),"")</f>
        <v>51.8333333333333</v>
      </c>
      <c r="AG101" s="18" t="n">
        <f aca="false">IF(AND(N101="ganz",INDEX(Parameter!$D$3:$D$8,H101)&lt;&gt;""),Q101*(INDEX(Parameter!$D$3:$D$8,H101)+INDEX(Parameter!$F$3:$F$8,H101)),"")</f>
        <v>69.6</v>
      </c>
      <c r="AH101" s="15" t="n">
        <f aca="false">IF(AND(N101="ganz",COUNTIFS($C$2:C101,C101,$H$2:H101,H101,$N$2:N101,"ganz")&lt;=2),1,0)</f>
        <v>1</v>
      </c>
      <c r="AI101" s="15" t="n">
        <f aca="false">IF(AND(N101="ganz",COUNTIFS($C$2:C101,C101,$J$2:J101,J101,$N$2:N101,"ganz")=1),1,0)</f>
        <v>1</v>
      </c>
      <c r="AJ101" s="15" t="n">
        <f aca="false">IF(AND(O101="ja",COUNTIFS($C$2:C101,C101,$H$2:H101,H101,$O$2:O101,"ja")&lt;=2),1,0)</f>
        <v>1</v>
      </c>
      <c r="AK101" s="15" t="n">
        <f aca="false">IF(AND(O101="ja",COUNTIFS($C$2:C101,C101,$J$2:J101,J101,$O$2:O101,"ja")=1),1,0)</f>
        <v>1</v>
      </c>
    </row>
    <row r="102" customFormat="false" ht="15" hidden="false" customHeight="false" outlineLevel="0" collapsed="false">
      <c r="A102" s="6" t="n">
        <v>172</v>
      </c>
      <c r="B102" s="6" t="s">
        <v>199</v>
      </c>
      <c r="C102" s="6" t="s">
        <v>199</v>
      </c>
      <c r="D102" s="6"/>
      <c r="E102" s="6" t="s">
        <v>165</v>
      </c>
      <c r="F102" s="12" t="n">
        <v>46248.3272453704</v>
      </c>
      <c r="G102" s="6" t="s">
        <v>71</v>
      </c>
      <c r="H102" s="6" t="n">
        <v>4</v>
      </c>
      <c r="I102" s="6" t="n">
        <v>4</v>
      </c>
      <c r="J102" s="6" t="n">
        <v>10</v>
      </c>
      <c r="K102" s="6" t="n">
        <v>5</v>
      </c>
      <c r="L102" s="6" t="n">
        <v>2</v>
      </c>
      <c r="M102" s="6" t="n">
        <v>8</v>
      </c>
      <c r="N102" s="6" t="s">
        <v>72</v>
      </c>
      <c r="O102" s="6" t="s">
        <v>73</v>
      </c>
      <c r="P102" s="6" t="n">
        <v>1</v>
      </c>
      <c r="Q102" s="6" t="n">
        <v>3</v>
      </c>
      <c r="R102" s="6" t="s">
        <v>94</v>
      </c>
      <c r="S102" s="6" t="s">
        <v>80</v>
      </c>
      <c r="T102" s="6" t="s">
        <v>73</v>
      </c>
      <c r="U102" s="6" t="s">
        <v>80</v>
      </c>
      <c r="V102" s="13"/>
      <c r="W102" s="13"/>
      <c r="X102" s="13"/>
      <c r="Y102" s="13" t="s">
        <v>205</v>
      </c>
      <c r="Z102" s="13"/>
      <c r="AA102" s="6" t="n">
        <v>27</v>
      </c>
      <c r="AB102" s="6"/>
      <c r="AC102" s="14" t="n">
        <f aca="false">IF(C102=C101,(F102-F101)*24,"")</f>
        <v>0.0188888888888889</v>
      </c>
      <c r="AD102" s="13" t="s">
        <v>208</v>
      </c>
      <c r="AE102" s="6" t="n">
        <f aca="false">INDEX(Parameter!$C$3:$C$8,H102)</f>
        <v>96</v>
      </c>
      <c r="AF102" s="14" t="n">
        <f aca="false">IF(AND(N102="ganz",INDEX(Parameter!$D$3:$D$8,H102)&lt;&gt;""),Q102*INDEX(Parameter!$D$3:$D$8,H102),"")</f>
        <v>77.75</v>
      </c>
      <c r="AG102" s="14" t="n">
        <f aca="false">IF(AND(N102="ganz",INDEX(Parameter!$D$3:$D$8,H102)&lt;&gt;""),Q102*(INDEX(Parameter!$D$3:$D$8,H102)+INDEX(Parameter!$F$3:$F$8,H102)),"")</f>
        <v>104.4</v>
      </c>
      <c r="AH102" s="6" t="n">
        <f aca="false">IF(AND(N102="ganz",COUNTIFS($C$2:C102,C102,$H$2:H102,H102,$N$2:N102,"ganz")&lt;=2),1,0)</f>
        <v>1</v>
      </c>
      <c r="AI102" s="6" t="n">
        <f aca="false">IF(AND(N102="ganz",COUNTIFS($C$2:C102,C102,$J$2:J102,J102,$N$2:N102,"ganz")=1),1,0)</f>
        <v>1</v>
      </c>
      <c r="AJ102" s="6" t="n">
        <f aca="false">IF(AND(O102="ja",COUNTIFS($C$2:C102,C102,$H$2:H102,H102,$O$2:O102,"ja")&lt;=2),1,0)</f>
        <v>1</v>
      </c>
      <c r="AK102" s="6" t="n">
        <f aca="false">IF(AND(O102="ja",COUNTIFS($C$2:C102,C102,$J$2:J102,J102,$O$2:O102,"ja")=1),1,0)</f>
        <v>1</v>
      </c>
    </row>
    <row r="103" customFormat="false" ht="15" hidden="false" customHeight="false" outlineLevel="0" collapsed="false">
      <c r="A103" s="15" t="n">
        <v>205</v>
      </c>
      <c r="B103" s="15" t="s">
        <v>199</v>
      </c>
      <c r="C103" s="15" t="s">
        <v>199</v>
      </c>
      <c r="D103" s="15"/>
      <c r="E103" s="15" t="s">
        <v>165</v>
      </c>
      <c r="F103" s="16" t="n">
        <v>46252.3500810185</v>
      </c>
      <c r="G103" s="15" t="s">
        <v>82</v>
      </c>
      <c r="H103" s="15" t="n">
        <v>5</v>
      </c>
      <c r="I103" s="15" t="n">
        <v>5</v>
      </c>
      <c r="J103" s="15" t="n">
        <v>9</v>
      </c>
      <c r="K103" s="15" t="n">
        <v>5</v>
      </c>
      <c r="L103" s="15" t="n">
        <v>1</v>
      </c>
      <c r="M103" s="15" t="n">
        <v>9</v>
      </c>
      <c r="N103" s="15" t="s">
        <v>72</v>
      </c>
      <c r="O103" s="15" t="s">
        <v>73</v>
      </c>
      <c r="P103" s="15" t="n">
        <v>1</v>
      </c>
      <c r="Q103" s="15" t="n">
        <v>4</v>
      </c>
      <c r="R103" s="15" t="s">
        <v>94</v>
      </c>
      <c r="S103" s="15" t="s">
        <v>80</v>
      </c>
      <c r="T103" s="15" t="s">
        <v>80</v>
      </c>
      <c r="U103" s="15" t="s">
        <v>73</v>
      </c>
      <c r="V103" s="17"/>
      <c r="W103" s="17"/>
      <c r="X103" s="17"/>
      <c r="Y103" s="17"/>
      <c r="Z103" s="17" t="s">
        <v>209</v>
      </c>
      <c r="AA103" s="15" t="n">
        <v>39</v>
      </c>
      <c r="AB103" s="15"/>
      <c r="AC103" s="18" t="n">
        <f aca="false">IF(C103=C102,(F103-F102)*24,"")</f>
        <v>96.5480555555556</v>
      </c>
      <c r="AD103" s="17"/>
      <c r="AE103" s="15" t="n">
        <f aca="false">INDEX(Parameter!$C$3:$C$8,H103)</f>
        <v>106</v>
      </c>
      <c r="AF103" s="18" t="str">
        <f aca="false">IF(AND(N103="ganz",INDEX(Parameter!$D$3:$D$8,H103)&lt;&gt;""),Q103*INDEX(Parameter!$D$3:$D$8,H103),"")</f>
        <v/>
      </c>
      <c r="AG103" s="18" t="str">
        <f aca="false">IF(AND(N103="ganz",INDEX(Parameter!$D$3:$D$8,H103)&lt;&gt;""),Q103*(INDEX(Parameter!$D$3:$D$8,H103)+INDEX(Parameter!$F$3:$F$8,H103)),"")</f>
        <v/>
      </c>
      <c r="AH103" s="15" t="n">
        <f aca="false">IF(AND(N103="ganz",COUNTIFS($C$2:C103,C103,$H$2:H103,H103,$N$2:N103,"ganz")&lt;=2),1,0)</f>
        <v>1</v>
      </c>
      <c r="AI103" s="15" t="n">
        <f aca="false">IF(AND(N103="ganz",COUNTIFS($C$2:C103,C103,$J$2:J103,J103,$N$2:N103,"ganz")=1),1,0)</f>
        <v>1</v>
      </c>
      <c r="AJ103" s="15" t="n">
        <f aca="false">IF(AND(O103="ja",COUNTIFS($C$2:C103,C103,$H$2:H103,H103,$O$2:O103,"ja")&lt;=2),1,0)</f>
        <v>1</v>
      </c>
      <c r="AK103" s="15" t="n">
        <f aca="false">IF(AND(O103="ja",COUNTIFS($C$2:C103,C103,$J$2:J103,J103,$O$2:O103,"ja")=1),1,0)</f>
        <v>1</v>
      </c>
    </row>
    <row r="104" customFormat="false" ht="15" hidden="false" customHeight="false" outlineLevel="0" collapsed="false">
      <c r="A104" s="6" t="n">
        <v>219</v>
      </c>
      <c r="B104" s="6" t="s">
        <v>199</v>
      </c>
      <c r="C104" s="6" t="s">
        <v>199</v>
      </c>
      <c r="D104" s="6"/>
      <c r="E104" s="6" t="s">
        <v>165</v>
      </c>
      <c r="F104" s="12" t="n">
        <v>46256.7736458333</v>
      </c>
      <c r="G104" s="6" t="s">
        <v>97</v>
      </c>
      <c r="H104" s="6" t="n">
        <v>5</v>
      </c>
      <c r="I104" s="6" t="n">
        <v>5</v>
      </c>
      <c r="J104" s="6" t="n">
        <v>10</v>
      </c>
      <c r="K104" s="6" t="n">
        <v>5</v>
      </c>
      <c r="L104" s="6" t="n">
        <v>2</v>
      </c>
      <c r="M104" s="6"/>
      <c r="N104" s="6" t="s">
        <v>109</v>
      </c>
      <c r="O104" s="6" t="s">
        <v>80</v>
      </c>
      <c r="P104" s="6" t="n">
        <v>0</v>
      </c>
      <c r="Q104" s="6" t="n">
        <v>0</v>
      </c>
      <c r="R104" s="6" t="s">
        <v>79</v>
      </c>
      <c r="S104" s="6" t="s">
        <v>80</v>
      </c>
      <c r="T104" s="6" t="s">
        <v>80</v>
      </c>
      <c r="U104" s="6" t="s">
        <v>80</v>
      </c>
      <c r="V104" s="13"/>
      <c r="W104" s="13" t="s">
        <v>210</v>
      </c>
      <c r="X104" s="13"/>
      <c r="Y104" s="13"/>
      <c r="Z104" s="13"/>
      <c r="AA104" s="6" t="n">
        <v>34</v>
      </c>
      <c r="AB104" s="6"/>
      <c r="AC104" s="14" t="n">
        <f aca="false">IF(C104=C103,(F104-F103)*24,"")</f>
        <v>106.165555555556</v>
      </c>
      <c r="AD104" s="13"/>
      <c r="AE104" s="6" t="n">
        <f aca="false">INDEX(Parameter!$C$3:$C$8,H104)</f>
        <v>106</v>
      </c>
      <c r="AF104" s="14" t="str">
        <f aca="false">IF(AND(N104="ganz",INDEX(Parameter!$D$3:$D$8,H104)&lt;&gt;""),Q104*INDEX(Parameter!$D$3:$D$8,H104),"")</f>
        <v/>
      </c>
      <c r="AG104" s="14" t="str">
        <f aca="false">IF(AND(N104="ganz",INDEX(Parameter!$D$3:$D$8,H104)&lt;&gt;""),Q104*(INDEX(Parameter!$D$3:$D$8,H104)+INDEX(Parameter!$F$3:$F$8,H104)),"")</f>
        <v/>
      </c>
      <c r="AH104" s="6" t="n">
        <f aca="false">IF(AND(N104="ganz",COUNTIFS($C$2:C104,C104,$H$2:H104,H104,$N$2:N104,"ganz")&lt;=2),1,0)</f>
        <v>0</v>
      </c>
      <c r="AI104" s="6" t="n">
        <f aca="false">IF(AND(N104="ganz",COUNTIFS($C$2:C104,C104,$J$2:J104,J104,$N$2:N104,"ganz")=1),1,0)</f>
        <v>0</v>
      </c>
      <c r="AJ104" s="6" t="n">
        <f aca="false">IF(AND(O104="ja",COUNTIFS($C$2:C104,C104,$H$2:H104,H104,$O$2:O104,"ja")&lt;=2),1,0)</f>
        <v>0</v>
      </c>
      <c r="AK104" s="6" t="n">
        <f aca="false">IF(AND(O104="ja",COUNTIFS($C$2:C104,C104,$J$2:J104,J104,$O$2:O104,"ja")=1),1,0)</f>
        <v>0</v>
      </c>
    </row>
    <row r="105" customFormat="false" ht="15" hidden="false" customHeight="false" outlineLevel="0" collapsed="false">
      <c r="A105" s="15" t="n">
        <v>250</v>
      </c>
      <c r="B105" s="15" t="s">
        <v>199</v>
      </c>
      <c r="C105" s="15" t="s">
        <v>199</v>
      </c>
      <c r="D105" s="15"/>
      <c r="E105" s="15" t="s">
        <v>165</v>
      </c>
      <c r="F105" s="16" t="n">
        <v>46263.8036342593</v>
      </c>
      <c r="G105" s="15" t="s">
        <v>97</v>
      </c>
      <c r="H105" s="15" t="n">
        <v>6</v>
      </c>
      <c r="I105" s="15" t="n">
        <v>6</v>
      </c>
      <c r="J105" s="15" t="n">
        <v>11</v>
      </c>
      <c r="K105" s="15" t="n">
        <v>6</v>
      </c>
      <c r="L105" s="15" t="n">
        <v>1</v>
      </c>
      <c r="M105" s="15"/>
      <c r="N105" s="15" t="s">
        <v>109</v>
      </c>
      <c r="O105" s="15" t="s">
        <v>80</v>
      </c>
      <c r="P105" s="15" t="n">
        <v>0</v>
      </c>
      <c r="Q105" s="15" t="n">
        <v>0</v>
      </c>
      <c r="R105" s="15" t="s">
        <v>79</v>
      </c>
      <c r="S105" s="15" t="s">
        <v>80</v>
      </c>
      <c r="T105" s="15" t="s">
        <v>80</v>
      </c>
      <c r="U105" s="15" t="s">
        <v>80</v>
      </c>
      <c r="V105" s="17"/>
      <c r="W105" s="17" t="s">
        <v>211</v>
      </c>
      <c r="X105" s="17"/>
      <c r="Y105" s="17"/>
      <c r="Z105" s="17"/>
      <c r="AA105" s="15" t="n">
        <v>36</v>
      </c>
      <c r="AB105" s="15"/>
      <c r="AC105" s="18" t="n">
        <f aca="false">IF(C105=C104,(F105-F104)*24,"")</f>
        <v>168.719722222222</v>
      </c>
      <c r="AD105" s="17" t="s">
        <v>212</v>
      </c>
      <c r="AE105" s="15" t="n">
        <f aca="false">INDEX(Parameter!$C$3:$C$8,H105)</f>
        <v>120</v>
      </c>
      <c r="AF105" s="18" t="str">
        <f aca="false">IF(AND(N105="ganz",INDEX(Parameter!$D$3:$D$8,H105)&lt;&gt;""),Q105*INDEX(Parameter!$D$3:$D$8,H105),"")</f>
        <v/>
      </c>
      <c r="AG105" s="18" t="str">
        <f aca="false">IF(AND(N105="ganz",INDEX(Parameter!$D$3:$D$8,H105)&lt;&gt;""),Q105*(INDEX(Parameter!$D$3:$D$8,H105)+INDEX(Parameter!$F$3:$F$8,H105)),"")</f>
        <v/>
      </c>
      <c r="AH105" s="15" t="n">
        <f aca="false">IF(AND(N105="ganz",COUNTIFS($C$2:C105,C105,$H$2:H105,H105,$N$2:N105,"ganz")&lt;=2),1,0)</f>
        <v>0</v>
      </c>
      <c r="AI105" s="15" t="n">
        <f aca="false">IF(AND(N105="ganz",COUNTIFS($C$2:C105,C105,$J$2:J105,J105,$N$2:N105,"ganz")=1),1,0)</f>
        <v>0</v>
      </c>
      <c r="AJ105" s="15" t="n">
        <f aca="false">IF(AND(O105="ja",COUNTIFS($C$2:C105,C105,$H$2:H105,H105,$O$2:O105,"ja")&lt;=2),1,0)</f>
        <v>0</v>
      </c>
      <c r="AK105" s="15" t="n">
        <f aca="false">IF(AND(O105="ja",COUNTIFS($C$2:C105,C105,$J$2:J105,J105,$O$2:O105,"ja")=1),1,0)</f>
        <v>0</v>
      </c>
    </row>
    <row r="106" customFormat="false" ht="15" hidden="false" customHeight="false" outlineLevel="0" collapsed="false">
      <c r="A106" s="6" t="n">
        <v>251</v>
      </c>
      <c r="B106" s="6" t="s">
        <v>199</v>
      </c>
      <c r="C106" s="6" t="s">
        <v>199</v>
      </c>
      <c r="D106" s="6"/>
      <c r="E106" s="6" t="s">
        <v>165</v>
      </c>
      <c r="F106" s="12" t="n">
        <v>46263.8040972222</v>
      </c>
      <c r="G106" s="6" t="s">
        <v>97</v>
      </c>
      <c r="H106" s="6" t="n">
        <v>6</v>
      </c>
      <c r="I106" s="6" t="n">
        <v>6</v>
      </c>
      <c r="J106" s="6" t="n">
        <v>12</v>
      </c>
      <c r="K106" s="6" t="n">
        <v>6</v>
      </c>
      <c r="L106" s="6" t="n">
        <v>2</v>
      </c>
      <c r="M106" s="6"/>
      <c r="N106" s="6" t="s">
        <v>109</v>
      </c>
      <c r="O106" s="6" t="s">
        <v>80</v>
      </c>
      <c r="P106" s="6" t="n">
        <v>0</v>
      </c>
      <c r="Q106" s="6" t="n">
        <v>0</v>
      </c>
      <c r="R106" s="6" t="s">
        <v>85</v>
      </c>
      <c r="S106" s="6" t="s">
        <v>80</v>
      </c>
      <c r="T106" s="6" t="s">
        <v>80</v>
      </c>
      <c r="U106" s="6" t="s">
        <v>80</v>
      </c>
      <c r="V106" s="13"/>
      <c r="W106" s="13" t="s">
        <v>213</v>
      </c>
      <c r="X106" s="13"/>
      <c r="Y106" s="13"/>
      <c r="Z106" s="13"/>
      <c r="AA106" s="6" t="n">
        <v>34</v>
      </c>
      <c r="AB106" s="6"/>
      <c r="AC106" s="14" t="n">
        <f aca="false">IF(C106=C105,(F106-F105)*24,"")</f>
        <v>0.0111111111111111</v>
      </c>
      <c r="AD106" s="13" t="s">
        <v>214</v>
      </c>
      <c r="AE106" s="6" t="n">
        <f aca="false">INDEX(Parameter!$C$3:$C$8,H106)</f>
        <v>120</v>
      </c>
      <c r="AF106" s="14" t="str">
        <f aca="false">IF(AND(N106="ganz",INDEX(Parameter!$D$3:$D$8,H106)&lt;&gt;""),Q106*INDEX(Parameter!$D$3:$D$8,H106),"")</f>
        <v/>
      </c>
      <c r="AG106" s="14" t="str">
        <f aca="false">IF(AND(N106="ganz",INDEX(Parameter!$D$3:$D$8,H106)&lt;&gt;""),Q106*(INDEX(Parameter!$D$3:$D$8,H106)+INDEX(Parameter!$F$3:$F$8,H106)),"")</f>
        <v/>
      </c>
      <c r="AH106" s="6" t="n">
        <f aca="false">IF(AND(N106="ganz",COUNTIFS($C$2:C106,C106,$H$2:H106,H106,$N$2:N106,"ganz")&lt;=2),1,0)</f>
        <v>0</v>
      </c>
      <c r="AI106" s="6" t="n">
        <f aca="false">IF(AND(N106="ganz",COUNTIFS($C$2:C106,C106,$J$2:J106,J106,$N$2:N106,"ganz")=1),1,0)</f>
        <v>0</v>
      </c>
      <c r="AJ106" s="6" t="n">
        <f aca="false">IF(AND(O106="ja",COUNTIFS($C$2:C106,C106,$H$2:H106,H106,$O$2:O106,"ja")&lt;=2),1,0)</f>
        <v>0</v>
      </c>
      <c r="AK106" s="6" t="n">
        <f aca="false">IF(AND(O106="ja",COUNTIFS($C$2:C106,C106,$J$2:J106,J106,$O$2:O106,"ja")=1),1,0)</f>
        <v>0</v>
      </c>
    </row>
    <row r="107" customFormat="false" ht="15" hidden="false" customHeight="false" outlineLevel="0" collapsed="false">
      <c r="A107" s="15" t="n">
        <v>57</v>
      </c>
      <c r="B107" s="15" t="s">
        <v>215</v>
      </c>
      <c r="C107" s="15" t="s">
        <v>215</v>
      </c>
      <c r="D107" s="15"/>
      <c r="E107" s="15" t="s">
        <v>165</v>
      </c>
      <c r="F107" s="16" t="n">
        <v>46228.6830439815</v>
      </c>
      <c r="G107" s="15" t="s">
        <v>97</v>
      </c>
      <c r="H107" s="15" t="n">
        <v>1</v>
      </c>
      <c r="I107" s="15" t="n">
        <v>1</v>
      </c>
      <c r="J107" s="15" t="n">
        <v>1</v>
      </c>
      <c r="K107" s="15" t="n">
        <v>1</v>
      </c>
      <c r="L107" s="15" t="n">
        <v>1</v>
      </c>
      <c r="M107" s="15" t="n">
        <v>1</v>
      </c>
      <c r="N107" s="15" t="s">
        <v>72</v>
      </c>
      <c r="O107" s="15" t="s">
        <v>73</v>
      </c>
      <c r="P107" s="15" t="n">
        <v>1</v>
      </c>
      <c r="Q107" s="15" t="n">
        <v>3</v>
      </c>
      <c r="R107" s="15" t="s">
        <v>94</v>
      </c>
      <c r="S107" s="15" t="s">
        <v>80</v>
      </c>
      <c r="T107" s="15" t="s">
        <v>73</v>
      </c>
      <c r="U107" s="15" t="s">
        <v>80</v>
      </c>
      <c r="V107" s="17"/>
      <c r="W107" s="17"/>
      <c r="X107" s="17"/>
      <c r="Y107" s="17" t="s">
        <v>216</v>
      </c>
      <c r="Z107" s="17"/>
      <c r="AA107" s="15" t="n">
        <v>55</v>
      </c>
      <c r="AB107" s="15"/>
      <c r="AC107" s="18" t="str">
        <f aca="false">IF(C107=C106,(F107-F106)*24,"")</f>
        <v/>
      </c>
      <c r="AD107" s="17"/>
      <c r="AE107" s="15" t="n">
        <f aca="false">INDEX(Parameter!$C$3:$C$8,H107)</f>
        <v>52</v>
      </c>
      <c r="AF107" s="18" t="n">
        <f aca="false">IF(AND(N107="ganz",INDEX(Parameter!$D$3:$D$8,H107)&lt;&gt;""),Q107*INDEX(Parameter!$D$3:$D$8,H107),"")</f>
        <v>84.8</v>
      </c>
      <c r="AG107" s="18" t="n">
        <f aca="false">IF(AND(N107="ganz",INDEX(Parameter!$D$3:$D$8,H107)&lt;&gt;""),Q107*(INDEX(Parameter!$D$3:$D$8,H107)+INDEX(Parameter!$F$3:$F$8,H107)),"")</f>
        <v>111.45</v>
      </c>
      <c r="AH107" s="15" t="n">
        <f aca="false">IF(AND(N107="ganz",COUNTIFS($C$2:C107,C107,$H$2:H107,H107,$N$2:N107,"ganz")&lt;=2),1,0)</f>
        <v>1</v>
      </c>
      <c r="AI107" s="15" t="n">
        <f aca="false">IF(AND(N107="ganz",COUNTIFS($C$2:C107,C107,$J$2:J107,J107,$N$2:N107,"ganz")=1),1,0)</f>
        <v>1</v>
      </c>
      <c r="AJ107" s="15" t="n">
        <f aca="false">IF(AND(O107="ja",COUNTIFS($C$2:C107,C107,$H$2:H107,H107,$O$2:O107,"ja")&lt;=2),1,0)</f>
        <v>1</v>
      </c>
      <c r="AK107" s="15" t="n">
        <f aca="false">IF(AND(O107="ja",COUNTIFS($C$2:C107,C107,$J$2:J107,J107,$O$2:O107,"ja")=1),1,0)</f>
        <v>1</v>
      </c>
    </row>
    <row r="108" customFormat="false" ht="15" hidden="false" customHeight="false" outlineLevel="0" collapsed="false">
      <c r="A108" s="6" t="n">
        <v>71</v>
      </c>
      <c r="B108" s="6" t="s">
        <v>215</v>
      </c>
      <c r="C108" s="6" t="s">
        <v>215</v>
      </c>
      <c r="D108" s="6"/>
      <c r="E108" s="6" t="s">
        <v>165</v>
      </c>
      <c r="F108" s="12" t="n">
        <v>46229.9194560185</v>
      </c>
      <c r="G108" s="6" t="s">
        <v>78</v>
      </c>
      <c r="H108" s="6" t="n">
        <v>1</v>
      </c>
      <c r="I108" s="6" t="n">
        <v>2</v>
      </c>
      <c r="J108" s="6" t="n">
        <v>2</v>
      </c>
      <c r="K108" s="6" t="n">
        <v>1</v>
      </c>
      <c r="L108" s="6" t="n">
        <v>2</v>
      </c>
      <c r="M108" s="6" t="n">
        <v>2</v>
      </c>
      <c r="N108" s="6" t="s">
        <v>98</v>
      </c>
      <c r="O108" s="6" t="s">
        <v>73</v>
      </c>
      <c r="P108" s="6" t="n">
        <v>0</v>
      </c>
      <c r="Q108" s="6" t="n">
        <v>4</v>
      </c>
      <c r="R108" s="6" t="s">
        <v>94</v>
      </c>
      <c r="S108" s="6" t="s">
        <v>80</v>
      </c>
      <c r="T108" s="6" t="s">
        <v>80</v>
      </c>
      <c r="U108" s="6" t="s">
        <v>80</v>
      </c>
      <c r="V108" s="13" t="s">
        <v>217</v>
      </c>
      <c r="W108" s="13"/>
      <c r="X108" s="13"/>
      <c r="Y108" s="13"/>
      <c r="Z108" s="13"/>
      <c r="AA108" s="6" t="n">
        <v>46</v>
      </c>
      <c r="AB108" s="6" t="s">
        <v>73</v>
      </c>
      <c r="AC108" s="14" t="n">
        <f aca="false">IF(C108=C107,(F108-F107)*24,"")</f>
        <v>29.6738888888889</v>
      </c>
      <c r="AD108" s="13"/>
      <c r="AE108" s="6" t="n">
        <f aca="false">INDEX(Parameter!$C$3:$C$8,H108)</f>
        <v>52</v>
      </c>
      <c r="AF108" s="14" t="str">
        <f aca="false">IF(AND(N108="ganz",INDEX(Parameter!$D$3:$D$8,H108)&lt;&gt;""),Q108*INDEX(Parameter!$D$3:$D$8,H108),"")</f>
        <v/>
      </c>
      <c r="AG108" s="14" t="str">
        <f aca="false">IF(AND(N108="ganz",INDEX(Parameter!$D$3:$D$8,H108)&lt;&gt;""),Q108*(INDEX(Parameter!$D$3:$D$8,H108)+INDEX(Parameter!$F$3:$F$8,H108)),"")</f>
        <v/>
      </c>
      <c r="AH108" s="6" t="n">
        <f aca="false">IF(AND(N108="ganz",COUNTIFS($C$2:C108,C108,$H$2:H108,H108,$N$2:N108,"ganz")&lt;=2),1,0)</f>
        <v>0</v>
      </c>
      <c r="AI108" s="6" t="n">
        <f aca="false">IF(AND(N108="ganz",COUNTIFS($C$2:C108,C108,$J$2:J108,J108,$N$2:N108,"ganz")=1),1,0)</f>
        <v>0</v>
      </c>
      <c r="AJ108" s="6" t="n">
        <f aca="false">IF(AND(O108="ja",COUNTIFS($C$2:C108,C108,$H$2:H108,H108,$O$2:O108,"ja")&lt;=2),1,0)</f>
        <v>1</v>
      </c>
      <c r="AK108" s="6" t="n">
        <f aca="false">IF(AND(O108="ja",COUNTIFS($C$2:C108,C108,$J$2:J108,J108,$O$2:O108,"ja")=1),1,0)</f>
        <v>1</v>
      </c>
    </row>
    <row r="109" customFormat="false" ht="15" hidden="false" customHeight="false" outlineLevel="0" collapsed="false">
      <c r="A109" s="15" t="n">
        <v>118</v>
      </c>
      <c r="B109" s="15" t="s">
        <v>215</v>
      </c>
      <c r="C109" s="15" t="s">
        <v>215</v>
      </c>
      <c r="D109" s="15"/>
      <c r="E109" s="15" t="s">
        <v>165</v>
      </c>
      <c r="F109" s="16" t="n">
        <v>46236.9274421296</v>
      </c>
      <c r="G109" s="15" t="s">
        <v>78</v>
      </c>
      <c r="H109" s="15" t="n">
        <v>2</v>
      </c>
      <c r="I109" s="15" t="n">
        <v>3</v>
      </c>
      <c r="J109" s="15" t="n">
        <v>3</v>
      </c>
      <c r="K109" s="15" t="n">
        <v>2</v>
      </c>
      <c r="L109" s="15" t="n">
        <v>1</v>
      </c>
      <c r="M109" s="15" t="n">
        <v>3</v>
      </c>
      <c r="N109" s="15" t="s">
        <v>72</v>
      </c>
      <c r="O109" s="15" t="s">
        <v>73</v>
      </c>
      <c r="P109" s="15" t="n">
        <v>1</v>
      </c>
      <c r="Q109" s="15" t="n">
        <v>4</v>
      </c>
      <c r="R109" s="15" t="s">
        <v>94</v>
      </c>
      <c r="S109" s="15" t="s">
        <v>80</v>
      </c>
      <c r="T109" s="15" t="s">
        <v>73</v>
      </c>
      <c r="U109" s="15" t="s">
        <v>80</v>
      </c>
      <c r="V109" s="17"/>
      <c r="W109" s="17"/>
      <c r="X109" s="17"/>
      <c r="Y109" s="17" t="s">
        <v>218</v>
      </c>
      <c r="Z109" s="17"/>
      <c r="AA109" s="15" t="n">
        <v>38</v>
      </c>
      <c r="AB109" s="15" t="s">
        <v>73</v>
      </c>
      <c r="AC109" s="18" t="n">
        <f aca="false">IF(C109=C108,(F109-F108)*24,"")</f>
        <v>168.191666666667</v>
      </c>
      <c r="AD109" s="17" t="s">
        <v>219</v>
      </c>
      <c r="AE109" s="15" t="n">
        <f aca="false">INDEX(Parameter!$C$3:$C$8,H109)</f>
        <v>66</v>
      </c>
      <c r="AF109" s="18" t="n">
        <f aca="false">IF(AND(N109="ganz",INDEX(Parameter!$D$3:$D$8,H109)&lt;&gt;""),Q109*INDEX(Parameter!$D$3:$D$8,H109),"")</f>
        <v>112.133333333333</v>
      </c>
      <c r="AG109" s="18" t="n">
        <f aca="false">IF(AND(N109="ganz",INDEX(Parameter!$D$3:$D$8,H109)&lt;&gt;""),Q109*(INDEX(Parameter!$D$3:$D$8,H109)+INDEX(Parameter!$F$3:$F$8,H109)),"")</f>
        <v>147.666666666667</v>
      </c>
      <c r="AH109" s="15" t="n">
        <f aca="false">IF(AND(N109="ganz",COUNTIFS($C$2:C109,C109,$H$2:H109,H109,$N$2:N109,"ganz")&lt;=2),1,0)</f>
        <v>1</v>
      </c>
      <c r="AI109" s="15" t="n">
        <f aca="false">IF(AND(N109="ganz",COUNTIFS($C$2:C109,C109,$J$2:J109,J109,$N$2:N109,"ganz")=1),1,0)</f>
        <v>1</v>
      </c>
      <c r="AJ109" s="15" t="n">
        <f aca="false">IF(AND(O109="ja",COUNTIFS($C$2:C109,C109,$H$2:H109,H109,$O$2:O109,"ja")&lt;=2),1,0)</f>
        <v>1</v>
      </c>
      <c r="AK109" s="15" t="n">
        <f aca="false">IF(AND(O109="ja",COUNTIFS($C$2:C109,C109,$J$2:J109,J109,$O$2:O109,"ja")=1),1,0)</f>
        <v>1</v>
      </c>
    </row>
    <row r="110" customFormat="false" ht="15" hidden="false" customHeight="false" outlineLevel="0" collapsed="false">
      <c r="A110" s="6" t="n">
        <v>119</v>
      </c>
      <c r="B110" s="6" t="s">
        <v>215</v>
      </c>
      <c r="C110" s="6" t="s">
        <v>215</v>
      </c>
      <c r="D110" s="6"/>
      <c r="E110" s="6" t="s">
        <v>165</v>
      </c>
      <c r="F110" s="12" t="n">
        <v>46236.9279513889</v>
      </c>
      <c r="G110" s="6" t="s">
        <v>78</v>
      </c>
      <c r="H110" s="6" t="n">
        <v>2</v>
      </c>
      <c r="I110" s="6" t="n">
        <v>3</v>
      </c>
      <c r="J110" s="6" t="n">
        <v>4</v>
      </c>
      <c r="K110" s="6" t="n">
        <v>2</v>
      </c>
      <c r="L110" s="6" t="n">
        <v>2</v>
      </c>
      <c r="M110" s="6"/>
      <c r="N110" s="6" t="s">
        <v>109</v>
      </c>
      <c r="O110" s="6" t="s">
        <v>80</v>
      </c>
      <c r="P110" s="6" t="n">
        <v>0</v>
      </c>
      <c r="Q110" s="6" t="n">
        <v>0</v>
      </c>
      <c r="R110" s="6" t="s">
        <v>94</v>
      </c>
      <c r="S110" s="6" t="s">
        <v>80</v>
      </c>
      <c r="T110" s="6" t="s">
        <v>80</v>
      </c>
      <c r="U110" s="6" t="s">
        <v>80</v>
      </c>
      <c r="V110" s="13"/>
      <c r="W110" s="13" t="s">
        <v>220</v>
      </c>
      <c r="X110" s="13"/>
      <c r="Y110" s="13"/>
      <c r="Z110" s="13"/>
      <c r="AA110" s="6" t="n">
        <v>27</v>
      </c>
      <c r="AB110" s="6" t="s">
        <v>73</v>
      </c>
      <c r="AC110" s="14" t="n">
        <f aca="false">IF(C110=C109,(F110-F109)*24,"")</f>
        <v>0.0122222222222222</v>
      </c>
      <c r="AD110" s="13" t="s">
        <v>221</v>
      </c>
      <c r="AE110" s="6" t="n">
        <f aca="false">INDEX(Parameter!$C$3:$C$8,H110)</f>
        <v>66</v>
      </c>
      <c r="AF110" s="14" t="str">
        <f aca="false">IF(AND(N110="ganz",INDEX(Parameter!$D$3:$D$8,H110)&lt;&gt;""),Q110*INDEX(Parameter!$D$3:$D$8,H110),"")</f>
        <v/>
      </c>
      <c r="AG110" s="14" t="str">
        <f aca="false">IF(AND(N110="ganz",INDEX(Parameter!$D$3:$D$8,H110)&lt;&gt;""),Q110*(INDEX(Parameter!$D$3:$D$8,H110)+INDEX(Parameter!$F$3:$F$8,H110)),"")</f>
        <v/>
      </c>
      <c r="AH110" s="6" t="n">
        <f aca="false">IF(AND(N110="ganz",COUNTIFS($C$2:C110,C110,$H$2:H110,H110,$N$2:N110,"ganz")&lt;=2),1,0)</f>
        <v>0</v>
      </c>
      <c r="AI110" s="6" t="n">
        <f aca="false">IF(AND(N110="ganz",COUNTIFS($C$2:C110,C110,$J$2:J110,J110,$N$2:N110,"ganz")=1),1,0)</f>
        <v>0</v>
      </c>
      <c r="AJ110" s="6" t="n">
        <f aca="false">IF(AND(O110="ja",COUNTIFS($C$2:C110,C110,$H$2:H110,H110,$O$2:O110,"ja")&lt;=2),1,0)</f>
        <v>0</v>
      </c>
      <c r="AK110" s="6" t="n">
        <f aca="false">IF(AND(O110="ja",COUNTIFS($C$2:C110,C110,$J$2:J110,J110,$O$2:O110,"ja")=1),1,0)</f>
        <v>0</v>
      </c>
    </row>
    <row r="111" customFormat="false" ht="15" hidden="false" customHeight="false" outlineLevel="0" collapsed="false">
      <c r="A111" s="15" t="n">
        <v>137</v>
      </c>
      <c r="B111" s="15" t="s">
        <v>215</v>
      </c>
      <c r="C111" s="15" t="s">
        <v>215</v>
      </c>
      <c r="D111" s="15"/>
      <c r="E111" s="15" t="s">
        <v>165</v>
      </c>
      <c r="F111" s="16" t="n">
        <v>46241.6810069445</v>
      </c>
      <c r="G111" s="15" t="s">
        <v>71</v>
      </c>
      <c r="H111" s="15" t="n">
        <v>3</v>
      </c>
      <c r="I111" s="15" t="n">
        <v>3</v>
      </c>
      <c r="J111" s="15" t="n">
        <v>5</v>
      </c>
      <c r="K111" s="15" t="n">
        <v>3</v>
      </c>
      <c r="L111" s="15" t="n">
        <v>1</v>
      </c>
      <c r="M111" s="15" t="n">
        <v>5</v>
      </c>
      <c r="N111" s="15" t="s">
        <v>72</v>
      </c>
      <c r="O111" s="15" t="s">
        <v>73</v>
      </c>
      <c r="P111" s="15" t="n">
        <v>1</v>
      </c>
      <c r="Q111" s="15" t="n">
        <v>2</v>
      </c>
      <c r="R111" s="15" t="s">
        <v>94</v>
      </c>
      <c r="S111" s="15" t="s">
        <v>73</v>
      </c>
      <c r="T111" s="15" t="s">
        <v>80</v>
      </c>
      <c r="U111" s="15" t="s">
        <v>80</v>
      </c>
      <c r="V111" s="17"/>
      <c r="W111" s="17"/>
      <c r="X111" s="17" t="s">
        <v>222</v>
      </c>
      <c r="Y111" s="17"/>
      <c r="Z111" s="17"/>
      <c r="AA111" s="15" t="n">
        <v>37</v>
      </c>
      <c r="AB111" s="15"/>
      <c r="AC111" s="18" t="n">
        <f aca="false">IF(C111=C110,(F111-F110)*24,"")</f>
        <v>114.073333333333</v>
      </c>
      <c r="AD111" s="17"/>
      <c r="AE111" s="15" t="n">
        <f aca="false">INDEX(Parameter!$C$3:$C$8,H111)</f>
        <v>80</v>
      </c>
      <c r="AF111" s="18" t="n">
        <f aca="false">IF(AND(N111="ganz",INDEX(Parameter!$D$3:$D$8,H111)&lt;&gt;""),Q111*INDEX(Parameter!$D$3:$D$8,H111),"")</f>
        <v>48.5666666666667</v>
      </c>
      <c r="AG111" s="18" t="n">
        <f aca="false">IF(AND(N111="ganz",INDEX(Parameter!$D$3:$D$8,H111)&lt;&gt;""),Q111*(INDEX(Parameter!$D$3:$D$8,H111)+INDEX(Parameter!$F$3:$F$8,H111)),"")</f>
        <v>66.3333333333333</v>
      </c>
      <c r="AH111" s="15" t="n">
        <f aca="false">IF(AND(N111="ganz",COUNTIFS($C$2:C111,C111,$H$2:H111,H111,$N$2:N111,"ganz")&lt;=2),1,0)</f>
        <v>1</v>
      </c>
      <c r="AI111" s="15" t="n">
        <f aca="false">IF(AND(N111="ganz",COUNTIFS($C$2:C111,C111,$J$2:J111,J111,$N$2:N111,"ganz")=1),1,0)</f>
        <v>1</v>
      </c>
      <c r="AJ111" s="15" t="n">
        <f aca="false">IF(AND(O111="ja",COUNTIFS($C$2:C111,C111,$H$2:H111,H111,$O$2:O111,"ja")&lt;=2),1,0)</f>
        <v>1</v>
      </c>
      <c r="AK111" s="15" t="n">
        <f aca="false">IF(AND(O111="ja",COUNTIFS($C$2:C111,C111,$J$2:J111,J111,$O$2:O111,"ja")=1),1,0)</f>
        <v>1</v>
      </c>
    </row>
    <row r="112" customFormat="false" ht="15" hidden="false" customHeight="false" outlineLevel="0" collapsed="false">
      <c r="A112" s="6" t="n">
        <v>152</v>
      </c>
      <c r="B112" s="6" t="s">
        <v>215</v>
      </c>
      <c r="C112" s="6" t="s">
        <v>215</v>
      </c>
      <c r="D112" s="6"/>
      <c r="E112" s="6" t="s">
        <v>165</v>
      </c>
      <c r="F112" s="12" t="n">
        <v>46243.7764351852</v>
      </c>
      <c r="G112" s="6" t="s">
        <v>78</v>
      </c>
      <c r="H112" s="6" t="n">
        <v>3</v>
      </c>
      <c r="I112" s="6" t="n">
        <v>3</v>
      </c>
      <c r="J112" s="6" t="n">
        <v>6</v>
      </c>
      <c r="K112" s="6" t="n">
        <v>3</v>
      </c>
      <c r="L112" s="6" t="n">
        <v>2</v>
      </c>
      <c r="M112" s="6" t="n">
        <v>6</v>
      </c>
      <c r="N112" s="6" t="s">
        <v>72</v>
      </c>
      <c r="O112" s="6" t="s">
        <v>73</v>
      </c>
      <c r="P112" s="6" t="n">
        <v>1</v>
      </c>
      <c r="Q112" s="6" t="n">
        <v>2</v>
      </c>
      <c r="R112" s="6" t="s">
        <v>94</v>
      </c>
      <c r="S112" s="6" t="s">
        <v>80</v>
      </c>
      <c r="T112" s="6" t="s">
        <v>80</v>
      </c>
      <c r="U112" s="6" t="s">
        <v>73</v>
      </c>
      <c r="V112" s="13"/>
      <c r="W112" s="13"/>
      <c r="X112" s="13"/>
      <c r="Y112" s="13"/>
      <c r="Z112" s="13" t="s">
        <v>223</v>
      </c>
      <c r="AA112" s="6" t="n">
        <v>38</v>
      </c>
      <c r="AB112" s="6"/>
      <c r="AC112" s="14" t="n">
        <f aca="false">IF(C112=C111,(F112-F111)*24,"")</f>
        <v>50.2902777777778</v>
      </c>
      <c r="AD112" s="13"/>
      <c r="AE112" s="6" t="n">
        <f aca="false">INDEX(Parameter!$C$3:$C$8,H112)</f>
        <v>80</v>
      </c>
      <c r="AF112" s="14" t="n">
        <f aca="false">IF(AND(N112="ganz",INDEX(Parameter!$D$3:$D$8,H112)&lt;&gt;""),Q112*INDEX(Parameter!$D$3:$D$8,H112),"")</f>
        <v>48.5666666666667</v>
      </c>
      <c r="AG112" s="14" t="n">
        <f aca="false">IF(AND(N112="ganz",INDEX(Parameter!$D$3:$D$8,H112)&lt;&gt;""),Q112*(INDEX(Parameter!$D$3:$D$8,H112)+INDEX(Parameter!$F$3:$F$8,H112)),"")</f>
        <v>66.3333333333333</v>
      </c>
      <c r="AH112" s="6" t="n">
        <f aca="false">IF(AND(N112="ganz",COUNTIFS($C$2:C112,C112,$H$2:H112,H112,$N$2:N112,"ganz")&lt;=2),1,0)</f>
        <v>1</v>
      </c>
      <c r="AI112" s="6" t="n">
        <f aca="false">IF(AND(N112="ganz",COUNTIFS($C$2:C112,C112,$J$2:J112,J112,$N$2:N112,"ganz")=1),1,0)</f>
        <v>1</v>
      </c>
      <c r="AJ112" s="6" t="n">
        <f aca="false">IF(AND(O112="ja",COUNTIFS($C$2:C112,C112,$H$2:H112,H112,$O$2:O112,"ja")&lt;=2),1,0)</f>
        <v>1</v>
      </c>
      <c r="AK112" s="6" t="n">
        <f aca="false">IF(AND(O112="ja",COUNTIFS($C$2:C112,C112,$J$2:J112,J112,$O$2:O112,"ja")=1),1,0)</f>
        <v>1</v>
      </c>
    </row>
  </sheetData>
  <autoFilter ref="A1:AK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1" min="10" style="0" width="9"/>
    <col collapsed="false" customWidth="true" hidden="false" outlineLevel="0" max="14" min="12" style="0" width="12"/>
    <col collapsed="false" customWidth="true" hidden="false" outlineLevel="0" max="16" min="15" style="0" width="13"/>
    <col collapsed="false" customWidth="true" hidden="false" outlineLevel="0" max="20" min="17" style="0" width="10"/>
    <col collapsed="false" customWidth="true" hidden="false" outlineLevel="0" max="22" min="21" style="0" width="13"/>
    <col collapsed="false" customWidth="true" hidden="false" outlineLevel="0" max="23" min="23" style="0" width="11"/>
    <col collapsed="false" customWidth="true" hidden="false" outlineLevel="0" max="24" min="24" style="0" width="16"/>
    <col collapsed="false" customWidth="true" hidden="false" outlineLevel="0" max="27" min="25" style="0" width="10"/>
    <col collapsed="false" customWidth="true" hidden="false" outlineLevel="0" max="28" min="28" style="0" width="60"/>
  </cols>
  <sheetData>
    <row r="1" customFormat="false" ht="48" hidden="false" customHeight="true" outlineLevel="0" collapsed="false">
      <c r="A1" s="5" t="s">
        <v>224</v>
      </c>
      <c r="B1" s="5" t="s">
        <v>36</v>
      </c>
      <c r="C1" s="5" t="s">
        <v>225</v>
      </c>
      <c r="D1" s="5" t="s">
        <v>226</v>
      </c>
      <c r="E1" s="5" t="s">
        <v>227</v>
      </c>
      <c r="F1" s="5" t="s">
        <v>228</v>
      </c>
      <c r="G1" s="5" t="s">
        <v>229</v>
      </c>
      <c r="H1" s="5" t="s">
        <v>230</v>
      </c>
      <c r="I1" s="5" t="s">
        <v>231</v>
      </c>
      <c r="J1" s="5" t="s">
        <v>98</v>
      </c>
      <c r="K1" s="5" t="s">
        <v>109</v>
      </c>
      <c r="L1" s="5" t="s">
        <v>232</v>
      </c>
      <c r="M1" s="5" t="s">
        <v>233</v>
      </c>
      <c r="N1" s="5" t="s">
        <v>234</v>
      </c>
      <c r="O1" s="5" t="s">
        <v>235</v>
      </c>
      <c r="P1" s="5" t="s">
        <v>236</v>
      </c>
      <c r="Q1" s="5" t="s">
        <v>237</v>
      </c>
      <c r="R1" s="5" t="s">
        <v>238</v>
      </c>
      <c r="S1" s="5" t="s">
        <v>239</v>
      </c>
      <c r="T1" s="5" t="s">
        <v>240</v>
      </c>
      <c r="U1" s="5" t="s">
        <v>241</v>
      </c>
      <c r="V1" s="5" t="s">
        <v>242</v>
      </c>
      <c r="W1" s="5" t="s">
        <v>243</v>
      </c>
      <c r="X1" s="5" t="s">
        <v>244</v>
      </c>
      <c r="Y1" s="5" t="s">
        <v>245</v>
      </c>
      <c r="Z1" s="5" t="s">
        <v>246</v>
      </c>
      <c r="AA1" s="5" t="s">
        <v>247</v>
      </c>
      <c r="AB1" s="5" t="s">
        <v>248</v>
      </c>
    </row>
    <row r="2" customFormat="false" ht="15" hidden="false" customHeight="false" outlineLevel="0" collapsed="false">
      <c r="A2" s="6" t="s">
        <v>249</v>
      </c>
      <c r="B2" s="6" t="s">
        <v>70</v>
      </c>
      <c r="C2" s="6" t="s">
        <v>250</v>
      </c>
      <c r="D2" s="6" t="n">
        <v>1</v>
      </c>
      <c r="E2" s="7" t="n">
        <v>91.58</v>
      </c>
      <c r="F2" s="6" t="n">
        <f aca="false">COUNTIF(Meldungen!$C$2:$C$112,$A2)</f>
        <v>0</v>
      </c>
      <c r="G2" s="6" t="n">
        <f aca="false">COUNTIFS(Meldungen!$C$2:$C$112,$A2,Meldungen!$N$2:$N$112,"ganz")</f>
        <v>0</v>
      </c>
      <c r="H2" s="6" t="n">
        <f aca="false">SUMIFS(Meldungen!$AH$2:$AH$112,Meldungen!$C$2:$C$112,$A2)</f>
        <v>0</v>
      </c>
      <c r="I2" s="6" t="n">
        <f aca="false">SUMIFS(Meldungen!$AI$2:$AI$112,Meldungen!$C$2:$C$112,$A2)</f>
        <v>0</v>
      </c>
      <c r="J2" s="6" t="n">
        <f aca="false">COUNTIFS(Meldungen!$C$2:$C$112,$A2,Meldungen!$N$2:$N$112,"teilweise")</f>
        <v>0</v>
      </c>
      <c r="K2" s="6" t="n">
        <f aca="false">COUNTIFS(Meldungen!$C$2:$C$112,$A2,Meldungen!$N$2:$N$112,"gar nicht")</f>
        <v>0</v>
      </c>
      <c r="L2" s="6" t="n">
        <f aca="false">COUNTIFS(Meldungen!$C$2:$C$112,$A2,Meldungen!$O$2:$O$112,"ja")</f>
        <v>0</v>
      </c>
      <c r="M2" s="6" t="n">
        <f aca="false">SUMIFS(Meldungen!$AJ$2:$AJ$112,Meldungen!$C$2:$C$112,$A2)</f>
        <v>0</v>
      </c>
      <c r="N2" s="6" t="n">
        <f aca="false">SUMIFS(Meldungen!$AK$2:$AK$112,Meldungen!$C$2:$C$112,$A2)</f>
        <v>0</v>
      </c>
      <c r="O2" s="19" t="n">
        <f aca="false">G2/12</f>
        <v>0</v>
      </c>
      <c r="P2" s="19" t="n">
        <f aca="false">L2/12</f>
        <v>0</v>
      </c>
      <c r="Q2" s="6" t="str">
        <f aca="false">IF(G2&gt;=6,"ja","nein")</f>
        <v>nein</v>
      </c>
      <c r="R2" s="6" t="str">
        <f aca="false">IF(G2&gt;=9,"ja","nein")</f>
        <v>nein</v>
      </c>
      <c r="S2" s="7" t="str">
        <f aca="false">IFERROR(AVERAGEIFS(Meldungen!$Q$2:$Q$112,Meldungen!$C$2:$C$112,$A2,Meldungen!$N$2:$N$112,"ganz"),"")</f>
        <v/>
      </c>
      <c r="T2" s="6"/>
      <c r="U2" s="20" t="n">
        <f aca="false">SUMIFS(Meldungen!$AF$2:$AF$112,Meldungen!$C$2:$C$112,$A2)</f>
        <v>0</v>
      </c>
      <c r="V2" s="20" t="n">
        <f aca="false">SUMIFS(Meldungen!$AG$2:$AG$112,Meldungen!$C$2:$C$112,$A2)</f>
        <v>0</v>
      </c>
      <c r="W2" s="6" t="n">
        <f aca="false">COUNTIFS(Meldungen!$C$2:$C$112,$A2,Meldungen!$N$2:$N$112,"ganz",Meldungen!$H$2:$H$112,5)</f>
        <v>0</v>
      </c>
      <c r="X2" s="6" t="s">
        <v>251</v>
      </c>
      <c r="Y2" s="6" t="n">
        <f aca="false">COUNTIFS(Meldungen!$C$2:$C$112,$A2,Meldungen!$T$2:$T$112,"ja")</f>
        <v>0</v>
      </c>
      <c r="Z2" s="6" t="n">
        <f aca="false">COUNTIFS(Meldungen!$C$2:$C$112,$A2,Meldungen!$U$2:$U$112,"ja")</f>
        <v>0</v>
      </c>
      <c r="AA2" s="6" t="n">
        <f aca="false">COUNTIFS(Meldungen!$C$2:$C$112,$A2,Meldungen!$S$2:$S$112,"ja")</f>
        <v>0</v>
      </c>
      <c r="AB2" s="6" t="s">
        <v>252</v>
      </c>
    </row>
    <row r="3" customFormat="false" ht="15" hidden="false" customHeight="false" outlineLevel="0" collapsed="false">
      <c r="A3" s="15" t="s">
        <v>69</v>
      </c>
      <c r="B3" s="15" t="s">
        <v>70</v>
      </c>
      <c r="C3" s="15" t="s">
        <v>250</v>
      </c>
      <c r="D3" s="15" t="n">
        <v>1</v>
      </c>
      <c r="E3" s="21" t="n">
        <v>97.17</v>
      </c>
      <c r="F3" s="15" t="n">
        <f aca="false">COUNTIF(Meldungen!$C$2:$C$112,$A3)</f>
        <v>12</v>
      </c>
      <c r="G3" s="15" t="n">
        <f aca="false">COUNTIFS(Meldungen!$C$2:$C$112,$A3,Meldungen!$N$2:$N$112,"ganz")</f>
        <v>12</v>
      </c>
      <c r="H3" s="15" t="n">
        <f aca="false">SUMIFS(Meldungen!$AH$2:$AH$112,Meldungen!$C$2:$C$112,$A3)</f>
        <v>12</v>
      </c>
      <c r="I3" s="15" t="n">
        <f aca="false">SUMIFS(Meldungen!$AI$2:$AI$112,Meldungen!$C$2:$C$112,$A3)</f>
        <v>12</v>
      </c>
      <c r="J3" s="15" t="n">
        <f aca="false">COUNTIFS(Meldungen!$C$2:$C$112,$A3,Meldungen!$N$2:$N$112,"teilweise")</f>
        <v>0</v>
      </c>
      <c r="K3" s="15" t="n">
        <f aca="false">COUNTIFS(Meldungen!$C$2:$C$112,$A3,Meldungen!$N$2:$N$112,"gar nicht")</f>
        <v>0</v>
      </c>
      <c r="L3" s="15" t="n">
        <f aca="false">COUNTIFS(Meldungen!$C$2:$C$112,$A3,Meldungen!$O$2:$O$112,"ja")</f>
        <v>12</v>
      </c>
      <c r="M3" s="15" t="n">
        <f aca="false">SUMIFS(Meldungen!$AJ$2:$AJ$112,Meldungen!$C$2:$C$112,$A3)</f>
        <v>12</v>
      </c>
      <c r="N3" s="15" t="n">
        <f aca="false">SUMIFS(Meldungen!$AK$2:$AK$112,Meldungen!$C$2:$C$112,$A3)</f>
        <v>12</v>
      </c>
      <c r="O3" s="22" t="n">
        <f aca="false">G3/12</f>
        <v>1</v>
      </c>
      <c r="P3" s="22" t="n">
        <f aca="false">L3/12</f>
        <v>1</v>
      </c>
      <c r="Q3" s="15" t="str">
        <f aca="false">IF(G3&gt;=6,"ja","nein")</f>
        <v>ja</v>
      </c>
      <c r="R3" s="15" t="str">
        <f aca="false">IF(G3&gt;=9,"ja","nein")</f>
        <v>ja</v>
      </c>
      <c r="S3" s="21" t="n">
        <f aca="false">IFERROR(AVERAGEIFS(Meldungen!$Q$2:$Q$112,Meldungen!$C$2:$C$112,$A3,Meldungen!$N$2:$N$112,"ganz"),"")</f>
        <v>2.33333333333333</v>
      </c>
      <c r="T3" s="15" t="n">
        <v>2</v>
      </c>
      <c r="U3" s="23" t="n">
        <f aca="false">SUMIFS(Meldungen!$AF$2:$AF$112,Meldungen!$C$2:$C$112,$A3)</f>
        <v>685.683333333333</v>
      </c>
      <c r="V3" s="23" t="n">
        <f aca="false">SUMIFS(Meldungen!$AG$2:$AG$112,Meldungen!$C$2:$C$112,$A3)</f>
        <v>907.766666666667</v>
      </c>
      <c r="W3" s="15" t="n">
        <f aca="false">COUNTIFS(Meldungen!$C$2:$C$112,$A3,Meldungen!$N$2:$N$112,"ganz",Meldungen!$H$2:$H$112,5)</f>
        <v>2</v>
      </c>
      <c r="X3" s="15" t="s">
        <v>253</v>
      </c>
      <c r="Y3" s="15" t="n">
        <f aca="false">COUNTIFS(Meldungen!$C$2:$C$112,$A3,Meldungen!$T$2:$T$112,"ja")</f>
        <v>1</v>
      </c>
      <c r="Z3" s="15" t="n">
        <f aca="false">COUNTIFS(Meldungen!$C$2:$C$112,$A3,Meldungen!$U$2:$U$112,"ja")</f>
        <v>11</v>
      </c>
      <c r="AA3" s="15" t="n">
        <f aca="false">COUNTIFS(Meldungen!$C$2:$C$112,$A3,Meldungen!$S$2:$S$112,"ja")</f>
        <v>1</v>
      </c>
      <c r="AB3" s="15"/>
    </row>
    <row r="4" customFormat="false" ht="15" hidden="false" customHeight="false" outlineLevel="0" collapsed="false">
      <c r="A4" s="6" t="s">
        <v>96</v>
      </c>
      <c r="B4" s="6" t="s">
        <v>70</v>
      </c>
      <c r="C4" s="6" t="s">
        <v>250</v>
      </c>
      <c r="D4" s="6" t="n">
        <v>2</v>
      </c>
      <c r="E4" s="7" t="n">
        <v>94.81</v>
      </c>
      <c r="F4" s="6" t="n">
        <f aca="false">COUNTIF(Meldungen!$C$2:$C$112,$A4)</f>
        <v>7</v>
      </c>
      <c r="G4" s="6" t="n">
        <f aca="false">COUNTIFS(Meldungen!$C$2:$C$112,$A4,Meldungen!$N$2:$N$112,"ganz")</f>
        <v>6</v>
      </c>
      <c r="H4" s="6" t="n">
        <f aca="false">SUMIFS(Meldungen!$AH$2:$AH$112,Meldungen!$C$2:$C$112,$A4)</f>
        <v>5</v>
      </c>
      <c r="I4" s="6" t="n">
        <f aca="false">SUMIFS(Meldungen!$AI$2:$AI$112,Meldungen!$C$2:$C$112,$A4)</f>
        <v>6</v>
      </c>
      <c r="J4" s="6" t="n">
        <f aca="false">COUNTIFS(Meldungen!$C$2:$C$112,$A4,Meldungen!$N$2:$N$112,"teilweise")</f>
        <v>1</v>
      </c>
      <c r="K4" s="6" t="n">
        <f aca="false">COUNTIFS(Meldungen!$C$2:$C$112,$A4,Meldungen!$N$2:$N$112,"gar nicht")</f>
        <v>0</v>
      </c>
      <c r="L4" s="6" t="n">
        <f aca="false">COUNTIFS(Meldungen!$C$2:$C$112,$A4,Meldungen!$O$2:$O$112,"ja")</f>
        <v>7</v>
      </c>
      <c r="M4" s="6" t="n">
        <f aca="false">SUMIFS(Meldungen!$AJ$2:$AJ$112,Meldungen!$C$2:$C$112,$A4)</f>
        <v>6</v>
      </c>
      <c r="N4" s="6" t="n">
        <f aca="false">SUMIFS(Meldungen!$AK$2:$AK$112,Meldungen!$C$2:$C$112,$A4)</f>
        <v>6</v>
      </c>
      <c r="O4" s="19" t="n">
        <f aca="false">G4/12</f>
        <v>0.5</v>
      </c>
      <c r="P4" s="19" t="n">
        <f aca="false">L4/12</f>
        <v>0.583333333333333</v>
      </c>
      <c r="Q4" s="6" t="str">
        <f aca="false">IF(G4&gt;=6,"ja","nein")</f>
        <v>ja</v>
      </c>
      <c r="R4" s="6" t="str">
        <f aca="false">IF(G4&gt;=9,"ja","nein")</f>
        <v>nein</v>
      </c>
      <c r="S4" s="7" t="n">
        <f aca="false">IFERROR(AVERAGEIFS(Meldungen!$Q$2:$Q$112,Meldungen!$C$2:$C$112,$A4,Meldungen!$N$2:$N$112,"ganz"),"")</f>
        <v>1.33333333333333</v>
      </c>
      <c r="T4" s="6" t="n">
        <v>1.5</v>
      </c>
      <c r="U4" s="20" t="n">
        <f aca="false">SUMIFS(Meldungen!$AF$2:$AF$112,Meldungen!$C$2:$C$112,$A4)</f>
        <v>183.283333333333</v>
      </c>
      <c r="V4" s="20" t="n">
        <f aca="false">SUMIFS(Meldungen!$AG$2:$AG$112,Meldungen!$C$2:$C$112,$A4)</f>
        <v>245.466666666667</v>
      </c>
      <c r="W4" s="6" t="n">
        <f aca="false">COUNTIFS(Meldungen!$C$2:$C$112,$A4,Meldungen!$N$2:$N$112,"ganz",Meldungen!$H$2:$H$112,5)</f>
        <v>1</v>
      </c>
      <c r="X4" s="6" t="s">
        <v>254</v>
      </c>
      <c r="Y4" s="6" t="n">
        <f aca="false">COUNTIFS(Meldungen!$C$2:$C$112,$A4,Meldungen!$T$2:$T$112,"ja")</f>
        <v>1</v>
      </c>
      <c r="Z4" s="6" t="n">
        <f aca="false">COUNTIFS(Meldungen!$C$2:$C$112,$A4,Meldungen!$U$2:$U$112,"ja")</f>
        <v>4</v>
      </c>
      <c r="AA4" s="6" t="n">
        <f aca="false">COUNTIFS(Meldungen!$C$2:$C$112,$A4,Meldungen!$S$2:$S$112,"ja")</f>
        <v>1</v>
      </c>
      <c r="AB4" s="6" t="s">
        <v>255</v>
      </c>
    </row>
    <row r="5" customFormat="false" ht="15" hidden="false" customHeight="false" outlineLevel="0" collapsed="false">
      <c r="A5" s="15" t="s">
        <v>108</v>
      </c>
      <c r="B5" s="15" t="s">
        <v>70</v>
      </c>
      <c r="C5" s="15" t="s">
        <v>250</v>
      </c>
      <c r="D5" s="15" t="n">
        <v>2</v>
      </c>
      <c r="E5" s="21" t="n">
        <v>93.96</v>
      </c>
      <c r="F5" s="15" t="n">
        <f aca="false">COUNTIF(Meldungen!$C$2:$C$112,$A5)</f>
        <v>8</v>
      </c>
      <c r="G5" s="15" t="n">
        <f aca="false">COUNTIFS(Meldungen!$C$2:$C$112,$A5,Meldungen!$N$2:$N$112,"ganz")</f>
        <v>7</v>
      </c>
      <c r="H5" s="15" t="n">
        <f aca="false">SUMIFS(Meldungen!$AH$2:$AH$112,Meldungen!$C$2:$C$112,$A5)</f>
        <v>7</v>
      </c>
      <c r="I5" s="15" t="n">
        <f aca="false">SUMIFS(Meldungen!$AI$2:$AI$112,Meldungen!$C$2:$C$112,$A5)</f>
        <v>7</v>
      </c>
      <c r="J5" s="15" t="n">
        <f aca="false">COUNTIFS(Meldungen!$C$2:$C$112,$A5,Meldungen!$N$2:$N$112,"teilweise")</f>
        <v>0</v>
      </c>
      <c r="K5" s="15" t="n">
        <f aca="false">COUNTIFS(Meldungen!$C$2:$C$112,$A5,Meldungen!$N$2:$N$112,"gar nicht")</f>
        <v>1</v>
      </c>
      <c r="L5" s="15" t="n">
        <f aca="false">COUNTIFS(Meldungen!$C$2:$C$112,$A5,Meldungen!$O$2:$O$112,"ja")</f>
        <v>7</v>
      </c>
      <c r="M5" s="15" t="n">
        <f aca="false">SUMIFS(Meldungen!$AJ$2:$AJ$112,Meldungen!$C$2:$C$112,$A5)</f>
        <v>7</v>
      </c>
      <c r="N5" s="15" t="n">
        <f aca="false">SUMIFS(Meldungen!$AK$2:$AK$112,Meldungen!$C$2:$C$112,$A5)</f>
        <v>7</v>
      </c>
      <c r="O5" s="22" t="n">
        <f aca="false">G5/12</f>
        <v>0.583333333333333</v>
      </c>
      <c r="P5" s="22" t="n">
        <f aca="false">L5/12</f>
        <v>0.583333333333333</v>
      </c>
      <c r="Q5" s="15" t="str">
        <f aca="false">IF(G5&gt;=6,"ja","nein")</f>
        <v>ja</v>
      </c>
      <c r="R5" s="15" t="str">
        <f aca="false">IF(G5&gt;=9,"ja","nein")</f>
        <v>nein</v>
      </c>
      <c r="S5" s="21" t="n">
        <f aca="false">IFERROR(AVERAGEIFS(Meldungen!$Q$2:$Q$112,Meldungen!$C$2:$C$112,$A5,Meldungen!$N$2:$N$112,"ganz"),"")</f>
        <v>2.57142857142857</v>
      </c>
      <c r="T5" s="15" t="n">
        <v>3</v>
      </c>
      <c r="U5" s="23" t="n">
        <f aca="false">SUMIFS(Meldungen!$AF$2:$AF$112,Meldungen!$C$2:$C$112,$A5)</f>
        <v>475.733333333333</v>
      </c>
      <c r="V5" s="23" t="n">
        <f aca="false">SUMIFS(Meldungen!$AG$2:$AG$112,Meldungen!$C$2:$C$112,$A5)</f>
        <v>635.633333333333</v>
      </c>
      <c r="W5" s="15" t="n">
        <f aca="false">COUNTIFS(Meldungen!$C$2:$C$112,$A5,Meldungen!$N$2:$N$112,"ganz",Meldungen!$H$2:$H$112,5)</f>
        <v>0</v>
      </c>
      <c r="X5" s="15" t="s">
        <v>256</v>
      </c>
      <c r="Y5" s="15" t="n">
        <f aca="false">COUNTIFS(Meldungen!$C$2:$C$112,$A5,Meldungen!$T$2:$T$112,"ja")</f>
        <v>0</v>
      </c>
      <c r="Z5" s="15" t="n">
        <f aca="false">COUNTIFS(Meldungen!$C$2:$C$112,$A5,Meldungen!$U$2:$U$112,"ja")</f>
        <v>0</v>
      </c>
      <c r="AA5" s="15" t="n">
        <f aca="false">COUNTIFS(Meldungen!$C$2:$C$112,$A5,Meldungen!$S$2:$S$112,"ja")</f>
        <v>0</v>
      </c>
      <c r="AB5" s="15"/>
    </row>
    <row r="6" customFormat="false" ht="15" hidden="false" customHeight="false" outlineLevel="0" collapsed="false">
      <c r="A6" s="6" t="s">
        <v>112</v>
      </c>
      <c r="B6" s="6" t="s">
        <v>70</v>
      </c>
      <c r="C6" s="6" t="s">
        <v>250</v>
      </c>
      <c r="D6" s="6" t="n">
        <v>2</v>
      </c>
      <c r="E6" s="7" t="n">
        <v>86.65</v>
      </c>
      <c r="F6" s="6" t="n">
        <f aca="false">COUNTIF(Meldungen!$C$2:$C$112,$A6)</f>
        <v>5</v>
      </c>
      <c r="G6" s="6" t="n">
        <f aca="false">COUNTIFS(Meldungen!$C$2:$C$112,$A6,Meldungen!$N$2:$N$112,"ganz")</f>
        <v>2</v>
      </c>
      <c r="H6" s="6" t="n">
        <f aca="false">SUMIFS(Meldungen!$AH$2:$AH$112,Meldungen!$C$2:$C$112,$A6)</f>
        <v>2</v>
      </c>
      <c r="I6" s="6" t="n">
        <f aca="false">SUMIFS(Meldungen!$AI$2:$AI$112,Meldungen!$C$2:$C$112,$A6)</f>
        <v>2</v>
      </c>
      <c r="J6" s="6" t="n">
        <f aca="false">COUNTIFS(Meldungen!$C$2:$C$112,$A6,Meldungen!$N$2:$N$112,"teilweise")</f>
        <v>2</v>
      </c>
      <c r="K6" s="6" t="n">
        <f aca="false">COUNTIFS(Meldungen!$C$2:$C$112,$A6,Meldungen!$N$2:$N$112,"gar nicht")</f>
        <v>1</v>
      </c>
      <c r="L6" s="6" t="n">
        <f aca="false">COUNTIFS(Meldungen!$C$2:$C$112,$A6,Meldungen!$O$2:$O$112,"ja")</f>
        <v>4</v>
      </c>
      <c r="M6" s="6" t="n">
        <f aca="false">SUMIFS(Meldungen!$AJ$2:$AJ$112,Meldungen!$C$2:$C$112,$A6)</f>
        <v>4</v>
      </c>
      <c r="N6" s="6" t="n">
        <f aca="false">SUMIFS(Meldungen!$AK$2:$AK$112,Meldungen!$C$2:$C$112,$A6)</f>
        <v>4</v>
      </c>
      <c r="O6" s="19" t="n">
        <f aca="false">G6/12</f>
        <v>0.166666666666667</v>
      </c>
      <c r="P6" s="19" t="n">
        <f aca="false">L6/12</f>
        <v>0.333333333333333</v>
      </c>
      <c r="Q6" s="6" t="str">
        <f aca="false">IF(G6&gt;=6,"ja","nein")</f>
        <v>nein</v>
      </c>
      <c r="R6" s="6" t="str">
        <f aca="false">IF(G6&gt;=9,"ja","nein")</f>
        <v>nein</v>
      </c>
      <c r="S6" s="7" t="n">
        <f aca="false">IFERROR(AVERAGEIFS(Meldungen!$Q$2:$Q$112,Meldungen!$C$2:$C$112,$A6,Meldungen!$N$2:$N$112,"ganz"),"")</f>
        <v>3.5</v>
      </c>
      <c r="T6" s="6" t="n">
        <v>3.5</v>
      </c>
      <c r="U6" s="20" t="n">
        <f aca="false">SUMIFS(Meldungen!$AF$2:$AF$112,Meldungen!$C$2:$C$112,$A6)</f>
        <v>188.466666666667</v>
      </c>
      <c r="V6" s="20" t="n">
        <f aca="false">SUMIFS(Meldungen!$AG$2:$AG$112,Meldungen!$C$2:$C$112,$A6)</f>
        <v>250.65</v>
      </c>
      <c r="W6" s="6" t="n">
        <f aca="false">COUNTIFS(Meldungen!$C$2:$C$112,$A6,Meldungen!$N$2:$N$112,"ganz",Meldungen!$H$2:$H$112,5)</f>
        <v>0</v>
      </c>
      <c r="X6" s="6" t="s">
        <v>257</v>
      </c>
      <c r="Y6" s="6" t="n">
        <f aca="false">COUNTIFS(Meldungen!$C$2:$C$112,$A6,Meldungen!$T$2:$T$112,"ja")</f>
        <v>1</v>
      </c>
      <c r="Z6" s="6" t="n">
        <f aca="false">COUNTIFS(Meldungen!$C$2:$C$112,$A6,Meldungen!$U$2:$U$112,"ja")</f>
        <v>3</v>
      </c>
      <c r="AA6" s="6" t="n">
        <f aca="false">COUNTIFS(Meldungen!$C$2:$C$112,$A6,Meldungen!$S$2:$S$112,"ja")</f>
        <v>2</v>
      </c>
      <c r="AB6" s="6" t="s">
        <v>258</v>
      </c>
    </row>
    <row r="7" customFormat="false" ht="15" hidden="false" customHeight="false" outlineLevel="0" collapsed="false">
      <c r="A7" s="15" t="s">
        <v>122</v>
      </c>
      <c r="B7" s="15" t="s">
        <v>70</v>
      </c>
      <c r="C7" s="15" t="s">
        <v>259</v>
      </c>
      <c r="D7" s="15" t="n">
        <v>2</v>
      </c>
      <c r="E7" s="21" t="n">
        <v>92.16</v>
      </c>
      <c r="F7" s="15" t="n">
        <f aca="false">COUNTIF(Meldungen!$C$2:$C$112,$A7)</f>
        <v>6</v>
      </c>
      <c r="G7" s="15" t="n">
        <f aca="false">COUNTIFS(Meldungen!$C$2:$C$112,$A7,Meldungen!$N$2:$N$112,"ganz")</f>
        <v>6</v>
      </c>
      <c r="H7" s="15" t="n">
        <f aca="false">SUMIFS(Meldungen!$AH$2:$AH$112,Meldungen!$C$2:$C$112,$A7)</f>
        <v>6</v>
      </c>
      <c r="I7" s="15" t="n">
        <f aca="false">SUMIFS(Meldungen!$AI$2:$AI$112,Meldungen!$C$2:$C$112,$A7)</f>
        <v>6</v>
      </c>
      <c r="J7" s="15" t="n">
        <f aca="false">COUNTIFS(Meldungen!$C$2:$C$112,$A7,Meldungen!$N$2:$N$112,"teilweise")</f>
        <v>0</v>
      </c>
      <c r="K7" s="15" t="n">
        <f aca="false">COUNTIFS(Meldungen!$C$2:$C$112,$A7,Meldungen!$N$2:$N$112,"gar nicht")</f>
        <v>0</v>
      </c>
      <c r="L7" s="15" t="n">
        <f aca="false">COUNTIFS(Meldungen!$C$2:$C$112,$A7,Meldungen!$O$2:$O$112,"ja")</f>
        <v>6</v>
      </c>
      <c r="M7" s="15" t="n">
        <f aca="false">SUMIFS(Meldungen!$AJ$2:$AJ$112,Meldungen!$C$2:$C$112,$A7)</f>
        <v>6</v>
      </c>
      <c r="N7" s="15" t="n">
        <f aca="false">SUMIFS(Meldungen!$AK$2:$AK$112,Meldungen!$C$2:$C$112,$A7)</f>
        <v>6</v>
      </c>
      <c r="O7" s="22" t="n">
        <f aca="false">G7/12</f>
        <v>0.5</v>
      </c>
      <c r="P7" s="22" t="n">
        <f aca="false">L7/12</f>
        <v>0.5</v>
      </c>
      <c r="Q7" s="15" t="str">
        <f aca="false">IF(G7&gt;=6,"ja","nein")</f>
        <v>ja</v>
      </c>
      <c r="R7" s="15" t="str">
        <f aca="false">IF(G7&gt;=9,"ja","nein")</f>
        <v>nein</v>
      </c>
      <c r="S7" s="21" t="n">
        <f aca="false">IFERROR(AVERAGEIFS(Meldungen!$Q$2:$Q$112,Meldungen!$C$2:$C$112,$A7,Meldungen!$N$2:$N$112,"ganz"),"")</f>
        <v>3.33333333333333</v>
      </c>
      <c r="T7" s="15" t="n">
        <v>3.5</v>
      </c>
      <c r="U7" s="23" t="n">
        <f aca="false">SUMIFS(Meldungen!$AF$2:$AF$112,Meldungen!$C$2:$C$112,$A7)</f>
        <v>446.95</v>
      </c>
      <c r="V7" s="23" t="n">
        <f aca="false">SUMIFS(Meldungen!$AG$2:$AG$112,Meldungen!$C$2:$C$112,$A7)</f>
        <v>589.083333333333</v>
      </c>
      <c r="W7" s="15" t="n">
        <f aca="false">COUNTIFS(Meldungen!$C$2:$C$112,$A7,Meldungen!$N$2:$N$112,"ganz",Meldungen!$H$2:$H$112,5)</f>
        <v>1</v>
      </c>
      <c r="X7" s="15" t="s">
        <v>260</v>
      </c>
      <c r="Y7" s="15" t="n">
        <f aca="false">COUNTIFS(Meldungen!$C$2:$C$112,$A7,Meldungen!$T$2:$T$112,"ja")</f>
        <v>5</v>
      </c>
      <c r="Z7" s="15" t="n">
        <f aca="false">COUNTIFS(Meldungen!$C$2:$C$112,$A7,Meldungen!$U$2:$U$112,"ja")</f>
        <v>5</v>
      </c>
      <c r="AA7" s="15" t="n">
        <f aca="false">COUNTIFS(Meldungen!$C$2:$C$112,$A7,Meldungen!$S$2:$S$112,"ja")</f>
        <v>0</v>
      </c>
      <c r="AB7" s="15" t="s">
        <v>261</v>
      </c>
    </row>
    <row r="8" customFormat="false" ht="15" hidden="false" customHeight="false" outlineLevel="0" collapsed="false">
      <c r="A8" s="6" t="s">
        <v>135</v>
      </c>
      <c r="B8" s="6" t="s">
        <v>70</v>
      </c>
      <c r="C8" s="6" t="s">
        <v>250</v>
      </c>
      <c r="D8" s="6" t="n">
        <v>2</v>
      </c>
      <c r="E8" s="7" t="n">
        <v>96.72</v>
      </c>
      <c r="F8" s="6" t="n">
        <f aca="false">COUNTIF(Meldungen!$C$2:$C$112,$A8)</f>
        <v>9</v>
      </c>
      <c r="G8" s="6" t="n">
        <f aca="false">COUNTIFS(Meldungen!$C$2:$C$112,$A8,Meldungen!$N$2:$N$112,"ganz")</f>
        <v>9</v>
      </c>
      <c r="H8" s="6" t="n">
        <f aca="false">SUMIFS(Meldungen!$AH$2:$AH$112,Meldungen!$C$2:$C$112,$A8)</f>
        <v>8</v>
      </c>
      <c r="I8" s="6" t="n">
        <f aca="false">SUMIFS(Meldungen!$AI$2:$AI$112,Meldungen!$C$2:$C$112,$A8)</f>
        <v>8</v>
      </c>
      <c r="J8" s="6" t="n">
        <f aca="false">COUNTIFS(Meldungen!$C$2:$C$112,$A8,Meldungen!$N$2:$N$112,"teilweise")</f>
        <v>0</v>
      </c>
      <c r="K8" s="6" t="n">
        <f aca="false">COUNTIFS(Meldungen!$C$2:$C$112,$A8,Meldungen!$N$2:$N$112,"gar nicht")</f>
        <v>0</v>
      </c>
      <c r="L8" s="6" t="n">
        <f aca="false">COUNTIFS(Meldungen!$C$2:$C$112,$A8,Meldungen!$O$2:$O$112,"ja")</f>
        <v>9</v>
      </c>
      <c r="M8" s="6" t="n">
        <f aca="false">SUMIFS(Meldungen!$AJ$2:$AJ$112,Meldungen!$C$2:$C$112,$A8)</f>
        <v>8</v>
      </c>
      <c r="N8" s="6" t="n">
        <f aca="false">SUMIFS(Meldungen!$AK$2:$AK$112,Meldungen!$C$2:$C$112,$A8)</f>
        <v>8</v>
      </c>
      <c r="O8" s="19" t="n">
        <f aca="false">G8/12</f>
        <v>0.75</v>
      </c>
      <c r="P8" s="19" t="n">
        <f aca="false">L8/12</f>
        <v>0.75</v>
      </c>
      <c r="Q8" s="6" t="str">
        <f aca="false">IF(G8&gt;=6,"ja","nein")</f>
        <v>ja</v>
      </c>
      <c r="R8" s="6" t="str">
        <f aca="false">IF(G8&gt;=9,"ja","nein")</f>
        <v>ja</v>
      </c>
      <c r="S8" s="7" t="n">
        <f aca="false">IFERROR(AVERAGEIFS(Meldungen!$Q$2:$Q$112,Meldungen!$C$2:$C$112,$A8,Meldungen!$N$2:$N$112,"ganz"),"")</f>
        <v>3</v>
      </c>
      <c r="T8" s="6" t="n">
        <v>3</v>
      </c>
      <c r="U8" s="20" t="n">
        <f aca="false">SUMIFS(Meldungen!$AF$2:$AF$112,Meldungen!$C$2:$C$112,$A8)</f>
        <v>560.55</v>
      </c>
      <c r="V8" s="20" t="n">
        <f aca="false">SUMIFS(Meldungen!$AG$2:$AG$112,Meldungen!$C$2:$C$112,$A8)</f>
        <v>747.1</v>
      </c>
      <c r="W8" s="6" t="n">
        <f aca="false">COUNTIFS(Meldungen!$C$2:$C$112,$A8,Meldungen!$N$2:$N$112,"ganz",Meldungen!$H$2:$H$112,5)</f>
        <v>2</v>
      </c>
      <c r="X8" s="6" t="s">
        <v>262</v>
      </c>
      <c r="Y8" s="6" t="n">
        <f aca="false">COUNTIFS(Meldungen!$C$2:$C$112,$A8,Meldungen!$T$2:$T$112,"ja")</f>
        <v>0</v>
      </c>
      <c r="Z8" s="6" t="n">
        <f aca="false">COUNTIFS(Meldungen!$C$2:$C$112,$A8,Meldungen!$U$2:$U$112,"ja")</f>
        <v>1</v>
      </c>
      <c r="AA8" s="6" t="n">
        <f aca="false">COUNTIFS(Meldungen!$C$2:$C$112,$A8,Meldungen!$S$2:$S$112,"ja")</f>
        <v>2</v>
      </c>
      <c r="AB8" s="6" t="s">
        <v>263</v>
      </c>
    </row>
    <row r="9" customFormat="false" ht="15" hidden="false" customHeight="false" outlineLevel="0" collapsed="false">
      <c r="A9" s="15" t="s">
        <v>142</v>
      </c>
      <c r="B9" s="15" t="s">
        <v>70</v>
      </c>
      <c r="C9" s="15" t="s">
        <v>250</v>
      </c>
      <c r="D9" s="15" t="n">
        <v>2</v>
      </c>
      <c r="E9" s="21" t="n">
        <v>91.99</v>
      </c>
      <c r="F9" s="15" t="n">
        <f aca="false">COUNTIF(Meldungen!$C$2:$C$112,$A9)</f>
        <v>8</v>
      </c>
      <c r="G9" s="15" t="n">
        <f aca="false">COUNTIFS(Meldungen!$C$2:$C$112,$A9,Meldungen!$N$2:$N$112,"ganz")</f>
        <v>7</v>
      </c>
      <c r="H9" s="15" t="n">
        <f aca="false">SUMIFS(Meldungen!$AH$2:$AH$112,Meldungen!$C$2:$C$112,$A9)</f>
        <v>7</v>
      </c>
      <c r="I9" s="15" t="n">
        <f aca="false">SUMIFS(Meldungen!$AI$2:$AI$112,Meldungen!$C$2:$C$112,$A9)</f>
        <v>7</v>
      </c>
      <c r="J9" s="15" t="n">
        <f aca="false">COUNTIFS(Meldungen!$C$2:$C$112,$A9,Meldungen!$N$2:$N$112,"teilweise")</f>
        <v>0</v>
      </c>
      <c r="K9" s="15" t="n">
        <f aca="false">COUNTIFS(Meldungen!$C$2:$C$112,$A9,Meldungen!$N$2:$N$112,"gar nicht")</f>
        <v>1</v>
      </c>
      <c r="L9" s="15" t="n">
        <f aca="false">COUNTIFS(Meldungen!$C$2:$C$112,$A9,Meldungen!$O$2:$O$112,"ja")</f>
        <v>7</v>
      </c>
      <c r="M9" s="15" t="n">
        <f aca="false">SUMIFS(Meldungen!$AJ$2:$AJ$112,Meldungen!$C$2:$C$112,$A9)</f>
        <v>7</v>
      </c>
      <c r="N9" s="15" t="n">
        <f aca="false">SUMIFS(Meldungen!$AK$2:$AK$112,Meldungen!$C$2:$C$112,$A9)</f>
        <v>7</v>
      </c>
      <c r="O9" s="22" t="n">
        <f aca="false">G9/12</f>
        <v>0.583333333333333</v>
      </c>
      <c r="P9" s="22" t="n">
        <f aca="false">L9/12</f>
        <v>0.583333333333333</v>
      </c>
      <c r="Q9" s="15" t="str">
        <f aca="false">IF(G9&gt;=6,"ja","nein")</f>
        <v>ja</v>
      </c>
      <c r="R9" s="15" t="str">
        <f aca="false">IF(G9&gt;=9,"ja","nein")</f>
        <v>nein</v>
      </c>
      <c r="S9" s="21" t="n">
        <f aca="false">IFERROR(AVERAGEIFS(Meldungen!$Q$2:$Q$112,Meldungen!$C$2:$C$112,$A9,Meldungen!$N$2:$N$112,"ganz"),"")</f>
        <v>2.71428571428571</v>
      </c>
      <c r="T9" s="15" t="n">
        <v>3</v>
      </c>
      <c r="U9" s="23" t="n">
        <f aca="false">SUMIFS(Meldungen!$AF$2:$AF$112,Meldungen!$C$2:$C$112,$A9)</f>
        <v>334.666666666667</v>
      </c>
      <c r="V9" s="23" t="n">
        <f aca="false">SUMIFS(Meldungen!$AG$2:$AG$112,Meldungen!$C$2:$C$112,$A9)</f>
        <v>441.266666666667</v>
      </c>
      <c r="W9" s="15" t="n">
        <f aca="false">COUNTIFS(Meldungen!$C$2:$C$112,$A9,Meldungen!$N$2:$N$112,"ganz",Meldungen!$H$2:$H$112,5)</f>
        <v>2</v>
      </c>
      <c r="X9" s="15" t="s">
        <v>256</v>
      </c>
      <c r="Y9" s="15" t="n">
        <f aca="false">COUNTIFS(Meldungen!$C$2:$C$112,$A9,Meldungen!$T$2:$T$112,"ja")</f>
        <v>0</v>
      </c>
      <c r="Z9" s="15" t="n">
        <f aca="false">COUNTIFS(Meldungen!$C$2:$C$112,$A9,Meldungen!$U$2:$U$112,"ja")</f>
        <v>7</v>
      </c>
      <c r="AA9" s="15" t="n">
        <f aca="false">COUNTIFS(Meldungen!$C$2:$C$112,$A9,Meldungen!$S$2:$S$112,"ja")</f>
        <v>2</v>
      </c>
      <c r="AB9" s="15"/>
    </row>
    <row r="10" customFormat="false" ht="15" hidden="false" customHeight="false" outlineLevel="0" collapsed="false">
      <c r="A10" s="6" t="s">
        <v>154</v>
      </c>
      <c r="B10" s="6" t="s">
        <v>70</v>
      </c>
      <c r="C10" s="6" t="s">
        <v>250</v>
      </c>
      <c r="D10" s="6" t="n">
        <v>2</v>
      </c>
      <c r="E10" s="7" t="n">
        <v>93.64</v>
      </c>
      <c r="F10" s="6" t="n">
        <f aca="false">COUNTIF(Meldungen!$C$2:$C$112,$A10)</f>
        <v>5</v>
      </c>
      <c r="G10" s="6" t="n">
        <f aca="false">COUNTIFS(Meldungen!$C$2:$C$112,$A10,Meldungen!$N$2:$N$112,"ganz")</f>
        <v>5</v>
      </c>
      <c r="H10" s="6" t="n">
        <f aca="false">SUMIFS(Meldungen!$AH$2:$AH$112,Meldungen!$C$2:$C$112,$A10)</f>
        <v>5</v>
      </c>
      <c r="I10" s="6" t="n">
        <f aca="false">SUMIFS(Meldungen!$AI$2:$AI$112,Meldungen!$C$2:$C$112,$A10)</f>
        <v>5</v>
      </c>
      <c r="J10" s="6" t="n">
        <f aca="false">COUNTIFS(Meldungen!$C$2:$C$112,$A10,Meldungen!$N$2:$N$112,"teilweise")</f>
        <v>0</v>
      </c>
      <c r="K10" s="6" t="n">
        <f aca="false">COUNTIFS(Meldungen!$C$2:$C$112,$A10,Meldungen!$N$2:$N$112,"gar nicht")</f>
        <v>0</v>
      </c>
      <c r="L10" s="6" t="n">
        <f aca="false">COUNTIFS(Meldungen!$C$2:$C$112,$A10,Meldungen!$O$2:$O$112,"ja")</f>
        <v>5</v>
      </c>
      <c r="M10" s="6" t="n">
        <f aca="false">SUMIFS(Meldungen!$AJ$2:$AJ$112,Meldungen!$C$2:$C$112,$A10)</f>
        <v>5</v>
      </c>
      <c r="N10" s="6" t="n">
        <f aca="false">SUMIFS(Meldungen!$AK$2:$AK$112,Meldungen!$C$2:$C$112,$A10)</f>
        <v>5</v>
      </c>
      <c r="O10" s="19" t="n">
        <f aca="false">G10/12</f>
        <v>0.416666666666667</v>
      </c>
      <c r="P10" s="19" t="n">
        <f aca="false">L10/12</f>
        <v>0.416666666666667</v>
      </c>
      <c r="Q10" s="6" t="str">
        <f aca="false">IF(G10&gt;=6,"ja","nein")</f>
        <v>nein</v>
      </c>
      <c r="R10" s="6" t="str">
        <f aca="false">IF(G10&gt;=9,"ja","nein")</f>
        <v>nein</v>
      </c>
      <c r="S10" s="7" t="n">
        <f aca="false">IFERROR(AVERAGEIFS(Meldungen!$Q$2:$Q$112,Meldungen!$C$2:$C$112,$A10,Meldungen!$N$2:$N$112,"ganz"),"")</f>
        <v>4</v>
      </c>
      <c r="T10" s="6" t="n">
        <v>4</v>
      </c>
      <c r="U10" s="20" t="n">
        <f aca="false">SUMIFS(Meldungen!$AF$2:$AF$112,Meldungen!$C$2:$C$112,$A10)</f>
        <v>410.616666666667</v>
      </c>
      <c r="V10" s="20" t="n">
        <f aca="false">SUMIFS(Meldungen!$AG$2:$AG$112,Meldungen!$C$2:$C$112,$A10)</f>
        <v>543.866666666667</v>
      </c>
      <c r="W10" s="6" t="n">
        <f aca="false">COUNTIFS(Meldungen!$C$2:$C$112,$A10,Meldungen!$N$2:$N$112,"ganz",Meldungen!$H$2:$H$112,5)</f>
        <v>1</v>
      </c>
      <c r="X10" s="6" t="s">
        <v>264</v>
      </c>
      <c r="Y10" s="6" t="n">
        <f aca="false">COUNTIFS(Meldungen!$C$2:$C$112,$A10,Meldungen!$T$2:$T$112,"ja")</f>
        <v>3</v>
      </c>
      <c r="Z10" s="6" t="n">
        <f aca="false">COUNTIFS(Meldungen!$C$2:$C$112,$A10,Meldungen!$U$2:$U$112,"ja")</f>
        <v>4</v>
      </c>
      <c r="AA10" s="6" t="n">
        <f aca="false">COUNTIFS(Meldungen!$C$2:$C$112,$A10,Meldungen!$S$2:$S$112,"ja")</f>
        <v>0</v>
      </c>
      <c r="AB10" s="6"/>
    </row>
    <row r="11" customFormat="false" ht="15" hidden="false" customHeight="false" outlineLevel="0" collapsed="false">
      <c r="A11" s="15" t="s">
        <v>160</v>
      </c>
      <c r="B11" s="15" t="s">
        <v>70</v>
      </c>
      <c r="C11" s="15" t="s">
        <v>250</v>
      </c>
      <c r="D11" s="15" t="n">
        <v>2</v>
      </c>
      <c r="E11" s="21" t="n">
        <v>93.22</v>
      </c>
      <c r="F11" s="15" t="n">
        <f aca="false">COUNTIF(Meldungen!$C$2:$C$112,$A11)</f>
        <v>2</v>
      </c>
      <c r="G11" s="15" t="n">
        <f aca="false">COUNTIFS(Meldungen!$C$2:$C$112,$A11,Meldungen!$N$2:$N$112,"ganz")</f>
        <v>2</v>
      </c>
      <c r="H11" s="15" t="n">
        <f aca="false">SUMIFS(Meldungen!$AH$2:$AH$112,Meldungen!$C$2:$C$112,$A11)</f>
        <v>2</v>
      </c>
      <c r="I11" s="15" t="n">
        <f aca="false">SUMIFS(Meldungen!$AI$2:$AI$112,Meldungen!$C$2:$C$112,$A11)</f>
        <v>2</v>
      </c>
      <c r="J11" s="15" t="n">
        <f aca="false">COUNTIFS(Meldungen!$C$2:$C$112,$A11,Meldungen!$N$2:$N$112,"teilweise")</f>
        <v>0</v>
      </c>
      <c r="K11" s="15" t="n">
        <f aca="false">COUNTIFS(Meldungen!$C$2:$C$112,$A11,Meldungen!$N$2:$N$112,"gar nicht")</f>
        <v>0</v>
      </c>
      <c r="L11" s="15" t="n">
        <f aca="false">COUNTIFS(Meldungen!$C$2:$C$112,$A11,Meldungen!$O$2:$O$112,"ja")</f>
        <v>2</v>
      </c>
      <c r="M11" s="15" t="n">
        <f aca="false">SUMIFS(Meldungen!$AJ$2:$AJ$112,Meldungen!$C$2:$C$112,$A11)</f>
        <v>2</v>
      </c>
      <c r="N11" s="15" t="n">
        <f aca="false">SUMIFS(Meldungen!$AK$2:$AK$112,Meldungen!$C$2:$C$112,$A11)</f>
        <v>2</v>
      </c>
      <c r="O11" s="22" t="n">
        <f aca="false">G11/12</f>
        <v>0.166666666666667</v>
      </c>
      <c r="P11" s="22" t="n">
        <f aca="false">L11/12</f>
        <v>0.166666666666667</v>
      </c>
      <c r="Q11" s="15" t="str">
        <f aca="false">IF(G11&gt;=6,"ja","nein")</f>
        <v>nein</v>
      </c>
      <c r="R11" s="15" t="str">
        <f aca="false">IF(G11&gt;=9,"ja","nein")</f>
        <v>nein</v>
      </c>
      <c r="S11" s="21" t="n">
        <f aca="false">IFERROR(AVERAGEIFS(Meldungen!$Q$2:$Q$112,Meldungen!$C$2:$C$112,$A11,Meldungen!$N$2:$N$112,"ganz"),"")</f>
        <v>3.5</v>
      </c>
      <c r="T11" s="15" t="n">
        <v>3.5</v>
      </c>
      <c r="U11" s="23" t="n">
        <f aca="false">SUMIFS(Meldungen!$AF$2:$AF$112,Meldungen!$C$2:$C$112,$A11)</f>
        <v>196.933333333333</v>
      </c>
      <c r="V11" s="23" t="n">
        <f aca="false">SUMIFS(Meldungen!$AG$2:$AG$112,Meldungen!$C$2:$C$112,$A11)</f>
        <v>259.116666666667</v>
      </c>
      <c r="W11" s="15" t="n">
        <f aca="false">COUNTIFS(Meldungen!$C$2:$C$112,$A11,Meldungen!$N$2:$N$112,"ganz",Meldungen!$H$2:$H$112,5)</f>
        <v>0</v>
      </c>
      <c r="X11" s="15" t="s">
        <v>265</v>
      </c>
      <c r="Y11" s="15" t="n">
        <f aca="false">COUNTIFS(Meldungen!$C$2:$C$112,$A11,Meldungen!$T$2:$T$112,"ja")</f>
        <v>0</v>
      </c>
      <c r="Z11" s="15" t="n">
        <f aca="false">COUNTIFS(Meldungen!$C$2:$C$112,$A11,Meldungen!$U$2:$U$112,"ja")</f>
        <v>2</v>
      </c>
      <c r="AA11" s="15" t="n">
        <f aca="false">COUNTIFS(Meldungen!$C$2:$C$112,$A11,Meldungen!$S$2:$S$112,"ja")</f>
        <v>1</v>
      </c>
      <c r="AB11" s="15"/>
    </row>
    <row r="12" customFormat="false" ht="15" hidden="false" customHeight="false" outlineLevel="0" collapsed="false">
      <c r="A12" s="6" t="s">
        <v>266</v>
      </c>
      <c r="B12" s="6" t="s">
        <v>70</v>
      </c>
      <c r="C12" s="6" t="s">
        <v>259</v>
      </c>
      <c r="D12" s="6" t="n">
        <v>1</v>
      </c>
      <c r="E12" s="7" t="n">
        <v>91.06</v>
      </c>
      <c r="F12" s="6" t="n">
        <f aca="false">COUNTIF(Meldungen!$C$2:$C$112,$A12)</f>
        <v>0</v>
      </c>
      <c r="G12" s="6" t="n">
        <f aca="false">COUNTIFS(Meldungen!$C$2:$C$112,$A12,Meldungen!$N$2:$N$112,"ganz")</f>
        <v>0</v>
      </c>
      <c r="H12" s="6" t="n">
        <f aca="false">SUMIFS(Meldungen!$AH$2:$AH$112,Meldungen!$C$2:$C$112,$A12)</f>
        <v>0</v>
      </c>
      <c r="I12" s="6" t="n">
        <f aca="false">SUMIFS(Meldungen!$AI$2:$AI$112,Meldungen!$C$2:$C$112,$A12)</f>
        <v>0</v>
      </c>
      <c r="J12" s="6" t="n">
        <f aca="false">COUNTIFS(Meldungen!$C$2:$C$112,$A12,Meldungen!$N$2:$N$112,"teilweise")</f>
        <v>0</v>
      </c>
      <c r="K12" s="6" t="n">
        <f aca="false">COUNTIFS(Meldungen!$C$2:$C$112,$A12,Meldungen!$N$2:$N$112,"gar nicht")</f>
        <v>0</v>
      </c>
      <c r="L12" s="6" t="n">
        <f aca="false">COUNTIFS(Meldungen!$C$2:$C$112,$A12,Meldungen!$O$2:$O$112,"ja")</f>
        <v>0</v>
      </c>
      <c r="M12" s="6" t="n">
        <f aca="false">SUMIFS(Meldungen!$AJ$2:$AJ$112,Meldungen!$C$2:$C$112,$A12)</f>
        <v>0</v>
      </c>
      <c r="N12" s="6" t="n">
        <f aca="false">SUMIFS(Meldungen!$AK$2:$AK$112,Meldungen!$C$2:$C$112,$A12)</f>
        <v>0</v>
      </c>
      <c r="O12" s="19" t="n">
        <f aca="false">G12/12</f>
        <v>0</v>
      </c>
      <c r="P12" s="19" t="n">
        <f aca="false">L12/12</f>
        <v>0</v>
      </c>
      <c r="Q12" s="6" t="str">
        <f aca="false">IF(G12&gt;=6,"ja","nein")</f>
        <v>nein</v>
      </c>
      <c r="R12" s="6" t="str">
        <f aca="false">IF(G12&gt;=9,"ja","nein")</f>
        <v>nein</v>
      </c>
      <c r="S12" s="7" t="str">
        <f aca="false">IFERROR(AVERAGEIFS(Meldungen!$Q$2:$Q$112,Meldungen!$C$2:$C$112,$A12,Meldungen!$N$2:$N$112,"ganz"),"")</f>
        <v/>
      </c>
      <c r="T12" s="6"/>
      <c r="U12" s="20" t="n">
        <f aca="false">SUMIFS(Meldungen!$AF$2:$AF$112,Meldungen!$C$2:$C$112,$A12)</f>
        <v>0</v>
      </c>
      <c r="V12" s="20" t="n">
        <f aca="false">SUMIFS(Meldungen!$AG$2:$AG$112,Meldungen!$C$2:$C$112,$A12)</f>
        <v>0</v>
      </c>
      <c r="W12" s="6" t="n">
        <f aca="false">COUNTIFS(Meldungen!$C$2:$C$112,$A12,Meldungen!$N$2:$N$112,"ganz",Meldungen!$H$2:$H$112,5)</f>
        <v>0</v>
      </c>
      <c r="X12" s="6" t="s">
        <v>251</v>
      </c>
      <c r="Y12" s="6" t="n">
        <f aca="false">COUNTIFS(Meldungen!$C$2:$C$112,$A12,Meldungen!$T$2:$T$112,"ja")</f>
        <v>0</v>
      </c>
      <c r="Z12" s="6" t="n">
        <f aca="false">COUNTIFS(Meldungen!$C$2:$C$112,$A12,Meldungen!$U$2:$U$112,"ja")</f>
        <v>0</v>
      </c>
      <c r="AA12" s="6" t="n">
        <f aca="false">COUNTIFS(Meldungen!$C$2:$C$112,$A12,Meldungen!$S$2:$S$112,"ja")</f>
        <v>0</v>
      </c>
      <c r="AB12" s="6" t="s">
        <v>267</v>
      </c>
    </row>
    <row r="13" customFormat="false" ht="15" hidden="false" customHeight="false" outlineLevel="0" collapsed="false">
      <c r="A13" s="15" t="s">
        <v>164</v>
      </c>
      <c r="B13" s="15" t="s">
        <v>165</v>
      </c>
      <c r="C13" s="15" t="s">
        <v>250</v>
      </c>
      <c r="D13" s="15" t="n">
        <v>1</v>
      </c>
      <c r="E13" s="21" t="n">
        <v>98.19</v>
      </c>
      <c r="F13" s="15" t="n">
        <f aca="false">COUNTIF(Meldungen!$C$2:$C$112,$A13)</f>
        <v>10</v>
      </c>
      <c r="G13" s="15" t="n">
        <f aca="false">COUNTIFS(Meldungen!$C$2:$C$112,$A13,Meldungen!$N$2:$N$112,"ganz")</f>
        <v>8</v>
      </c>
      <c r="H13" s="15" t="n">
        <f aca="false">SUMIFS(Meldungen!$AH$2:$AH$112,Meldungen!$C$2:$C$112,$A13)</f>
        <v>8</v>
      </c>
      <c r="I13" s="15" t="n">
        <f aca="false">SUMIFS(Meldungen!$AI$2:$AI$112,Meldungen!$C$2:$C$112,$A13)</f>
        <v>8</v>
      </c>
      <c r="J13" s="15" t="n">
        <f aca="false">COUNTIFS(Meldungen!$C$2:$C$112,$A13,Meldungen!$N$2:$N$112,"teilweise")</f>
        <v>1</v>
      </c>
      <c r="K13" s="15" t="n">
        <f aca="false">COUNTIFS(Meldungen!$C$2:$C$112,$A13,Meldungen!$N$2:$N$112,"gar nicht")</f>
        <v>1</v>
      </c>
      <c r="L13" s="15" t="n">
        <f aca="false">COUNTIFS(Meldungen!$C$2:$C$112,$A13,Meldungen!$O$2:$O$112,"ja")</f>
        <v>9</v>
      </c>
      <c r="M13" s="15" t="n">
        <f aca="false">SUMIFS(Meldungen!$AJ$2:$AJ$112,Meldungen!$C$2:$C$112,$A13)</f>
        <v>9</v>
      </c>
      <c r="N13" s="15" t="n">
        <f aca="false">SUMIFS(Meldungen!$AK$2:$AK$112,Meldungen!$C$2:$C$112,$A13)</f>
        <v>9</v>
      </c>
      <c r="O13" s="22" t="n">
        <f aca="false">G13/12</f>
        <v>0.666666666666667</v>
      </c>
      <c r="P13" s="22" t="n">
        <f aca="false">L13/12</f>
        <v>0.75</v>
      </c>
      <c r="Q13" s="15" t="str">
        <f aca="false">IF(G13&gt;=6,"ja","nein")</f>
        <v>ja</v>
      </c>
      <c r="R13" s="15" t="str">
        <f aca="false">IF(G13&gt;=9,"ja","nein")</f>
        <v>nein</v>
      </c>
      <c r="S13" s="21" t="n">
        <f aca="false">IFERROR(AVERAGEIFS(Meldungen!$Q$2:$Q$112,Meldungen!$C$2:$C$112,$A13,Meldungen!$N$2:$N$112,"ganz"),"")</f>
        <v>3.125</v>
      </c>
      <c r="T13" s="15" t="n">
        <v>3</v>
      </c>
      <c r="U13" s="23" t="n">
        <f aca="false">SUMIFS(Meldungen!$AF$2:$AF$112,Meldungen!$C$2:$C$112,$A13)</f>
        <v>598.3</v>
      </c>
      <c r="V13" s="23" t="n">
        <f aca="false">SUMIFS(Meldungen!$AG$2:$AG$112,Meldungen!$C$2:$C$112,$A13)</f>
        <v>793.733333333333</v>
      </c>
      <c r="W13" s="15" t="n">
        <f aca="false">COUNTIFS(Meldungen!$C$2:$C$112,$A13,Meldungen!$N$2:$N$112,"ganz",Meldungen!$H$2:$H$112,5)</f>
        <v>1</v>
      </c>
      <c r="X13" s="15" t="s">
        <v>268</v>
      </c>
      <c r="Y13" s="15" t="n">
        <f aca="false">COUNTIFS(Meldungen!$C$2:$C$112,$A13,Meldungen!$T$2:$T$112,"ja")</f>
        <v>1</v>
      </c>
      <c r="Z13" s="15" t="n">
        <f aca="false">COUNTIFS(Meldungen!$C$2:$C$112,$A13,Meldungen!$U$2:$U$112,"ja")</f>
        <v>8</v>
      </c>
      <c r="AA13" s="15" t="n">
        <f aca="false">COUNTIFS(Meldungen!$C$2:$C$112,$A13,Meldungen!$S$2:$S$112,"ja")</f>
        <v>1</v>
      </c>
      <c r="AB13" s="15" t="s">
        <v>269</v>
      </c>
    </row>
    <row r="14" customFormat="false" ht="15" hidden="false" customHeight="false" outlineLevel="0" collapsed="false">
      <c r="A14" s="6" t="s">
        <v>176</v>
      </c>
      <c r="B14" s="6" t="s">
        <v>165</v>
      </c>
      <c r="C14" s="6" t="s">
        <v>250</v>
      </c>
      <c r="D14" s="6" t="n">
        <v>1</v>
      </c>
      <c r="E14" s="7" t="n">
        <v>97.36</v>
      </c>
      <c r="F14" s="6" t="n">
        <f aca="false">COUNTIF(Meldungen!$C$2:$C$112,$A14)</f>
        <v>9</v>
      </c>
      <c r="G14" s="6" t="n">
        <f aca="false">COUNTIFS(Meldungen!$C$2:$C$112,$A14,Meldungen!$N$2:$N$112,"ganz")</f>
        <v>8</v>
      </c>
      <c r="H14" s="6" t="n">
        <f aca="false">SUMIFS(Meldungen!$AH$2:$AH$112,Meldungen!$C$2:$C$112,$A14)</f>
        <v>8</v>
      </c>
      <c r="I14" s="6" t="n">
        <f aca="false">SUMIFS(Meldungen!$AI$2:$AI$112,Meldungen!$C$2:$C$112,$A14)</f>
        <v>7</v>
      </c>
      <c r="J14" s="6" t="n">
        <f aca="false">COUNTIFS(Meldungen!$C$2:$C$112,$A14,Meldungen!$N$2:$N$112,"teilweise")</f>
        <v>0</v>
      </c>
      <c r="K14" s="6" t="n">
        <f aca="false">COUNTIFS(Meldungen!$C$2:$C$112,$A14,Meldungen!$N$2:$N$112,"gar nicht")</f>
        <v>1</v>
      </c>
      <c r="L14" s="6" t="n">
        <f aca="false">COUNTIFS(Meldungen!$C$2:$C$112,$A14,Meldungen!$O$2:$O$112,"ja")</f>
        <v>8</v>
      </c>
      <c r="M14" s="6" t="n">
        <f aca="false">SUMIFS(Meldungen!$AJ$2:$AJ$112,Meldungen!$C$2:$C$112,$A14)</f>
        <v>8</v>
      </c>
      <c r="N14" s="6" t="n">
        <f aca="false">SUMIFS(Meldungen!$AK$2:$AK$112,Meldungen!$C$2:$C$112,$A14)</f>
        <v>7</v>
      </c>
      <c r="O14" s="19" t="n">
        <f aca="false">G14/12</f>
        <v>0.666666666666667</v>
      </c>
      <c r="P14" s="19" t="n">
        <f aca="false">L14/12</f>
        <v>0.666666666666667</v>
      </c>
      <c r="Q14" s="6" t="str">
        <f aca="false">IF(G14&gt;=6,"ja","nein")</f>
        <v>ja</v>
      </c>
      <c r="R14" s="6" t="str">
        <f aca="false">IF(G14&gt;=9,"ja","nein")</f>
        <v>nein</v>
      </c>
      <c r="S14" s="7" t="n">
        <f aca="false">IFERROR(AVERAGEIFS(Meldungen!$Q$2:$Q$112,Meldungen!$C$2:$C$112,$A14,Meldungen!$N$2:$N$112,"ganz"),"")</f>
        <v>3.5</v>
      </c>
      <c r="T14" s="6" t="n">
        <v>3.5</v>
      </c>
      <c r="U14" s="20" t="n">
        <f aca="false">SUMIFS(Meldungen!$AF$2:$AF$112,Meldungen!$C$2:$C$112,$A14)</f>
        <v>553.716666666667</v>
      </c>
      <c r="V14" s="20" t="n">
        <f aca="false">SUMIFS(Meldungen!$AG$2:$AG$112,Meldungen!$C$2:$C$112,$A14)</f>
        <v>731.383333333333</v>
      </c>
      <c r="W14" s="6" t="n">
        <f aca="false">COUNTIFS(Meldungen!$C$2:$C$112,$A14,Meldungen!$N$2:$N$112,"ganz",Meldungen!$H$2:$H$112,5)</f>
        <v>2</v>
      </c>
      <c r="X14" s="6" t="s">
        <v>270</v>
      </c>
      <c r="Y14" s="6" t="n">
        <f aca="false">COUNTIFS(Meldungen!$C$2:$C$112,$A14,Meldungen!$T$2:$T$112,"ja")</f>
        <v>0</v>
      </c>
      <c r="Z14" s="6" t="n">
        <f aca="false">COUNTIFS(Meldungen!$C$2:$C$112,$A14,Meldungen!$U$2:$U$112,"ja")</f>
        <v>3</v>
      </c>
      <c r="AA14" s="6" t="n">
        <f aca="false">COUNTIFS(Meldungen!$C$2:$C$112,$A14,Meldungen!$S$2:$S$112,"ja")</f>
        <v>0</v>
      </c>
      <c r="AB14" s="6" t="s">
        <v>271</v>
      </c>
    </row>
    <row r="15" customFormat="false" ht="15" hidden="false" customHeight="false" outlineLevel="0" collapsed="false">
      <c r="A15" s="15" t="s">
        <v>181</v>
      </c>
      <c r="B15" s="15" t="s">
        <v>165</v>
      </c>
      <c r="C15" s="15" t="s">
        <v>250</v>
      </c>
      <c r="D15" s="15" t="n">
        <v>1</v>
      </c>
      <c r="E15" s="21" t="n">
        <v>97.08</v>
      </c>
      <c r="F15" s="15" t="n">
        <f aca="false">COUNTIF(Meldungen!$C$2:$C$112,$A15)</f>
        <v>12</v>
      </c>
      <c r="G15" s="15" t="n">
        <f aca="false">COUNTIFS(Meldungen!$C$2:$C$112,$A15,Meldungen!$N$2:$N$112,"ganz")</f>
        <v>9</v>
      </c>
      <c r="H15" s="15" t="n">
        <f aca="false">SUMIFS(Meldungen!$AH$2:$AH$112,Meldungen!$C$2:$C$112,$A15)</f>
        <v>9</v>
      </c>
      <c r="I15" s="15" t="n">
        <f aca="false">SUMIFS(Meldungen!$AI$2:$AI$112,Meldungen!$C$2:$C$112,$A15)</f>
        <v>5</v>
      </c>
      <c r="J15" s="15" t="n">
        <f aca="false">COUNTIFS(Meldungen!$C$2:$C$112,$A15,Meldungen!$N$2:$N$112,"teilweise")</f>
        <v>0</v>
      </c>
      <c r="K15" s="15" t="n">
        <f aca="false">COUNTIFS(Meldungen!$C$2:$C$112,$A15,Meldungen!$N$2:$N$112,"gar nicht")</f>
        <v>3</v>
      </c>
      <c r="L15" s="15" t="n">
        <f aca="false">COUNTIFS(Meldungen!$C$2:$C$112,$A15,Meldungen!$O$2:$O$112,"ja")</f>
        <v>9</v>
      </c>
      <c r="M15" s="15" t="n">
        <f aca="false">SUMIFS(Meldungen!$AJ$2:$AJ$112,Meldungen!$C$2:$C$112,$A15)</f>
        <v>9</v>
      </c>
      <c r="N15" s="15" t="n">
        <f aca="false">SUMIFS(Meldungen!$AK$2:$AK$112,Meldungen!$C$2:$C$112,$A15)</f>
        <v>5</v>
      </c>
      <c r="O15" s="22" t="n">
        <f aca="false">G15/12</f>
        <v>0.75</v>
      </c>
      <c r="P15" s="22" t="n">
        <f aca="false">L15/12</f>
        <v>0.75</v>
      </c>
      <c r="Q15" s="15" t="str">
        <f aca="false">IF(G15&gt;=6,"ja","nein")</f>
        <v>ja</v>
      </c>
      <c r="R15" s="15" t="str">
        <f aca="false">IF(G15&gt;=9,"ja","nein")</f>
        <v>ja</v>
      </c>
      <c r="S15" s="21" t="n">
        <f aca="false">IFERROR(AVERAGEIFS(Meldungen!$Q$2:$Q$112,Meldungen!$C$2:$C$112,$A15,Meldungen!$N$2:$N$112,"ganz"),"")</f>
        <v>3.44444444444444</v>
      </c>
      <c r="T15" s="15" t="n">
        <v>4</v>
      </c>
      <c r="U15" s="23" t="n">
        <f aca="false">SUMIFS(Meldungen!$AF$2:$AF$112,Meldungen!$C$2:$C$112,$A15)</f>
        <v>620.333333333333</v>
      </c>
      <c r="V15" s="23" t="n">
        <f aca="false">SUMIFS(Meldungen!$AG$2:$AG$112,Meldungen!$C$2:$C$112,$A15)</f>
        <v>824.65</v>
      </c>
      <c r="W15" s="15" t="n">
        <f aca="false">COUNTIFS(Meldungen!$C$2:$C$112,$A15,Meldungen!$N$2:$N$112,"ganz",Meldungen!$H$2:$H$112,5)</f>
        <v>2</v>
      </c>
      <c r="X15" s="15" t="s">
        <v>272</v>
      </c>
      <c r="Y15" s="15" t="n">
        <f aca="false">COUNTIFS(Meldungen!$C$2:$C$112,$A15,Meldungen!$T$2:$T$112,"ja")</f>
        <v>5</v>
      </c>
      <c r="Z15" s="15" t="n">
        <f aca="false">COUNTIFS(Meldungen!$C$2:$C$112,$A15,Meldungen!$U$2:$U$112,"ja")</f>
        <v>7</v>
      </c>
      <c r="AA15" s="15" t="n">
        <f aca="false">COUNTIFS(Meldungen!$C$2:$C$112,$A15,Meldungen!$S$2:$S$112,"ja")</f>
        <v>1</v>
      </c>
      <c r="AB15" s="15" t="s">
        <v>273</v>
      </c>
    </row>
    <row r="16" customFormat="false" ht="15" hidden="false" customHeight="false" outlineLevel="0" collapsed="false">
      <c r="A16" s="6" t="s">
        <v>274</v>
      </c>
      <c r="B16" s="6" t="s">
        <v>165</v>
      </c>
      <c r="C16" s="6" t="s">
        <v>250</v>
      </c>
      <c r="D16" s="6" t="n">
        <v>1</v>
      </c>
      <c r="E16" s="7" t="n">
        <v>95.14</v>
      </c>
      <c r="F16" s="6" t="n">
        <f aca="false">COUNTIF(Meldungen!$C$2:$C$112,$A16)</f>
        <v>0</v>
      </c>
      <c r="G16" s="6" t="n">
        <f aca="false">COUNTIFS(Meldungen!$C$2:$C$112,$A16,Meldungen!$N$2:$N$112,"ganz")</f>
        <v>0</v>
      </c>
      <c r="H16" s="6" t="n">
        <f aca="false">SUMIFS(Meldungen!$AH$2:$AH$112,Meldungen!$C$2:$C$112,$A16)</f>
        <v>0</v>
      </c>
      <c r="I16" s="6" t="n">
        <f aca="false">SUMIFS(Meldungen!$AI$2:$AI$112,Meldungen!$C$2:$C$112,$A16)</f>
        <v>0</v>
      </c>
      <c r="J16" s="6" t="n">
        <f aca="false">COUNTIFS(Meldungen!$C$2:$C$112,$A16,Meldungen!$N$2:$N$112,"teilweise")</f>
        <v>0</v>
      </c>
      <c r="K16" s="6" t="n">
        <f aca="false">COUNTIFS(Meldungen!$C$2:$C$112,$A16,Meldungen!$N$2:$N$112,"gar nicht")</f>
        <v>0</v>
      </c>
      <c r="L16" s="6" t="n">
        <f aca="false">COUNTIFS(Meldungen!$C$2:$C$112,$A16,Meldungen!$O$2:$O$112,"ja")</f>
        <v>0</v>
      </c>
      <c r="M16" s="6" t="n">
        <f aca="false">SUMIFS(Meldungen!$AJ$2:$AJ$112,Meldungen!$C$2:$C$112,$A16)</f>
        <v>0</v>
      </c>
      <c r="N16" s="6" t="n">
        <f aca="false">SUMIFS(Meldungen!$AK$2:$AK$112,Meldungen!$C$2:$C$112,$A16)</f>
        <v>0</v>
      </c>
      <c r="O16" s="19" t="n">
        <f aca="false">G16/12</f>
        <v>0</v>
      </c>
      <c r="P16" s="19" t="n">
        <f aca="false">L16/12</f>
        <v>0</v>
      </c>
      <c r="Q16" s="6" t="str">
        <f aca="false">IF(G16&gt;=6,"ja","nein")</f>
        <v>nein</v>
      </c>
      <c r="R16" s="6" t="str">
        <f aca="false">IF(G16&gt;=9,"ja","nein")</f>
        <v>nein</v>
      </c>
      <c r="S16" s="7" t="str">
        <f aca="false">IFERROR(AVERAGEIFS(Meldungen!$Q$2:$Q$112,Meldungen!$C$2:$C$112,$A16,Meldungen!$N$2:$N$112,"ganz"),"")</f>
        <v/>
      </c>
      <c r="T16" s="6"/>
      <c r="U16" s="20" t="n">
        <f aca="false">SUMIFS(Meldungen!$AF$2:$AF$112,Meldungen!$C$2:$C$112,$A16)</f>
        <v>0</v>
      </c>
      <c r="V16" s="20" t="n">
        <f aca="false">SUMIFS(Meldungen!$AG$2:$AG$112,Meldungen!$C$2:$C$112,$A16)</f>
        <v>0</v>
      </c>
      <c r="W16" s="6" t="n">
        <f aca="false">COUNTIFS(Meldungen!$C$2:$C$112,$A16,Meldungen!$N$2:$N$112,"ganz",Meldungen!$H$2:$H$112,5)</f>
        <v>0</v>
      </c>
      <c r="X16" s="6" t="s">
        <v>251</v>
      </c>
      <c r="Y16" s="6" t="n">
        <f aca="false">COUNTIFS(Meldungen!$C$2:$C$112,$A16,Meldungen!$T$2:$T$112,"ja")</f>
        <v>0</v>
      </c>
      <c r="Z16" s="6" t="n">
        <f aca="false">COUNTIFS(Meldungen!$C$2:$C$112,$A16,Meldungen!$U$2:$U$112,"ja")</f>
        <v>0</v>
      </c>
      <c r="AA16" s="6" t="n">
        <f aca="false">COUNTIFS(Meldungen!$C$2:$C$112,$A16,Meldungen!$S$2:$S$112,"ja")</f>
        <v>0</v>
      </c>
      <c r="AB16" s="6" t="s">
        <v>275</v>
      </c>
    </row>
    <row r="17" customFormat="false" ht="15" hidden="false" customHeight="false" outlineLevel="0" collapsed="false">
      <c r="A17" s="15" t="s">
        <v>111</v>
      </c>
      <c r="B17" s="15" t="s">
        <v>165</v>
      </c>
      <c r="C17" s="15" t="s">
        <v>250</v>
      </c>
      <c r="D17" s="15" t="n">
        <v>1</v>
      </c>
      <c r="E17" s="21" t="n">
        <v>96.15</v>
      </c>
      <c r="F17" s="15" t="n">
        <f aca="false">COUNTIF(Meldungen!$C$2:$C$112,$A17)</f>
        <v>1</v>
      </c>
      <c r="G17" s="15" t="n">
        <f aca="false">COUNTIFS(Meldungen!$C$2:$C$112,$A17,Meldungen!$N$2:$N$112,"ganz")</f>
        <v>0</v>
      </c>
      <c r="H17" s="15" t="n">
        <f aca="false">SUMIFS(Meldungen!$AH$2:$AH$112,Meldungen!$C$2:$C$112,$A17)</f>
        <v>0</v>
      </c>
      <c r="I17" s="15" t="n">
        <f aca="false">SUMIFS(Meldungen!$AI$2:$AI$112,Meldungen!$C$2:$C$112,$A17)</f>
        <v>0</v>
      </c>
      <c r="J17" s="15" t="n">
        <f aca="false">COUNTIFS(Meldungen!$C$2:$C$112,$A17,Meldungen!$N$2:$N$112,"teilweise")</f>
        <v>0</v>
      </c>
      <c r="K17" s="15" t="n">
        <f aca="false">COUNTIFS(Meldungen!$C$2:$C$112,$A17,Meldungen!$N$2:$N$112,"gar nicht")</f>
        <v>1</v>
      </c>
      <c r="L17" s="15" t="n">
        <f aca="false">COUNTIFS(Meldungen!$C$2:$C$112,$A17,Meldungen!$O$2:$O$112,"ja")</f>
        <v>0</v>
      </c>
      <c r="M17" s="15" t="n">
        <f aca="false">SUMIFS(Meldungen!$AJ$2:$AJ$112,Meldungen!$C$2:$C$112,$A17)</f>
        <v>0</v>
      </c>
      <c r="N17" s="15" t="n">
        <f aca="false">SUMIFS(Meldungen!$AK$2:$AK$112,Meldungen!$C$2:$C$112,$A17)</f>
        <v>0</v>
      </c>
      <c r="O17" s="22" t="n">
        <f aca="false">G17/12</f>
        <v>0</v>
      </c>
      <c r="P17" s="22" t="n">
        <f aca="false">L17/12</f>
        <v>0</v>
      </c>
      <c r="Q17" s="15" t="str">
        <f aca="false">IF(G17&gt;=6,"ja","nein")</f>
        <v>nein</v>
      </c>
      <c r="R17" s="15" t="str">
        <f aca="false">IF(G17&gt;=9,"ja","nein")</f>
        <v>nein</v>
      </c>
      <c r="S17" s="21" t="str">
        <f aca="false">IFERROR(AVERAGEIFS(Meldungen!$Q$2:$Q$112,Meldungen!$C$2:$C$112,$A17,Meldungen!$N$2:$N$112,"ganz"),"")</f>
        <v/>
      </c>
      <c r="T17" s="15"/>
      <c r="U17" s="23" t="n">
        <f aca="false">SUMIFS(Meldungen!$AF$2:$AF$112,Meldungen!$C$2:$C$112,$A17)</f>
        <v>0</v>
      </c>
      <c r="V17" s="23" t="n">
        <f aca="false">SUMIFS(Meldungen!$AG$2:$AG$112,Meldungen!$C$2:$C$112,$A17)</f>
        <v>0</v>
      </c>
      <c r="W17" s="15" t="n">
        <f aca="false">COUNTIFS(Meldungen!$C$2:$C$112,$A17,Meldungen!$N$2:$N$112,"ganz",Meldungen!$H$2:$H$112,5)</f>
        <v>0</v>
      </c>
      <c r="X17" s="15" t="s">
        <v>251</v>
      </c>
      <c r="Y17" s="15" t="n">
        <f aca="false">COUNTIFS(Meldungen!$C$2:$C$112,$A17,Meldungen!$T$2:$T$112,"ja")</f>
        <v>0</v>
      </c>
      <c r="Z17" s="15" t="n">
        <f aca="false">COUNTIFS(Meldungen!$C$2:$C$112,$A17,Meldungen!$U$2:$U$112,"ja")</f>
        <v>1</v>
      </c>
      <c r="AA17" s="15" t="n">
        <f aca="false">COUNTIFS(Meldungen!$C$2:$C$112,$A17,Meldungen!$S$2:$S$112,"ja")</f>
        <v>0</v>
      </c>
      <c r="AB17" s="15" t="s">
        <v>276</v>
      </c>
    </row>
    <row r="18" customFormat="false" ht="15" hidden="false" customHeight="false" outlineLevel="0" collapsed="false">
      <c r="A18" s="6" t="s">
        <v>199</v>
      </c>
      <c r="B18" s="6" t="s">
        <v>165</v>
      </c>
      <c r="C18" s="6" t="s">
        <v>250</v>
      </c>
      <c r="D18" s="6" t="n">
        <v>1</v>
      </c>
      <c r="E18" s="7" t="n">
        <v>96.3</v>
      </c>
      <c r="F18" s="6" t="n">
        <f aca="false">COUNTIF(Meldungen!$C$2:$C$112,$A18)</f>
        <v>11</v>
      </c>
      <c r="G18" s="6" t="n">
        <f aca="false">COUNTIFS(Meldungen!$C$2:$C$112,$A18,Meldungen!$N$2:$N$112,"ganz")</f>
        <v>7</v>
      </c>
      <c r="H18" s="6" t="n">
        <f aca="false">SUMIFS(Meldungen!$AH$2:$AH$112,Meldungen!$C$2:$C$112,$A18)</f>
        <v>7</v>
      </c>
      <c r="I18" s="6" t="n">
        <f aca="false">SUMIFS(Meldungen!$AI$2:$AI$112,Meldungen!$C$2:$C$112,$A18)</f>
        <v>7</v>
      </c>
      <c r="J18" s="6" t="n">
        <f aca="false">COUNTIFS(Meldungen!$C$2:$C$112,$A18,Meldungen!$N$2:$N$112,"teilweise")</f>
        <v>1</v>
      </c>
      <c r="K18" s="6" t="n">
        <f aca="false">COUNTIFS(Meldungen!$C$2:$C$112,$A18,Meldungen!$N$2:$N$112,"gar nicht")</f>
        <v>3</v>
      </c>
      <c r="L18" s="6" t="n">
        <f aca="false">COUNTIFS(Meldungen!$C$2:$C$112,$A18,Meldungen!$O$2:$O$112,"ja")</f>
        <v>8</v>
      </c>
      <c r="M18" s="6" t="n">
        <f aca="false">SUMIFS(Meldungen!$AJ$2:$AJ$112,Meldungen!$C$2:$C$112,$A18)</f>
        <v>8</v>
      </c>
      <c r="N18" s="6" t="n">
        <f aca="false">SUMIFS(Meldungen!$AK$2:$AK$112,Meldungen!$C$2:$C$112,$A18)</f>
        <v>8</v>
      </c>
      <c r="O18" s="19" t="n">
        <f aca="false">G18/12</f>
        <v>0.583333333333333</v>
      </c>
      <c r="P18" s="19" t="n">
        <f aca="false">L18/12</f>
        <v>0.666666666666667</v>
      </c>
      <c r="Q18" s="6" t="str">
        <f aca="false">IF(G18&gt;=6,"ja","nein")</f>
        <v>ja</v>
      </c>
      <c r="R18" s="6" t="str">
        <f aca="false">IF(G18&gt;=9,"ja","nein")</f>
        <v>nein</v>
      </c>
      <c r="S18" s="7" t="n">
        <f aca="false">IFERROR(AVERAGEIFS(Meldungen!$Q$2:$Q$112,Meldungen!$C$2:$C$112,$A18,Meldungen!$N$2:$N$112,"ganz"),"")</f>
        <v>2.57142857142857</v>
      </c>
      <c r="T18" s="6" t="n">
        <v>2</v>
      </c>
      <c r="U18" s="20" t="n">
        <f aca="false">SUMIFS(Meldungen!$AF$2:$AF$112,Meldungen!$C$2:$C$112,$A18)</f>
        <v>367.35</v>
      </c>
      <c r="V18" s="20" t="n">
        <f aca="false">SUMIFS(Meldungen!$AG$2:$AG$112,Meldungen!$C$2:$C$112,$A18)</f>
        <v>491.716666666667</v>
      </c>
      <c r="W18" s="6" t="n">
        <f aca="false">COUNTIFS(Meldungen!$C$2:$C$112,$A18,Meldungen!$N$2:$N$112,"ganz",Meldungen!$H$2:$H$112,5)</f>
        <v>1</v>
      </c>
      <c r="X18" s="6" t="s">
        <v>277</v>
      </c>
      <c r="Y18" s="6" t="n">
        <f aca="false">COUNTIFS(Meldungen!$C$2:$C$112,$A18,Meldungen!$T$2:$T$112,"ja")</f>
        <v>6</v>
      </c>
      <c r="Z18" s="6" t="n">
        <f aca="false">COUNTIFS(Meldungen!$C$2:$C$112,$A18,Meldungen!$U$2:$U$112,"ja")</f>
        <v>3</v>
      </c>
      <c r="AA18" s="6" t="n">
        <f aca="false">COUNTIFS(Meldungen!$C$2:$C$112,$A18,Meldungen!$S$2:$S$112,"ja")</f>
        <v>0</v>
      </c>
      <c r="AB18" s="6" t="s">
        <v>278</v>
      </c>
    </row>
    <row r="19" customFormat="false" ht="15" hidden="false" customHeight="false" outlineLevel="0" collapsed="false">
      <c r="A19" s="15" t="s">
        <v>215</v>
      </c>
      <c r="B19" s="15" t="s">
        <v>165</v>
      </c>
      <c r="C19" s="15" t="s">
        <v>250</v>
      </c>
      <c r="D19" s="15" t="n">
        <v>1</v>
      </c>
      <c r="E19" s="21" t="n">
        <v>94.39</v>
      </c>
      <c r="F19" s="15" t="n">
        <f aca="false">COUNTIF(Meldungen!$C$2:$C$112,$A19)</f>
        <v>6</v>
      </c>
      <c r="G19" s="15" t="n">
        <f aca="false">COUNTIFS(Meldungen!$C$2:$C$112,$A19,Meldungen!$N$2:$N$112,"ganz")</f>
        <v>4</v>
      </c>
      <c r="H19" s="15" t="n">
        <f aca="false">SUMIFS(Meldungen!$AH$2:$AH$112,Meldungen!$C$2:$C$112,$A19)</f>
        <v>4</v>
      </c>
      <c r="I19" s="15" t="n">
        <f aca="false">SUMIFS(Meldungen!$AI$2:$AI$112,Meldungen!$C$2:$C$112,$A19)</f>
        <v>4</v>
      </c>
      <c r="J19" s="15" t="n">
        <f aca="false">COUNTIFS(Meldungen!$C$2:$C$112,$A19,Meldungen!$N$2:$N$112,"teilweise")</f>
        <v>1</v>
      </c>
      <c r="K19" s="15" t="n">
        <f aca="false">COUNTIFS(Meldungen!$C$2:$C$112,$A19,Meldungen!$N$2:$N$112,"gar nicht")</f>
        <v>1</v>
      </c>
      <c r="L19" s="15" t="n">
        <f aca="false">COUNTIFS(Meldungen!$C$2:$C$112,$A19,Meldungen!$O$2:$O$112,"ja")</f>
        <v>5</v>
      </c>
      <c r="M19" s="15" t="n">
        <f aca="false">SUMIFS(Meldungen!$AJ$2:$AJ$112,Meldungen!$C$2:$C$112,$A19)</f>
        <v>5</v>
      </c>
      <c r="N19" s="15" t="n">
        <f aca="false">SUMIFS(Meldungen!$AK$2:$AK$112,Meldungen!$C$2:$C$112,$A19)</f>
        <v>5</v>
      </c>
      <c r="O19" s="22" t="n">
        <f aca="false">G19/12</f>
        <v>0.333333333333333</v>
      </c>
      <c r="P19" s="22" t="n">
        <f aca="false">L19/12</f>
        <v>0.416666666666667</v>
      </c>
      <c r="Q19" s="15" t="str">
        <f aca="false">IF(G19&gt;=6,"ja","nein")</f>
        <v>nein</v>
      </c>
      <c r="R19" s="15" t="str">
        <f aca="false">IF(G19&gt;=9,"ja","nein")</f>
        <v>nein</v>
      </c>
      <c r="S19" s="21" t="n">
        <f aca="false">IFERROR(AVERAGEIFS(Meldungen!$Q$2:$Q$112,Meldungen!$C$2:$C$112,$A19,Meldungen!$N$2:$N$112,"ganz"),"")</f>
        <v>2.75</v>
      </c>
      <c r="T19" s="15" t="n">
        <v>2.5</v>
      </c>
      <c r="U19" s="23" t="n">
        <f aca="false">SUMIFS(Meldungen!$AF$2:$AF$112,Meldungen!$C$2:$C$112,$A19)</f>
        <v>294.066666666667</v>
      </c>
      <c r="V19" s="23" t="n">
        <f aca="false">SUMIFS(Meldungen!$AG$2:$AG$112,Meldungen!$C$2:$C$112,$A19)</f>
        <v>391.783333333333</v>
      </c>
      <c r="W19" s="15" t="n">
        <f aca="false">COUNTIFS(Meldungen!$C$2:$C$112,$A19,Meldungen!$N$2:$N$112,"ganz",Meldungen!$H$2:$H$112,5)</f>
        <v>0</v>
      </c>
      <c r="X19" s="15" t="s">
        <v>279</v>
      </c>
      <c r="Y19" s="15" t="n">
        <f aca="false">COUNTIFS(Meldungen!$C$2:$C$112,$A19,Meldungen!$T$2:$T$112,"ja")</f>
        <v>2</v>
      </c>
      <c r="Z19" s="15" t="n">
        <f aca="false">COUNTIFS(Meldungen!$C$2:$C$112,$A19,Meldungen!$U$2:$U$112,"ja")</f>
        <v>1</v>
      </c>
      <c r="AA19" s="15" t="n">
        <f aca="false">COUNTIFS(Meldungen!$C$2:$C$112,$A19,Meldungen!$S$2:$S$112,"ja")</f>
        <v>1</v>
      </c>
      <c r="AB19" s="15" t="s">
        <v>280</v>
      </c>
    </row>
    <row r="20" customFormat="false" ht="15" hidden="false" customHeight="false" outlineLevel="0" collapsed="false">
      <c r="A20" s="24" t="s">
        <v>281</v>
      </c>
      <c r="F20" s="25" t="n">
        <f aca="false">SUM(F2:F19)</f>
        <v>111</v>
      </c>
      <c r="G20" s="25" t="n">
        <f aca="false">SUM(G2:G19)</f>
        <v>92</v>
      </c>
      <c r="H20" s="25" t="n">
        <f aca="false">SUM(H2:H19)</f>
        <v>90</v>
      </c>
      <c r="I20" s="25" t="n">
        <f aca="false">SUM(I2:I19)</f>
        <v>86</v>
      </c>
      <c r="J20" s="25" t="n">
        <f aca="false">SUM(J2:J19)</f>
        <v>6</v>
      </c>
      <c r="K20" s="25" t="n">
        <f aca="false">SUM(K2:K19)</f>
        <v>13</v>
      </c>
      <c r="L20" s="25" t="n">
        <f aca="false">SUM(L2:L19)</f>
        <v>98</v>
      </c>
      <c r="M20" s="25" t="n">
        <f aca="false">SUM(M2:M19)</f>
        <v>96</v>
      </c>
      <c r="N20" s="25" t="n">
        <f aca="false">SUM(N2:N19)</f>
        <v>91</v>
      </c>
      <c r="O20" s="26" t="n">
        <f aca="false">SUM(G2:G19)/216</f>
        <v>0.425925925925926</v>
      </c>
      <c r="P20" s="26" t="n">
        <f aca="false">SUM(L2:L19)/216</f>
        <v>0.453703703703704</v>
      </c>
      <c r="Q20" s="25" t="n">
        <f aca="false">COUNTIF(Q2:Q19,"ja")</f>
        <v>10</v>
      </c>
      <c r="R20" s="25" t="n">
        <f aca="false">COUNTIF(R2:R19,"ja")</f>
        <v>3</v>
      </c>
      <c r="U20" s="25" t="n">
        <f aca="false">SUM(U2:U19)</f>
        <v>5916.65</v>
      </c>
      <c r="V20" s="25" t="n">
        <f aca="false">SUM(V2:V19)</f>
        <v>7853.21666666667</v>
      </c>
      <c r="W20" s="25" t="n">
        <f aca="false">SUM(W2:W19)</f>
        <v>15</v>
      </c>
      <c r="Y20" s="25" t="n">
        <f aca="false">SUM(Y2:Y19)</f>
        <v>25</v>
      </c>
      <c r="Z20" s="25" t="n">
        <f aca="false">SUM(Z2:Z19)</f>
        <v>60</v>
      </c>
      <c r="AA20" s="25" t="n">
        <f aca="false">SUM(AA2:AA19)</f>
        <v>12</v>
      </c>
      <c r="AB20" s="27" t="s">
        <v>282</v>
      </c>
    </row>
    <row r="22" customFormat="false" ht="15" hidden="false" customHeight="false" outlineLevel="0" collapsed="false">
      <c r="A22" s="27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2026-09-12T14:19:18Z</dcterms:created>
  <dc:creator>openpyxl</dc:creator>
  <dc:description/>
  <dc:language>en-US</dc:language>
  <cp:lastModifiedBy/>
  <dcterms:modified xsi:type="dcterms:W3CDTF">2026-09-12T14:19:19Z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