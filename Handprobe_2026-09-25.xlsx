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Handprobe" sheetId="2" state="visible" r:id="rId2"/>
    <sheet xmlns:r="http://schemas.openxmlformats.org/officeDocument/2006/relationships" name="Versuchsdaten" sheetId="3" state="visible" r:id="rId3"/>
    <sheet xmlns:r="http://schemas.openxmlformats.org/officeDocument/2006/relationships" name="Personendaten" sheetId="4" state="visible" r:id="rId4"/>
    <sheet xmlns:r="http://schemas.openxmlformats.org/officeDocument/2006/relationships" name="Fragebogen_A" sheetId="5" state="visible" r:id="rId5"/>
    <sheet xmlns:r="http://schemas.openxmlformats.org/officeDocument/2006/relationships" name="Koeffizienten_KR" sheetId="6" state="visible" r:id="rId6"/>
    <sheet xmlns:r="http://schemas.openxmlformats.org/officeDocument/2006/relationships" name="Vokabular" sheetId="7" state="visible" r:id="rId7"/>
    <sheet xmlns:r="http://schemas.openxmlformats.org/officeDocument/2006/relationships" name="Zuordnung" sheetId="8" state="visible" r:id="rId8"/>
    <sheet xmlns:r="http://schemas.openxmlformats.org/officeDocument/2006/relationships" name="Analysedaten" sheetId="9" state="visible" r:id="rId9"/>
    <sheet xmlns:r="http://schemas.openxmlformats.org/officeDocument/2006/relationships" name="Formelwerte" sheetId="10" state="visible" r:id="rId10"/>
    <sheet xmlns:r="http://schemas.openxmlformats.org/officeDocument/2006/relationships" name="TE_Z30_prae" sheetId="11" state="visible" r:id="rId11"/>
    <sheet xmlns:r="http://schemas.openxmlformats.org/officeDocument/2006/relationships" name="ANCOVA_Z3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808080"/>
      <sz val="8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EEF3F9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0" borderId="0" pivotButton="0" quotePrefix="0" xfId="0"/>
    <xf numFmtId="0" fontId="2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4" fillId="4" borderId="1" pivotButton="0" quotePrefix="0" xfId="0"/>
    <xf numFmtId="0" fontId="5" fillId="0" borderId="0" applyAlignment="1" pivotButton="0" quotePrefix="0" xfId="0">
      <alignment vertical="top" wrapText="1"/>
    </xf>
    <xf numFmtId="0" fontId="3" fillId="2" borderId="1" pivotButton="0" quotePrefix="0" xfId="0"/>
    <xf numFmtId="0" fontId="3" fillId="3" borderId="1" pivotButton="0" quotePrefix="0" xfId="0"/>
    <xf numFmtId="0" fontId="4" fillId="3" borderId="0" pivotButton="0" quotePrefix="0" xfId="0"/>
    <xf numFmtId="0" fontId="5" fillId="0" borderId="0" pivotButton="0" quotePrefix="0" xfId="0"/>
    <xf numFmtId="0" fontId="3" fillId="0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Handprobenblatt Phase 6.3 als Excel-Formelprobe — Auswertungsverfahren 2026-09-24, Schritt 6.3</t>
        </is>
      </c>
    </row>
    <row r="2">
      <c r="A2" s="2" t="inlineStr">
        <is>
          <t>Bachelorarbeit U15-Plyometrie · Datenstand 2026-09-24 · berichtete Rechnung: Blindrechnung in R vom 25.09.2026 · Gegenprobe: Python-Kette (Gegenprobe_Python_2026-09-25.py) · Erzeuger dieses Blatts: Handprobe_2026-09-25.py, Fassung 2</t>
        </is>
      </c>
    </row>
    <row r="3">
      <c r="A3" s="2" t="inlineStr"/>
    </row>
    <row r="4">
      <c r="A4" s="3" t="inlineStr">
        <is>
          <t>Zweck</t>
        </is>
      </c>
    </row>
    <row r="5">
      <c r="A5" s="2" t="inlineStr">
        <is>
          <t>Das Auswertungsverfahren sieht in 6.3 vor, dass der Verfasser vorab bestimmte Kennwerte in Excel nachrechnet. Verfasserentscheidung vom 25.09.2026 (Register R12): Die Handprobe wird als Formelprobe geführt. Jede gelbe Zelle „Handwert“ im Blatt „Handprobe“ enthält eine Excel-Formel, die den Kennwert allein aus den Eingangsblättern nach den Regeln der Spezifikation berechnet. Excel ist damit eine dritte, von R und Python unabhängige Implementierung der 34 Kennwerte. Die Formeln sind offen lesbar und in Excel Schritt für Schritt nachvollziehbar.</t>
        </is>
      </c>
    </row>
    <row r="6">
      <c r="A6" s="2" t="inlineStr"/>
    </row>
    <row r="7">
      <c r="A7" s="3" t="inlineStr">
        <is>
          <t>Vorgehen für den Verfasser</t>
        </is>
      </c>
    </row>
    <row r="8">
      <c r="A8" s="2" t="inlineStr">
        <is>
          <t>1. Datei in Excel öffnen. Excel berechnet alle Formeln beim Öffnen. Die Spalte „Urteil“ im Blatt „Handprobe“ muss bei allen 34 Kennwerten „stimmt“ zeigen, ebenso die Zusatzprüfungen unter der Tabelle.</t>
        </is>
      </c>
    </row>
    <row r="9">
      <c r="A9" s="2" t="inlineStr">
        <is>
          <t>2. Formeln stichprobenartig lesen (Zelle anklicken): Sie greifen nur auf die Blätter Versuchsdaten, Personendaten, Fragebogen_A, Koeffizienten_KR, Vokabular und Zuordnung zu, teils über die Rechenblätter Formelwerte, TE_Z30_prae und ANCOVA_Z30. Kein Handwert liest einen Wert aus der Ergebnisdatei. Einzige Ausnahme nach dem vorab festgelegten Rechenweg von Kennwert Nr. 34: p und b1 der Zielgrößen CM und SBJ stehen als Eingang aus der Ergebnisdatei in der kleinen Tabelle rechts neben den Kennwerten.</t>
        </is>
      </c>
    </row>
    <row r="10">
      <c r="A10" s="2" t="inlineStr">
        <is>
          <t>3. Blatt „Formelwerte“: Die per Formel abgeleiteten Zwischengrößen je Spieler (Bestwerte, 505-Seitenmittel, %PAH, Setmitgliedschaft, Adhärenz) stehen neben dem Vergleich mit der berichteten Rechnung (Blatt „Analysedaten“, grüne Werte). Die Zahl der abweichenden Zellen steht in der Zusatzprüfung Z2.</t>
        </is>
      </c>
    </row>
    <row r="11">
      <c r="A11" s="2" t="inlineStr">
        <is>
          <t>4. Ergebnis mit Datum in Zelle B4 des Blatts „Handprobe“ eintragen („bestanden“ oder Liste der abweichenden Nummern), Datei sichern. Danach Freigabe F2.</t>
        </is>
      </c>
    </row>
    <row r="12">
      <c r="A12" s="2" t="inlineStr"/>
    </row>
    <row r="13">
      <c r="A13" s="3" t="inlineStr">
        <is>
          <t>Aufbau der Rechenblätter</t>
        </is>
      </c>
    </row>
    <row r="14">
      <c r="A14" s="2" t="inlineStr">
        <is>
          <t>Versuchsdaten: Spalten A bis H unverändert aus dem Datenstand. Hilfsspalten (grün hinterlegt, Formeln): I Gruppe des Spielers · J gültig_roh (S02 Regel 1: Wert vorhanden, ungültig leer) · K, L, M Teilzeiten 5, 10, 30 m des Laufs (gleiche Versuchsnummer, nur gültig_roh) · N auslösegestört (S02 Regel 2: ein Abschnitt mit Δt ≤ 0 s oder v &gt; 10,0 m/s) · O gültig (S02 Regel 3) · P Status des Spielers · Q Ausfallkategorie (S03: NANG vor AUSL vor Vokabular).</t>
        </is>
      </c>
    </row>
    <row r="15">
      <c r="A15" s="2" t="inlineStr">
        <is>
          <t>Fragebogen_A: Spalten A bis K unverändert. Hilfsspalten: L Listenlabel aus H010 mit den Fallkorrekturen (S06 Regel 1 und 2) · M Analysecode aus der Zuordnung (S06 Regel 3).</t>
        </is>
      </c>
    </row>
    <row r="16">
      <c r="A16" s="2" t="inlineStr">
        <is>
          <t>Formelwerte: je Spieler S_in, W_lb, MP_in, a_lo, w, interpolierte Koeffizienten, PAS und %PAH (S05), Bestwerte 30 m, 505 je Seite und Seitenmittel, Standweitsprung, prä und post (S02, S04), ITT-Mitgliedschaft für 30 m, 505-Seitenmittel und Standweitsprung (S08 Regel 1), Adhärenz GANZ (S07 Regel 1 und 5), Rang im ITT-Set 30 m, rechts der Vergleich mit dem Blatt Analysedaten.</t>
        </is>
      </c>
    </row>
    <row r="17">
      <c r="A17" s="2" t="inlineStr">
        <is>
          <t>TE_Z30_prae: gültige Versuche 30 m prä je Spieler (Formeln), k, Quadratsumme der Abweichungen vom Spielermittel, k − 1 (S10 Regel 1).</t>
        </is>
      </c>
    </row>
    <row r="18">
      <c r="A18" s="2" t="inlineStr">
        <is>
          <t>ANCOVA_Z30: die Spieler des ITT-Sets 30 m in Blockform (über den Rang aus Formelwerte), LINEST für das Modell Post = b0 + b1·G + b2·Prä + b3·%PAH (S13), Hilfsspalten für die gepoolten Streuungen (S15).</t>
        </is>
      </c>
    </row>
    <row r="19">
      <c r="A19" s="2" t="inlineStr"/>
    </row>
    <row r="20">
      <c r="A20" s="3" t="inlineStr">
        <is>
          <t>Hinweise</t>
        </is>
      </c>
    </row>
    <row r="21">
      <c r="A21" s="2" t="inlineStr">
        <is>
          <t>Gruppe: Codes HL-xx und BW-xx sind IG (Verein A und B), VS-xx ist KG (Verein C). Zeitpunkte „prä“ und „post“. Toleranz der Urteile: Anzahlen exakt, übrige Größen relativ 1e-6 (Excel-Funktionen wie LINEST rechnen numerisch anders als die QR-Zerlegung, Unterschiede liegen weit unterhalb dieser Grenze).</t>
        </is>
      </c>
    </row>
    <row r="22">
      <c r="A22" s="2" t="inlineStr">
        <is>
          <t>Die Formeln verwenden nur Funktionen, die Excel ab 2019 kennt: COUNTIFS, SUMIFS, AVERAGEIFS, MINIFS, MAXIFS, INDEX, MATCH, VLOOKUP, DEVSQ, STDEV.S, VAR.S, LINEST, T.DIST.2T, T.INV.2T, F.INV.RT. Ein Fehlerwert in einer Handwert-Zelle führt in der Spalte Urteil zu „FEHLER“, nie zu „stimmt“.</t>
        </is>
      </c>
    </row>
    <row r="23">
      <c r="A23" s="2" t="inlineStr">
        <is>
          <t>Werte in diesem Blatt sind pseudonymisiert (Analysecodes). Die Datei bleibt im Projektordner (04_Uebergaben) und geht nicht an Dritte.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60" customWidth="1" min="4" max="4"/>
    <col width="40" customWidth="1" min="5" max="5"/>
    <col width="20" customWidth="1" min="6" max="6"/>
    <col width="20" customWidth="1" min="7" max="7"/>
    <col width="20" customWidth="1" min="8" max="8"/>
    <col width="16" customWidth="1" min="9" max="9"/>
    <col width="10" customWidth="1" min="10" max="10"/>
    <col width="12" customWidth="1" min="11" max="11"/>
    <col width="26" customWidth="1" min="13" max="13"/>
    <col width="22" customWidth="1" min="14" max="14"/>
    <col width="18" customWidth="1" min="15" max="15"/>
  </cols>
  <sheetData>
    <row r="1">
      <c r="A1" s="4" t="inlineStr">
        <is>
          <t>Handprobe Phase 6.3 als Excel-Formelprobe — Kennwerte, Sollwerte beider Implementierungen, Formelwert (Excel)</t>
        </is>
      </c>
    </row>
    <row r="2">
      <c r="A2" s="5" t="inlineStr">
        <is>
          <t>Gelbe Zellen tragen Excel-Formeln aus den Eingangsblättern (dritte Implementierung). Toleranz: Anzahlen exakt, übrige relativ 1e-6. Spalte „Wert R“ ist die berichtete Rechnung, „Wert Python“ die Gegenprobe (beide aus den Ergebnisdateien vom 25.09.2026).</t>
        </is>
      </c>
    </row>
    <row r="3"/>
    <row r="4">
      <c r="A4" s="6" t="inlineStr">
        <is>
          <t>Ergebnis der Handprobe (Verfasser, Datum):</t>
        </is>
      </c>
      <c r="B4" s="7" t="n"/>
    </row>
    <row r="5"/>
    <row r="6">
      <c r="A6" s="8" t="inlineStr">
        <is>
          <t>Nr.</t>
        </is>
      </c>
      <c r="B6" s="8" t="inlineStr">
        <is>
          <t>Kennung</t>
        </is>
      </c>
      <c r="C6" s="8" t="inlineStr">
        <is>
          <t>Beschreibung</t>
        </is>
      </c>
      <c r="D6" s="8" t="inlineStr">
        <is>
          <t>Rechenweg (Regel der Spezifikation) und Formel</t>
        </is>
      </c>
      <c r="E6" s="8" t="inlineStr">
        <is>
          <t>Eingang (Blatt, Auswahl)</t>
        </is>
      </c>
      <c r="F6" s="8" t="inlineStr">
        <is>
          <t>Wert R</t>
        </is>
      </c>
      <c r="G6" s="8" t="inlineStr">
        <is>
          <t>Wert Python</t>
        </is>
      </c>
      <c r="H6" s="8" t="inlineStr">
        <is>
          <t>Handwert (Formel)</t>
        </is>
      </c>
      <c r="I6" s="8" t="inlineStr">
        <is>
          <t>Abweichung Hand − R</t>
        </is>
      </c>
      <c r="J6" s="8" t="inlineStr">
        <is>
          <t>Toleranz</t>
        </is>
      </c>
      <c r="K6" s="8" t="inlineStr">
        <is>
          <t>Urteil</t>
        </is>
      </c>
      <c r="M6" s="6" t="inlineStr">
        <is>
          <t>Eingang aus der Ergebnisdatei nur für Nr. 34 (Rechenweg vorab festgelegt)</t>
        </is>
      </c>
    </row>
    <row r="7">
      <c r="A7" s="9" t="n">
        <v>1</v>
      </c>
      <c r="B7" s="9" t="inlineStr">
        <is>
          <t>S02.NGUELT.Z30.PRE.ALL.X</t>
        </is>
      </c>
      <c r="C7" s="9" t="inlineStr">
        <is>
          <t>Zahl gültiger Versuche 30 m prä, alle Spieler</t>
        </is>
      </c>
      <c r="D7" s="9" t="inlineStr">
        <is>
          <t>S02 Regel 1 bis 3: Zeilen mit Test Sprint_30m, Zeitpunkt prä und gültig = 1 zählen (Spalte O des Blatts Versuchsdaten, mit Auslöseprüfung).</t>
        </is>
      </c>
      <c r="E7" s="9" t="inlineStr">
        <is>
          <t>Versuchsdaten</t>
        </is>
      </c>
      <c r="F7" s="10" t="n">
        <v>78</v>
      </c>
      <c r="G7" s="10" t="n">
        <v>78</v>
      </c>
      <c r="H7" s="11">
        <f>COUNTIFS(Versuchsdaten!$C$2:$C$1117,"Sprint_30m",Versuchsdaten!$B$2:$B$1117,"prä",Versuchsdaten!$O$2:$O$1117,1)</f>
        <v/>
      </c>
      <c r="I7" s="9">
        <f>IF(H7="","",IFERROR(H7-F7,"FEHLER"))</f>
        <v/>
      </c>
      <c r="J7" s="9" t="n">
        <v>0</v>
      </c>
      <c r="K7" s="9">
        <f>IF(H7="","offen",IFERROR(IF(ABS(H7-F7)&lt;=J7*MAX(1,ABS(F7)),"stimmt","ABWEICHUNG"),"FEHLER"))</f>
        <v/>
      </c>
      <c r="M7" s="5" t="inlineStr">
        <is>
          <t>S13.P.CM.X.ITT.HAUPT</t>
        </is>
      </c>
      <c r="N7" s="5" t="inlineStr">
        <is>
          <t>p 505-Seitenmittel</t>
        </is>
      </c>
      <c r="O7" s="12" t="n">
        <v>0.7343333100320397</v>
      </c>
    </row>
    <row r="8">
      <c r="A8" s="13" t="n">
        <v>2</v>
      </c>
      <c r="B8" s="13" t="inlineStr">
        <is>
          <t>S03.NKAT.Z30.POST.KG.TECH</t>
        </is>
      </c>
      <c r="C8" s="13" t="inlineStr">
        <is>
          <t>Ungültige Zeilen 30 m post der KG, Kategorie TECH</t>
        </is>
      </c>
      <c r="D8" s="13" t="inlineStr">
        <is>
          <t>S03 Regel 1 bis 3 mit Vokabular: Zeilen mit Test Sprint_30m, Zeitpunkt post, Gruppe KG und Kategorie TECH zählen (Spalte Q des Blatts Versuchsdaten: NANG vor AUSL vor Vokabular).</t>
        </is>
      </c>
      <c r="E8" s="13" t="inlineStr">
        <is>
          <t>Versuchsdaten (Hilfsspalten I und Q)</t>
        </is>
      </c>
      <c r="F8" s="14" t="n">
        <v>2</v>
      </c>
      <c r="G8" s="14" t="n">
        <v>2</v>
      </c>
      <c r="H8" s="11">
        <f>COUNTIFS(Versuchsdaten!$C$2:$C$1117,"Sprint_30m",Versuchsdaten!$B$2:$B$1117,"post",Versuchsdaten!$I$2:$I$1117,"KG",Versuchsdaten!$Q$2:$Q$1117,"TECH")</f>
        <v/>
      </c>
      <c r="I8" s="13">
        <f>IF(H8="","",IFERROR(H8-F8,"FEHLER"))</f>
        <v/>
      </c>
      <c r="J8" s="13" t="n">
        <v>0</v>
      </c>
      <c r="K8" s="13">
        <f>IF(H8="","offen",IFERROR(IF(ABS(H8-F8)&lt;=J8*MAX(1,ABS(F8)),"stimmt","ABWEICHUNG"),"FEHLER"))</f>
        <v/>
      </c>
      <c r="M8" s="5" t="inlineStr">
        <is>
          <t>S13.B1.CM.X.ITT.HAUPT</t>
        </is>
      </c>
      <c r="N8" s="5" t="inlineStr">
        <is>
          <t>b1 505-Seitenmittel</t>
        </is>
      </c>
      <c r="O8" s="12" t="n">
        <v>-0.01207141389249436</v>
      </c>
    </row>
    <row r="9">
      <c r="A9" s="9" t="n">
        <v>3</v>
      </c>
      <c r="B9" s="9" t="inlineStr">
        <is>
          <t>S04.K.Z30.PRE.PBW-01.X</t>
        </is>
      </c>
      <c r="C9" s="9" t="inlineStr">
        <is>
          <t>Zahl gültiger Versuche 30 m prä, Spieler BW-01</t>
        </is>
      </c>
      <c r="D9" s="9" t="inlineStr">
        <is>
          <t>S04 Regel 1: gültige Versuche des Spielers zählen.</t>
        </is>
      </c>
      <c r="E9" s="9" t="inlineStr">
        <is>
          <t>Versuchsdaten, Code BW-01</t>
        </is>
      </c>
      <c r="F9" s="10" t="n">
        <v>3</v>
      </c>
      <c r="G9" s="10" t="n">
        <v>3</v>
      </c>
      <c r="H9" s="11">
        <f>COUNTIFS(Versuchsdaten!$A$2:$A$1117,"BW-01",Versuchsdaten!$B$2:$B$1117,"prä",Versuchsdaten!$C$2:$C$1117,"Sprint_30m",Versuchsdaten!$O$2:$O$1117,1)</f>
        <v/>
      </c>
      <c r="I9" s="9">
        <f>IF(H9="","",IFERROR(H9-F9,"FEHLER"))</f>
        <v/>
      </c>
      <c r="J9" s="9" t="n">
        <v>0</v>
      </c>
      <c r="K9" s="9">
        <f>IF(H9="","offen",IFERROR(IF(ABS(H9-F9)&lt;=J9*MAX(1,ABS(F9)),"stimmt","ABWEICHUNG"),"FEHLER"))</f>
        <v/>
      </c>
      <c r="M9" s="5" t="inlineStr">
        <is>
          <t>S13.P.SBJ.X.ITT.HAUPT</t>
        </is>
      </c>
      <c r="N9" s="5" t="inlineStr">
        <is>
          <t>p Standweitsprung</t>
        </is>
      </c>
      <c r="O9" s="12" t="n">
        <v>0.9868585047466647</v>
      </c>
    </row>
    <row r="10">
      <c r="A10" s="13" t="n">
        <v>4</v>
      </c>
      <c r="B10" s="13" t="inlineStr">
        <is>
          <t>S04.BEST.Z30.PRE.PBW-01.X</t>
        </is>
      </c>
      <c r="C10" s="13" t="inlineStr">
        <is>
          <t>Bestwert 30 m prä, Spieler BW-01</t>
        </is>
      </c>
      <c r="D10" s="13" t="inlineStr">
        <is>
          <t>S04 Regel 2: Minimum der gültigen Werte (Zeit). MINIFS über die gültigen Zeilen des Spielers.</t>
        </is>
      </c>
      <c r="E10" s="13" t="inlineStr">
        <is>
          <t>Versuchsdaten, Code BW-01</t>
        </is>
      </c>
      <c r="F10" s="14" t="n">
        <v>4.53</v>
      </c>
      <c r="G10" s="14" t="n">
        <v>4.53</v>
      </c>
      <c r="H10" s="11">
        <f>_xlfn.MINIFS(Versuchsdaten!$F$2:$F$1117,Versuchsdaten!$A$2:$A$1117,"BW-01",Versuchsdaten!$B$2:$B$1117,"prä",Versuchsdaten!$C$2:$C$1117,"Sprint_30m",Versuchsdaten!$O$2:$O$1117,1)</f>
        <v/>
      </c>
      <c r="I10" s="13">
        <f>IF(H10="","",IFERROR(H10-F10,"FEHLER"))</f>
        <v/>
      </c>
      <c r="J10" s="13" t="n">
        <v>1e-06</v>
      </c>
      <c r="K10" s="13">
        <f>IF(H10="","offen",IFERROR(IF(ABS(H10-F10)&lt;=J10*MAX(1,ABS(F10)),"stimmt","ABWEICHUNG"),"FEHLER"))</f>
        <v/>
      </c>
      <c r="M10" s="5" t="inlineStr">
        <is>
          <t>S13.B1.SBJ.X.ITT.HAUPT</t>
        </is>
      </c>
      <c r="N10" s="5" t="inlineStr">
        <is>
          <t>b1 Standweitsprung</t>
        </is>
      </c>
      <c r="O10" s="12" t="n">
        <v>-0.06944012056997123</v>
      </c>
    </row>
    <row r="11">
      <c r="A11" s="9" t="n">
        <v>5</v>
      </c>
      <c r="B11" s="9" t="inlineStr">
        <is>
          <t>S04.MEAN.Z30.PRE.PBW-01.X</t>
        </is>
      </c>
      <c r="C11" s="9" t="inlineStr">
        <is>
          <t>Mittelwert 30 m prä, Spieler BW-01</t>
        </is>
      </c>
      <c r="D11" s="9" t="inlineStr">
        <is>
          <t>S04 Regel 3: arithmetisches Mittel der gültigen Werte. AVERAGEIFS über die gültigen Zeilen des Spielers.</t>
        </is>
      </c>
      <c r="E11" s="9" t="inlineStr">
        <is>
          <t>Versuchsdaten, Code BW-01</t>
        </is>
      </c>
      <c r="F11" s="10" t="n">
        <v>4.586666666666667</v>
      </c>
      <c r="G11" s="10" t="n">
        <v>4.586666666666667</v>
      </c>
      <c r="H11" s="11">
        <f>AVERAGEIFS(Versuchsdaten!$F$2:$F$1117,Versuchsdaten!$A$2:$A$1117,"BW-01",Versuchsdaten!$B$2:$B$1117,"prä",Versuchsdaten!$C$2:$C$1117,"Sprint_30m",Versuchsdaten!$O$2:$O$1117,1)</f>
        <v/>
      </c>
      <c r="I11" s="9">
        <f>IF(H11="","",IFERROR(H11-F11,"FEHLER"))</f>
        <v/>
      </c>
      <c r="J11" s="9" t="n">
        <v>1e-06</v>
      </c>
      <c r="K11" s="9">
        <f>IF(H11="","offen",IFERROR(IF(ABS(H11-F11)&lt;=J11*MAX(1,ABS(F11)),"stimmt","ABWEICHUNG"),"FEHLER"))</f>
        <v/>
      </c>
    </row>
    <row r="12">
      <c r="A12" s="13" t="n">
        <v>6</v>
      </c>
      <c r="B12" s="13" t="inlineStr">
        <is>
          <t>S04.BEST.CM.PRE.PBW-01.X</t>
        </is>
      </c>
      <c r="C12" s="13" t="inlineStr">
        <is>
          <t>505-Seitenmittel prä, Spieler BW-01</t>
        </is>
      </c>
      <c r="D12" s="13" t="inlineStr">
        <is>
          <t>S04 Regel 4: Bestwert (Minimum) je Seite L und R aus den gültigen Versuchen, dann Mittel der beiden Seiten-Bestwerte, nur wenn beide Seiten einen gültigen Versuch haben (Blatt Formelwerte, Spalten T, U, V).</t>
        </is>
      </c>
      <c r="E12" s="13" t="inlineStr">
        <is>
          <t>Versuchsdaten, Code BW-01, Test COD_505</t>
        </is>
      </c>
      <c r="F12" s="14" t="n">
        <v>2.555</v>
      </c>
      <c r="G12" s="14" t="n">
        <v>2.555</v>
      </c>
      <c r="H12" s="11">
        <f>INDEX(Formelwerte!$V$4:$V$34,MATCH("BW-01",Formelwerte!$A$4:$A$34,0))</f>
        <v/>
      </c>
      <c r="I12" s="13">
        <f>IF(H12="","",IFERROR(H12-F12,"FEHLER"))</f>
        <v/>
      </c>
      <c r="J12" s="13" t="n">
        <v>1e-06</v>
      </c>
      <c r="K12" s="13">
        <f>IF(H12="","offen",IFERROR(IF(ABS(H12-F12)&lt;=J12*MAX(1,ABS(F12)),"stimmt","ABWEICHUNG"),"FEHLER"))</f>
        <v/>
      </c>
    </row>
    <row r="13">
      <c r="A13" s="9" t="n">
        <v>7</v>
      </c>
      <c r="B13" s="9" t="inlineStr">
        <is>
          <t>S05.MP.PAH.PRE.PBW-01.X</t>
        </is>
      </c>
      <c r="C13" s="9" t="inlineStr">
        <is>
          <t>Mittlere Elterngröße in Zoll, Spieler BW-01</t>
        </is>
      </c>
      <c r="D13" s="9" t="inlineStr">
        <is>
          <t>S05 Regel 2 und 3: (Groesse_Mutter/2,54 + Groesse_Vater/2,54)/2 (Blatt Formelwerte, Spalte G).</t>
        </is>
      </c>
      <c r="E13" s="9" t="inlineStr">
        <is>
          <t>Personendaten, Code BW-01</t>
        </is>
      </c>
      <c r="F13" s="10" t="n">
        <v>71.25984251968504</v>
      </c>
      <c r="G13" s="10" t="n">
        <v>71.25984251968504</v>
      </c>
      <c r="H13" s="11">
        <f>INDEX(Formelwerte!$G$4:$G$34,MATCH("BW-01",Formelwerte!$A$4:$A$34,0))</f>
        <v/>
      </c>
      <c r="I13" s="9">
        <f>IF(H13="","",IFERROR(H13-F13,"FEHLER"))</f>
        <v/>
      </c>
      <c r="J13" s="9" t="n">
        <v>1e-06</v>
      </c>
      <c r="K13" s="9">
        <f>IF(H13="","offen",IFERROR(IF(ABS(H13-F13)&lt;=J13*MAX(1,ABS(F13)),"stimmt","ABWEICHUNG"),"FEHLER"))</f>
        <v/>
      </c>
    </row>
    <row r="14">
      <c r="A14" s="13" t="n">
        <v>8</v>
      </c>
      <c r="B14" s="13" t="inlineStr">
        <is>
          <t>S05.PAS.PAH.PRE.PBW-01.X</t>
        </is>
      </c>
      <c r="C14" s="13" t="inlineStr">
        <is>
          <t>Vorhergesagte Erwachsenengröße in Zoll, Spieler BW-01</t>
        </is>
      </c>
      <c r="D14" s="13" t="inlineStr">
        <is>
          <t>S05 Regel 6 und 7: a_lo = 14.5, a_hi = 15.0, w = (Alter − a_lo)/0,5. Jeden Koeffizienten linear interpolieren: c = (1 − w)·c(a_lo) + w·c(a_hi). PAS = β0 + β1·Körperhöhe/2,54 + β2·Körpermasse/0,45359237 + β3·MP (Blatt Formelwerte, Spalten H bis N).</t>
        </is>
      </c>
      <c r="E14" s="13" t="inlineStr">
        <is>
          <t>Personendaten, Code BW-01, Koeffizienten_KR Zeilen 14.5 und 15.0</t>
        </is>
      </c>
      <c r="F14" s="14" t="n">
        <v>74.5788604633197</v>
      </c>
      <c r="G14" s="14" t="n">
        <v>74.5788604633197</v>
      </c>
      <c r="H14" s="11">
        <f>INDEX(Formelwerte!$N$4:$N$34,MATCH("BW-01",Formelwerte!$A$4:$A$34,0))</f>
        <v/>
      </c>
      <c r="I14" s="13">
        <f>IF(H14="","",IFERROR(H14-F14,"FEHLER"))</f>
        <v/>
      </c>
      <c r="J14" s="13" t="n">
        <v>1e-06</v>
      </c>
      <c r="K14" s="13">
        <f>IF(H14="","offen",IFERROR(IF(ABS(H14-F14)&lt;=J14*MAX(1,ABS(F14)),"stimmt","ABWEICHUNG"),"FEHLER"))</f>
        <v/>
      </c>
    </row>
    <row r="15">
      <c r="A15" s="9" t="n">
        <v>9</v>
      </c>
      <c r="B15" s="9" t="inlineStr">
        <is>
          <t>S05.PAH.PAH.PRE.PBW-01.X</t>
        </is>
      </c>
      <c r="C15" s="9" t="inlineStr">
        <is>
          <t>%PAH, Spieler BW-01</t>
        </is>
      </c>
      <c r="D15" s="9" t="inlineStr">
        <is>
          <t>S05 Regel 8: 100 · (Körperhöhe/2,54) / PAS (Blatt Formelwerte, Spalte O).</t>
        </is>
      </c>
      <c r="E15" s="9" t="inlineStr">
        <is>
          <t>Personendaten, Code BW-01</t>
        </is>
      </c>
      <c r="F15" s="10" t="n">
        <v>91.8543627273126</v>
      </c>
      <c r="G15" s="10" t="n">
        <v>91.8543627273126</v>
      </c>
      <c r="H15" s="11">
        <f>INDEX(Formelwerte!$O$4:$O$34,MATCH("BW-01",Formelwerte!$A$4:$A$34,0))</f>
        <v/>
      </c>
      <c r="I15" s="9">
        <f>IF(H15="","",IFERROR(H15-F15,"FEHLER"))</f>
        <v/>
      </c>
      <c r="J15" s="9" t="n">
        <v>1e-06</v>
      </c>
      <c r="K15" s="9">
        <f>IF(H15="","offen",IFERROR(IF(ABS(H15-F15)&lt;=J15*MAX(1,ABS(F15)),"stimmt","ABWEICHUNG"),"FEHLER"))</f>
        <v/>
      </c>
    </row>
    <row r="16">
      <c r="A16" s="13" t="n">
        <v>10</v>
      </c>
      <c r="B16" s="13" t="inlineStr">
        <is>
          <t>S06.NMELD.FB.X.PHL-01.X</t>
        </is>
      </c>
      <c r="C16" s="13" t="inlineStr">
        <is>
          <t>Zahl der Meldungen, Spieler HL-01 (Listenplatz H010 = 1)</t>
        </is>
      </c>
      <c r="D16" s="13" t="inlineStr">
        <is>
          <t>S06 Regel 1 bis 3: Listenlabel aus H010 mit den Fallkorrekturen (CASE 59, 70, 140, 158, 165, 190, 206), Analysecode aus der Zuordnung (Blatt Fragebogen_A, Spalten L und M), Meldungen des Analysecodes zählen.</t>
        </is>
      </c>
      <c r="E16" s="13" t="inlineStr">
        <is>
          <t>Fragebogen_A, Zuordnung</t>
        </is>
      </c>
      <c r="F16" s="14" t="n">
        <v>10</v>
      </c>
      <c r="G16" s="14" t="n">
        <v>10</v>
      </c>
      <c r="H16" s="11">
        <f>COUNTIF(Fragebogen_A!$M$2:$M$112,"HL-01")</f>
        <v/>
      </c>
      <c r="I16" s="13">
        <f>IF(H16="","",IFERROR(H16-F16,"FEHLER"))</f>
        <v/>
      </c>
      <c r="J16" s="13" t="n">
        <v>0</v>
      </c>
      <c r="K16" s="13">
        <f>IF(H16="","offen",IFERROR(IF(ABS(H16-F16)&lt;=J16*MAX(1,ABS(F16)),"stimmt","ABWEICHUNG"),"FEHLER"))</f>
        <v/>
      </c>
    </row>
    <row r="17">
      <c r="A17" s="9" t="n">
        <v>11</v>
      </c>
      <c r="B17" s="9" t="inlineStr">
        <is>
          <t>S07.ADH.ADH.X.PHL-01.GANZ</t>
        </is>
      </c>
      <c r="C17" s="9" t="inlineStr">
        <is>
          <t>Adhärenz GANZ, Spieler HL-01</t>
        </is>
      </c>
      <c r="D17" s="9" t="inlineStr">
        <is>
          <t>S07 Regel 1: Meldungen des Analysecodes mit H004 = 1 zählen.</t>
        </is>
      </c>
      <c r="E17" s="9" t="inlineStr">
        <is>
          <t>Fragebogen_A</t>
        </is>
      </c>
      <c r="F17" s="10" t="n">
        <v>8</v>
      </c>
      <c r="G17" s="10" t="n">
        <v>8</v>
      </c>
      <c r="H17" s="11">
        <f>COUNTIFS(Fragebogen_A!$M$2:$M$112,"HL-01",Fragebogen_A!$F$2:$F$112,1)</f>
        <v/>
      </c>
      <c r="I17" s="9">
        <f>IF(H17="","",IFERROR(H17-F17,"FEHLER"))</f>
        <v/>
      </c>
      <c r="J17" s="9" t="n">
        <v>0</v>
      </c>
      <c r="K17" s="9">
        <f>IF(H17="","offen",IFERROR(IF(ABS(H17-F17)&lt;=J17*MAX(1,ABS(F17)),"stimmt","ABWEICHUNG"),"FEHLER"))</f>
        <v/>
      </c>
    </row>
    <row r="18">
      <c r="A18" s="13" t="n">
        <v>12</v>
      </c>
      <c r="B18" s="13" t="inlineStr">
        <is>
          <t>S07.SUMME.ADH.X.IG.GANZ</t>
        </is>
      </c>
      <c r="C18" s="13" t="inlineStr">
        <is>
          <t>Summe der Meldungen „ganz“ über alle IG-Spieler</t>
        </is>
      </c>
      <c r="D18" s="13" t="inlineStr">
        <is>
          <t>S07 Regel 5 und 6: Summe der Zählung GANZ über die zugeteilten Spieler, Spieler ohne Meldung mit 0, Spieler ohne Listenplatz in der Summe mit 0 (Blatt Formelwerte, Spalte AE). Jede Meldung zählt (K7).</t>
        </is>
      </c>
      <c r="E18" s="13" t="inlineStr">
        <is>
          <t>Fragebogen_A über Formelwerte</t>
        </is>
      </c>
      <c r="F18" s="14" t="n">
        <v>92</v>
      </c>
      <c r="G18" s="14" t="n">
        <v>92</v>
      </c>
      <c r="H18" s="11">
        <f>SUM(Formelwerte!$AE$4:$AE$34)</f>
        <v/>
      </c>
      <c r="I18" s="13">
        <f>IF(H18="","",IFERROR(H18-F18,"FEHLER"))</f>
        <v/>
      </c>
      <c r="J18" s="13" t="n">
        <v>0</v>
      </c>
      <c r="K18" s="13">
        <f>IF(H18="","offen",IFERROR(IF(ABS(H18-F18)&lt;=J18*MAX(1,ABS(F18)),"stimmt","ABWEICHUNG"),"FEHLER"))</f>
        <v/>
      </c>
    </row>
    <row r="19">
      <c r="A19" s="9" t="n">
        <v>13</v>
      </c>
      <c r="B19" s="9" t="inlineStr">
        <is>
          <t>S07.RATE.ADH.X.IG.GANZ</t>
        </is>
      </c>
      <c r="C19" s="9" t="inlineStr">
        <is>
          <t>Umsetzungsrate GANZ</t>
        </is>
      </c>
      <c r="D19" s="9" t="inlineStr">
        <is>
          <t>S07 Regel 6: Summe / (12 · Zahl der zugeteilten IG-Spieler der Personendaten).</t>
        </is>
      </c>
      <c r="E19" s="9" t="inlineStr">
        <is>
          <t>Kennwert Nr. 12, Personendaten</t>
        </is>
      </c>
      <c r="F19" s="10" t="n">
        <v>0.4259259259259259</v>
      </c>
      <c r="G19" s="10" t="n">
        <v>0.4259259259259259</v>
      </c>
      <c r="H19" s="11">
        <f>$H$18/(12*COUNTIF(Personendaten!$C$2:$C$32,"IG"))</f>
        <v/>
      </c>
      <c r="I19" s="9">
        <f>IF(H19="","",IFERROR(H19-F19,"FEHLER"))</f>
        <v/>
      </c>
      <c r="J19" s="9" t="n">
        <v>1e-06</v>
      </c>
      <c r="K19" s="9">
        <f>IF(H19="","offen",IFERROR(IF(ABS(H19-F19)&lt;=J19*MAX(1,ABS(F19)),"stimmt","ABWEICHUNG"),"FEHLER"))</f>
        <v/>
      </c>
    </row>
    <row r="20">
      <c r="A20" s="13" t="n">
        <v>14</v>
      </c>
      <c r="B20" s="13" t="inlineStr">
        <is>
          <t>S08.N.Z30.X.ITTIG.X</t>
        </is>
      </c>
      <c r="C20" s="13" t="inlineStr">
        <is>
          <t>Zahl der IG-Spieler im ITT-Set 30 m</t>
        </is>
      </c>
      <c r="D20" s="13" t="inlineStr">
        <is>
          <t>S08 Regel 1: IG-Spieler mit BEST prä, BEST post und %PAH zählen (Blatt Formelwerte, Spalten D und AB).</t>
        </is>
      </c>
      <c r="E20" s="13" t="inlineStr">
        <is>
          <t>Formelwerte</t>
        </is>
      </c>
      <c r="F20" s="14" t="n">
        <v>16</v>
      </c>
      <c r="G20" s="14" t="n">
        <v>16</v>
      </c>
      <c r="H20" s="11">
        <f>COUNTIFS(Formelwerte!$D$4:$D$34,1,Formelwerte!$AB$4:$AB$34,1)</f>
        <v/>
      </c>
      <c r="I20" s="13">
        <f>IF(H20="","",IFERROR(H20-F20,"FEHLER"))</f>
        <v/>
      </c>
      <c r="J20" s="13" t="n">
        <v>0</v>
      </c>
      <c r="K20" s="13">
        <f>IF(H20="","offen",IFERROR(IF(ABS(H20-F20)&lt;=J20*MAX(1,ABS(F20)),"stimmt","ABWEICHUNG"),"FEHLER"))</f>
        <v/>
      </c>
    </row>
    <row r="21">
      <c r="A21" s="9" t="n">
        <v>15</v>
      </c>
      <c r="B21" s="9" t="inlineStr">
        <is>
          <t>S10.TE.Z30.PRE.ALL.X</t>
        </is>
      </c>
      <c r="C21" s="9" t="inlineStr">
        <is>
          <t>Typischer Messfehler 30 m prä</t>
        </is>
      </c>
      <c r="D21" s="9" t="inlineStr">
        <is>
          <t>S10 Regel 1: je Spieler mit k ≥ 2 die Quadratsumme der Abweichungen vom Spielermittel (DEVSQ), Summe über Spieler geteilt durch Σ(k − 1), Wurzel (Blatt TE_Z30_prae).</t>
        </is>
      </c>
      <c r="E21" s="9" t="inlineStr">
        <is>
          <t>TE_Z30_prae</t>
        </is>
      </c>
      <c r="F21" s="10" t="n">
        <v>0.07749170625949006</v>
      </c>
      <c r="G21" s="10" t="n">
        <v>0.07749170625949006</v>
      </c>
      <c r="H21" s="11">
        <f>SQRT(SUM(TE_Z30_prae!$F$3:$F$33)/SUM(TE_Z30_prae!$G$3:$G$33))</f>
        <v/>
      </c>
      <c r="I21" s="9">
        <f>IF(H21="","",IFERROR(H21-F21,"FEHLER"))</f>
        <v/>
      </c>
      <c r="J21" s="9" t="n">
        <v>1e-06</v>
      </c>
      <c r="K21" s="9">
        <f>IF(H21="","offen",IFERROR(IF(ABS(H21-F21)&lt;=J21*MAX(1,ABS(F21)),"stimmt","ABWEICHUNG"),"FEHLER"))</f>
        <v/>
      </c>
    </row>
    <row r="22">
      <c r="A22" s="13" t="n">
        <v>16</v>
      </c>
      <c r="B22" s="13" t="inlineStr">
        <is>
          <t>S10.DFTE.Z30.PRE.ALL.X</t>
        </is>
      </c>
      <c r="C22" s="13" t="inlineStr">
        <is>
          <t>Freiheitsgrade des TE 30 m prä</t>
        </is>
      </c>
      <c r="D22" s="13" t="inlineStr">
        <is>
          <t>S10 Regel 1: Σ(k_i − 1) über Spieler mit k ≥ 2.</t>
        </is>
      </c>
      <c r="E22" s="13" t="inlineStr">
        <is>
          <t>TE_Z30_prae</t>
        </is>
      </c>
      <c r="F22" s="14" t="n">
        <v>47</v>
      </c>
      <c r="G22" s="14" t="n">
        <v>47</v>
      </c>
      <c r="H22" s="11">
        <f>SUM(TE_Z30_prae!$G$3:$G$33)</f>
        <v/>
      </c>
      <c r="I22" s="13">
        <f>IF(H22="","",IFERROR(H22-F22,"FEHLER"))</f>
        <v/>
      </c>
      <c r="J22" s="13" t="n">
        <v>0</v>
      </c>
      <c r="K22" s="13">
        <f>IF(H22="","offen",IFERROR(IF(ABS(H22-F22)&lt;=J22*MAX(1,ABS(F22)),"stimmt","ABWEICHUNG"),"FEHLER"))</f>
        <v/>
      </c>
    </row>
    <row r="23">
      <c r="A23" s="9" t="n">
        <v>17</v>
      </c>
      <c r="B23" s="9" t="inlineStr">
        <is>
          <t>S10.SB.Z30.PRE.ALL.X</t>
        </is>
      </c>
      <c r="C23" s="9" t="inlineStr">
        <is>
          <t>Zwischen-Athleten-SD der Bestwerte 30 m prä</t>
        </is>
      </c>
      <c r="D23" s="9" t="inlineStr">
        <is>
          <t>S10 Regel 5: STDEV.S über BEST Z30 prä aller Spieler mit Wert (beide Gruppen, Blatt Formelwerte, Spalte Q).</t>
        </is>
      </c>
      <c r="E23" s="9" t="inlineStr">
        <is>
          <t>Formelwerte, Spalte BEST Z30 prä</t>
        </is>
      </c>
      <c r="F23" s="10" t="n">
        <v>0.313258970814403</v>
      </c>
      <c r="G23" s="10" t="n">
        <v>0.313258970814403</v>
      </c>
      <c r="H23" s="11">
        <f>_xlfn.STDEV.S(Formelwerte!$Q$4:$Q$34)</f>
        <v/>
      </c>
      <c r="I23" s="9">
        <f>IF(H23="","",IFERROR(H23-F23,"FEHLER"))</f>
        <v/>
      </c>
      <c r="J23" s="9" t="n">
        <v>1e-06</v>
      </c>
      <c r="K23" s="9">
        <f>IF(H23="","offen",IFERROR(IF(ABS(H23-F23)&lt;=J23*MAX(1,ABS(F23)),"stimmt","ABWEICHUNG"),"FEHLER"))</f>
        <v/>
      </c>
    </row>
    <row r="24">
      <c r="A24" s="13" t="n">
        <v>18</v>
      </c>
      <c r="B24" s="13" t="inlineStr">
        <is>
          <t>S10.SESOI.Z30.PRE.ALL.X</t>
        </is>
      </c>
      <c r="C24" s="13" t="inlineStr">
        <is>
          <t>SESOI 30 m</t>
        </is>
      </c>
      <c r="D24" s="13" t="inlineStr">
        <is>
          <t>S10 Regel 6: 0,2 · S.</t>
        </is>
      </c>
      <c r="E24" s="13" t="inlineStr">
        <is>
          <t>Kennwert Nr. 17</t>
        </is>
      </c>
      <c r="F24" s="14" t="n">
        <v>0.06265179416288059</v>
      </c>
      <c r="G24" s="14" t="n">
        <v>0.06265179416288059</v>
      </c>
      <c r="H24" s="11">
        <f>0.2*$H$23</f>
        <v/>
      </c>
      <c r="I24" s="13">
        <f>IF(H24="","",IFERROR(H24-F24,"FEHLER"))</f>
        <v/>
      </c>
      <c r="J24" s="13" t="n">
        <v>1e-06</v>
      </c>
      <c r="K24" s="13">
        <f>IF(H24="","offen",IFERROR(IF(ABS(H24-F24)&lt;=J24*MAX(1,ABS(F24)),"stimmt","ABWEICHUNG"),"FEHLER"))</f>
        <v/>
      </c>
    </row>
    <row r="25">
      <c r="A25" s="9" t="n">
        <v>19</v>
      </c>
      <c r="B25" s="9" t="inlineStr">
        <is>
          <t>S12.M.Z30.PRE.ITTIG.HAUPT</t>
        </is>
      </c>
      <c r="C25" s="9" t="inlineStr">
        <is>
          <t>Mittel BEST 30 m prä, IG im ITT-Set</t>
        </is>
      </c>
      <c r="D25" s="9" t="inlineStr">
        <is>
          <t>S12 Regel 4: AVERAGE über die Prä-Werte der IG-Spieler des ITT-Sets (Blatt ANCOVA_Z30, Spalte G).</t>
        </is>
      </c>
      <c r="E25" s="9" t="inlineStr">
        <is>
          <t>ANCOVA_Z30</t>
        </is>
      </c>
      <c r="F25" s="10" t="n">
        <v>4.510625</v>
      </c>
      <c r="G25" s="10" t="n">
        <v>4.510625</v>
      </c>
      <c r="H25" s="11">
        <f>AVERAGE(ANCOVA_Z30!$G$3:$G$28)</f>
        <v/>
      </c>
      <c r="I25" s="9">
        <f>IF(H25="","",IFERROR(H25-F25,"FEHLER"))</f>
        <v/>
      </c>
      <c r="J25" s="9" t="n">
        <v>1e-06</v>
      </c>
      <c r="K25" s="9">
        <f>IF(H25="","offen",IFERROR(IF(ABS(H25-F25)&lt;=J25*MAX(1,ABS(F25)),"stimmt","ABWEICHUNG"),"FEHLER"))</f>
        <v/>
      </c>
    </row>
    <row r="26">
      <c r="A26" s="13" t="n">
        <v>20</v>
      </c>
      <c r="B26" s="13" t="inlineStr">
        <is>
          <t>S12.SD.Z30.PRE.ITTIG.HAUPT</t>
        </is>
      </c>
      <c r="C26" s="13" t="inlineStr">
        <is>
          <t>SD BEST 30 m prä, IG im ITT-Set</t>
        </is>
      </c>
      <c r="D26" s="13" t="inlineStr">
        <is>
          <t>S12 Regel 4: STDEV.S über dieselben Spieler.</t>
        </is>
      </c>
      <c r="E26" s="13" t="inlineStr">
        <is>
          <t>ANCOVA_Z30</t>
        </is>
      </c>
      <c r="F26" s="14" t="n">
        <v>0.2087252979396604</v>
      </c>
      <c r="G26" s="14" t="n">
        <v>0.2087252979396604</v>
      </c>
      <c r="H26" s="11">
        <f>_xlfn.STDEV.S(ANCOVA_Z30!$G$3:$G$28)</f>
        <v/>
      </c>
      <c r="I26" s="13">
        <f>IF(H26="","",IFERROR(H26-F26,"FEHLER"))</f>
        <v/>
      </c>
      <c r="J26" s="13" t="n">
        <v>1e-06</v>
      </c>
      <c r="K26" s="13">
        <f>IF(H26="","offen",IFERROR(IF(ABS(H26-F26)&lt;=J26*MAX(1,ABS(F26)),"stimmt","ABWEICHUNG"),"FEHLER"))</f>
        <v/>
      </c>
    </row>
    <row r="27">
      <c r="A27" s="9" t="n">
        <v>21</v>
      </c>
      <c r="B27" s="9" t="inlineStr">
        <is>
          <t>S15.UD.Z30.X.ITT.HAUPT</t>
        </is>
      </c>
      <c r="C27" s="9" t="inlineStr">
        <is>
          <t>Unadjustierte Differenz der Post-Mittel 30 m (IG − KG), ITT-Set</t>
        </is>
      </c>
      <c r="D27" s="9" t="inlineStr">
        <is>
          <t>S15 Regel 4: Mittel BEST Z30 post der IG minus Mittel der KG, jeweils im ITT-Set (Blatt ANCOVA_Z30, Spalten I und J).</t>
        </is>
      </c>
      <c r="E27" s="9" t="inlineStr">
        <is>
          <t>ANCOVA_Z30</t>
        </is>
      </c>
      <c r="F27" s="10" t="n">
        <v>-0.3267499999999997</v>
      </c>
      <c r="G27" s="10" t="n">
        <v>-0.3267499999999997</v>
      </c>
      <c r="H27" s="11">
        <f>AVERAGE(ANCOVA_Z30!$I$3:$I$28)-AVERAGE(ANCOVA_Z30!$J$3:$J$28)</f>
        <v/>
      </c>
      <c r="I27" s="9">
        <f>IF(H27="","",IFERROR(H27-F27,"FEHLER"))</f>
        <v/>
      </c>
      <c r="J27" s="9" t="n">
        <v>1e-06</v>
      </c>
      <c r="K27" s="9">
        <f>IF(H27="","offen",IFERROR(IF(ABS(H27-F27)&lt;=J27*MAX(1,ABS(F27)),"stimmt","ABWEICHUNG"),"FEHLER"))</f>
        <v/>
      </c>
    </row>
    <row r="28">
      <c r="A28" s="13" t="n">
        <v>22</v>
      </c>
      <c r="B28" s="13" t="inlineStr">
        <is>
          <t>S15.SDPOST.Z30.X.ITT.HAUPT</t>
        </is>
      </c>
      <c r="C28" s="13" t="inlineStr">
        <is>
          <t>Gepoolte Post-SD 30 m, ITT-Set</t>
        </is>
      </c>
      <c r="D28" s="13" t="inlineStr">
        <is>
          <t>0.5 Nr. 2: √(((n_IG − 1)·s_IG² + (n_KG − 1)·s_KG²)/(n_IG + n_KG − 2)) mit VAR.S je Gruppe.</t>
        </is>
      </c>
      <c r="E28" s="13" t="inlineStr">
        <is>
          <t>ANCOVA_Z30</t>
        </is>
      </c>
      <c r="F28" s="14" t="n">
        <v>0.2046933682364918</v>
      </c>
      <c r="G28" s="14" t="n">
        <v>0.2046933682364918</v>
      </c>
      <c r="H28" s="11">
        <f>SQRT(((ANCOVA_Z30!$B$31-1)*_xlfn.VAR.S(ANCOVA_Z30!$I$3:$I$28)+(ANCOVA_Z30!$B$32-1)*_xlfn.VAR.S(ANCOVA_Z30!$J$3:$J$28))/(ANCOVA_Z30!$B$33-2))</f>
        <v/>
      </c>
      <c r="I28" s="13">
        <f>IF(H28="","",IFERROR(H28-F28,"FEHLER"))</f>
        <v/>
      </c>
      <c r="J28" s="13" t="n">
        <v>1e-06</v>
      </c>
      <c r="K28" s="13">
        <f>IF(H28="","offen",IFERROR(IF(ABS(H28-F28)&lt;=J28*MAX(1,ABS(F28)),"stimmt","ABWEICHUNG"),"FEHLER"))</f>
        <v/>
      </c>
    </row>
    <row r="29">
      <c r="A29" s="9" t="n">
        <v>23</v>
      </c>
      <c r="B29" s="9" t="inlineStr">
        <is>
          <t>S15.UDT.Z30.X.ITT.HAUPT</t>
        </is>
      </c>
      <c r="C29" s="9" t="inlineStr">
        <is>
          <t>t der unadjustierten Differenz</t>
        </is>
      </c>
      <c r="D29" s="9" t="inlineStr">
        <is>
          <t>S15 Regel 4: UD / (SD_pool · √(1/n_IG + 1/n_KG)).</t>
        </is>
      </c>
      <c r="E29" s="9" t="inlineStr">
        <is>
          <t>Kennwerte Nr. 21 und 22</t>
        </is>
      </c>
      <c r="F29" s="10" t="n">
        <v>-3.959908410926097</v>
      </c>
      <c r="G29" s="10" t="n">
        <v>-3.959908410926097</v>
      </c>
      <c r="H29" s="11">
        <f>$H$27/($H$28*SQRT(1/ANCOVA_Z30!$B$31+1/ANCOVA_Z30!$B$32))</f>
        <v/>
      </c>
      <c r="I29" s="9">
        <f>IF(H29="","",IFERROR(H29-F29,"FEHLER"))</f>
        <v/>
      </c>
      <c r="J29" s="9" t="n">
        <v>1e-06</v>
      </c>
      <c r="K29" s="9">
        <f>IF(H29="","offen",IFERROR(IF(ABS(H29-F29)&lt;=J29*MAX(1,ABS(F29)),"stimmt","ABWEICHUNG"),"FEHLER"))</f>
        <v/>
      </c>
    </row>
    <row r="30">
      <c r="A30" s="13" t="n">
        <v>24</v>
      </c>
      <c r="B30" s="13" t="inlineStr">
        <is>
          <t>S15.UDP.Z30.X.ITT.HAUPT</t>
        </is>
      </c>
      <c r="C30" s="13" t="inlineStr">
        <is>
          <t>p der unadjustierten Differenz</t>
        </is>
      </c>
      <c r="D30" s="13" t="inlineStr">
        <is>
          <t>S15 Regel 4: zweiseitig, df = n − 2. Excel: T.DIST.2T(ABS(t), df).</t>
        </is>
      </c>
      <c r="E30" s="13" t="inlineStr">
        <is>
          <t>Kennwert Nr. 23</t>
        </is>
      </c>
      <c r="F30" s="14" t="n">
        <v>0.0005830506652669961</v>
      </c>
      <c r="G30" s="14" t="n">
        <v>0.0005830506652669981</v>
      </c>
      <c r="H30" s="11">
        <f>_xlfn.T.DIST.2T(ABS($H$29),ANCOVA_Z30!$B$33-2)</f>
        <v/>
      </c>
      <c r="I30" s="13">
        <f>IF(H30="","",IFERROR(H30-F30,"FEHLER"))</f>
        <v/>
      </c>
      <c r="J30" s="13" t="n">
        <v>1e-06</v>
      </c>
      <c r="K30" s="13">
        <f>IF(H30="","offen",IFERROR(IF(ABS(H30-F30)&lt;=J30*MAX(1,ABS(F30)),"stimmt","ABWEICHUNG"),"FEHLER"))</f>
        <v/>
      </c>
    </row>
    <row r="31">
      <c r="A31" s="9" t="n">
        <v>25</v>
      </c>
      <c r="B31" s="9" t="inlineStr">
        <is>
          <t>S13.B1.Z30.X.ITT.HAUPT</t>
        </is>
      </c>
      <c r="C31" s="9" t="inlineStr">
        <is>
          <t>Adjustierte Differenz b1 (ANCOVA 30 m, ITT)</t>
        </is>
      </c>
      <c r="D31" s="9" t="inlineStr">
        <is>
          <t>S13 Modell Post = b0 + b1·G + b2·Prä + b3·PAH. Excel: INDEX(LINEST(Post-Bereich, [G, Prä, PAH]-Bereich, WAHR, WAHR), 1, 3). LINEST gibt die Koeffizienten in umgekehrter Reihenfolge der x-Spalten aus, b1 steht in Zeile 1, Spalte 3 (Blatt ANCOVA_Z30).</t>
        </is>
      </c>
      <c r="E31" s="9" t="inlineStr">
        <is>
          <t>ANCOVA_Z30 (ITT-Set aus Formelwerte)</t>
        </is>
      </c>
      <c r="F31" s="10" t="n">
        <v>-0.04450617957552939</v>
      </c>
      <c r="G31" s="10" t="n">
        <v>-0.04450617957553055</v>
      </c>
      <c r="H31" s="11">
        <f>ANCOVA_Z30!$B$35</f>
        <v/>
      </c>
      <c r="I31" s="9">
        <f>IF(H31="","",IFERROR(H31-F31,"FEHLER"))</f>
        <v/>
      </c>
      <c r="J31" s="9" t="n">
        <v>1e-06</v>
      </c>
      <c r="K31" s="9">
        <f>IF(H31="","offen",IFERROR(IF(ABS(H31-F31)&lt;=J31*MAX(1,ABS(F31)),"stimmt","ABWEICHUNG"),"FEHLER"))</f>
        <v/>
      </c>
    </row>
    <row r="32">
      <c r="A32" s="13" t="n">
        <v>26</v>
      </c>
      <c r="B32" s="13" t="inlineStr">
        <is>
          <t>S13.SEB1.Z30.X.ITT.HAUPT</t>
        </is>
      </c>
      <c r="C32" s="13" t="inlineStr">
        <is>
          <t>Standardfehler von b1</t>
        </is>
      </c>
      <c r="D32" s="13" t="inlineStr">
        <is>
          <t>S13 Regel 1: zweite Zeile von LINEST, dieselbe Spalte wie b1.</t>
        </is>
      </c>
      <c r="E32" s="13" t="inlineStr">
        <is>
          <t>ANCOVA_Z30</t>
        </is>
      </c>
      <c r="F32" s="14" t="n">
        <v>0.07462827042642857</v>
      </c>
      <c r="G32" s="14" t="n">
        <v>0.07462827042642847</v>
      </c>
      <c r="H32" s="11">
        <f>ANCOVA_Z30!$B$36</f>
        <v/>
      </c>
      <c r="I32" s="13">
        <f>IF(H32="","",IFERROR(H32-F32,"FEHLER"))</f>
        <v/>
      </c>
      <c r="J32" s="13" t="n">
        <v>1e-06</v>
      </c>
      <c r="K32" s="13">
        <f>IF(H32="","offen",IFERROR(IF(ABS(H32-F32)&lt;=J32*MAX(1,ABS(F32)),"stimmt","ABWEICHUNG"),"FEHLER"))</f>
        <v/>
      </c>
    </row>
    <row r="33">
      <c r="A33" s="9" t="n">
        <v>27</v>
      </c>
      <c r="B33" s="9" t="inlineStr">
        <is>
          <t>S13.DF.Z30.X.ITT.HAUPT</t>
        </is>
      </c>
      <c r="C33" s="9" t="inlineStr">
        <is>
          <t>Residualfreiheitsgrade</t>
        </is>
      </c>
      <c r="D33" s="9" t="inlineStr">
        <is>
          <t>S13 Regel 1: n − 4.</t>
        </is>
      </c>
      <c r="E33" s="9" t="inlineStr">
        <is>
          <t>ANCOVA_Z30</t>
        </is>
      </c>
      <c r="F33" s="10" t="n">
        <v>22</v>
      </c>
      <c r="G33" s="10" t="n">
        <v>22</v>
      </c>
      <c r="H33" s="11">
        <f>ANCOVA_Z30!$B$33-4</f>
        <v/>
      </c>
      <c r="I33" s="9">
        <f>IF(H33="","",IFERROR(H33-F33,"FEHLER"))</f>
        <v/>
      </c>
      <c r="J33" s="9" t="n">
        <v>0</v>
      </c>
      <c r="K33" s="9">
        <f>IF(H33="","offen",IFERROR(IF(ABS(H33-F33)&lt;=J33*MAX(1,ABS(F33)),"stimmt","ABWEICHUNG"),"FEHLER"))</f>
        <v/>
      </c>
    </row>
    <row r="34">
      <c r="A34" s="13" t="n">
        <v>28</v>
      </c>
      <c r="B34" s="13" t="inlineStr">
        <is>
          <t>S13.P.Z30.X.ITT.HAUPT</t>
        </is>
      </c>
      <c r="C34" s="13" t="inlineStr">
        <is>
          <t>p von b1, zweiseitig</t>
        </is>
      </c>
      <c r="D34" s="13" t="inlineStr">
        <is>
          <t>S13 Regel 2: t = b1/SE, p = T.DIST.2T(ABS(t), df).</t>
        </is>
      </c>
      <c r="E34" s="13" t="inlineStr">
        <is>
          <t>Kennwerte Nr. 25 bis 27</t>
        </is>
      </c>
      <c r="F34" s="14" t="n">
        <v>0.557014333528002</v>
      </c>
      <c r="G34" s="14" t="n">
        <v>0.5570143335279915</v>
      </c>
      <c r="H34" s="11">
        <f>_xlfn.T.DIST.2T(ABS($H$31/$H$32),$H$33)</f>
        <v/>
      </c>
      <c r="I34" s="13">
        <f>IF(H34="","",IFERROR(H34-F34,"FEHLER"))</f>
        <v/>
      </c>
      <c r="J34" s="13" t="n">
        <v>1e-06</v>
      </c>
      <c r="K34" s="13">
        <f>IF(H34="","offen",IFERROR(IF(ABS(H34-F34)&lt;=J34*MAX(1,ABS(F34)),"stimmt","ABWEICHUNG"),"FEHLER"))</f>
        <v/>
      </c>
    </row>
    <row r="35">
      <c r="A35" s="9" t="n">
        <v>29</v>
      </c>
      <c r="B35" s="9" t="inlineStr">
        <is>
          <t>S13.KIU.Z30.X.ITT.HAUPT</t>
        </is>
      </c>
      <c r="C35" s="9" t="inlineStr">
        <is>
          <t>Untere KI-Grenze von b1</t>
        </is>
      </c>
      <c r="D35" s="9" t="inlineStr">
        <is>
          <t>S13 Regel 2: b1 − T.INV.2T(0,05, df) · SE.</t>
        </is>
      </c>
      <c r="E35" s="9" t="inlineStr">
        <is>
          <t>Kennwerte Nr. 25 bis 27</t>
        </is>
      </c>
      <c r="F35" s="10" t="n">
        <v>-0.1992757397171581</v>
      </c>
      <c r="G35" s="10" t="n">
        <v>-0.199275739717159</v>
      </c>
      <c r="H35" s="11">
        <f>$H$31-_xlfn.T.INV.2T(0.05,$H$33)*$H$32</f>
        <v/>
      </c>
      <c r="I35" s="9">
        <f>IF(H35="","",IFERROR(H35-F35,"FEHLER"))</f>
        <v/>
      </c>
      <c r="J35" s="9" t="n">
        <v>1e-06</v>
      </c>
      <c r="K35" s="9">
        <f>IF(H35="","offen",IFERROR(IF(ABS(H35-F35)&lt;=J35*MAX(1,ABS(F35)),"stimmt","ABWEICHUNG"),"FEHLER"))</f>
        <v/>
      </c>
    </row>
    <row r="36">
      <c r="A36" s="13" t="n">
        <v>30</v>
      </c>
      <c r="B36" s="13" t="inlineStr">
        <is>
          <t>S15.SDPRE.Z30.X.ITT.HAUPT</t>
        </is>
      </c>
      <c r="C36" s="13" t="inlineStr">
        <is>
          <t>Gepoolte Prä-SD des ITT-Sets 30 m</t>
        </is>
      </c>
      <c r="D36" s="13" t="inlineStr">
        <is>
          <t>S15 Regel 1: wie Nr. 22, mit den BEST prä (Blatt ANCOVA_Z30, Spalten G und H).</t>
        </is>
      </c>
      <c r="E36" s="13" t="inlineStr">
        <is>
          <t>ANCOVA_Z30</t>
        </is>
      </c>
      <c r="F36" s="14" t="n">
        <v>0.2336961836444918</v>
      </c>
      <c r="G36" s="14" t="n">
        <v>0.2336961836444918</v>
      </c>
      <c r="H36" s="11">
        <f>SQRT(((ANCOVA_Z30!$B$31-1)*_xlfn.VAR.S(ANCOVA_Z30!$G$3:$G$28)+(ANCOVA_Z30!$B$32-1)*_xlfn.VAR.S(ANCOVA_Z30!$H$3:$H$28))/(ANCOVA_Z30!$B$33-2))</f>
        <v/>
      </c>
      <c r="I36" s="13">
        <f>IF(H36="","",IFERROR(H36-F36,"FEHLER"))</f>
        <v/>
      </c>
      <c r="J36" s="13" t="n">
        <v>1e-06</v>
      </c>
      <c r="K36" s="13">
        <f>IF(H36="","offen",IFERROR(IF(ABS(H36-F36)&lt;=J36*MAX(1,ABS(F36)),"stimmt","ABWEICHUNG"),"FEHLER"))</f>
        <v/>
      </c>
    </row>
    <row r="37">
      <c r="A37" s="9" t="n">
        <v>31</v>
      </c>
      <c r="B37" s="9" t="inlineStr">
        <is>
          <t>S15.J.Z30.X.ITT.HAUPT</t>
        </is>
      </c>
      <c r="C37" s="9" t="inlineStr">
        <is>
          <t>Korrekturfaktor J</t>
        </is>
      </c>
      <c r="D37" s="9" t="inlineStr">
        <is>
          <t>S15 Regel 2: 1 − 3/(4·(n_IG + n_KG − 2) − 1).</t>
        </is>
      </c>
      <c r="E37" s="9" t="inlineStr">
        <is>
          <t>ANCOVA_Z30</t>
        </is>
      </c>
      <c r="F37" s="10" t="n">
        <v>0.968421052631579</v>
      </c>
      <c r="G37" s="10" t="n">
        <v>0.968421052631579</v>
      </c>
      <c r="H37" s="11">
        <f>1-3/(4*(ANCOVA_Z30!$B$33-2)-1)</f>
        <v/>
      </c>
      <c r="I37" s="9">
        <f>IF(H37="","",IFERROR(H37-F37,"FEHLER"))</f>
        <v/>
      </c>
      <c r="J37" s="9" t="n">
        <v>1e-06</v>
      </c>
      <c r="K37" s="9">
        <f>IF(H37="","offen",IFERROR(IF(ABS(H37-F37)&lt;=J37*MAX(1,ABS(F37)),"stimmt","ABWEICHUNG"),"FEHLER"))</f>
        <v/>
      </c>
    </row>
    <row r="38">
      <c r="A38" s="13" t="n">
        <v>32</v>
      </c>
      <c r="B38" s="13" t="inlineStr">
        <is>
          <t>S15.G.Z30.X.ITT.HAUPT</t>
        </is>
      </c>
      <c r="C38" s="13" t="inlineStr">
        <is>
          <t>Hedges’ g</t>
        </is>
      </c>
      <c r="D38" s="13" t="inlineStr">
        <is>
          <t>S15 Regel 3: b1 / SD_prä · J.</t>
        </is>
      </c>
      <c r="E38" s="13" t="inlineStr">
        <is>
          <t>Kennwerte Nr. 25, 30, 31</t>
        </is>
      </c>
      <c r="F38" s="14" t="n">
        <v>-0.1844305739228966</v>
      </c>
      <c r="G38" s="14" t="n">
        <v>-0.1844305739229014</v>
      </c>
      <c r="H38" s="11">
        <f>$H$31/$H$36*$H$37</f>
        <v/>
      </c>
      <c r="I38" s="13">
        <f>IF(H38="","",IFERROR(H38-F38,"FEHLER"))</f>
        <v/>
      </c>
      <c r="J38" s="13" t="n">
        <v>1e-06</v>
      </c>
      <c r="K38" s="13">
        <f>IF(H38="","offen",IFERROR(IF(ABS(H38-F38)&lt;=J38*MAX(1,ABS(F38)),"stimmt","ABWEICHUNG"),"FEHLER"))</f>
        <v/>
      </c>
    </row>
    <row r="39">
      <c r="A39" s="9" t="n">
        <v>33</v>
      </c>
      <c r="B39" s="9" t="inlineStr">
        <is>
          <t>S18.FCRIT.Z30.X.ITT.X</t>
        </is>
      </c>
      <c r="C39" s="9" t="inlineStr">
        <is>
          <t>Kritischer F-Wert der Poweranalyse 30 m</t>
        </is>
      </c>
      <c r="D39" s="9" t="inlineStr">
        <is>
          <t>S18 Regel 3: F_1,df2(0,95) mit df2 = N − 4. Excel: F.INV.RT(0,05, 1, df2).</t>
        </is>
      </c>
      <c r="E39" s="9" t="inlineStr">
        <is>
          <t>ANCOVA_Z30 (N = n_IG + n_KG des ITT-Sets)</t>
        </is>
      </c>
      <c r="F39" s="10" t="n">
        <v>4.300949501777657</v>
      </c>
      <c r="G39" s="10" t="n">
        <v>4.300949501777654</v>
      </c>
      <c r="H39" s="11">
        <f>_xlfn.F.INV.RT(0.05,1,ANCOVA_Z30!$B$33-4)</f>
        <v/>
      </c>
      <c r="I39" s="9">
        <f>IF(H39="","",IFERROR(H39-F39,"FEHLER"))</f>
        <v/>
      </c>
      <c r="J39" s="9" t="n">
        <v>1e-06</v>
      </c>
      <c r="K39" s="9">
        <f>IF(H39="","offen",IFERROR(IF(ABS(H39-F39)&lt;=J39*MAX(1,ABS(F39)),"stimmt","ABWEICHUNG"),"FEHLER"))</f>
        <v/>
      </c>
    </row>
    <row r="40">
      <c r="A40" s="13" t="n">
        <v>34</v>
      </c>
      <c r="B40" s="13" t="inlineStr">
        <is>
          <t>S13.H0REJ.X.X.ITT.HAUPT</t>
        </is>
      </c>
      <c r="C40" s="13" t="inlineStr">
        <is>
          <t>Merkmal H0 abgelehnt</t>
        </is>
      </c>
      <c r="D40" s="13" t="inlineStr">
        <is>
          <t>S13 Entscheidungsregel: 1, wenn für mindestens eine der drei Zielgrößen p &lt; 0,05 und b1 in günstiger Richtung (Zeiten negativ, Sprung positiv), sonst 0. Für 30 m aus den Kennwerten Nr. 25 und 28, für CM und SBJ aus der Tabelle „Eingang aus der Ergebnisdatei“ (Spalten M bis O), wie vorab festgelegt.</t>
        </is>
      </c>
      <c r="E40" s="13" t="inlineStr">
        <is>
          <t>Kennwerte Nr. 25 und 28, Eingang aus der Ergebnisdatei</t>
        </is>
      </c>
      <c r="F40" s="14" t="n">
        <v>0</v>
      </c>
      <c r="G40" s="14" t="n">
        <v>0</v>
      </c>
      <c r="H40" s="11">
        <f>IF(OR(AND($H$34&lt;0.05,$H$31&lt;0),AND($O$7&lt;0.05,$O$8&lt;0),AND($O$9&lt;0.05,$O$10&gt;0)),1,0)</f>
        <v/>
      </c>
      <c r="I40" s="13">
        <f>IF(H40="","",IFERROR(H40-F40,"FEHLER"))</f>
        <v/>
      </c>
      <c r="J40" s="13" t="n">
        <v>0</v>
      </c>
      <c r="K40" s="13">
        <f>IF(H40="","offen",IFERROR(IF(ABS(H40-F40)&lt;=J40*MAX(1,ABS(F40)),"stimmt","ABWEICHUNG"),"FEHLER"))</f>
        <v/>
      </c>
    </row>
    <row r="41"/>
    <row r="42">
      <c r="A42" s="6" t="inlineStr">
        <is>
          <t>Zusatzprüfungen (Formeln, kein Kennwert der Liste)</t>
        </is>
      </c>
    </row>
    <row r="43">
      <c r="A43" s="15" t="inlineStr">
        <is>
          <t>Z1</t>
        </is>
      </c>
      <c r="B43" s="16" t="n"/>
      <c r="C43" s="9" t="inlineStr">
        <is>
          <t>Zahl auslösegestörter Sprintläufe prä und post (S02 Regel 2), Formel gegen berichtete Rechnung</t>
        </is>
      </c>
      <c r="D43" s="16" t="n"/>
      <c r="E43" s="15" t="inlineStr">
        <is>
          <t>S02.NAUSL.X.PRE.ALL.X + S02.NAUSL.X.POST.ALL.X</t>
        </is>
      </c>
      <c r="F43" s="17" t="n">
        <v>0</v>
      </c>
      <c r="G43" s="16" t="n"/>
      <c r="H43" s="18">
        <f>COUNTIF(Versuchsdaten!$N$2:$N$1117,1)/3</f>
        <v/>
      </c>
      <c r="I43" s="16" t="n"/>
      <c r="J43" s="15" t="n">
        <v>0</v>
      </c>
      <c r="K43" s="15">
        <f>IFERROR(IF(ABS(H43-F43)&lt;=J43,"stimmt","ABWEICHUNG"),"FEHLER")</f>
        <v/>
      </c>
    </row>
    <row r="44">
      <c r="A44" s="15" t="inlineStr">
        <is>
          <t>Z2</t>
        </is>
      </c>
      <c r="B44" s="16" t="n"/>
      <c r="C44" s="9" t="inlineStr">
        <is>
          <t>Zwischengrößen je Spieler (11 Größen × Spieler): Zahl der Zellen, in denen Formelwert und berichtete Rechnung abweichen (Blatt Formelwerte)</t>
        </is>
      </c>
      <c r="D44" s="16" t="n"/>
      <c r="E44" s="15" t="inlineStr">
        <is>
          <t>Sollwert 0</t>
        </is>
      </c>
      <c r="F44" s="17" t="n">
        <v>0</v>
      </c>
      <c r="G44" s="16" t="n"/>
      <c r="H44" s="18">
        <f>SUM(Formelwerte!$AS$4:$AS$34)</f>
        <v/>
      </c>
      <c r="I44" s="16" t="n"/>
      <c r="J44" s="15" t="n">
        <v>0</v>
      </c>
      <c r="K44" s="15">
        <f>IFERROR(IF(ABS(H44-F44)&lt;=J44,"stimmt","ABWEICHUNG"),"FEHLER")</f>
        <v/>
      </c>
    </row>
    <row r="45">
      <c r="A45" s="15" t="inlineStr">
        <is>
          <t>Z3</t>
        </is>
      </c>
      <c r="B45" s="16" t="n"/>
      <c r="C45" s="9" t="inlineStr">
        <is>
          <t>Blockgröße ANCOVA_Z30 = Zahl der Spieler mit ITT Z30 = 1 nach Formel</t>
        </is>
      </c>
      <c r="D45" s="16" t="n"/>
      <c r="E45" s="15" t="inlineStr">
        <is>
          <t>Zeilen des Blocks</t>
        </is>
      </c>
      <c r="F45" s="17" t="n">
        <v>26</v>
      </c>
      <c r="G45" s="16" t="n"/>
      <c r="H45" s="18">
        <f>ANCOVA_Z30!$B$37</f>
        <v/>
      </c>
      <c r="I45" s="16" t="n"/>
      <c r="J45" s="15" t="n">
        <v>0</v>
      </c>
      <c r="K45" s="15">
        <f>IFERROR(IF(ABS(H45-F45)&lt;=J45,"stimmt","ABWEICHUNG"),"FEHLER")</f>
        <v/>
      </c>
    </row>
    <row r="46">
      <c r="A46" s="15" t="inlineStr">
        <is>
          <t>Z4</t>
        </is>
      </c>
      <c r="B46" s="16" t="n"/>
      <c r="C46" s="9" t="inlineStr">
        <is>
          <t>Alle 34 Kennwerte mit Urteil „stimmt“</t>
        </is>
      </c>
      <c r="D46" s="16" t="n"/>
      <c r="E46" s="15" t="inlineStr">
        <is>
          <t>34</t>
        </is>
      </c>
      <c r="F46" s="17" t="n">
        <v>34</v>
      </c>
      <c r="G46" s="16" t="n"/>
      <c r="H46" s="18">
        <f>COUNTIF(K7:K40,"stimmt")</f>
        <v/>
      </c>
      <c r="I46" s="16" t="n"/>
      <c r="J46" s="15" t="n">
        <v>0</v>
      </c>
      <c r="K46" s="15">
        <f>IFERROR(IF(ABS(H46-F46)&lt;=J46,"stimmt","ABWEICHUNG"),"FEHLER")</f>
        <v/>
      </c>
    </row>
    <row r="47"/>
    <row r="48" ht="40" customHeight="1">
      <c r="A48" s="19" t="inlineStr">
        <is>
          <t>Quellen: Werte R aus Ergebnisse_R_2026-09-25.csv (SHA-256 3194a805…), Werte Python aus Ergebnisse_Python_2026-09-25.csv (SHA-256 2d4ce431…). Kennungen nach Spezifikation_2026-09-24_Kennungen.csv. Toleranzregel wie G.3 (deterministisch), für die Handprobe auf 1e-6 relativ gelockert, weil Excel andere Rechenwege nutzt. Fassung 2 vom 25.09.2026: Handwerte als Excel-Formeln (Verfasserentscheidung 25.09.2026, Register R12).</t>
        </is>
      </c>
    </row>
  </sheetData>
  <mergeCells count="1">
    <mergeCell ref="A48:K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  <col width="14" customWidth="1" min="9" max="9"/>
    <col width="16" customWidth="1" min="10" max="10"/>
    <col width="12" customWidth="1" min="11" max="11"/>
    <col width="12" customWidth="1" min="12" max="12"/>
    <col width="12" customWidth="1" min="13" max="13"/>
    <col width="18" customWidth="1" min="14" max="14"/>
    <col width="14" customWidth="1" min="15" max="15"/>
    <col width="18" customWidth="1" min="16" max="16"/>
    <col width="16" customWidth="1" min="17" max="17"/>
  </cols>
  <sheetData>
    <row r="1">
      <c r="A1" s="20" t="inlineStr">
        <is>
          <t>Code</t>
        </is>
      </c>
      <c r="B1" s="20" t="inlineStr">
        <is>
          <t>Zeitpunkt</t>
        </is>
      </c>
      <c r="C1" s="20" t="inlineStr">
        <is>
          <t>Test</t>
        </is>
      </c>
      <c r="D1" s="20" t="inlineStr">
        <is>
          <t>Seite</t>
        </is>
      </c>
      <c r="E1" s="20" t="inlineStr">
        <is>
          <t>Versuch</t>
        </is>
      </c>
      <c r="F1" s="20" t="inlineStr">
        <is>
          <t>Wert</t>
        </is>
      </c>
      <c r="G1" s="20" t="inlineStr">
        <is>
          <t>ungültig</t>
        </is>
      </c>
      <c r="H1" s="20" t="inlineStr">
        <is>
          <t>Bemerkung</t>
        </is>
      </c>
      <c r="I1" s="21" t="inlineStr">
        <is>
          <t>Gruppe (Formel)</t>
        </is>
      </c>
      <c r="J1" s="21" t="inlineStr">
        <is>
          <t>gültig_roh (S02 R1)</t>
        </is>
      </c>
      <c r="K1" s="21" t="inlineStr">
        <is>
          <t>t5 des Laufs</t>
        </is>
      </c>
      <c r="L1" s="21" t="inlineStr">
        <is>
          <t>t10 des Laufs</t>
        </is>
      </c>
      <c r="M1" s="21" t="inlineStr">
        <is>
          <t>t30 des Laufs</t>
        </is>
      </c>
      <c r="N1" s="21" t="inlineStr">
        <is>
          <t>auslösegestört (S02 R2)</t>
        </is>
      </c>
      <c r="O1" s="21" t="inlineStr">
        <is>
          <t>gültig (S02 R3)</t>
        </is>
      </c>
      <c r="P1" s="21" t="inlineStr">
        <is>
          <t>Status (Formel)</t>
        </is>
      </c>
      <c r="Q1" s="21" t="inlineStr">
        <is>
          <t>Kategorie (S03)</t>
        </is>
      </c>
    </row>
    <row r="2">
      <c r="A2" s="5" t="inlineStr">
        <is>
          <t>BW-01</t>
        </is>
      </c>
      <c r="B2" s="5" t="inlineStr">
        <is>
          <t>prä</t>
        </is>
      </c>
      <c r="C2" s="5" t="inlineStr">
        <is>
          <t>Sprint_5m</t>
        </is>
      </c>
      <c r="D2" s="5" t="inlineStr">
        <is>
          <t>–</t>
        </is>
      </c>
      <c r="E2" s="5" t="n">
        <v>1</v>
      </c>
      <c r="F2" s="5" t="n">
        <v>1.06</v>
      </c>
      <c r="G2" s="5" t="n"/>
      <c r="H2" s="5" t="n"/>
      <c r="I2" s="22">
        <f>INDEX(Personendaten!$C$2:$C$32,MATCH(A2,Personendaten!$A$2:$A$32,0))</f>
        <v/>
      </c>
      <c r="J2" s="22">
        <f>IF(AND(F2&lt;&gt;"",G2=""),1,0)</f>
        <v/>
      </c>
      <c r="K2" s="22">
        <f>IF(LEFT(C2,7)&lt;&gt;"Sprint_","",IF(COUNTIFS(Versuchsdaten!$A$2:$A$1117,$A2,Versuchsdaten!$B$2:$B$1117,$B2,Versuchsdaten!$C$2:$C$1117,"Sprint_5m",Versuchsdaten!$E$2:$E$1117,$E2,Versuchsdaten!$J$2:$J$1117,1)=1,SUMIFS(Versuchsdaten!$F$2:$F$1117,Versuchsdaten!$A$2:$A$1117,$A2,Versuchsdaten!$B$2:$B$1117,$B2,Versuchsdaten!$C$2:$C$1117,"Sprint_5m",Versuchsdaten!$E$2:$E$1117,$E2,Versuchsdaten!$J$2:$J$1117,1),""))</f>
        <v/>
      </c>
      <c r="L2" s="22">
        <f>IF(LEFT(C2,7)&lt;&gt;"Sprint_","",IF(COUNTIFS(Versuchsdaten!$A$2:$A$1117,$A2,Versuchsdaten!$B$2:$B$1117,$B2,Versuchsdaten!$C$2:$C$1117,"Sprint_10m",Versuchsdaten!$E$2:$E$1117,$E2,Versuchsdaten!$J$2:$J$1117,1)=1,SUMIFS(Versuchsdaten!$F$2:$F$1117,Versuchsdaten!$A$2:$A$1117,$A2,Versuchsdaten!$B$2:$B$1117,$B2,Versuchsdaten!$C$2:$C$1117,"Sprint_10m",Versuchsdaten!$E$2:$E$1117,$E2,Versuchsdaten!$J$2:$J$1117,1),""))</f>
        <v/>
      </c>
      <c r="M2" s="22">
        <f>IF(LEFT(C2,7)&lt;&gt;"Sprint_","",IF(COUNTIFS(Versuchsdaten!$A$2:$A$1117,$A2,Versuchsdaten!$B$2:$B$1117,$B2,Versuchsdaten!$C$2:$C$1117,"Sprint_30m",Versuchsdaten!$E$2:$E$1117,$E2,Versuchsdaten!$J$2:$J$1117,1)=1,SUMIFS(Versuchsdaten!$F$2:$F$1117,Versuchsdaten!$A$2:$A$1117,$A2,Versuchsdaten!$B$2:$B$1117,$B2,Versuchsdaten!$C$2:$C$1117,"Sprint_30m",Versuchsdaten!$E$2:$E$1117,$E2,Versuchsdaten!$J$2:$J$1117,1),""))</f>
        <v/>
      </c>
      <c r="N2" s="22">
        <f>IF(LEFT(C2,7)&lt;&gt;"Sprint_",0,IF(IF(ISNUMBER(K2),IF(K2&lt;=0,1,IF(5/K2&gt;10,1,0)),0)+IF(ISNUMBER(L2),IF(ISNUMBER(K2),IF(L2-K2&lt;=0,1,IF(5/(L2-K2)&gt;10,1,0)),IF(L2&lt;=0,1,IF(10/L2&gt;10,1,0))),0)+IF(ISNUMBER(M2),IF(ISNUMBER(L2),IF(M2-L2&lt;=0,1,IF(20/(M2-L2)&gt;10,1,0)),IF(ISNUMBER(K2),IF(M2-K2&lt;=0,1,IF(25/(M2-K2)&gt;10,1,0)),IF(M2&lt;=0,1,IF(30/M2&gt;10,1,0)))),0)&gt;0,1,0))</f>
        <v/>
      </c>
      <c r="O2" s="22">
        <f>IF(AND(J2=1,N2=0),1,0)</f>
        <v/>
      </c>
      <c r="P2" s="22">
        <f>INDEX(Personendaten!$J$2:$J$32,MATCH(A2,Personendaten!$A$2:$A$32,0))</f>
        <v/>
      </c>
      <c r="Q2" s="22">
        <f>IF(O2=1,"",IF(AND(B2="post",P2="nicht angetreten"),"NANG",IF(N2=1,"AUSL",IFERROR(VLOOKUP(H2,Vokabular!$A$2:$B$8,2,FALSE),"UNBEKANNT"))))</f>
        <v/>
      </c>
    </row>
    <row r="3">
      <c r="A3" s="5" t="inlineStr">
        <is>
          <t>BW-01</t>
        </is>
      </c>
      <c r="B3" s="5" t="inlineStr">
        <is>
          <t>prä</t>
        </is>
      </c>
      <c r="C3" s="5" t="inlineStr">
        <is>
          <t>Sprint_5m</t>
        </is>
      </c>
      <c r="D3" s="5" t="inlineStr">
        <is>
          <t>–</t>
        </is>
      </c>
      <c r="E3" s="5" t="n">
        <v>2</v>
      </c>
      <c r="F3" s="5" t="n"/>
      <c r="G3" s="5" t="n"/>
      <c r="H3" s="5" t="inlineStr">
        <is>
          <t>System nicht aufgenommen</t>
        </is>
      </c>
      <c r="I3" s="22">
        <f>INDEX(Personendaten!$C$2:$C$32,MATCH(A3,Personendaten!$A$2:$A$32,0))</f>
        <v/>
      </c>
      <c r="J3" s="22">
        <f>IF(AND(F3&lt;&gt;"",G3=""),1,0)</f>
        <v/>
      </c>
      <c r="K3" s="22">
        <f>IF(LEFT(C3,7)&lt;&gt;"Sprint_","",IF(COUNTIFS(Versuchsdaten!$A$2:$A$1117,$A3,Versuchsdaten!$B$2:$B$1117,$B3,Versuchsdaten!$C$2:$C$1117,"Sprint_5m",Versuchsdaten!$E$2:$E$1117,$E3,Versuchsdaten!$J$2:$J$1117,1)=1,SUMIFS(Versuchsdaten!$F$2:$F$1117,Versuchsdaten!$A$2:$A$1117,$A3,Versuchsdaten!$B$2:$B$1117,$B3,Versuchsdaten!$C$2:$C$1117,"Sprint_5m",Versuchsdaten!$E$2:$E$1117,$E3,Versuchsdaten!$J$2:$J$1117,1),""))</f>
        <v/>
      </c>
      <c r="L3" s="22">
        <f>IF(LEFT(C3,7)&lt;&gt;"Sprint_","",IF(COUNTIFS(Versuchsdaten!$A$2:$A$1117,$A3,Versuchsdaten!$B$2:$B$1117,$B3,Versuchsdaten!$C$2:$C$1117,"Sprint_10m",Versuchsdaten!$E$2:$E$1117,$E3,Versuchsdaten!$J$2:$J$1117,1)=1,SUMIFS(Versuchsdaten!$F$2:$F$1117,Versuchsdaten!$A$2:$A$1117,$A3,Versuchsdaten!$B$2:$B$1117,$B3,Versuchsdaten!$C$2:$C$1117,"Sprint_10m",Versuchsdaten!$E$2:$E$1117,$E3,Versuchsdaten!$J$2:$J$1117,1),""))</f>
        <v/>
      </c>
      <c r="M3" s="22">
        <f>IF(LEFT(C3,7)&lt;&gt;"Sprint_","",IF(COUNTIFS(Versuchsdaten!$A$2:$A$1117,$A3,Versuchsdaten!$B$2:$B$1117,$B3,Versuchsdaten!$C$2:$C$1117,"Sprint_30m",Versuchsdaten!$E$2:$E$1117,$E3,Versuchsdaten!$J$2:$J$1117,1)=1,SUMIFS(Versuchsdaten!$F$2:$F$1117,Versuchsdaten!$A$2:$A$1117,$A3,Versuchsdaten!$B$2:$B$1117,$B3,Versuchsdaten!$C$2:$C$1117,"Sprint_30m",Versuchsdaten!$E$2:$E$1117,$E3,Versuchsdaten!$J$2:$J$1117,1),""))</f>
        <v/>
      </c>
      <c r="N3" s="22">
        <f>IF(LEFT(C3,7)&lt;&gt;"Sprint_",0,IF(IF(ISNUMBER(K3),IF(K3&lt;=0,1,IF(5/K3&gt;10,1,0)),0)+IF(ISNUMBER(L3),IF(ISNUMBER(K3),IF(L3-K3&lt;=0,1,IF(5/(L3-K3)&gt;10,1,0)),IF(L3&lt;=0,1,IF(10/L3&gt;10,1,0))),0)+IF(ISNUMBER(M3),IF(ISNUMBER(L3),IF(M3-L3&lt;=0,1,IF(20/(M3-L3)&gt;10,1,0)),IF(ISNUMBER(K3),IF(M3-K3&lt;=0,1,IF(25/(M3-K3)&gt;10,1,0)),IF(M3&lt;=0,1,IF(30/M3&gt;10,1,0)))),0)&gt;0,1,0))</f>
        <v/>
      </c>
      <c r="O3" s="22">
        <f>IF(AND(J3=1,N3=0),1,0)</f>
        <v/>
      </c>
      <c r="P3" s="22">
        <f>INDEX(Personendaten!$J$2:$J$32,MATCH(A3,Personendaten!$A$2:$A$32,0))</f>
        <v/>
      </c>
      <c r="Q3" s="22">
        <f>IF(O3=1,"",IF(AND(B3="post",P3="nicht angetreten"),"NANG",IF(N3=1,"AUSL",IFERROR(VLOOKUP(H3,Vokabular!$A$2:$B$8,2,FALSE),"UNBEKANNT"))))</f>
        <v/>
      </c>
    </row>
    <row r="4">
      <c r="A4" s="5" t="inlineStr">
        <is>
          <t>BW-01</t>
        </is>
      </c>
      <c r="B4" s="5" t="inlineStr">
        <is>
          <t>prä</t>
        </is>
      </c>
      <c r="C4" s="5" t="inlineStr">
        <is>
          <t>Sprint_5m</t>
        </is>
      </c>
      <c r="D4" s="5" t="inlineStr">
        <is>
          <t>–</t>
        </is>
      </c>
      <c r="E4" s="5" t="n">
        <v>3</v>
      </c>
      <c r="F4" s="5" t="n">
        <v>1.05</v>
      </c>
      <c r="G4" s="5" t="n"/>
      <c r="H4" s="5" t="n"/>
      <c r="I4" s="22">
        <f>INDEX(Personendaten!$C$2:$C$32,MATCH(A4,Personendaten!$A$2:$A$32,0))</f>
        <v/>
      </c>
      <c r="J4" s="22">
        <f>IF(AND(F4&lt;&gt;"",G4=""),1,0)</f>
        <v/>
      </c>
      <c r="K4" s="22">
        <f>IF(LEFT(C4,7)&lt;&gt;"Sprint_","",IF(COUNTIFS(Versuchsdaten!$A$2:$A$1117,$A4,Versuchsdaten!$B$2:$B$1117,$B4,Versuchsdaten!$C$2:$C$1117,"Sprint_5m",Versuchsdaten!$E$2:$E$1117,$E4,Versuchsdaten!$J$2:$J$1117,1)=1,SUMIFS(Versuchsdaten!$F$2:$F$1117,Versuchsdaten!$A$2:$A$1117,$A4,Versuchsdaten!$B$2:$B$1117,$B4,Versuchsdaten!$C$2:$C$1117,"Sprint_5m",Versuchsdaten!$E$2:$E$1117,$E4,Versuchsdaten!$J$2:$J$1117,1),""))</f>
        <v/>
      </c>
      <c r="L4" s="22">
        <f>IF(LEFT(C4,7)&lt;&gt;"Sprint_","",IF(COUNTIFS(Versuchsdaten!$A$2:$A$1117,$A4,Versuchsdaten!$B$2:$B$1117,$B4,Versuchsdaten!$C$2:$C$1117,"Sprint_10m",Versuchsdaten!$E$2:$E$1117,$E4,Versuchsdaten!$J$2:$J$1117,1)=1,SUMIFS(Versuchsdaten!$F$2:$F$1117,Versuchsdaten!$A$2:$A$1117,$A4,Versuchsdaten!$B$2:$B$1117,$B4,Versuchsdaten!$C$2:$C$1117,"Sprint_10m",Versuchsdaten!$E$2:$E$1117,$E4,Versuchsdaten!$J$2:$J$1117,1),""))</f>
        <v/>
      </c>
      <c r="M4" s="22">
        <f>IF(LEFT(C4,7)&lt;&gt;"Sprint_","",IF(COUNTIFS(Versuchsdaten!$A$2:$A$1117,$A4,Versuchsdaten!$B$2:$B$1117,$B4,Versuchsdaten!$C$2:$C$1117,"Sprint_30m",Versuchsdaten!$E$2:$E$1117,$E4,Versuchsdaten!$J$2:$J$1117,1)=1,SUMIFS(Versuchsdaten!$F$2:$F$1117,Versuchsdaten!$A$2:$A$1117,$A4,Versuchsdaten!$B$2:$B$1117,$B4,Versuchsdaten!$C$2:$C$1117,"Sprint_30m",Versuchsdaten!$E$2:$E$1117,$E4,Versuchsdaten!$J$2:$J$1117,1),""))</f>
        <v/>
      </c>
      <c r="N4" s="22">
        <f>IF(LEFT(C4,7)&lt;&gt;"Sprint_",0,IF(IF(ISNUMBER(K4),IF(K4&lt;=0,1,IF(5/K4&gt;10,1,0)),0)+IF(ISNUMBER(L4),IF(ISNUMBER(K4),IF(L4-K4&lt;=0,1,IF(5/(L4-K4)&gt;10,1,0)),IF(L4&lt;=0,1,IF(10/L4&gt;10,1,0))),0)+IF(ISNUMBER(M4),IF(ISNUMBER(L4),IF(M4-L4&lt;=0,1,IF(20/(M4-L4)&gt;10,1,0)),IF(ISNUMBER(K4),IF(M4-K4&lt;=0,1,IF(25/(M4-K4)&gt;10,1,0)),IF(M4&lt;=0,1,IF(30/M4&gt;10,1,0)))),0)&gt;0,1,0))</f>
        <v/>
      </c>
      <c r="O4" s="22">
        <f>IF(AND(J4=1,N4=0),1,0)</f>
        <v/>
      </c>
      <c r="P4" s="22">
        <f>INDEX(Personendaten!$J$2:$J$32,MATCH(A4,Personendaten!$A$2:$A$32,0))</f>
        <v/>
      </c>
      <c r="Q4" s="22">
        <f>IF(O4=1,"",IF(AND(B4="post",P4="nicht angetreten"),"NANG",IF(N4=1,"AUSL",IFERROR(VLOOKUP(H4,Vokabular!$A$2:$B$8,2,FALSE),"UNBEKANNT"))))</f>
        <v/>
      </c>
    </row>
    <row r="5">
      <c r="A5" s="5" t="inlineStr">
        <is>
          <t>BW-01</t>
        </is>
      </c>
      <c r="B5" s="5" t="inlineStr">
        <is>
          <t>prä</t>
        </is>
      </c>
      <c r="C5" s="5" t="inlineStr">
        <is>
          <t>Sprint_10m</t>
        </is>
      </c>
      <c r="D5" s="5" t="inlineStr">
        <is>
          <t>–</t>
        </is>
      </c>
      <c r="E5" s="5" t="n">
        <v>1</v>
      </c>
      <c r="F5" s="5" t="n">
        <v>1.84</v>
      </c>
      <c r="G5" s="5" t="n"/>
      <c r="H5" s="5" t="n"/>
      <c r="I5" s="22">
        <f>INDEX(Personendaten!$C$2:$C$32,MATCH(A5,Personendaten!$A$2:$A$32,0))</f>
        <v/>
      </c>
      <c r="J5" s="22">
        <f>IF(AND(F5&lt;&gt;"",G5=""),1,0)</f>
        <v/>
      </c>
      <c r="K5" s="22">
        <f>IF(LEFT(C5,7)&lt;&gt;"Sprint_","",IF(COUNTIFS(Versuchsdaten!$A$2:$A$1117,$A5,Versuchsdaten!$B$2:$B$1117,$B5,Versuchsdaten!$C$2:$C$1117,"Sprint_5m",Versuchsdaten!$E$2:$E$1117,$E5,Versuchsdaten!$J$2:$J$1117,1)=1,SUMIFS(Versuchsdaten!$F$2:$F$1117,Versuchsdaten!$A$2:$A$1117,$A5,Versuchsdaten!$B$2:$B$1117,$B5,Versuchsdaten!$C$2:$C$1117,"Sprint_5m",Versuchsdaten!$E$2:$E$1117,$E5,Versuchsdaten!$J$2:$J$1117,1),""))</f>
        <v/>
      </c>
      <c r="L5" s="22">
        <f>IF(LEFT(C5,7)&lt;&gt;"Sprint_","",IF(COUNTIFS(Versuchsdaten!$A$2:$A$1117,$A5,Versuchsdaten!$B$2:$B$1117,$B5,Versuchsdaten!$C$2:$C$1117,"Sprint_10m",Versuchsdaten!$E$2:$E$1117,$E5,Versuchsdaten!$J$2:$J$1117,1)=1,SUMIFS(Versuchsdaten!$F$2:$F$1117,Versuchsdaten!$A$2:$A$1117,$A5,Versuchsdaten!$B$2:$B$1117,$B5,Versuchsdaten!$C$2:$C$1117,"Sprint_10m",Versuchsdaten!$E$2:$E$1117,$E5,Versuchsdaten!$J$2:$J$1117,1),""))</f>
        <v/>
      </c>
      <c r="M5" s="22">
        <f>IF(LEFT(C5,7)&lt;&gt;"Sprint_","",IF(COUNTIFS(Versuchsdaten!$A$2:$A$1117,$A5,Versuchsdaten!$B$2:$B$1117,$B5,Versuchsdaten!$C$2:$C$1117,"Sprint_30m",Versuchsdaten!$E$2:$E$1117,$E5,Versuchsdaten!$J$2:$J$1117,1)=1,SUMIFS(Versuchsdaten!$F$2:$F$1117,Versuchsdaten!$A$2:$A$1117,$A5,Versuchsdaten!$B$2:$B$1117,$B5,Versuchsdaten!$C$2:$C$1117,"Sprint_30m",Versuchsdaten!$E$2:$E$1117,$E5,Versuchsdaten!$J$2:$J$1117,1),""))</f>
        <v/>
      </c>
      <c r="N5" s="22">
        <f>IF(LEFT(C5,7)&lt;&gt;"Sprint_",0,IF(IF(ISNUMBER(K5),IF(K5&lt;=0,1,IF(5/K5&gt;10,1,0)),0)+IF(ISNUMBER(L5),IF(ISNUMBER(K5),IF(L5-K5&lt;=0,1,IF(5/(L5-K5)&gt;10,1,0)),IF(L5&lt;=0,1,IF(10/L5&gt;10,1,0))),0)+IF(ISNUMBER(M5),IF(ISNUMBER(L5),IF(M5-L5&lt;=0,1,IF(20/(M5-L5)&gt;10,1,0)),IF(ISNUMBER(K5),IF(M5-K5&lt;=0,1,IF(25/(M5-K5)&gt;10,1,0)),IF(M5&lt;=0,1,IF(30/M5&gt;10,1,0)))),0)&gt;0,1,0))</f>
        <v/>
      </c>
      <c r="O5" s="22">
        <f>IF(AND(J5=1,N5=0),1,0)</f>
        <v/>
      </c>
      <c r="P5" s="22">
        <f>INDEX(Personendaten!$J$2:$J$32,MATCH(A5,Personendaten!$A$2:$A$32,0))</f>
        <v/>
      </c>
      <c r="Q5" s="22">
        <f>IF(O5=1,"",IF(AND(B5="post",P5="nicht angetreten"),"NANG",IF(N5=1,"AUSL",IFERROR(VLOOKUP(H5,Vokabular!$A$2:$B$8,2,FALSE),"UNBEKANNT"))))</f>
        <v/>
      </c>
    </row>
    <row r="6">
      <c r="A6" s="5" t="inlineStr">
        <is>
          <t>BW-01</t>
        </is>
      </c>
      <c r="B6" s="5" t="inlineStr">
        <is>
          <t>prä</t>
        </is>
      </c>
      <c r="C6" s="5" t="inlineStr">
        <is>
          <t>Sprint_10m</t>
        </is>
      </c>
      <c r="D6" s="5" t="inlineStr">
        <is>
          <t>–</t>
        </is>
      </c>
      <c r="E6" s="5" t="n">
        <v>2</v>
      </c>
      <c r="F6" s="5" t="n">
        <v>1.93</v>
      </c>
      <c r="G6" s="5" t="n"/>
      <c r="H6" s="5" t="n"/>
      <c r="I6" s="22">
        <f>INDEX(Personendaten!$C$2:$C$32,MATCH(A6,Personendaten!$A$2:$A$32,0))</f>
        <v/>
      </c>
      <c r="J6" s="22">
        <f>IF(AND(F6&lt;&gt;"",G6=""),1,0)</f>
        <v/>
      </c>
      <c r="K6" s="22">
        <f>IF(LEFT(C6,7)&lt;&gt;"Sprint_","",IF(COUNTIFS(Versuchsdaten!$A$2:$A$1117,$A6,Versuchsdaten!$B$2:$B$1117,$B6,Versuchsdaten!$C$2:$C$1117,"Sprint_5m",Versuchsdaten!$E$2:$E$1117,$E6,Versuchsdaten!$J$2:$J$1117,1)=1,SUMIFS(Versuchsdaten!$F$2:$F$1117,Versuchsdaten!$A$2:$A$1117,$A6,Versuchsdaten!$B$2:$B$1117,$B6,Versuchsdaten!$C$2:$C$1117,"Sprint_5m",Versuchsdaten!$E$2:$E$1117,$E6,Versuchsdaten!$J$2:$J$1117,1),""))</f>
        <v/>
      </c>
      <c r="L6" s="22">
        <f>IF(LEFT(C6,7)&lt;&gt;"Sprint_","",IF(COUNTIFS(Versuchsdaten!$A$2:$A$1117,$A6,Versuchsdaten!$B$2:$B$1117,$B6,Versuchsdaten!$C$2:$C$1117,"Sprint_10m",Versuchsdaten!$E$2:$E$1117,$E6,Versuchsdaten!$J$2:$J$1117,1)=1,SUMIFS(Versuchsdaten!$F$2:$F$1117,Versuchsdaten!$A$2:$A$1117,$A6,Versuchsdaten!$B$2:$B$1117,$B6,Versuchsdaten!$C$2:$C$1117,"Sprint_10m",Versuchsdaten!$E$2:$E$1117,$E6,Versuchsdaten!$J$2:$J$1117,1),""))</f>
        <v/>
      </c>
      <c r="M6" s="22">
        <f>IF(LEFT(C6,7)&lt;&gt;"Sprint_","",IF(COUNTIFS(Versuchsdaten!$A$2:$A$1117,$A6,Versuchsdaten!$B$2:$B$1117,$B6,Versuchsdaten!$C$2:$C$1117,"Sprint_30m",Versuchsdaten!$E$2:$E$1117,$E6,Versuchsdaten!$J$2:$J$1117,1)=1,SUMIFS(Versuchsdaten!$F$2:$F$1117,Versuchsdaten!$A$2:$A$1117,$A6,Versuchsdaten!$B$2:$B$1117,$B6,Versuchsdaten!$C$2:$C$1117,"Sprint_30m",Versuchsdaten!$E$2:$E$1117,$E6,Versuchsdaten!$J$2:$J$1117,1),""))</f>
        <v/>
      </c>
      <c r="N6" s="22">
        <f>IF(LEFT(C6,7)&lt;&gt;"Sprint_",0,IF(IF(ISNUMBER(K6),IF(K6&lt;=0,1,IF(5/K6&gt;10,1,0)),0)+IF(ISNUMBER(L6),IF(ISNUMBER(K6),IF(L6-K6&lt;=0,1,IF(5/(L6-K6)&gt;10,1,0)),IF(L6&lt;=0,1,IF(10/L6&gt;10,1,0))),0)+IF(ISNUMBER(M6),IF(ISNUMBER(L6),IF(M6-L6&lt;=0,1,IF(20/(M6-L6)&gt;10,1,0)),IF(ISNUMBER(K6),IF(M6-K6&lt;=0,1,IF(25/(M6-K6)&gt;10,1,0)),IF(M6&lt;=0,1,IF(30/M6&gt;10,1,0)))),0)&gt;0,1,0))</f>
        <v/>
      </c>
      <c r="O6" s="22">
        <f>IF(AND(J6=1,N6=0),1,0)</f>
        <v/>
      </c>
      <c r="P6" s="22">
        <f>INDEX(Personendaten!$J$2:$J$32,MATCH(A6,Personendaten!$A$2:$A$32,0))</f>
        <v/>
      </c>
      <c r="Q6" s="22">
        <f>IF(O6=1,"",IF(AND(B6="post",P6="nicht angetreten"),"NANG",IF(N6=1,"AUSL",IFERROR(VLOOKUP(H6,Vokabular!$A$2:$B$8,2,FALSE),"UNBEKANNT"))))</f>
        <v/>
      </c>
    </row>
    <row r="7">
      <c r="A7" s="5" t="inlineStr">
        <is>
          <t>BW-01</t>
        </is>
      </c>
      <c r="B7" s="5" t="inlineStr">
        <is>
          <t>prä</t>
        </is>
      </c>
      <c r="C7" s="5" t="inlineStr">
        <is>
          <t>Sprint_10m</t>
        </is>
      </c>
      <c r="D7" s="5" t="inlineStr">
        <is>
          <t>–</t>
        </is>
      </c>
      <c r="E7" s="5" t="n">
        <v>3</v>
      </c>
      <c r="F7" s="5" t="n">
        <v>1.9</v>
      </c>
      <c r="G7" s="5" t="n"/>
      <c r="H7" s="5" t="n"/>
      <c r="I7" s="22">
        <f>INDEX(Personendaten!$C$2:$C$32,MATCH(A7,Personendaten!$A$2:$A$32,0))</f>
        <v/>
      </c>
      <c r="J7" s="22">
        <f>IF(AND(F7&lt;&gt;"",G7=""),1,0)</f>
        <v/>
      </c>
      <c r="K7" s="22">
        <f>IF(LEFT(C7,7)&lt;&gt;"Sprint_","",IF(COUNTIFS(Versuchsdaten!$A$2:$A$1117,$A7,Versuchsdaten!$B$2:$B$1117,$B7,Versuchsdaten!$C$2:$C$1117,"Sprint_5m",Versuchsdaten!$E$2:$E$1117,$E7,Versuchsdaten!$J$2:$J$1117,1)=1,SUMIFS(Versuchsdaten!$F$2:$F$1117,Versuchsdaten!$A$2:$A$1117,$A7,Versuchsdaten!$B$2:$B$1117,$B7,Versuchsdaten!$C$2:$C$1117,"Sprint_5m",Versuchsdaten!$E$2:$E$1117,$E7,Versuchsdaten!$J$2:$J$1117,1),""))</f>
        <v/>
      </c>
      <c r="L7" s="22">
        <f>IF(LEFT(C7,7)&lt;&gt;"Sprint_","",IF(COUNTIFS(Versuchsdaten!$A$2:$A$1117,$A7,Versuchsdaten!$B$2:$B$1117,$B7,Versuchsdaten!$C$2:$C$1117,"Sprint_10m",Versuchsdaten!$E$2:$E$1117,$E7,Versuchsdaten!$J$2:$J$1117,1)=1,SUMIFS(Versuchsdaten!$F$2:$F$1117,Versuchsdaten!$A$2:$A$1117,$A7,Versuchsdaten!$B$2:$B$1117,$B7,Versuchsdaten!$C$2:$C$1117,"Sprint_10m",Versuchsdaten!$E$2:$E$1117,$E7,Versuchsdaten!$J$2:$J$1117,1),""))</f>
        <v/>
      </c>
      <c r="M7" s="22">
        <f>IF(LEFT(C7,7)&lt;&gt;"Sprint_","",IF(COUNTIFS(Versuchsdaten!$A$2:$A$1117,$A7,Versuchsdaten!$B$2:$B$1117,$B7,Versuchsdaten!$C$2:$C$1117,"Sprint_30m",Versuchsdaten!$E$2:$E$1117,$E7,Versuchsdaten!$J$2:$J$1117,1)=1,SUMIFS(Versuchsdaten!$F$2:$F$1117,Versuchsdaten!$A$2:$A$1117,$A7,Versuchsdaten!$B$2:$B$1117,$B7,Versuchsdaten!$C$2:$C$1117,"Sprint_30m",Versuchsdaten!$E$2:$E$1117,$E7,Versuchsdaten!$J$2:$J$1117,1),""))</f>
        <v/>
      </c>
      <c r="N7" s="22">
        <f>IF(LEFT(C7,7)&lt;&gt;"Sprint_",0,IF(IF(ISNUMBER(K7),IF(K7&lt;=0,1,IF(5/K7&gt;10,1,0)),0)+IF(ISNUMBER(L7),IF(ISNUMBER(K7),IF(L7-K7&lt;=0,1,IF(5/(L7-K7)&gt;10,1,0)),IF(L7&lt;=0,1,IF(10/L7&gt;10,1,0))),0)+IF(ISNUMBER(M7),IF(ISNUMBER(L7),IF(M7-L7&lt;=0,1,IF(20/(M7-L7)&gt;10,1,0)),IF(ISNUMBER(K7),IF(M7-K7&lt;=0,1,IF(25/(M7-K7)&gt;10,1,0)),IF(M7&lt;=0,1,IF(30/M7&gt;10,1,0)))),0)&gt;0,1,0))</f>
        <v/>
      </c>
      <c r="O7" s="22">
        <f>IF(AND(J7=1,N7=0),1,0)</f>
        <v/>
      </c>
      <c r="P7" s="22">
        <f>INDEX(Personendaten!$J$2:$J$32,MATCH(A7,Personendaten!$A$2:$A$32,0))</f>
        <v/>
      </c>
      <c r="Q7" s="22">
        <f>IF(O7=1,"",IF(AND(B7="post",P7="nicht angetreten"),"NANG",IF(N7=1,"AUSL",IFERROR(VLOOKUP(H7,Vokabular!$A$2:$B$8,2,FALSE),"UNBEKANNT"))))</f>
        <v/>
      </c>
    </row>
    <row r="8">
      <c r="A8" s="5" t="inlineStr">
        <is>
          <t>BW-01</t>
        </is>
      </c>
      <c r="B8" s="5" t="inlineStr">
        <is>
          <t>prä</t>
        </is>
      </c>
      <c r="C8" s="5" t="inlineStr">
        <is>
          <t>Sprint_30m</t>
        </is>
      </c>
      <c r="D8" s="5" t="inlineStr">
        <is>
          <t>–</t>
        </is>
      </c>
      <c r="E8" s="5" t="n">
        <v>1</v>
      </c>
      <c r="F8" s="5" t="n">
        <v>4.53</v>
      </c>
      <c r="G8" s="5" t="n"/>
      <c r="H8" s="5" t="n"/>
      <c r="I8" s="22">
        <f>INDEX(Personendaten!$C$2:$C$32,MATCH(A8,Personendaten!$A$2:$A$32,0))</f>
        <v/>
      </c>
      <c r="J8" s="22">
        <f>IF(AND(F8&lt;&gt;"",G8=""),1,0)</f>
        <v/>
      </c>
      <c r="K8" s="22">
        <f>IF(LEFT(C8,7)&lt;&gt;"Sprint_","",IF(COUNTIFS(Versuchsdaten!$A$2:$A$1117,$A8,Versuchsdaten!$B$2:$B$1117,$B8,Versuchsdaten!$C$2:$C$1117,"Sprint_5m",Versuchsdaten!$E$2:$E$1117,$E8,Versuchsdaten!$J$2:$J$1117,1)=1,SUMIFS(Versuchsdaten!$F$2:$F$1117,Versuchsdaten!$A$2:$A$1117,$A8,Versuchsdaten!$B$2:$B$1117,$B8,Versuchsdaten!$C$2:$C$1117,"Sprint_5m",Versuchsdaten!$E$2:$E$1117,$E8,Versuchsdaten!$J$2:$J$1117,1),""))</f>
        <v/>
      </c>
      <c r="L8" s="22">
        <f>IF(LEFT(C8,7)&lt;&gt;"Sprint_","",IF(COUNTIFS(Versuchsdaten!$A$2:$A$1117,$A8,Versuchsdaten!$B$2:$B$1117,$B8,Versuchsdaten!$C$2:$C$1117,"Sprint_10m",Versuchsdaten!$E$2:$E$1117,$E8,Versuchsdaten!$J$2:$J$1117,1)=1,SUMIFS(Versuchsdaten!$F$2:$F$1117,Versuchsdaten!$A$2:$A$1117,$A8,Versuchsdaten!$B$2:$B$1117,$B8,Versuchsdaten!$C$2:$C$1117,"Sprint_10m",Versuchsdaten!$E$2:$E$1117,$E8,Versuchsdaten!$J$2:$J$1117,1),""))</f>
        <v/>
      </c>
      <c r="M8" s="22">
        <f>IF(LEFT(C8,7)&lt;&gt;"Sprint_","",IF(COUNTIFS(Versuchsdaten!$A$2:$A$1117,$A8,Versuchsdaten!$B$2:$B$1117,$B8,Versuchsdaten!$C$2:$C$1117,"Sprint_30m",Versuchsdaten!$E$2:$E$1117,$E8,Versuchsdaten!$J$2:$J$1117,1)=1,SUMIFS(Versuchsdaten!$F$2:$F$1117,Versuchsdaten!$A$2:$A$1117,$A8,Versuchsdaten!$B$2:$B$1117,$B8,Versuchsdaten!$C$2:$C$1117,"Sprint_30m",Versuchsdaten!$E$2:$E$1117,$E8,Versuchsdaten!$J$2:$J$1117,1),""))</f>
        <v/>
      </c>
      <c r="N8" s="22">
        <f>IF(LEFT(C8,7)&lt;&gt;"Sprint_",0,IF(IF(ISNUMBER(K8),IF(K8&lt;=0,1,IF(5/K8&gt;10,1,0)),0)+IF(ISNUMBER(L8),IF(ISNUMBER(K8),IF(L8-K8&lt;=0,1,IF(5/(L8-K8)&gt;10,1,0)),IF(L8&lt;=0,1,IF(10/L8&gt;10,1,0))),0)+IF(ISNUMBER(M8),IF(ISNUMBER(L8),IF(M8-L8&lt;=0,1,IF(20/(M8-L8)&gt;10,1,0)),IF(ISNUMBER(K8),IF(M8-K8&lt;=0,1,IF(25/(M8-K8)&gt;10,1,0)),IF(M8&lt;=0,1,IF(30/M8&gt;10,1,0)))),0)&gt;0,1,0))</f>
        <v/>
      </c>
      <c r="O8" s="22">
        <f>IF(AND(J8=1,N8=0),1,0)</f>
        <v/>
      </c>
      <c r="P8" s="22">
        <f>INDEX(Personendaten!$J$2:$J$32,MATCH(A8,Personendaten!$A$2:$A$32,0))</f>
        <v/>
      </c>
      <c r="Q8" s="22">
        <f>IF(O8=1,"",IF(AND(B8="post",P8="nicht angetreten"),"NANG",IF(N8=1,"AUSL",IFERROR(VLOOKUP(H8,Vokabular!$A$2:$B$8,2,FALSE),"UNBEKANNT"))))</f>
        <v/>
      </c>
    </row>
    <row r="9">
      <c r="A9" s="5" t="inlineStr">
        <is>
          <t>BW-01</t>
        </is>
      </c>
      <c r="B9" s="5" t="inlineStr">
        <is>
          <t>prä</t>
        </is>
      </c>
      <c r="C9" s="5" t="inlineStr">
        <is>
          <t>Sprint_30m</t>
        </is>
      </c>
      <c r="D9" s="5" t="inlineStr">
        <is>
          <t>–</t>
        </is>
      </c>
      <c r="E9" s="5" t="n">
        <v>2</v>
      </c>
      <c r="F9" s="5" t="n">
        <v>4.68</v>
      </c>
      <c r="G9" s="5" t="n"/>
      <c r="H9" s="5" t="n"/>
      <c r="I9" s="22">
        <f>INDEX(Personendaten!$C$2:$C$32,MATCH(A9,Personendaten!$A$2:$A$32,0))</f>
        <v/>
      </c>
      <c r="J9" s="22">
        <f>IF(AND(F9&lt;&gt;"",G9=""),1,0)</f>
        <v/>
      </c>
      <c r="K9" s="22">
        <f>IF(LEFT(C9,7)&lt;&gt;"Sprint_","",IF(COUNTIFS(Versuchsdaten!$A$2:$A$1117,$A9,Versuchsdaten!$B$2:$B$1117,$B9,Versuchsdaten!$C$2:$C$1117,"Sprint_5m",Versuchsdaten!$E$2:$E$1117,$E9,Versuchsdaten!$J$2:$J$1117,1)=1,SUMIFS(Versuchsdaten!$F$2:$F$1117,Versuchsdaten!$A$2:$A$1117,$A9,Versuchsdaten!$B$2:$B$1117,$B9,Versuchsdaten!$C$2:$C$1117,"Sprint_5m",Versuchsdaten!$E$2:$E$1117,$E9,Versuchsdaten!$J$2:$J$1117,1),""))</f>
        <v/>
      </c>
      <c r="L9" s="22">
        <f>IF(LEFT(C9,7)&lt;&gt;"Sprint_","",IF(COUNTIFS(Versuchsdaten!$A$2:$A$1117,$A9,Versuchsdaten!$B$2:$B$1117,$B9,Versuchsdaten!$C$2:$C$1117,"Sprint_10m",Versuchsdaten!$E$2:$E$1117,$E9,Versuchsdaten!$J$2:$J$1117,1)=1,SUMIFS(Versuchsdaten!$F$2:$F$1117,Versuchsdaten!$A$2:$A$1117,$A9,Versuchsdaten!$B$2:$B$1117,$B9,Versuchsdaten!$C$2:$C$1117,"Sprint_10m",Versuchsdaten!$E$2:$E$1117,$E9,Versuchsdaten!$J$2:$J$1117,1),""))</f>
        <v/>
      </c>
      <c r="M9" s="22">
        <f>IF(LEFT(C9,7)&lt;&gt;"Sprint_","",IF(COUNTIFS(Versuchsdaten!$A$2:$A$1117,$A9,Versuchsdaten!$B$2:$B$1117,$B9,Versuchsdaten!$C$2:$C$1117,"Sprint_30m",Versuchsdaten!$E$2:$E$1117,$E9,Versuchsdaten!$J$2:$J$1117,1)=1,SUMIFS(Versuchsdaten!$F$2:$F$1117,Versuchsdaten!$A$2:$A$1117,$A9,Versuchsdaten!$B$2:$B$1117,$B9,Versuchsdaten!$C$2:$C$1117,"Sprint_30m",Versuchsdaten!$E$2:$E$1117,$E9,Versuchsdaten!$J$2:$J$1117,1),""))</f>
        <v/>
      </c>
      <c r="N9" s="22">
        <f>IF(LEFT(C9,7)&lt;&gt;"Sprint_",0,IF(IF(ISNUMBER(K9),IF(K9&lt;=0,1,IF(5/K9&gt;10,1,0)),0)+IF(ISNUMBER(L9),IF(ISNUMBER(K9),IF(L9-K9&lt;=0,1,IF(5/(L9-K9)&gt;10,1,0)),IF(L9&lt;=0,1,IF(10/L9&gt;10,1,0))),0)+IF(ISNUMBER(M9),IF(ISNUMBER(L9),IF(M9-L9&lt;=0,1,IF(20/(M9-L9)&gt;10,1,0)),IF(ISNUMBER(K9),IF(M9-K9&lt;=0,1,IF(25/(M9-K9)&gt;10,1,0)),IF(M9&lt;=0,1,IF(30/M9&gt;10,1,0)))),0)&gt;0,1,0))</f>
        <v/>
      </c>
      <c r="O9" s="22">
        <f>IF(AND(J9=1,N9=0),1,0)</f>
        <v/>
      </c>
      <c r="P9" s="22">
        <f>INDEX(Personendaten!$J$2:$J$32,MATCH(A9,Personendaten!$A$2:$A$32,0))</f>
        <v/>
      </c>
      <c r="Q9" s="22">
        <f>IF(O9=1,"",IF(AND(B9="post",P9="nicht angetreten"),"NANG",IF(N9=1,"AUSL",IFERROR(VLOOKUP(H9,Vokabular!$A$2:$B$8,2,FALSE),"UNBEKANNT"))))</f>
        <v/>
      </c>
    </row>
    <row r="10">
      <c r="A10" s="5" t="inlineStr">
        <is>
          <t>BW-01</t>
        </is>
      </c>
      <c r="B10" s="5" t="inlineStr">
        <is>
          <t>prä</t>
        </is>
      </c>
      <c r="C10" s="5" t="inlineStr">
        <is>
          <t>Sprint_30m</t>
        </is>
      </c>
      <c r="D10" s="5" t="inlineStr">
        <is>
          <t>–</t>
        </is>
      </c>
      <c r="E10" s="5" t="n">
        <v>3</v>
      </c>
      <c r="F10" s="5" t="n">
        <v>4.55</v>
      </c>
      <c r="G10" s="5" t="n"/>
      <c r="H10" s="5" t="n"/>
      <c r="I10" s="22">
        <f>INDEX(Personendaten!$C$2:$C$32,MATCH(A10,Personendaten!$A$2:$A$32,0))</f>
        <v/>
      </c>
      <c r="J10" s="22">
        <f>IF(AND(F10&lt;&gt;"",G10=""),1,0)</f>
        <v/>
      </c>
      <c r="K10" s="22">
        <f>IF(LEFT(C10,7)&lt;&gt;"Sprint_","",IF(COUNTIFS(Versuchsdaten!$A$2:$A$1117,$A10,Versuchsdaten!$B$2:$B$1117,$B10,Versuchsdaten!$C$2:$C$1117,"Sprint_5m",Versuchsdaten!$E$2:$E$1117,$E10,Versuchsdaten!$J$2:$J$1117,1)=1,SUMIFS(Versuchsdaten!$F$2:$F$1117,Versuchsdaten!$A$2:$A$1117,$A10,Versuchsdaten!$B$2:$B$1117,$B10,Versuchsdaten!$C$2:$C$1117,"Sprint_5m",Versuchsdaten!$E$2:$E$1117,$E10,Versuchsdaten!$J$2:$J$1117,1),""))</f>
        <v/>
      </c>
      <c r="L10" s="22">
        <f>IF(LEFT(C10,7)&lt;&gt;"Sprint_","",IF(COUNTIFS(Versuchsdaten!$A$2:$A$1117,$A10,Versuchsdaten!$B$2:$B$1117,$B10,Versuchsdaten!$C$2:$C$1117,"Sprint_10m",Versuchsdaten!$E$2:$E$1117,$E10,Versuchsdaten!$J$2:$J$1117,1)=1,SUMIFS(Versuchsdaten!$F$2:$F$1117,Versuchsdaten!$A$2:$A$1117,$A10,Versuchsdaten!$B$2:$B$1117,$B10,Versuchsdaten!$C$2:$C$1117,"Sprint_10m",Versuchsdaten!$E$2:$E$1117,$E10,Versuchsdaten!$J$2:$J$1117,1),""))</f>
        <v/>
      </c>
      <c r="M10" s="22">
        <f>IF(LEFT(C10,7)&lt;&gt;"Sprint_","",IF(COUNTIFS(Versuchsdaten!$A$2:$A$1117,$A10,Versuchsdaten!$B$2:$B$1117,$B10,Versuchsdaten!$C$2:$C$1117,"Sprint_30m",Versuchsdaten!$E$2:$E$1117,$E10,Versuchsdaten!$J$2:$J$1117,1)=1,SUMIFS(Versuchsdaten!$F$2:$F$1117,Versuchsdaten!$A$2:$A$1117,$A10,Versuchsdaten!$B$2:$B$1117,$B10,Versuchsdaten!$C$2:$C$1117,"Sprint_30m",Versuchsdaten!$E$2:$E$1117,$E10,Versuchsdaten!$J$2:$J$1117,1),""))</f>
        <v/>
      </c>
      <c r="N10" s="22">
        <f>IF(LEFT(C10,7)&lt;&gt;"Sprint_",0,IF(IF(ISNUMBER(K10),IF(K10&lt;=0,1,IF(5/K10&gt;10,1,0)),0)+IF(ISNUMBER(L10),IF(ISNUMBER(K10),IF(L10-K10&lt;=0,1,IF(5/(L10-K10)&gt;10,1,0)),IF(L10&lt;=0,1,IF(10/L10&gt;10,1,0))),0)+IF(ISNUMBER(M10),IF(ISNUMBER(L10),IF(M10-L10&lt;=0,1,IF(20/(M10-L10)&gt;10,1,0)),IF(ISNUMBER(K10),IF(M10-K10&lt;=0,1,IF(25/(M10-K10)&gt;10,1,0)),IF(M10&lt;=0,1,IF(30/M10&gt;10,1,0)))),0)&gt;0,1,0))</f>
        <v/>
      </c>
      <c r="O10" s="22">
        <f>IF(AND(J10=1,N10=0),1,0)</f>
        <v/>
      </c>
      <c r="P10" s="22">
        <f>INDEX(Personendaten!$J$2:$J$32,MATCH(A10,Personendaten!$A$2:$A$32,0))</f>
        <v/>
      </c>
      <c r="Q10" s="22">
        <f>IF(O10=1,"",IF(AND(B10="post",P10="nicht angetreten"),"NANG",IF(N10=1,"AUSL",IFERROR(VLOOKUP(H10,Vokabular!$A$2:$B$8,2,FALSE),"UNBEKANNT"))))</f>
        <v/>
      </c>
    </row>
    <row r="11">
      <c r="A11" s="5" t="inlineStr">
        <is>
          <t>BW-01</t>
        </is>
      </c>
      <c r="B11" s="5" t="inlineStr">
        <is>
          <t>prä</t>
        </is>
      </c>
      <c r="C11" s="5" t="inlineStr">
        <is>
          <t>Standweitsprung</t>
        </is>
      </c>
      <c r="D11" s="5" t="inlineStr">
        <is>
          <t>–</t>
        </is>
      </c>
      <c r="E11" s="5" t="n">
        <v>1</v>
      </c>
      <c r="F11" s="5" t="n"/>
      <c r="G11" s="5" t="inlineStr">
        <is>
          <t>x</t>
        </is>
      </c>
      <c r="H11" s="5" t="inlineStr">
        <is>
          <t>Kein fester Stand</t>
        </is>
      </c>
      <c r="I11" s="22">
        <f>INDEX(Personendaten!$C$2:$C$32,MATCH(A11,Personendaten!$A$2:$A$32,0))</f>
        <v/>
      </c>
      <c r="J11" s="22">
        <f>IF(AND(F11&lt;&gt;"",G11=""),1,0)</f>
        <v/>
      </c>
      <c r="K11" s="22">
        <f>IF(LEFT(C11,7)&lt;&gt;"Sprint_","",IF(COUNTIFS(Versuchsdaten!$A$2:$A$1117,$A11,Versuchsdaten!$B$2:$B$1117,$B11,Versuchsdaten!$C$2:$C$1117,"Sprint_5m",Versuchsdaten!$E$2:$E$1117,$E11,Versuchsdaten!$J$2:$J$1117,1)=1,SUMIFS(Versuchsdaten!$F$2:$F$1117,Versuchsdaten!$A$2:$A$1117,$A11,Versuchsdaten!$B$2:$B$1117,$B11,Versuchsdaten!$C$2:$C$1117,"Sprint_5m",Versuchsdaten!$E$2:$E$1117,$E11,Versuchsdaten!$J$2:$J$1117,1),""))</f>
        <v/>
      </c>
      <c r="L11" s="22">
        <f>IF(LEFT(C11,7)&lt;&gt;"Sprint_","",IF(COUNTIFS(Versuchsdaten!$A$2:$A$1117,$A11,Versuchsdaten!$B$2:$B$1117,$B11,Versuchsdaten!$C$2:$C$1117,"Sprint_10m",Versuchsdaten!$E$2:$E$1117,$E11,Versuchsdaten!$J$2:$J$1117,1)=1,SUMIFS(Versuchsdaten!$F$2:$F$1117,Versuchsdaten!$A$2:$A$1117,$A11,Versuchsdaten!$B$2:$B$1117,$B11,Versuchsdaten!$C$2:$C$1117,"Sprint_10m",Versuchsdaten!$E$2:$E$1117,$E11,Versuchsdaten!$J$2:$J$1117,1),""))</f>
        <v/>
      </c>
      <c r="M11" s="22">
        <f>IF(LEFT(C11,7)&lt;&gt;"Sprint_","",IF(COUNTIFS(Versuchsdaten!$A$2:$A$1117,$A11,Versuchsdaten!$B$2:$B$1117,$B11,Versuchsdaten!$C$2:$C$1117,"Sprint_30m",Versuchsdaten!$E$2:$E$1117,$E11,Versuchsdaten!$J$2:$J$1117,1)=1,SUMIFS(Versuchsdaten!$F$2:$F$1117,Versuchsdaten!$A$2:$A$1117,$A11,Versuchsdaten!$B$2:$B$1117,$B11,Versuchsdaten!$C$2:$C$1117,"Sprint_30m",Versuchsdaten!$E$2:$E$1117,$E11,Versuchsdaten!$J$2:$J$1117,1),""))</f>
        <v/>
      </c>
      <c r="N11" s="22">
        <f>IF(LEFT(C11,7)&lt;&gt;"Sprint_",0,IF(IF(ISNUMBER(K11),IF(K11&lt;=0,1,IF(5/K11&gt;10,1,0)),0)+IF(ISNUMBER(L11),IF(ISNUMBER(K11),IF(L11-K11&lt;=0,1,IF(5/(L11-K11)&gt;10,1,0)),IF(L11&lt;=0,1,IF(10/L11&gt;10,1,0))),0)+IF(ISNUMBER(M11),IF(ISNUMBER(L11),IF(M11-L11&lt;=0,1,IF(20/(M11-L11)&gt;10,1,0)),IF(ISNUMBER(K11),IF(M11-K11&lt;=0,1,IF(25/(M11-K11)&gt;10,1,0)),IF(M11&lt;=0,1,IF(30/M11&gt;10,1,0)))),0)&gt;0,1,0))</f>
        <v/>
      </c>
      <c r="O11" s="22">
        <f>IF(AND(J11=1,N11=0),1,0)</f>
        <v/>
      </c>
      <c r="P11" s="22">
        <f>INDEX(Personendaten!$J$2:$J$32,MATCH(A11,Personendaten!$A$2:$A$32,0))</f>
        <v/>
      </c>
      <c r="Q11" s="22">
        <f>IF(O11=1,"",IF(AND(B11="post",P11="nicht angetreten"),"NANG",IF(N11=1,"AUSL",IFERROR(VLOOKUP(H11,Vokabular!$A$2:$B$8,2,FALSE),"UNBEKANNT"))))</f>
        <v/>
      </c>
    </row>
    <row r="12">
      <c r="A12" s="5" t="inlineStr">
        <is>
          <t>BW-01</t>
        </is>
      </c>
      <c r="B12" s="5" t="inlineStr">
        <is>
          <t>prä</t>
        </is>
      </c>
      <c r="C12" s="5" t="inlineStr">
        <is>
          <t>Standweitsprung</t>
        </is>
      </c>
      <c r="D12" s="5" t="inlineStr">
        <is>
          <t>–</t>
        </is>
      </c>
      <c r="E12" s="5" t="n">
        <v>2</v>
      </c>
      <c r="F12" s="5" t="n">
        <v>219</v>
      </c>
      <c r="G12" s="5" t="n"/>
      <c r="H12" s="5" t="n"/>
      <c r="I12" s="22">
        <f>INDEX(Personendaten!$C$2:$C$32,MATCH(A12,Personendaten!$A$2:$A$32,0))</f>
        <v/>
      </c>
      <c r="J12" s="22">
        <f>IF(AND(F12&lt;&gt;"",G12=""),1,0)</f>
        <v/>
      </c>
      <c r="K12" s="22">
        <f>IF(LEFT(C12,7)&lt;&gt;"Sprint_","",IF(COUNTIFS(Versuchsdaten!$A$2:$A$1117,$A12,Versuchsdaten!$B$2:$B$1117,$B12,Versuchsdaten!$C$2:$C$1117,"Sprint_5m",Versuchsdaten!$E$2:$E$1117,$E12,Versuchsdaten!$J$2:$J$1117,1)=1,SUMIFS(Versuchsdaten!$F$2:$F$1117,Versuchsdaten!$A$2:$A$1117,$A12,Versuchsdaten!$B$2:$B$1117,$B12,Versuchsdaten!$C$2:$C$1117,"Sprint_5m",Versuchsdaten!$E$2:$E$1117,$E12,Versuchsdaten!$J$2:$J$1117,1),""))</f>
        <v/>
      </c>
      <c r="L12" s="22">
        <f>IF(LEFT(C12,7)&lt;&gt;"Sprint_","",IF(COUNTIFS(Versuchsdaten!$A$2:$A$1117,$A12,Versuchsdaten!$B$2:$B$1117,$B12,Versuchsdaten!$C$2:$C$1117,"Sprint_10m",Versuchsdaten!$E$2:$E$1117,$E12,Versuchsdaten!$J$2:$J$1117,1)=1,SUMIFS(Versuchsdaten!$F$2:$F$1117,Versuchsdaten!$A$2:$A$1117,$A12,Versuchsdaten!$B$2:$B$1117,$B12,Versuchsdaten!$C$2:$C$1117,"Sprint_10m",Versuchsdaten!$E$2:$E$1117,$E12,Versuchsdaten!$J$2:$J$1117,1),""))</f>
        <v/>
      </c>
      <c r="M12" s="22">
        <f>IF(LEFT(C12,7)&lt;&gt;"Sprint_","",IF(COUNTIFS(Versuchsdaten!$A$2:$A$1117,$A12,Versuchsdaten!$B$2:$B$1117,$B12,Versuchsdaten!$C$2:$C$1117,"Sprint_30m",Versuchsdaten!$E$2:$E$1117,$E12,Versuchsdaten!$J$2:$J$1117,1)=1,SUMIFS(Versuchsdaten!$F$2:$F$1117,Versuchsdaten!$A$2:$A$1117,$A12,Versuchsdaten!$B$2:$B$1117,$B12,Versuchsdaten!$C$2:$C$1117,"Sprint_30m",Versuchsdaten!$E$2:$E$1117,$E12,Versuchsdaten!$J$2:$J$1117,1),""))</f>
        <v/>
      </c>
      <c r="N12" s="22">
        <f>IF(LEFT(C12,7)&lt;&gt;"Sprint_",0,IF(IF(ISNUMBER(K12),IF(K12&lt;=0,1,IF(5/K12&gt;10,1,0)),0)+IF(ISNUMBER(L12),IF(ISNUMBER(K12),IF(L12-K12&lt;=0,1,IF(5/(L12-K12)&gt;10,1,0)),IF(L12&lt;=0,1,IF(10/L12&gt;10,1,0))),0)+IF(ISNUMBER(M12),IF(ISNUMBER(L12),IF(M12-L12&lt;=0,1,IF(20/(M12-L12)&gt;10,1,0)),IF(ISNUMBER(K12),IF(M12-K12&lt;=0,1,IF(25/(M12-K12)&gt;10,1,0)),IF(M12&lt;=0,1,IF(30/M12&gt;10,1,0)))),0)&gt;0,1,0))</f>
        <v/>
      </c>
      <c r="O12" s="22">
        <f>IF(AND(J12=1,N12=0),1,0)</f>
        <v/>
      </c>
      <c r="P12" s="22">
        <f>INDEX(Personendaten!$J$2:$J$32,MATCH(A12,Personendaten!$A$2:$A$32,0))</f>
        <v/>
      </c>
      <c r="Q12" s="22">
        <f>IF(O12=1,"",IF(AND(B12="post",P12="nicht angetreten"),"NANG",IF(N12=1,"AUSL",IFERROR(VLOOKUP(H12,Vokabular!$A$2:$B$8,2,FALSE),"UNBEKANNT"))))</f>
        <v/>
      </c>
    </row>
    <row r="13">
      <c r="A13" s="5" t="inlineStr">
        <is>
          <t>BW-01</t>
        </is>
      </c>
      <c r="B13" s="5" t="inlineStr">
        <is>
          <t>prä</t>
        </is>
      </c>
      <c r="C13" s="5" t="inlineStr">
        <is>
          <t>Standweitsprung</t>
        </is>
      </c>
      <c r="D13" s="5" t="inlineStr">
        <is>
          <t>–</t>
        </is>
      </c>
      <c r="E13" s="5" t="n">
        <v>3</v>
      </c>
      <c r="F13" s="5" t="n">
        <v>222</v>
      </c>
      <c r="G13" s="5" t="n"/>
      <c r="H13" s="5" t="n"/>
      <c r="I13" s="22">
        <f>INDEX(Personendaten!$C$2:$C$32,MATCH(A13,Personendaten!$A$2:$A$32,0))</f>
        <v/>
      </c>
      <c r="J13" s="22">
        <f>IF(AND(F13&lt;&gt;"",G13=""),1,0)</f>
        <v/>
      </c>
      <c r="K13" s="22">
        <f>IF(LEFT(C13,7)&lt;&gt;"Sprint_","",IF(COUNTIFS(Versuchsdaten!$A$2:$A$1117,$A13,Versuchsdaten!$B$2:$B$1117,$B13,Versuchsdaten!$C$2:$C$1117,"Sprint_5m",Versuchsdaten!$E$2:$E$1117,$E13,Versuchsdaten!$J$2:$J$1117,1)=1,SUMIFS(Versuchsdaten!$F$2:$F$1117,Versuchsdaten!$A$2:$A$1117,$A13,Versuchsdaten!$B$2:$B$1117,$B13,Versuchsdaten!$C$2:$C$1117,"Sprint_5m",Versuchsdaten!$E$2:$E$1117,$E13,Versuchsdaten!$J$2:$J$1117,1),""))</f>
        <v/>
      </c>
      <c r="L13" s="22">
        <f>IF(LEFT(C13,7)&lt;&gt;"Sprint_","",IF(COUNTIFS(Versuchsdaten!$A$2:$A$1117,$A13,Versuchsdaten!$B$2:$B$1117,$B13,Versuchsdaten!$C$2:$C$1117,"Sprint_10m",Versuchsdaten!$E$2:$E$1117,$E13,Versuchsdaten!$J$2:$J$1117,1)=1,SUMIFS(Versuchsdaten!$F$2:$F$1117,Versuchsdaten!$A$2:$A$1117,$A13,Versuchsdaten!$B$2:$B$1117,$B13,Versuchsdaten!$C$2:$C$1117,"Sprint_10m",Versuchsdaten!$E$2:$E$1117,$E13,Versuchsdaten!$J$2:$J$1117,1),""))</f>
        <v/>
      </c>
      <c r="M13" s="22">
        <f>IF(LEFT(C13,7)&lt;&gt;"Sprint_","",IF(COUNTIFS(Versuchsdaten!$A$2:$A$1117,$A13,Versuchsdaten!$B$2:$B$1117,$B13,Versuchsdaten!$C$2:$C$1117,"Sprint_30m",Versuchsdaten!$E$2:$E$1117,$E13,Versuchsdaten!$J$2:$J$1117,1)=1,SUMIFS(Versuchsdaten!$F$2:$F$1117,Versuchsdaten!$A$2:$A$1117,$A13,Versuchsdaten!$B$2:$B$1117,$B13,Versuchsdaten!$C$2:$C$1117,"Sprint_30m",Versuchsdaten!$E$2:$E$1117,$E13,Versuchsdaten!$J$2:$J$1117,1),""))</f>
        <v/>
      </c>
      <c r="N13" s="22">
        <f>IF(LEFT(C13,7)&lt;&gt;"Sprint_",0,IF(IF(ISNUMBER(K13),IF(K13&lt;=0,1,IF(5/K13&gt;10,1,0)),0)+IF(ISNUMBER(L13),IF(ISNUMBER(K13),IF(L13-K13&lt;=0,1,IF(5/(L13-K13)&gt;10,1,0)),IF(L13&lt;=0,1,IF(10/L13&gt;10,1,0))),0)+IF(ISNUMBER(M13),IF(ISNUMBER(L13),IF(M13-L13&lt;=0,1,IF(20/(M13-L13)&gt;10,1,0)),IF(ISNUMBER(K13),IF(M13-K13&lt;=0,1,IF(25/(M13-K13)&gt;10,1,0)),IF(M13&lt;=0,1,IF(30/M13&gt;10,1,0)))),0)&gt;0,1,0))</f>
        <v/>
      </c>
      <c r="O13" s="22">
        <f>IF(AND(J13=1,N13=0),1,0)</f>
        <v/>
      </c>
      <c r="P13" s="22">
        <f>INDEX(Personendaten!$J$2:$J$32,MATCH(A13,Personendaten!$A$2:$A$32,0))</f>
        <v/>
      </c>
      <c r="Q13" s="22">
        <f>IF(O13=1,"",IF(AND(B13="post",P13="nicht angetreten"),"NANG",IF(N13=1,"AUSL",IFERROR(VLOOKUP(H13,Vokabular!$A$2:$B$8,2,FALSE),"UNBEKANNT"))))</f>
        <v/>
      </c>
    </row>
    <row r="14">
      <c r="A14" s="5" t="inlineStr">
        <is>
          <t>BW-01</t>
        </is>
      </c>
      <c r="B14" s="5" t="inlineStr">
        <is>
          <t>prä</t>
        </is>
      </c>
      <c r="C14" s="5" t="inlineStr">
        <is>
          <t>COD_505</t>
        </is>
      </c>
      <c r="D14" s="5" t="inlineStr">
        <is>
          <t>L</t>
        </is>
      </c>
      <c r="E14" s="5" t="n">
        <v>1</v>
      </c>
      <c r="F14" s="5" t="n">
        <v>2.6</v>
      </c>
      <c r="G14" s="5" t="n"/>
      <c r="H14" s="5" t="n"/>
      <c r="I14" s="22">
        <f>INDEX(Personendaten!$C$2:$C$32,MATCH(A14,Personendaten!$A$2:$A$32,0))</f>
        <v/>
      </c>
      <c r="J14" s="22">
        <f>IF(AND(F14&lt;&gt;"",G14=""),1,0)</f>
        <v/>
      </c>
      <c r="K14" s="22">
        <f>IF(LEFT(C14,7)&lt;&gt;"Sprint_","",IF(COUNTIFS(Versuchsdaten!$A$2:$A$1117,$A14,Versuchsdaten!$B$2:$B$1117,$B14,Versuchsdaten!$C$2:$C$1117,"Sprint_5m",Versuchsdaten!$E$2:$E$1117,$E14,Versuchsdaten!$J$2:$J$1117,1)=1,SUMIFS(Versuchsdaten!$F$2:$F$1117,Versuchsdaten!$A$2:$A$1117,$A14,Versuchsdaten!$B$2:$B$1117,$B14,Versuchsdaten!$C$2:$C$1117,"Sprint_5m",Versuchsdaten!$E$2:$E$1117,$E14,Versuchsdaten!$J$2:$J$1117,1),""))</f>
        <v/>
      </c>
      <c r="L14" s="22">
        <f>IF(LEFT(C14,7)&lt;&gt;"Sprint_","",IF(COUNTIFS(Versuchsdaten!$A$2:$A$1117,$A14,Versuchsdaten!$B$2:$B$1117,$B14,Versuchsdaten!$C$2:$C$1117,"Sprint_10m",Versuchsdaten!$E$2:$E$1117,$E14,Versuchsdaten!$J$2:$J$1117,1)=1,SUMIFS(Versuchsdaten!$F$2:$F$1117,Versuchsdaten!$A$2:$A$1117,$A14,Versuchsdaten!$B$2:$B$1117,$B14,Versuchsdaten!$C$2:$C$1117,"Sprint_10m",Versuchsdaten!$E$2:$E$1117,$E14,Versuchsdaten!$J$2:$J$1117,1),""))</f>
        <v/>
      </c>
      <c r="M14" s="22">
        <f>IF(LEFT(C14,7)&lt;&gt;"Sprint_","",IF(COUNTIFS(Versuchsdaten!$A$2:$A$1117,$A14,Versuchsdaten!$B$2:$B$1117,$B14,Versuchsdaten!$C$2:$C$1117,"Sprint_30m",Versuchsdaten!$E$2:$E$1117,$E14,Versuchsdaten!$J$2:$J$1117,1)=1,SUMIFS(Versuchsdaten!$F$2:$F$1117,Versuchsdaten!$A$2:$A$1117,$A14,Versuchsdaten!$B$2:$B$1117,$B14,Versuchsdaten!$C$2:$C$1117,"Sprint_30m",Versuchsdaten!$E$2:$E$1117,$E14,Versuchsdaten!$J$2:$J$1117,1),""))</f>
        <v/>
      </c>
      <c r="N14" s="22">
        <f>IF(LEFT(C14,7)&lt;&gt;"Sprint_",0,IF(IF(ISNUMBER(K14),IF(K14&lt;=0,1,IF(5/K14&gt;10,1,0)),0)+IF(ISNUMBER(L14),IF(ISNUMBER(K14),IF(L14-K14&lt;=0,1,IF(5/(L14-K14)&gt;10,1,0)),IF(L14&lt;=0,1,IF(10/L14&gt;10,1,0))),0)+IF(ISNUMBER(M14),IF(ISNUMBER(L14),IF(M14-L14&lt;=0,1,IF(20/(M14-L14)&gt;10,1,0)),IF(ISNUMBER(K14),IF(M14-K14&lt;=0,1,IF(25/(M14-K14)&gt;10,1,0)),IF(M14&lt;=0,1,IF(30/M14&gt;10,1,0)))),0)&gt;0,1,0))</f>
        <v/>
      </c>
      <c r="O14" s="22">
        <f>IF(AND(J14=1,N14=0),1,0)</f>
        <v/>
      </c>
      <c r="P14" s="22">
        <f>INDEX(Personendaten!$J$2:$J$32,MATCH(A14,Personendaten!$A$2:$A$32,0))</f>
        <v/>
      </c>
      <c r="Q14" s="22">
        <f>IF(O14=1,"",IF(AND(B14="post",P14="nicht angetreten"),"NANG",IF(N14=1,"AUSL",IFERROR(VLOOKUP(H14,Vokabular!$A$2:$B$8,2,FALSE),"UNBEKANNT"))))</f>
        <v/>
      </c>
    </row>
    <row r="15">
      <c r="A15" s="5" t="inlineStr">
        <is>
          <t>BW-01</t>
        </is>
      </c>
      <c r="B15" s="5" t="inlineStr">
        <is>
          <t>prä</t>
        </is>
      </c>
      <c r="C15" s="5" t="inlineStr">
        <is>
          <t>COD_505</t>
        </is>
      </c>
      <c r="D15" s="5" t="inlineStr">
        <is>
          <t>L</t>
        </is>
      </c>
      <c r="E15" s="5" t="n">
        <v>2</v>
      </c>
      <c r="F15" s="5" t="n">
        <v>2.44</v>
      </c>
      <c r="G15" s="5" t="n"/>
      <c r="H15" s="5" t="n"/>
      <c r="I15" s="22">
        <f>INDEX(Personendaten!$C$2:$C$32,MATCH(A15,Personendaten!$A$2:$A$32,0))</f>
        <v/>
      </c>
      <c r="J15" s="22">
        <f>IF(AND(F15&lt;&gt;"",G15=""),1,0)</f>
        <v/>
      </c>
      <c r="K15" s="22">
        <f>IF(LEFT(C15,7)&lt;&gt;"Sprint_","",IF(COUNTIFS(Versuchsdaten!$A$2:$A$1117,$A15,Versuchsdaten!$B$2:$B$1117,$B15,Versuchsdaten!$C$2:$C$1117,"Sprint_5m",Versuchsdaten!$E$2:$E$1117,$E15,Versuchsdaten!$J$2:$J$1117,1)=1,SUMIFS(Versuchsdaten!$F$2:$F$1117,Versuchsdaten!$A$2:$A$1117,$A15,Versuchsdaten!$B$2:$B$1117,$B15,Versuchsdaten!$C$2:$C$1117,"Sprint_5m",Versuchsdaten!$E$2:$E$1117,$E15,Versuchsdaten!$J$2:$J$1117,1),""))</f>
        <v/>
      </c>
      <c r="L15" s="22">
        <f>IF(LEFT(C15,7)&lt;&gt;"Sprint_","",IF(COUNTIFS(Versuchsdaten!$A$2:$A$1117,$A15,Versuchsdaten!$B$2:$B$1117,$B15,Versuchsdaten!$C$2:$C$1117,"Sprint_10m",Versuchsdaten!$E$2:$E$1117,$E15,Versuchsdaten!$J$2:$J$1117,1)=1,SUMIFS(Versuchsdaten!$F$2:$F$1117,Versuchsdaten!$A$2:$A$1117,$A15,Versuchsdaten!$B$2:$B$1117,$B15,Versuchsdaten!$C$2:$C$1117,"Sprint_10m",Versuchsdaten!$E$2:$E$1117,$E15,Versuchsdaten!$J$2:$J$1117,1),""))</f>
        <v/>
      </c>
      <c r="M15" s="22">
        <f>IF(LEFT(C15,7)&lt;&gt;"Sprint_","",IF(COUNTIFS(Versuchsdaten!$A$2:$A$1117,$A15,Versuchsdaten!$B$2:$B$1117,$B15,Versuchsdaten!$C$2:$C$1117,"Sprint_30m",Versuchsdaten!$E$2:$E$1117,$E15,Versuchsdaten!$J$2:$J$1117,1)=1,SUMIFS(Versuchsdaten!$F$2:$F$1117,Versuchsdaten!$A$2:$A$1117,$A15,Versuchsdaten!$B$2:$B$1117,$B15,Versuchsdaten!$C$2:$C$1117,"Sprint_30m",Versuchsdaten!$E$2:$E$1117,$E15,Versuchsdaten!$J$2:$J$1117,1),""))</f>
        <v/>
      </c>
      <c r="N15" s="22">
        <f>IF(LEFT(C15,7)&lt;&gt;"Sprint_",0,IF(IF(ISNUMBER(K15),IF(K15&lt;=0,1,IF(5/K15&gt;10,1,0)),0)+IF(ISNUMBER(L15),IF(ISNUMBER(K15),IF(L15-K15&lt;=0,1,IF(5/(L15-K15)&gt;10,1,0)),IF(L15&lt;=0,1,IF(10/L15&gt;10,1,0))),0)+IF(ISNUMBER(M15),IF(ISNUMBER(L15),IF(M15-L15&lt;=0,1,IF(20/(M15-L15)&gt;10,1,0)),IF(ISNUMBER(K15),IF(M15-K15&lt;=0,1,IF(25/(M15-K15)&gt;10,1,0)),IF(M15&lt;=0,1,IF(30/M15&gt;10,1,0)))),0)&gt;0,1,0))</f>
        <v/>
      </c>
      <c r="O15" s="22">
        <f>IF(AND(J15=1,N15=0),1,0)</f>
        <v/>
      </c>
      <c r="P15" s="22">
        <f>INDEX(Personendaten!$J$2:$J$32,MATCH(A15,Personendaten!$A$2:$A$32,0))</f>
        <v/>
      </c>
      <c r="Q15" s="22">
        <f>IF(O15=1,"",IF(AND(B15="post",P15="nicht angetreten"),"NANG",IF(N15=1,"AUSL",IFERROR(VLOOKUP(H15,Vokabular!$A$2:$B$8,2,FALSE),"UNBEKANNT"))))</f>
        <v/>
      </c>
    </row>
    <row r="16">
      <c r="A16" s="5" t="inlineStr">
        <is>
          <t>BW-01</t>
        </is>
      </c>
      <c r="B16" s="5" t="inlineStr">
        <is>
          <t>prä</t>
        </is>
      </c>
      <c r="C16" s="5" t="inlineStr">
        <is>
          <t>COD_505</t>
        </is>
      </c>
      <c r="D16" s="5" t="inlineStr">
        <is>
          <t>L</t>
        </is>
      </c>
      <c r="E16" s="5" t="n">
        <v>3</v>
      </c>
      <c r="F16" s="5" t="n"/>
      <c r="G16" s="5" t="n"/>
      <c r="H16" s="5" t="inlineStr">
        <is>
          <t>Nur 2 Versuche aus Zeitmangel</t>
        </is>
      </c>
      <c r="I16" s="22">
        <f>INDEX(Personendaten!$C$2:$C$32,MATCH(A16,Personendaten!$A$2:$A$32,0))</f>
        <v/>
      </c>
      <c r="J16" s="22">
        <f>IF(AND(F16&lt;&gt;"",G16=""),1,0)</f>
        <v/>
      </c>
      <c r="K16" s="22">
        <f>IF(LEFT(C16,7)&lt;&gt;"Sprint_","",IF(COUNTIFS(Versuchsdaten!$A$2:$A$1117,$A16,Versuchsdaten!$B$2:$B$1117,$B16,Versuchsdaten!$C$2:$C$1117,"Sprint_5m",Versuchsdaten!$E$2:$E$1117,$E16,Versuchsdaten!$J$2:$J$1117,1)=1,SUMIFS(Versuchsdaten!$F$2:$F$1117,Versuchsdaten!$A$2:$A$1117,$A16,Versuchsdaten!$B$2:$B$1117,$B16,Versuchsdaten!$C$2:$C$1117,"Sprint_5m",Versuchsdaten!$E$2:$E$1117,$E16,Versuchsdaten!$J$2:$J$1117,1),""))</f>
        <v/>
      </c>
      <c r="L16" s="22">
        <f>IF(LEFT(C16,7)&lt;&gt;"Sprint_","",IF(COUNTIFS(Versuchsdaten!$A$2:$A$1117,$A16,Versuchsdaten!$B$2:$B$1117,$B16,Versuchsdaten!$C$2:$C$1117,"Sprint_10m",Versuchsdaten!$E$2:$E$1117,$E16,Versuchsdaten!$J$2:$J$1117,1)=1,SUMIFS(Versuchsdaten!$F$2:$F$1117,Versuchsdaten!$A$2:$A$1117,$A16,Versuchsdaten!$B$2:$B$1117,$B16,Versuchsdaten!$C$2:$C$1117,"Sprint_10m",Versuchsdaten!$E$2:$E$1117,$E16,Versuchsdaten!$J$2:$J$1117,1),""))</f>
        <v/>
      </c>
      <c r="M16" s="22">
        <f>IF(LEFT(C16,7)&lt;&gt;"Sprint_","",IF(COUNTIFS(Versuchsdaten!$A$2:$A$1117,$A16,Versuchsdaten!$B$2:$B$1117,$B16,Versuchsdaten!$C$2:$C$1117,"Sprint_30m",Versuchsdaten!$E$2:$E$1117,$E16,Versuchsdaten!$J$2:$J$1117,1)=1,SUMIFS(Versuchsdaten!$F$2:$F$1117,Versuchsdaten!$A$2:$A$1117,$A16,Versuchsdaten!$B$2:$B$1117,$B16,Versuchsdaten!$C$2:$C$1117,"Sprint_30m",Versuchsdaten!$E$2:$E$1117,$E16,Versuchsdaten!$J$2:$J$1117,1),""))</f>
        <v/>
      </c>
      <c r="N16" s="22">
        <f>IF(LEFT(C16,7)&lt;&gt;"Sprint_",0,IF(IF(ISNUMBER(K16),IF(K16&lt;=0,1,IF(5/K16&gt;10,1,0)),0)+IF(ISNUMBER(L16),IF(ISNUMBER(K16),IF(L16-K16&lt;=0,1,IF(5/(L16-K16)&gt;10,1,0)),IF(L16&lt;=0,1,IF(10/L16&gt;10,1,0))),0)+IF(ISNUMBER(M16),IF(ISNUMBER(L16),IF(M16-L16&lt;=0,1,IF(20/(M16-L16)&gt;10,1,0)),IF(ISNUMBER(K16),IF(M16-K16&lt;=0,1,IF(25/(M16-K16)&gt;10,1,0)),IF(M16&lt;=0,1,IF(30/M16&gt;10,1,0)))),0)&gt;0,1,0))</f>
        <v/>
      </c>
      <c r="O16" s="22">
        <f>IF(AND(J16=1,N16=0),1,0)</f>
        <v/>
      </c>
      <c r="P16" s="22">
        <f>INDEX(Personendaten!$J$2:$J$32,MATCH(A16,Personendaten!$A$2:$A$32,0))</f>
        <v/>
      </c>
      <c r="Q16" s="22">
        <f>IF(O16=1,"",IF(AND(B16="post",P16="nicht angetreten"),"NANG",IF(N16=1,"AUSL",IFERROR(VLOOKUP(H16,Vokabular!$A$2:$B$8,2,FALSE),"UNBEKANNT"))))</f>
        <v/>
      </c>
    </row>
    <row r="17">
      <c r="A17" s="5" t="inlineStr">
        <is>
          <t>BW-01</t>
        </is>
      </c>
      <c r="B17" s="5" t="inlineStr">
        <is>
          <t>prä</t>
        </is>
      </c>
      <c r="C17" s="5" t="inlineStr">
        <is>
          <t>COD_505</t>
        </is>
      </c>
      <c r="D17" s="5" t="inlineStr">
        <is>
          <t>R</t>
        </is>
      </c>
      <c r="E17" s="5" t="n">
        <v>1</v>
      </c>
      <c r="F17" s="5" t="n">
        <v>2.67</v>
      </c>
      <c r="G17" s="5" t="n"/>
      <c r="H17" s="5" t="n"/>
      <c r="I17" s="22">
        <f>INDEX(Personendaten!$C$2:$C$32,MATCH(A17,Personendaten!$A$2:$A$32,0))</f>
        <v/>
      </c>
      <c r="J17" s="22">
        <f>IF(AND(F17&lt;&gt;"",G17=""),1,0)</f>
        <v/>
      </c>
      <c r="K17" s="22">
        <f>IF(LEFT(C17,7)&lt;&gt;"Sprint_","",IF(COUNTIFS(Versuchsdaten!$A$2:$A$1117,$A17,Versuchsdaten!$B$2:$B$1117,$B17,Versuchsdaten!$C$2:$C$1117,"Sprint_5m",Versuchsdaten!$E$2:$E$1117,$E17,Versuchsdaten!$J$2:$J$1117,1)=1,SUMIFS(Versuchsdaten!$F$2:$F$1117,Versuchsdaten!$A$2:$A$1117,$A17,Versuchsdaten!$B$2:$B$1117,$B17,Versuchsdaten!$C$2:$C$1117,"Sprint_5m",Versuchsdaten!$E$2:$E$1117,$E17,Versuchsdaten!$J$2:$J$1117,1),""))</f>
        <v/>
      </c>
      <c r="L17" s="22">
        <f>IF(LEFT(C17,7)&lt;&gt;"Sprint_","",IF(COUNTIFS(Versuchsdaten!$A$2:$A$1117,$A17,Versuchsdaten!$B$2:$B$1117,$B17,Versuchsdaten!$C$2:$C$1117,"Sprint_10m",Versuchsdaten!$E$2:$E$1117,$E17,Versuchsdaten!$J$2:$J$1117,1)=1,SUMIFS(Versuchsdaten!$F$2:$F$1117,Versuchsdaten!$A$2:$A$1117,$A17,Versuchsdaten!$B$2:$B$1117,$B17,Versuchsdaten!$C$2:$C$1117,"Sprint_10m",Versuchsdaten!$E$2:$E$1117,$E17,Versuchsdaten!$J$2:$J$1117,1),""))</f>
        <v/>
      </c>
      <c r="M17" s="22">
        <f>IF(LEFT(C17,7)&lt;&gt;"Sprint_","",IF(COUNTIFS(Versuchsdaten!$A$2:$A$1117,$A17,Versuchsdaten!$B$2:$B$1117,$B17,Versuchsdaten!$C$2:$C$1117,"Sprint_30m",Versuchsdaten!$E$2:$E$1117,$E17,Versuchsdaten!$J$2:$J$1117,1)=1,SUMIFS(Versuchsdaten!$F$2:$F$1117,Versuchsdaten!$A$2:$A$1117,$A17,Versuchsdaten!$B$2:$B$1117,$B17,Versuchsdaten!$C$2:$C$1117,"Sprint_30m",Versuchsdaten!$E$2:$E$1117,$E17,Versuchsdaten!$J$2:$J$1117,1),""))</f>
        <v/>
      </c>
      <c r="N17" s="22">
        <f>IF(LEFT(C17,7)&lt;&gt;"Sprint_",0,IF(IF(ISNUMBER(K17),IF(K17&lt;=0,1,IF(5/K17&gt;10,1,0)),0)+IF(ISNUMBER(L17),IF(ISNUMBER(K17),IF(L17-K17&lt;=0,1,IF(5/(L17-K17)&gt;10,1,0)),IF(L17&lt;=0,1,IF(10/L17&gt;10,1,0))),0)+IF(ISNUMBER(M17),IF(ISNUMBER(L17),IF(M17-L17&lt;=0,1,IF(20/(M17-L17)&gt;10,1,0)),IF(ISNUMBER(K17),IF(M17-K17&lt;=0,1,IF(25/(M17-K17)&gt;10,1,0)),IF(M17&lt;=0,1,IF(30/M17&gt;10,1,0)))),0)&gt;0,1,0))</f>
        <v/>
      </c>
      <c r="O17" s="22">
        <f>IF(AND(J17=1,N17=0),1,0)</f>
        <v/>
      </c>
      <c r="P17" s="22">
        <f>INDEX(Personendaten!$J$2:$J$32,MATCH(A17,Personendaten!$A$2:$A$32,0))</f>
        <v/>
      </c>
      <c r="Q17" s="22">
        <f>IF(O17=1,"",IF(AND(B17="post",P17="nicht angetreten"),"NANG",IF(N17=1,"AUSL",IFERROR(VLOOKUP(H17,Vokabular!$A$2:$B$8,2,FALSE),"UNBEKANNT"))))</f>
        <v/>
      </c>
    </row>
    <row r="18">
      <c r="A18" s="5" t="inlineStr">
        <is>
          <t>BW-01</t>
        </is>
      </c>
      <c r="B18" s="5" t="inlineStr">
        <is>
          <t>prä</t>
        </is>
      </c>
      <c r="C18" s="5" t="inlineStr">
        <is>
          <t>COD_505</t>
        </is>
      </c>
      <c r="D18" s="5" t="inlineStr">
        <is>
          <t>R</t>
        </is>
      </c>
      <c r="E18" s="5" t="n">
        <v>2</v>
      </c>
      <c r="F18" s="5" t="n">
        <v>2.72</v>
      </c>
      <c r="G18" s="5" t="n"/>
      <c r="H18" s="5" t="n"/>
      <c r="I18" s="22">
        <f>INDEX(Personendaten!$C$2:$C$32,MATCH(A18,Personendaten!$A$2:$A$32,0))</f>
        <v/>
      </c>
      <c r="J18" s="22">
        <f>IF(AND(F18&lt;&gt;"",G18=""),1,0)</f>
        <v/>
      </c>
      <c r="K18" s="22">
        <f>IF(LEFT(C18,7)&lt;&gt;"Sprint_","",IF(COUNTIFS(Versuchsdaten!$A$2:$A$1117,$A18,Versuchsdaten!$B$2:$B$1117,$B18,Versuchsdaten!$C$2:$C$1117,"Sprint_5m",Versuchsdaten!$E$2:$E$1117,$E18,Versuchsdaten!$J$2:$J$1117,1)=1,SUMIFS(Versuchsdaten!$F$2:$F$1117,Versuchsdaten!$A$2:$A$1117,$A18,Versuchsdaten!$B$2:$B$1117,$B18,Versuchsdaten!$C$2:$C$1117,"Sprint_5m",Versuchsdaten!$E$2:$E$1117,$E18,Versuchsdaten!$J$2:$J$1117,1),""))</f>
        <v/>
      </c>
      <c r="L18" s="22">
        <f>IF(LEFT(C18,7)&lt;&gt;"Sprint_","",IF(COUNTIFS(Versuchsdaten!$A$2:$A$1117,$A18,Versuchsdaten!$B$2:$B$1117,$B18,Versuchsdaten!$C$2:$C$1117,"Sprint_10m",Versuchsdaten!$E$2:$E$1117,$E18,Versuchsdaten!$J$2:$J$1117,1)=1,SUMIFS(Versuchsdaten!$F$2:$F$1117,Versuchsdaten!$A$2:$A$1117,$A18,Versuchsdaten!$B$2:$B$1117,$B18,Versuchsdaten!$C$2:$C$1117,"Sprint_10m",Versuchsdaten!$E$2:$E$1117,$E18,Versuchsdaten!$J$2:$J$1117,1),""))</f>
        <v/>
      </c>
      <c r="M18" s="22">
        <f>IF(LEFT(C18,7)&lt;&gt;"Sprint_","",IF(COUNTIFS(Versuchsdaten!$A$2:$A$1117,$A18,Versuchsdaten!$B$2:$B$1117,$B18,Versuchsdaten!$C$2:$C$1117,"Sprint_30m",Versuchsdaten!$E$2:$E$1117,$E18,Versuchsdaten!$J$2:$J$1117,1)=1,SUMIFS(Versuchsdaten!$F$2:$F$1117,Versuchsdaten!$A$2:$A$1117,$A18,Versuchsdaten!$B$2:$B$1117,$B18,Versuchsdaten!$C$2:$C$1117,"Sprint_30m",Versuchsdaten!$E$2:$E$1117,$E18,Versuchsdaten!$J$2:$J$1117,1),""))</f>
        <v/>
      </c>
      <c r="N18" s="22">
        <f>IF(LEFT(C18,7)&lt;&gt;"Sprint_",0,IF(IF(ISNUMBER(K18),IF(K18&lt;=0,1,IF(5/K18&gt;10,1,0)),0)+IF(ISNUMBER(L18),IF(ISNUMBER(K18),IF(L18-K18&lt;=0,1,IF(5/(L18-K18)&gt;10,1,0)),IF(L18&lt;=0,1,IF(10/L18&gt;10,1,0))),0)+IF(ISNUMBER(M18),IF(ISNUMBER(L18),IF(M18-L18&lt;=0,1,IF(20/(M18-L18)&gt;10,1,0)),IF(ISNUMBER(K18),IF(M18-K18&lt;=0,1,IF(25/(M18-K18)&gt;10,1,0)),IF(M18&lt;=0,1,IF(30/M18&gt;10,1,0)))),0)&gt;0,1,0))</f>
        <v/>
      </c>
      <c r="O18" s="22">
        <f>IF(AND(J18=1,N18=0),1,0)</f>
        <v/>
      </c>
      <c r="P18" s="22">
        <f>INDEX(Personendaten!$J$2:$J$32,MATCH(A18,Personendaten!$A$2:$A$32,0))</f>
        <v/>
      </c>
      <c r="Q18" s="22">
        <f>IF(O18=1,"",IF(AND(B18="post",P18="nicht angetreten"),"NANG",IF(N18=1,"AUSL",IFERROR(VLOOKUP(H18,Vokabular!$A$2:$B$8,2,FALSE),"UNBEKANNT"))))</f>
        <v/>
      </c>
    </row>
    <row r="19">
      <c r="A19" s="5" t="inlineStr">
        <is>
          <t>BW-01</t>
        </is>
      </c>
      <c r="B19" s="5" t="inlineStr">
        <is>
          <t>prä</t>
        </is>
      </c>
      <c r="C19" s="5" t="inlineStr">
        <is>
          <t>COD_505</t>
        </is>
      </c>
      <c r="D19" s="5" t="inlineStr">
        <is>
          <t>R</t>
        </is>
      </c>
      <c r="E19" s="5" t="n">
        <v>3</v>
      </c>
      <c r="F19" s="5" t="n"/>
      <c r="G19" s="5" t="n"/>
      <c r="H19" s="5" t="inlineStr">
        <is>
          <t>Nur 2 Versuche aus Zeitmangel</t>
        </is>
      </c>
      <c r="I19" s="22">
        <f>INDEX(Personendaten!$C$2:$C$32,MATCH(A19,Personendaten!$A$2:$A$32,0))</f>
        <v/>
      </c>
      <c r="J19" s="22">
        <f>IF(AND(F19&lt;&gt;"",G19=""),1,0)</f>
        <v/>
      </c>
      <c r="K19" s="22">
        <f>IF(LEFT(C19,7)&lt;&gt;"Sprint_","",IF(COUNTIFS(Versuchsdaten!$A$2:$A$1117,$A19,Versuchsdaten!$B$2:$B$1117,$B19,Versuchsdaten!$C$2:$C$1117,"Sprint_5m",Versuchsdaten!$E$2:$E$1117,$E19,Versuchsdaten!$J$2:$J$1117,1)=1,SUMIFS(Versuchsdaten!$F$2:$F$1117,Versuchsdaten!$A$2:$A$1117,$A19,Versuchsdaten!$B$2:$B$1117,$B19,Versuchsdaten!$C$2:$C$1117,"Sprint_5m",Versuchsdaten!$E$2:$E$1117,$E19,Versuchsdaten!$J$2:$J$1117,1),""))</f>
        <v/>
      </c>
      <c r="L19" s="22">
        <f>IF(LEFT(C19,7)&lt;&gt;"Sprint_","",IF(COUNTIFS(Versuchsdaten!$A$2:$A$1117,$A19,Versuchsdaten!$B$2:$B$1117,$B19,Versuchsdaten!$C$2:$C$1117,"Sprint_10m",Versuchsdaten!$E$2:$E$1117,$E19,Versuchsdaten!$J$2:$J$1117,1)=1,SUMIFS(Versuchsdaten!$F$2:$F$1117,Versuchsdaten!$A$2:$A$1117,$A19,Versuchsdaten!$B$2:$B$1117,$B19,Versuchsdaten!$C$2:$C$1117,"Sprint_10m",Versuchsdaten!$E$2:$E$1117,$E19,Versuchsdaten!$J$2:$J$1117,1),""))</f>
        <v/>
      </c>
      <c r="M19" s="22">
        <f>IF(LEFT(C19,7)&lt;&gt;"Sprint_","",IF(COUNTIFS(Versuchsdaten!$A$2:$A$1117,$A19,Versuchsdaten!$B$2:$B$1117,$B19,Versuchsdaten!$C$2:$C$1117,"Sprint_30m",Versuchsdaten!$E$2:$E$1117,$E19,Versuchsdaten!$J$2:$J$1117,1)=1,SUMIFS(Versuchsdaten!$F$2:$F$1117,Versuchsdaten!$A$2:$A$1117,$A19,Versuchsdaten!$B$2:$B$1117,$B19,Versuchsdaten!$C$2:$C$1117,"Sprint_30m",Versuchsdaten!$E$2:$E$1117,$E19,Versuchsdaten!$J$2:$J$1117,1),""))</f>
        <v/>
      </c>
      <c r="N19" s="22">
        <f>IF(LEFT(C19,7)&lt;&gt;"Sprint_",0,IF(IF(ISNUMBER(K19),IF(K19&lt;=0,1,IF(5/K19&gt;10,1,0)),0)+IF(ISNUMBER(L19),IF(ISNUMBER(K19),IF(L19-K19&lt;=0,1,IF(5/(L19-K19)&gt;10,1,0)),IF(L19&lt;=0,1,IF(10/L19&gt;10,1,0))),0)+IF(ISNUMBER(M19),IF(ISNUMBER(L19),IF(M19-L19&lt;=0,1,IF(20/(M19-L19)&gt;10,1,0)),IF(ISNUMBER(K19),IF(M19-K19&lt;=0,1,IF(25/(M19-K19)&gt;10,1,0)),IF(M19&lt;=0,1,IF(30/M19&gt;10,1,0)))),0)&gt;0,1,0))</f>
        <v/>
      </c>
      <c r="O19" s="22">
        <f>IF(AND(J19=1,N19=0),1,0)</f>
        <v/>
      </c>
      <c r="P19" s="22">
        <f>INDEX(Personendaten!$J$2:$J$32,MATCH(A19,Personendaten!$A$2:$A$32,0))</f>
        <v/>
      </c>
      <c r="Q19" s="22">
        <f>IF(O19=1,"",IF(AND(B19="post",P19="nicht angetreten"),"NANG",IF(N19=1,"AUSL",IFERROR(VLOOKUP(H19,Vokabular!$A$2:$B$8,2,FALSE),"UNBEKANNT"))))</f>
        <v/>
      </c>
    </row>
    <row r="20">
      <c r="A20" s="5" t="inlineStr">
        <is>
          <t>BW-02</t>
        </is>
      </c>
      <c r="B20" s="5" t="inlineStr">
        <is>
          <t>prä</t>
        </is>
      </c>
      <c r="C20" s="5" t="inlineStr">
        <is>
          <t>Sprint_5m</t>
        </is>
      </c>
      <c r="D20" s="5" t="inlineStr">
        <is>
          <t>–</t>
        </is>
      </c>
      <c r="E20" s="5" t="n">
        <v>1</v>
      </c>
      <c r="F20" s="5" t="n">
        <v>1.19</v>
      </c>
      <c r="G20" s="5" t="n"/>
      <c r="H20" s="5" t="n"/>
      <c r="I20" s="22">
        <f>INDEX(Personendaten!$C$2:$C$32,MATCH(A20,Personendaten!$A$2:$A$32,0))</f>
        <v/>
      </c>
      <c r="J20" s="22">
        <f>IF(AND(F20&lt;&gt;"",G20=""),1,0)</f>
        <v/>
      </c>
      <c r="K20" s="22">
        <f>IF(LEFT(C20,7)&lt;&gt;"Sprint_","",IF(COUNTIFS(Versuchsdaten!$A$2:$A$1117,$A20,Versuchsdaten!$B$2:$B$1117,$B20,Versuchsdaten!$C$2:$C$1117,"Sprint_5m",Versuchsdaten!$E$2:$E$1117,$E20,Versuchsdaten!$J$2:$J$1117,1)=1,SUMIFS(Versuchsdaten!$F$2:$F$1117,Versuchsdaten!$A$2:$A$1117,$A20,Versuchsdaten!$B$2:$B$1117,$B20,Versuchsdaten!$C$2:$C$1117,"Sprint_5m",Versuchsdaten!$E$2:$E$1117,$E20,Versuchsdaten!$J$2:$J$1117,1),""))</f>
        <v/>
      </c>
      <c r="L20" s="22">
        <f>IF(LEFT(C20,7)&lt;&gt;"Sprint_","",IF(COUNTIFS(Versuchsdaten!$A$2:$A$1117,$A20,Versuchsdaten!$B$2:$B$1117,$B20,Versuchsdaten!$C$2:$C$1117,"Sprint_10m",Versuchsdaten!$E$2:$E$1117,$E20,Versuchsdaten!$J$2:$J$1117,1)=1,SUMIFS(Versuchsdaten!$F$2:$F$1117,Versuchsdaten!$A$2:$A$1117,$A20,Versuchsdaten!$B$2:$B$1117,$B20,Versuchsdaten!$C$2:$C$1117,"Sprint_10m",Versuchsdaten!$E$2:$E$1117,$E20,Versuchsdaten!$J$2:$J$1117,1),""))</f>
        <v/>
      </c>
      <c r="M20" s="22">
        <f>IF(LEFT(C20,7)&lt;&gt;"Sprint_","",IF(COUNTIFS(Versuchsdaten!$A$2:$A$1117,$A20,Versuchsdaten!$B$2:$B$1117,$B20,Versuchsdaten!$C$2:$C$1117,"Sprint_30m",Versuchsdaten!$E$2:$E$1117,$E20,Versuchsdaten!$J$2:$J$1117,1)=1,SUMIFS(Versuchsdaten!$F$2:$F$1117,Versuchsdaten!$A$2:$A$1117,$A20,Versuchsdaten!$B$2:$B$1117,$B20,Versuchsdaten!$C$2:$C$1117,"Sprint_30m",Versuchsdaten!$E$2:$E$1117,$E20,Versuchsdaten!$J$2:$J$1117,1),""))</f>
        <v/>
      </c>
      <c r="N20" s="22">
        <f>IF(LEFT(C20,7)&lt;&gt;"Sprint_",0,IF(IF(ISNUMBER(K20),IF(K20&lt;=0,1,IF(5/K20&gt;10,1,0)),0)+IF(ISNUMBER(L20),IF(ISNUMBER(K20),IF(L20-K20&lt;=0,1,IF(5/(L20-K20)&gt;10,1,0)),IF(L20&lt;=0,1,IF(10/L20&gt;10,1,0))),0)+IF(ISNUMBER(M20),IF(ISNUMBER(L20),IF(M20-L20&lt;=0,1,IF(20/(M20-L20)&gt;10,1,0)),IF(ISNUMBER(K20),IF(M20-K20&lt;=0,1,IF(25/(M20-K20)&gt;10,1,0)),IF(M20&lt;=0,1,IF(30/M20&gt;10,1,0)))),0)&gt;0,1,0))</f>
        <v/>
      </c>
      <c r="O20" s="22">
        <f>IF(AND(J20=1,N20=0),1,0)</f>
        <v/>
      </c>
      <c r="P20" s="22">
        <f>INDEX(Personendaten!$J$2:$J$32,MATCH(A20,Personendaten!$A$2:$A$32,0))</f>
        <v/>
      </c>
      <c r="Q20" s="22">
        <f>IF(O20=1,"",IF(AND(B20="post",P20="nicht angetreten"),"NANG",IF(N20=1,"AUSL",IFERROR(VLOOKUP(H20,Vokabular!$A$2:$B$8,2,FALSE),"UNBEKANNT"))))</f>
        <v/>
      </c>
    </row>
    <row r="21">
      <c r="A21" s="5" t="inlineStr">
        <is>
          <t>BW-02</t>
        </is>
      </c>
      <c r="B21" s="5" t="inlineStr">
        <is>
          <t>prä</t>
        </is>
      </c>
      <c r="C21" s="5" t="inlineStr">
        <is>
          <t>Sprint_5m</t>
        </is>
      </c>
      <c r="D21" s="5" t="inlineStr">
        <is>
          <t>–</t>
        </is>
      </c>
      <c r="E21" s="5" t="n">
        <v>2</v>
      </c>
      <c r="F21" s="5" t="n">
        <v>1.08</v>
      </c>
      <c r="G21" s="5" t="n"/>
      <c r="H21" s="5" t="n"/>
      <c r="I21" s="22">
        <f>INDEX(Personendaten!$C$2:$C$32,MATCH(A21,Personendaten!$A$2:$A$32,0))</f>
        <v/>
      </c>
      <c r="J21" s="22">
        <f>IF(AND(F21&lt;&gt;"",G21=""),1,0)</f>
        <v/>
      </c>
      <c r="K21" s="22">
        <f>IF(LEFT(C21,7)&lt;&gt;"Sprint_","",IF(COUNTIFS(Versuchsdaten!$A$2:$A$1117,$A21,Versuchsdaten!$B$2:$B$1117,$B21,Versuchsdaten!$C$2:$C$1117,"Sprint_5m",Versuchsdaten!$E$2:$E$1117,$E21,Versuchsdaten!$J$2:$J$1117,1)=1,SUMIFS(Versuchsdaten!$F$2:$F$1117,Versuchsdaten!$A$2:$A$1117,$A21,Versuchsdaten!$B$2:$B$1117,$B21,Versuchsdaten!$C$2:$C$1117,"Sprint_5m",Versuchsdaten!$E$2:$E$1117,$E21,Versuchsdaten!$J$2:$J$1117,1),""))</f>
        <v/>
      </c>
      <c r="L21" s="22">
        <f>IF(LEFT(C21,7)&lt;&gt;"Sprint_","",IF(COUNTIFS(Versuchsdaten!$A$2:$A$1117,$A21,Versuchsdaten!$B$2:$B$1117,$B21,Versuchsdaten!$C$2:$C$1117,"Sprint_10m",Versuchsdaten!$E$2:$E$1117,$E21,Versuchsdaten!$J$2:$J$1117,1)=1,SUMIFS(Versuchsdaten!$F$2:$F$1117,Versuchsdaten!$A$2:$A$1117,$A21,Versuchsdaten!$B$2:$B$1117,$B21,Versuchsdaten!$C$2:$C$1117,"Sprint_10m",Versuchsdaten!$E$2:$E$1117,$E21,Versuchsdaten!$J$2:$J$1117,1),""))</f>
        <v/>
      </c>
      <c r="M21" s="22">
        <f>IF(LEFT(C21,7)&lt;&gt;"Sprint_","",IF(COUNTIFS(Versuchsdaten!$A$2:$A$1117,$A21,Versuchsdaten!$B$2:$B$1117,$B21,Versuchsdaten!$C$2:$C$1117,"Sprint_30m",Versuchsdaten!$E$2:$E$1117,$E21,Versuchsdaten!$J$2:$J$1117,1)=1,SUMIFS(Versuchsdaten!$F$2:$F$1117,Versuchsdaten!$A$2:$A$1117,$A21,Versuchsdaten!$B$2:$B$1117,$B21,Versuchsdaten!$C$2:$C$1117,"Sprint_30m",Versuchsdaten!$E$2:$E$1117,$E21,Versuchsdaten!$J$2:$J$1117,1),""))</f>
        <v/>
      </c>
      <c r="N21" s="22">
        <f>IF(LEFT(C21,7)&lt;&gt;"Sprint_",0,IF(IF(ISNUMBER(K21),IF(K21&lt;=0,1,IF(5/K21&gt;10,1,0)),0)+IF(ISNUMBER(L21),IF(ISNUMBER(K21),IF(L21-K21&lt;=0,1,IF(5/(L21-K21)&gt;10,1,0)),IF(L21&lt;=0,1,IF(10/L21&gt;10,1,0))),0)+IF(ISNUMBER(M21),IF(ISNUMBER(L21),IF(M21-L21&lt;=0,1,IF(20/(M21-L21)&gt;10,1,0)),IF(ISNUMBER(K21),IF(M21-K21&lt;=0,1,IF(25/(M21-K21)&gt;10,1,0)),IF(M21&lt;=0,1,IF(30/M21&gt;10,1,0)))),0)&gt;0,1,0))</f>
        <v/>
      </c>
      <c r="O21" s="22">
        <f>IF(AND(J21=1,N21=0),1,0)</f>
        <v/>
      </c>
      <c r="P21" s="22">
        <f>INDEX(Personendaten!$J$2:$J$32,MATCH(A21,Personendaten!$A$2:$A$32,0))</f>
        <v/>
      </c>
      <c r="Q21" s="22">
        <f>IF(O21=1,"",IF(AND(B21="post",P21="nicht angetreten"),"NANG",IF(N21=1,"AUSL",IFERROR(VLOOKUP(H21,Vokabular!$A$2:$B$8,2,FALSE),"UNBEKANNT"))))</f>
        <v/>
      </c>
    </row>
    <row r="22">
      <c r="A22" s="5" t="inlineStr">
        <is>
          <t>BW-02</t>
        </is>
      </c>
      <c r="B22" s="5" t="inlineStr">
        <is>
          <t>prä</t>
        </is>
      </c>
      <c r="C22" s="5" t="inlineStr">
        <is>
          <t>Sprint_5m</t>
        </is>
      </c>
      <c r="D22" s="5" t="inlineStr">
        <is>
          <t>–</t>
        </is>
      </c>
      <c r="E22" s="5" t="n">
        <v>3</v>
      </c>
      <c r="F22" s="5" t="n"/>
      <c r="G22" s="5" t="n"/>
      <c r="H22" s="5" t="inlineStr">
        <is>
          <t>System nicht aufgenommen</t>
        </is>
      </c>
      <c r="I22" s="22">
        <f>INDEX(Personendaten!$C$2:$C$32,MATCH(A22,Personendaten!$A$2:$A$32,0))</f>
        <v/>
      </c>
      <c r="J22" s="22">
        <f>IF(AND(F22&lt;&gt;"",G22=""),1,0)</f>
        <v/>
      </c>
      <c r="K22" s="22">
        <f>IF(LEFT(C22,7)&lt;&gt;"Sprint_","",IF(COUNTIFS(Versuchsdaten!$A$2:$A$1117,$A22,Versuchsdaten!$B$2:$B$1117,$B22,Versuchsdaten!$C$2:$C$1117,"Sprint_5m",Versuchsdaten!$E$2:$E$1117,$E22,Versuchsdaten!$J$2:$J$1117,1)=1,SUMIFS(Versuchsdaten!$F$2:$F$1117,Versuchsdaten!$A$2:$A$1117,$A22,Versuchsdaten!$B$2:$B$1117,$B22,Versuchsdaten!$C$2:$C$1117,"Sprint_5m",Versuchsdaten!$E$2:$E$1117,$E22,Versuchsdaten!$J$2:$J$1117,1),""))</f>
        <v/>
      </c>
      <c r="L22" s="22">
        <f>IF(LEFT(C22,7)&lt;&gt;"Sprint_","",IF(COUNTIFS(Versuchsdaten!$A$2:$A$1117,$A22,Versuchsdaten!$B$2:$B$1117,$B22,Versuchsdaten!$C$2:$C$1117,"Sprint_10m",Versuchsdaten!$E$2:$E$1117,$E22,Versuchsdaten!$J$2:$J$1117,1)=1,SUMIFS(Versuchsdaten!$F$2:$F$1117,Versuchsdaten!$A$2:$A$1117,$A22,Versuchsdaten!$B$2:$B$1117,$B22,Versuchsdaten!$C$2:$C$1117,"Sprint_10m",Versuchsdaten!$E$2:$E$1117,$E22,Versuchsdaten!$J$2:$J$1117,1),""))</f>
        <v/>
      </c>
      <c r="M22" s="22">
        <f>IF(LEFT(C22,7)&lt;&gt;"Sprint_","",IF(COUNTIFS(Versuchsdaten!$A$2:$A$1117,$A22,Versuchsdaten!$B$2:$B$1117,$B22,Versuchsdaten!$C$2:$C$1117,"Sprint_30m",Versuchsdaten!$E$2:$E$1117,$E22,Versuchsdaten!$J$2:$J$1117,1)=1,SUMIFS(Versuchsdaten!$F$2:$F$1117,Versuchsdaten!$A$2:$A$1117,$A22,Versuchsdaten!$B$2:$B$1117,$B22,Versuchsdaten!$C$2:$C$1117,"Sprint_30m",Versuchsdaten!$E$2:$E$1117,$E22,Versuchsdaten!$J$2:$J$1117,1),""))</f>
        <v/>
      </c>
      <c r="N22" s="22">
        <f>IF(LEFT(C22,7)&lt;&gt;"Sprint_",0,IF(IF(ISNUMBER(K22),IF(K22&lt;=0,1,IF(5/K22&gt;10,1,0)),0)+IF(ISNUMBER(L22),IF(ISNUMBER(K22),IF(L22-K22&lt;=0,1,IF(5/(L22-K22)&gt;10,1,0)),IF(L22&lt;=0,1,IF(10/L22&gt;10,1,0))),0)+IF(ISNUMBER(M22),IF(ISNUMBER(L22),IF(M22-L22&lt;=0,1,IF(20/(M22-L22)&gt;10,1,0)),IF(ISNUMBER(K22),IF(M22-K22&lt;=0,1,IF(25/(M22-K22)&gt;10,1,0)),IF(M22&lt;=0,1,IF(30/M22&gt;10,1,0)))),0)&gt;0,1,0))</f>
        <v/>
      </c>
      <c r="O22" s="22">
        <f>IF(AND(J22=1,N22=0),1,0)</f>
        <v/>
      </c>
      <c r="P22" s="22">
        <f>INDEX(Personendaten!$J$2:$J$32,MATCH(A22,Personendaten!$A$2:$A$32,0))</f>
        <v/>
      </c>
      <c r="Q22" s="22">
        <f>IF(O22=1,"",IF(AND(B22="post",P22="nicht angetreten"),"NANG",IF(N22=1,"AUSL",IFERROR(VLOOKUP(H22,Vokabular!$A$2:$B$8,2,FALSE),"UNBEKANNT"))))</f>
        <v/>
      </c>
    </row>
    <row r="23">
      <c r="A23" s="5" t="inlineStr">
        <is>
          <t>BW-02</t>
        </is>
      </c>
      <c r="B23" s="5" t="inlineStr">
        <is>
          <t>prä</t>
        </is>
      </c>
      <c r="C23" s="5" t="inlineStr">
        <is>
          <t>Sprint_10m</t>
        </is>
      </c>
      <c r="D23" s="5" t="inlineStr">
        <is>
          <t>–</t>
        </is>
      </c>
      <c r="E23" s="5" t="n">
        <v>1</v>
      </c>
      <c r="F23" s="5" t="n">
        <v>2</v>
      </c>
      <c r="G23" s="5" t="n"/>
      <c r="H23" s="5" t="n"/>
      <c r="I23" s="22">
        <f>INDEX(Personendaten!$C$2:$C$32,MATCH(A23,Personendaten!$A$2:$A$32,0))</f>
        <v/>
      </c>
      <c r="J23" s="22">
        <f>IF(AND(F23&lt;&gt;"",G23=""),1,0)</f>
        <v/>
      </c>
      <c r="K23" s="22">
        <f>IF(LEFT(C23,7)&lt;&gt;"Sprint_","",IF(COUNTIFS(Versuchsdaten!$A$2:$A$1117,$A23,Versuchsdaten!$B$2:$B$1117,$B23,Versuchsdaten!$C$2:$C$1117,"Sprint_5m",Versuchsdaten!$E$2:$E$1117,$E23,Versuchsdaten!$J$2:$J$1117,1)=1,SUMIFS(Versuchsdaten!$F$2:$F$1117,Versuchsdaten!$A$2:$A$1117,$A23,Versuchsdaten!$B$2:$B$1117,$B23,Versuchsdaten!$C$2:$C$1117,"Sprint_5m",Versuchsdaten!$E$2:$E$1117,$E23,Versuchsdaten!$J$2:$J$1117,1),""))</f>
        <v/>
      </c>
      <c r="L23" s="22">
        <f>IF(LEFT(C23,7)&lt;&gt;"Sprint_","",IF(COUNTIFS(Versuchsdaten!$A$2:$A$1117,$A23,Versuchsdaten!$B$2:$B$1117,$B23,Versuchsdaten!$C$2:$C$1117,"Sprint_10m",Versuchsdaten!$E$2:$E$1117,$E23,Versuchsdaten!$J$2:$J$1117,1)=1,SUMIFS(Versuchsdaten!$F$2:$F$1117,Versuchsdaten!$A$2:$A$1117,$A23,Versuchsdaten!$B$2:$B$1117,$B23,Versuchsdaten!$C$2:$C$1117,"Sprint_10m",Versuchsdaten!$E$2:$E$1117,$E23,Versuchsdaten!$J$2:$J$1117,1),""))</f>
        <v/>
      </c>
      <c r="M23" s="22">
        <f>IF(LEFT(C23,7)&lt;&gt;"Sprint_","",IF(COUNTIFS(Versuchsdaten!$A$2:$A$1117,$A23,Versuchsdaten!$B$2:$B$1117,$B23,Versuchsdaten!$C$2:$C$1117,"Sprint_30m",Versuchsdaten!$E$2:$E$1117,$E23,Versuchsdaten!$J$2:$J$1117,1)=1,SUMIFS(Versuchsdaten!$F$2:$F$1117,Versuchsdaten!$A$2:$A$1117,$A23,Versuchsdaten!$B$2:$B$1117,$B23,Versuchsdaten!$C$2:$C$1117,"Sprint_30m",Versuchsdaten!$E$2:$E$1117,$E23,Versuchsdaten!$J$2:$J$1117,1),""))</f>
        <v/>
      </c>
      <c r="N23" s="22">
        <f>IF(LEFT(C23,7)&lt;&gt;"Sprint_",0,IF(IF(ISNUMBER(K23),IF(K23&lt;=0,1,IF(5/K23&gt;10,1,0)),0)+IF(ISNUMBER(L23),IF(ISNUMBER(K23),IF(L23-K23&lt;=0,1,IF(5/(L23-K23)&gt;10,1,0)),IF(L23&lt;=0,1,IF(10/L23&gt;10,1,0))),0)+IF(ISNUMBER(M23),IF(ISNUMBER(L23),IF(M23-L23&lt;=0,1,IF(20/(M23-L23)&gt;10,1,0)),IF(ISNUMBER(K23),IF(M23-K23&lt;=0,1,IF(25/(M23-K23)&gt;10,1,0)),IF(M23&lt;=0,1,IF(30/M23&gt;10,1,0)))),0)&gt;0,1,0))</f>
        <v/>
      </c>
      <c r="O23" s="22">
        <f>IF(AND(J23=1,N23=0),1,0)</f>
        <v/>
      </c>
      <c r="P23" s="22">
        <f>INDEX(Personendaten!$J$2:$J$32,MATCH(A23,Personendaten!$A$2:$A$32,0))</f>
        <v/>
      </c>
      <c r="Q23" s="22">
        <f>IF(O23=1,"",IF(AND(B23="post",P23="nicht angetreten"),"NANG",IF(N23=1,"AUSL",IFERROR(VLOOKUP(H23,Vokabular!$A$2:$B$8,2,FALSE),"UNBEKANNT"))))</f>
        <v/>
      </c>
    </row>
    <row r="24">
      <c r="A24" s="5" t="inlineStr">
        <is>
          <t>BW-02</t>
        </is>
      </c>
      <c r="B24" s="5" t="inlineStr">
        <is>
          <t>prä</t>
        </is>
      </c>
      <c r="C24" s="5" t="inlineStr">
        <is>
          <t>Sprint_10m</t>
        </is>
      </c>
      <c r="D24" s="5" t="inlineStr">
        <is>
          <t>–</t>
        </is>
      </c>
      <c r="E24" s="5" t="n">
        <v>2</v>
      </c>
      <c r="F24" s="5" t="n">
        <v>1.92</v>
      </c>
      <c r="G24" s="5" t="n"/>
      <c r="H24" s="5" t="n"/>
      <c r="I24" s="22">
        <f>INDEX(Personendaten!$C$2:$C$32,MATCH(A24,Personendaten!$A$2:$A$32,0))</f>
        <v/>
      </c>
      <c r="J24" s="22">
        <f>IF(AND(F24&lt;&gt;"",G24=""),1,0)</f>
        <v/>
      </c>
      <c r="K24" s="22">
        <f>IF(LEFT(C24,7)&lt;&gt;"Sprint_","",IF(COUNTIFS(Versuchsdaten!$A$2:$A$1117,$A24,Versuchsdaten!$B$2:$B$1117,$B24,Versuchsdaten!$C$2:$C$1117,"Sprint_5m",Versuchsdaten!$E$2:$E$1117,$E24,Versuchsdaten!$J$2:$J$1117,1)=1,SUMIFS(Versuchsdaten!$F$2:$F$1117,Versuchsdaten!$A$2:$A$1117,$A24,Versuchsdaten!$B$2:$B$1117,$B24,Versuchsdaten!$C$2:$C$1117,"Sprint_5m",Versuchsdaten!$E$2:$E$1117,$E24,Versuchsdaten!$J$2:$J$1117,1),""))</f>
        <v/>
      </c>
      <c r="L24" s="22">
        <f>IF(LEFT(C24,7)&lt;&gt;"Sprint_","",IF(COUNTIFS(Versuchsdaten!$A$2:$A$1117,$A24,Versuchsdaten!$B$2:$B$1117,$B24,Versuchsdaten!$C$2:$C$1117,"Sprint_10m",Versuchsdaten!$E$2:$E$1117,$E24,Versuchsdaten!$J$2:$J$1117,1)=1,SUMIFS(Versuchsdaten!$F$2:$F$1117,Versuchsdaten!$A$2:$A$1117,$A24,Versuchsdaten!$B$2:$B$1117,$B24,Versuchsdaten!$C$2:$C$1117,"Sprint_10m",Versuchsdaten!$E$2:$E$1117,$E24,Versuchsdaten!$J$2:$J$1117,1),""))</f>
        <v/>
      </c>
      <c r="M24" s="22">
        <f>IF(LEFT(C24,7)&lt;&gt;"Sprint_","",IF(COUNTIFS(Versuchsdaten!$A$2:$A$1117,$A24,Versuchsdaten!$B$2:$B$1117,$B24,Versuchsdaten!$C$2:$C$1117,"Sprint_30m",Versuchsdaten!$E$2:$E$1117,$E24,Versuchsdaten!$J$2:$J$1117,1)=1,SUMIFS(Versuchsdaten!$F$2:$F$1117,Versuchsdaten!$A$2:$A$1117,$A24,Versuchsdaten!$B$2:$B$1117,$B24,Versuchsdaten!$C$2:$C$1117,"Sprint_30m",Versuchsdaten!$E$2:$E$1117,$E24,Versuchsdaten!$J$2:$J$1117,1),""))</f>
        <v/>
      </c>
      <c r="N24" s="22">
        <f>IF(LEFT(C24,7)&lt;&gt;"Sprint_",0,IF(IF(ISNUMBER(K24),IF(K24&lt;=0,1,IF(5/K24&gt;10,1,0)),0)+IF(ISNUMBER(L24),IF(ISNUMBER(K24),IF(L24-K24&lt;=0,1,IF(5/(L24-K24)&gt;10,1,0)),IF(L24&lt;=0,1,IF(10/L24&gt;10,1,0))),0)+IF(ISNUMBER(M24),IF(ISNUMBER(L24),IF(M24-L24&lt;=0,1,IF(20/(M24-L24)&gt;10,1,0)),IF(ISNUMBER(K24),IF(M24-K24&lt;=0,1,IF(25/(M24-K24)&gt;10,1,0)),IF(M24&lt;=0,1,IF(30/M24&gt;10,1,0)))),0)&gt;0,1,0))</f>
        <v/>
      </c>
      <c r="O24" s="22">
        <f>IF(AND(J24=1,N24=0),1,0)</f>
        <v/>
      </c>
      <c r="P24" s="22">
        <f>INDEX(Personendaten!$J$2:$J$32,MATCH(A24,Personendaten!$A$2:$A$32,0))</f>
        <v/>
      </c>
      <c r="Q24" s="22">
        <f>IF(O24=1,"",IF(AND(B24="post",P24="nicht angetreten"),"NANG",IF(N24=1,"AUSL",IFERROR(VLOOKUP(H24,Vokabular!$A$2:$B$8,2,FALSE),"UNBEKANNT"))))</f>
        <v/>
      </c>
    </row>
    <row r="25">
      <c r="A25" s="5" t="inlineStr">
        <is>
          <t>BW-02</t>
        </is>
      </c>
      <c r="B25" s="5" t="inlineStr">
        <is>
          <t>prä</t>
        </is>
      </c>
      <c r="C25" s="5" t="inlineStr">
        <is>
          <t>Sprint_10m</t>
        </is>
      </c>
      <c r="D25" s="5" t="inlineStr">
        <is>
          <t>–</t>
        </is>
      </c>
      <c r="E25" s="5" t="n">
        <v>3</v>
      </c>
      <c r="F25" s="5" t="n">
        <v>1.92</v>
      </c>
      <c r="G25" s="5" t="n"/>
      <c r="H25" s="5" t="n"/>
      <c r="I25" s="22">
        <f>INDEX(Personendaten!$C$2:$C$32,MATCH(A25,Personendaten!$A$2:$A$32,0))</f>
        <v/>
      </c>
      <c r="J25" s="22">
        <f>IF(AND(F25&lt;&gt;"",G25=""),1,0)</f>
        <v/>
      </c>
      <c r="K25" s="22">
        <f>IF(LEFT(C25,7)&lt;&gt;"Sprint_","",IF(COUNTIFS(Versuchsdaten!$A$2:$A$1117,$A25,Versuchsdaten!$B$2:$B$1117,$B25,Versuchsdaten!$C$2:$C$1117,"Sprint_5m",Versuchsdaten!$E$2:$E$1117,$E25,Versuchsdaten!$J$2:$J$1117,1)=1,SUMIFS(Versuchsdaten!$F$2:$F$1117,Versuchsdaten!$A$2:$A$1117,$A25,Versuchsdaten!$B$2:$B$1117,$B25,Versuchsdaten!$C$2:$C$1117,"Sprint_5m",Versuchsdaten!$E$2:$E$1117,$E25,Versuchsdaten!$J$2:$J$1117,1),""))</f>
        <v/>
      </c>
      <c r="L25" s="22">
        <f>IF(LEFT(C25,7)&lt;&gt;"Sprint_","",IF(COUNTIFS(Versuchsdaten!$A$2:$A$1117,$A25,Versuchsdaten!$B$2:$B$1117,$B25,Versuchsdaten!$C$2:$C$1117,"Sprint_10m",Versuchsdaten!$E$2:$E$1117,$E25,Versuchsdaten!$J$2:$J$1117,1)=1,SUMIFS(Versuchsdaten!$F$2:$F$1117,Versuchsdaten!$A$2:$A$1117,$A25,Versuchsdaten!$B$2:$B$1117,$B25,Versuchsdaten!$C$2:$C$1117,"Sprint_10m",Versuchsdaten!$E$2:$E$1117,$E25,Versuchsdaten!$J$2:$J$1117,1),""))</f>
        <v/>
      </c>
      <c r="M25" s="22">
        <f>IF(LEFT(C25,7)&lt;&gt;"Sprint_","",IF(COUNTIFS(Versuchsdaten!$A$2:$A$1117,$A25,Versuchsdaten!$B$2:$B$1117,$B25,Versuchsdaten!$C$2:$C$1117,"Sprint_30m",Versuchsdaten!$E$2:$E$1117,$E25,Versuchsdaten!$J$2:$J$1117,1)=1,SUMIFS(Versuchsdaten!$F$2:$F$1117,Versuchsdaten!$A$2:$A$1117,$A25,Versuchsdaten!$B$2:$B$1117,$B25,Versuchsdaten!$C$2:$C$1117,"Sprint_30m",Versuchsdaten!$E$2:$E$1117,$E25,Versuchsdaten!$J$2:$J$1117,1),""))</f>
        <v/>
      </c>
      <c r="N25" s="22">
        <f>IF(LEFT(C25,7)&lt;&gt;"Sprint_",0,IF(IF(ISNUMBER(K25),IF(K25&lt;=0,1,IF(5/K25&gt;10,1,0)),0)+IF(ISNUMBER(L25),IF(ISNUMBER(K25),IF(L25-K25&lt;=0,1,IF(5/(L25-K25)&gt;10,1,0)),IF(L25&lt;=0,1,IF(10/L25&gt;10,1,0))),0)+IF(ISNUMBER(M25),IF(ISNUMBER(L25),IF(M25-L25&lt;=0,1,IF(20/(M25-L25)&gt;10,1,0)),IF(ISNUMBER(K25),IF(M25-K25&lt;=0,1,IF(25/(M25-K25)&gt;10,1,0)),IF(M25&lt;=0,1,IF(30/M25&gt;10,1,0)))),0)&gt;0,1,0))</f>
        <v/>
      </c>
      <c r="O25" s="22">
        <f>IF(AND(J25=1,N25=0),1,0)</f>
        <v/>
      </c>
      <c r="P25" s="22">
        <f>INDEX(Personendaten!$J$2:$J$32,MATCH(A25,Personendaten!$A$2:$A$32,0))</f>
        <v/>
      </c>
      <c r="Q25" s="22">
        <f>IF(O25=1,"",IF(AND(B25="post",P25="nicht angetreten"),"NANG",IF(N25=1,"AUSL",IFERROR(VLOOKUP(H25,Vokabular!$A$2:$B$8,2,FALSE),"UNBEKANNT"))))</f>
        <v/>
      </c>
    </row>
    <row r="26">
      <c r="A26" s="5" t="inlineStr">
        <is>
          <t>BW-02</t>
        </is>
      </c>
      <c r="B26" s="5" t="inlineStr">
        <is>
          <t>prä</t>
        </is>
      </c>
      <c r="C26" s="5" t="inlineStr">
        <is>
          <t>Sprint_30m</t>
        </is>
      </c>
      <c r="D26" s="5" t="inlineStr">
        <is>
          <t>–</t>
        </is>
      </c>
      <c r="E26" s="5" t="n">
        <v>1</v>
      </c>
      <c r="F26" s="5" t="n">
        <v>4.81</v>
      </c>
      <c r="G26" s="5" t="n"/>
      <c r="H26" s="5" t="n"/>
      <c r="I26" s="22">
        <f>INDEX(Personendaten!$C$2:$C$32,MATCH(A26,Personendaten!$A$2:$A$32,0))</f>
        <v/>
      </c>
      <c r="J26" s="22">
        <f>IF(AND(F26&lt;&gt;"",G26=""),1,0)</f>
        <v/>
      </c>
      <c r="K26" s="22">
        <f>IF(LEFT(C26,7)&lt;&gt;"Sprint_","",IF(COUNTIFS(Versuchsdaten!$A$2:$A$1117,$A26,Versuchsdaten!$B$2:$B$1117,$B26,Versuchsdaten!$C$2:$C$1117,"Sprint_5m",Versuchsdaten!$E$2:$E$1117,$E26,Versuchsdaten!$J$2:$J$1117,1)=1,SUMIFS(Versuchsdaten!$F$2:$F$1117,Versuchsdaten!$A$2:$A$1117,$A26,Versuchsdaten!$B$2:$B$1117,$B26,Versuchsdaten!$C$2:$C$1117,"Sprint_5m",Versuchsdaten!$E$2:$E$1117,$E26,Versuchsdaten!$J$2:$J$1117,1),""))</f>
        <v/>
      </c>
      <c r="L26" s="22">
        <f>IF(LEFT(C26,7)&lt;&gt;"Sprint_","",IF(COUNTIFS(Versuchsdaten!$A$2:$A$1117,$A26,Versuchsdaten!$B$2:$B$1117,$B26,Versuchsdaten!$C$2:$C$1117,"Sprint_10m",Versuchsdaten!$E$2:$E$1117,$E26,Versuchsdaten!$J$2:$J$1117,1)=1,SUMIFS(Versuchsdaten!$F$2:$F$1117,Versuchsdaten!$A$2:$A$1117,$A26,Versuchsdaten!$B$2:$B$1117,$B26,Versuchsdaten!$C$2:$C$1117,"Sprint_10m",Versuchsdaten!$E$2:$E$1117,$E26,Versuchsdaten!$J$2:$J$1117,1),""))</f>
        <v/>
      </c>
      <c r="M26" s="22">
        <f>IF(LEFT(C26,7)&lt;&gt;"Sprint_","",IF(COUNTIFS(Versuchsdaten!$A$2:$A$1117,$A26,Versuchsdaten!$B$2:$B$1117,$B26,Versuchsdaten!$C$2:$C$1117,"Sprint_30m",Versuchsdaten!$E$2:$E$1117,$E26,Versuchsdaten!$J$2:$J$1117,1)=1,SUMIFS(Versuchsdaten!$F$2:$F$1117,Versuchsdaten!$A$2:$A$1117,$A26,Versuchsdaten!$B$2:$B$1117,$B26,Versuchsdaten!$C$2:$C$1117,"Sprint_30m",Versuchsdaten!$E$2:$E$1117,$E26,Versuchsdaten!$J$2:$J$1117,1),""))</f>
        <v/>
      </c>
      <c r="N26" s="22">
        <f>IF(LEFT(C26,7)&lt;&gt;"Sprint_",0,IF(IF(ISNUMBER(K26),IF(K26&lt;=0,1,IF(5/K26&gt;10,1,0)),0)+IF(ISNUMBER(L26),IF(ISNUMBER(K26),IF(L26-K26&lt;=0,1,IF(5/(L26-K26)&gt;10,1,0)),IF(L26&lt;=0,1,IF(10/L26&gt;10,1,0))),0)+IF(ISNUMBER(M26),IF(ISNUMBER(L26),IF(M26-L26&lt;=0,1,IF(20/(M26-L26)&gt;10,1,0)),IF(ISNUMBER(K26),IF(M26-K26&lt;=0,1,IF(25/(M26-K26)&gt;10,1,0)),IF(M26&lt;=0,1,IF(30/M26&gt;10,1,0)))),0)&gt;0,1,0))</f>
        <v/>
      </c>
      <c r="O26" s="22">
        <f>IF(AND(J26=1,N26=0),1,0)</f>
        <v/>
      </c>
      <c r="P26" s="22">
        <f>INDEX(Personendaten!$J$2:$J$32,MATCH(A26,Personendaten!$A$2:$A$32,0))</f>
        <v/>
      </c>
      <c r="Q26" s="22">
        <f>IF(O26=1,"",IF(AND(B26="post",P26="nicht angetreten"),"NANG",IF(N26=1,"AUSL",IFERROR(VLOOKUP(H26,Vokabular!$A$2:$B$8,2,FALSE),"UNBEKANNT"))))</f>
        <v/>
      </c>
    </row>
    <row r="27">
      <c r="A27" s="5" t="inlineStr">
        <is>
          <t>BW-02</t>
        </is>
      </c>
      <c r="B27" s="5" t="inlineStr">
        <is>
          <t>prä</t>
        </is>
      </c>
      <c r="C27" s="5" t="inlineStr">
        <is>
          <t>Sprint_30m</t>
        </is>
      </c>
      <c r="D27" s="5" t="inlineStr">
        <is>
          <t>–</t>
        </is>
      </c>
      <c r="E27" s="5" t="n">
        <v>2</v>
      </c>
      <c r="F27" s="5" t="n">
        <v>4.72</v>
      </c>
      <c r="G27" s="5" t="n"/>
      <c r="H27" s="5" t="n"/>
      <c r="I27" s="22">
        <f>INDEX(Personendaten!$C$2:$C$32,MATCH(A27,Personendaten!$A$2:$A$32,0))</f>
        <v/>
      </c>
      <c r="J27" s="22">
        <f>IF(AND(F27&lt;&gt;"",G27=""),1,0)</f>
        <v/>
      </c>
      <c r="K27" s="22">
        <f>IF(LEFT(C27,7)&lt;&gt;"Sprint_","",IF(COUNTIFS(Versuchsdaten!$A$2:$A$1117,$A27,Versuchsdaten!$B$2:$B$1117,$B27,Versuchsdaten!$C$2:$C$1117,"Sprint_5m",Versuchsdaten!$E$2:$E$1117,$E27,Versuchsdaten!$J$2:$J$1117,1)=1,SUMIFS(Versuchsdaten!$F$2:$F$1117,Versuchsdaten!$A$2:$A$1117,$A27,Versuchsdaten!$B$2:$B$1117,$B27,Versuchsdaten!$C$2:$C$1117,"Sprint_5m",Versuchsdaten!$E$2:$E$1117,$E27,Versuchsdaten!$J$2:$J$1117,1),""))</f>
        <v/>
      </c>
      <c r="L27" s="22">
        <f>IF(LEFT(C27,7)&lt;&gt;"Sprint_","",IF(COUNTIFS(Versuchsdaten!$A$2:$A$1117,$A27,Versuchsdaten!$B$2:$B$1117,$B27,Versuchsdaten!$C$2:$C$1117,"Sprint_10m",Versuchsdaten!$E$2:$E$1117,$E27,Versuchsdaten!$J$2:$J$1117,1)=1,SUMIFS(Versuchsdaten!$F$2:$F$1117,Versuchsdaten!$A$2:$A$1117,$A27,Versuchsdaten!$B$2:$B$1117,$B27,Versuchsdaten!$C$2:$C$1117,"Sprint_10m",Versuchsdaten!$E$2:$E$1117,$E27,Versuchsdaten!$J$2:$J$1117,1),""))</f>
        <v/>
      </c>
      <c r="M27" s="22">
        <f>IF(LEFT(C27,7)&lt;&gt;"Sprint_","",IF(COUNTIFS(Versuchsdaten!$A$2:$A$1117,$A27,Versuchsdaten!$B$2:$B$1117,$B27,Versuchsdaten!$C$2:$C$1117,"Sprint_30m",Versuchsdaten!$E$2:$E$1117,$E27,Versuchsdaten!$J$2:$J$1117,1)=1,SUMIFS(Versuchsdaten!$F$2:$F$1117,Versuchsdaten!$A$2:$A$1117,$A27,Versuchsdaten!$B$2:$B$1117,$B27,Versuchsdaten!$C$2:$C$1117,"Sprint_30m",Versuchsdaten!$E$2:$E$1117,$E27,Versuchsdaten!$J$2:$J$1117,1),""))</f>
        <v/>
      </c>
      <c r="N27" s="22">
        <f>IF(LEFT(C27,7)&lt;&gt;"Sprint_",0,IF(IF(ISNUMBER(K27),IF(K27&lt;=0,1,IF(5/K27&gt;10,1,0)),0)+IF(ISNUMBER(L27),IF(ISNUMBER(K27),IF(L27-K27&lt;=0,1,IF(5/(L27-K27)&gt;10,1,0)),IF(L27&lt;=0,1,IF(10/L27&gt;10,1,0))),0)+IF(ISNUMBER(M27),IF(ISNUMBER(L27),IF(M27-L27&lt;=0,1,IF(20/(M27-L27)&gt;10,1,0)),IF(ISNUMBER(K27),IF(M27-K27&lt;=0,1,IF(25/(M27-K27)&gt;10,1,0)),IF(M27&lt;=0,1,IF(30/M27&gt;10,1,0)))),0)&gt;0,1,0))</f>
        <v/>
      </c>
      <c r="O27" s="22">
        <f>IF(AND(J27=1,N27=0),1,0)</f>
        <v/>
      </c>
      <c r="P27" s="22">
        <f>INDEX(Personendaten!$J$2:$J$32,MATCH(A27,Personendaten!$A$2:$A$32,0))</f>
        <v/>
      </c>
      <c r="Q27" s="22">
        <f>IF(O27=1,"",IF(AND(B27="post",P27="nicht angetreten"),"NANG",IF(N27=1,"AUSL",IFERROR(VLOOKUP(H27,Vokabular!$A$2:$B$8,2,FALSE),"UNBEKANNT"))))</f>
        <v/>
      </c>
    </row>
    <row r="28">
      <c r="A28" s="5" t="inlineStr">
        <is>
          <t>BW-02</t>
        </is>
      </c>
      <c r="B28" s="5" t="inlineStr">
        <is>
          <t>prä</t>
        </is>
      </c>
      <c r="C28" s="5" t="inlineStr">
        <is>
          <t>Sprint_30m</t>
        </is>
      </c>
      <c r="D28" s="5" t="inlineStr">
        <is>
          <t>–</t>
        </is>
      </c>
      <c r="E28" s="5" t="n">
        <v>3</v>
      </c>
      <c r="F28" s="5" t="n">
        <v>4.69</v>
      </c>
      <c r="G28" s="5" t="n"/>
      <c r="H28" s="5" t="n"/>
      <c r="I28" s="22">
        <f>INDEX(Personendaten!$C$2:$C$32,MATCH(A28,Personendaten!$A$2:$A$32,0))</f>
        <v/>
      </c>
      <c r="J28" s="22">
        <f>IF(AND(F28&lt;&gt;"",G28=""),1,0)</f>
        <v/>
      </c>
      <c r="K28" s="22">
        <f>IF(LEFT(C28,7)&lt;&gt;"Sprint_","",IF(COUNTIFS(Versuchsdaten!$A$2:$A$1117,$A28,Versuchsdaten!$B$2:$B$1117,$B28,Versuchsdaten!$C$2:$C$1117,"Sprint_5m",Versuchsdaten!$E$2:$E$1117,$E28,Versuchsdaten!$J$2:$J$1117,1)=1,SUMIFS(Versuchsdaten!$F$2:$F$1117,Versuchsdaten!$A$2:$A$1117,$A28,Versuchsdaten!$B$2:$B$1117,$B28,Versuchsdaten!$C$2:$C$1117,"Sprint_5m",Versuchsdaten!$E$2:$E$1117,$E28,Versuchsdaten!$J$2:$J$1117,1),""))</f>
        <v/>
      </c>
      <c r="L28" s="22">
        <f>IF(LEFT(C28,7)&lt;&gt;"Sprint_","",IF(COUNTIFS(Versuchsdaten!$A$2:$A$1117,$A28,Versuchsdaten!$B$2:$B$1117,$B28,Versuchsdaten!$C$2:$C$1117,"Sprint_10m",Versuchsdaten!$E$2:$E$1117,$E28,Versuchsdaten!$J$2:$J$1117,1)=1,SUMIFS(Versuchsdaten!$F$2:$F$1117,Versuchsdaten!$A$2:$A$1117,$A28,Versuchsdaten!$B$2:$B$1117,$B28,Versuchsdaten!$C$2:$C$1117,"Sprint_10m",Versuchsdaten!$E$2:$E$1117,$E28,Versuchsdaten!$J$2:$J$1117,1),""))</f>
        <v/>
      </c>
      <c r="M28" s="22">
        <f>IF(LEFT(C28,7)&lt;&gt;"Sprint_","",IF(COUNTIFS(Versuchsdaten!$A$2:$A$1117,$A28,Versuchsdaten!$B$2:$B$1117,$B28,Versuchsdaten!$C$2:$C$1117,"Sprint_30m",Versuchsdaten!$E$2:$E$1117,$E28,Versuchsdaten!$J$2:$J$1117,1)=1,SUMIFS(Versuchsdaten!$F$2:$F$1117,Versuchsdaten!$A$2:$A$1117,$A28,Versuchsdaten!$B$2:$B$1117,$B28,Versuchsdaten!$C$2:$C$1117,"Sprint_30m",Versuchsdaten!$E$2:$E$1117,$E28,Versuchsdaten!$J$2:$J$1117,1),""))</f>
        <v/>
      </c>
      <c r="N28" s="22">
        <f>IF(LEFT(C28,7)&lt;&gt;"Sprint_",0,IF(IF(ISNUMBER(K28),IF(K28&lt;=0,1,IF(5/K28&gt;10,1,0)),0)+IF(ISNUMBER(L28),IF(ISNUMBER(K28),IF(L28-K28&lt;=0,1,IF(5/(L28-K28)&gt;10,1,0)),IF(L28&lt;=0,1,IF(10/L28&gt;10,1,0))),0)+IF(ISNUMBER(M28),IF(ISNUMBER(L28),IF(M28-L28&lt;=0,1,IF(20/(M28-L28)&gt;10,1,0)),IF(ISNUMBER(K28),IF(M28-K28&lt;=0,1,IF(25/(M28-K28)&gt;10,1,0)),IF(M28&lt;=0,1,IF(30/M28&gt;10,1,0)))),0)&gt;0,1,0))</f>
        <v/>
      </c>
      <c r="O28" s="22">
        <f>IF(AND(J28=1,N28=0),1,0)</f>
        <v/>
      </c>
      <c r="P28" s="22">
        <f>INDEX(Personendaten!$J$2:$J$32,MATCH(A28,Personendaten!$A$2:$A$32,0))</f>
        <v/>
      </c>
      <c r="Q28" s="22">
        <f>IF(O28=1,"",IF(AND(B28="post",P28="nicht angetreten"),"NANG",IF(N28=1,"AUSL",IFERROR(VLOOKUP(H28,Vokabular!$A$2:$B$8,2,FALSE),"UNBEKANNT"))))</f>
        <v/>
      </c>
    </row>
    <row r="29">
      <c r="A29" s="5" t="inlineStr">
        <is>
          <t>BW-02</t>
        </is>
      </c>
      <c r="B29" s="5" t="inlineStr">
        <is>
          <t>prä</t>
        </is>
      </c>
      <c r="C29" s="5" t="inlineStr">
        <is>
          <t>Standweitsprung</t>
        </is>
      </c>
      <c r="D29" s="5" t="inlineStr">
        <is>
          <t>–</t>
        </is>
      </c>
      <c r="E29" s="5" t="n">
        <v>1</v>
      </c>
      <c r="F29" s="5" t="n"/>
      <c r="G29" s="5" t="inlineStr">
        <is>
          <t>x</t>
        </is>
      </c>
      <c r="H29" s="5" t="inlineStr">
        <is>
          <t>Kein fester Stand</t>
        </is>
      </c>
      <c r="I29" s="22">
        <f>INDEX(Personendaten!$C$2:$C$32,MATCH(A29,Personendaten!$A$2:$A$32,0))</f>
        <v/>
      </c>
      <c r="J29" s="22">
        <f>IF(AND(F29&lt;&gt;"",G29=""),1,0)</f>
        <v/>
      </c>
      <c r="K29" s="22">
        <f>IF(LEFT(C29,7)&lt;&gt;"Sprint_","",IF(COUNTIFS(Versuchsdaten!$A$2:$A$1117,$A29,Versuchsdaten!$B$2:$B$1117,$B29,Versuchsdaten!$C$2:$C$1117,"Sprint_5m",Versuchsdaten!$E$2:$E$1117,$E29,Versuchsdaten!$J$2:$J$1117,1)=1,SUMIFS(Versuchsdaten!$F$2:$F$1117,Versuchsdaten!$A$2:$A$1117,$A29,Versuchsdaten!$B$2:$B$1117,$B29,Versuchsdaten!$C$2:$C$1117,"Sprint_5m",Versuchsdaten!$E$2:$E$1117,$E29,Versuchsdaten!$J$2:$J$1117,1),""))</f>
        <v/>
      </c>
      <c r="L29" s="22">
        <f>IF(LEFT(C29,7)&lt;&gt;"Sprint_","",IF(COUNTIFS(Versuchsdaten!$A$2:$A$1117,$A29,Versuchsdaten!$B$2:$B$1117,$B29,Versuchsdaten!$C$2:$C$1117,"Sprint_10m",Versuchsdaten!$E$2:$E$1117,$E29,Versuchsdaten!$J$2:$J$1117,1)=1,SUMIFS(Versuchsdaten!$F$2:$F$1117,Versuchsdaten!$A$2:$A$1117,$A29,Versuchsdaten!$B$2:$B$1117,$B29,Versuchsdaten!$C$2:$C$1117,"Sprint_10m",Versuchsdaten!$E$2:$E$1117,$E29,Versuchsdaten!$J$2:$J$1117,1),""))</f>
        <v/>
      </c>
      <c r="M29" s="22">
        <f>IF(LEFT(C29,7)&lt;&gt;"Sprint_","",IF(COUNTIFS(Versuchsdaten!$A$2:$A$1117,$A29,Versuchsdaten!$B$2:$B$1117,$B29,Versuchsdaten!$C$2:$C$1117,"Sprint_30m",Versuchsdaten!$E$2:$E$1117,$E29,Versuchsdaten!$J$2:$J$1117,1)=1,SUMIFS(Versuchsdaten!$F$2:$F$1117,Versuchsdaten!$A$2:$A$1117,$A29,Versuchsdaten!$B$2:$B$1117,$B29,Versuchsdaten!$C$2:$C$1117,"Sprint_30m",Versuchsdaten!$E$2:$E$1117,$E29,Versuchsdaten!$J$2:$J$1117,1),""))</f>
        <v/>
      </c>
      <c r="N29" s="22">
        <f>IF(LEFT(C29,7)&lt;&gt;"Sprint_",0,IF(IF(ISNUMBER(K29),IF(K29&lt;=0,1,IF(5/K29&gt;10,1,0)),0)+IF(ISNUMBER(L29),IF(ISNUMBER(K29),IF(L29-K29&lt;=0,1,IF(5/(L29-K29)&gt;10,1,0)),IF(L29&lt;=0,1,IF(10/L29&gt;10,1,0))),0)+IF(ISNUMBER(M29),IF(ISNUMBER(L29),IF(M29-L29&lt;=0,1,IF(20/(M29-L29)&gt;10,1,0)),IF(ISNUMBER(K29),IF(M29-K29&lt;=0,1,IF(25/(M29-K29)&gt;10,1,0)),IF(M29&lt;=0,1,IF(30/M29&gt;10,1,0)))),0)&gt;0,1,0))</f>
        <v/>
      </c>
      <c r="O29" s="22">
        <f>IF(AND(J29=1,N29=0),1,0)</f>
        <v/>
      </c>
      <c r="P29" s="22">
        <f>INDEX(Personendaten!$J$2:$J$32,MATCH(A29,Personendaten!$A$2:$A$32,0))</f>
        <v/>
      </c>
      <c r="Q29" s="22">
        <f>IF(O29=1,"",IF(AND(B29="post",P29="nicht angetreten"),"NANG",IF(N29=1,"AUSL",IFERROR(VLOOKUP(H29,Vokabular!$A$2:$B$8,2,FALSE),"UNBEKANNT"))))</f>
        <v/>
      </c>
    </row>
    <row r="30">
      <c r="A30" s="5" t="inlineStr">
        <is>
          <t>BW-02</t>
        </is>
      </c>
      <c r="B30" s="5" t="inlineStr">
        <is>
          <t>prä</t>
        </is>
      </c>
      <c r="C30" s="5" t="inlineStr">
        <is>
          <t>Standweitsprung</t>
        </is>
      </c>
      <c r="D30" s="5" t="inlineStr">
        <is>
          <t>–</t>
        </is>
      </c>
      <c r="E30" s="5" t="n">
        <v>2</v>
      </c>
      <c r="F30" s="5" t="n">
        <v>221</v>
      </c>
      <c r="G30" s="5" t="n"/>
      <c r="H30" s="5" t="n"/>
      <c r="I30" s="22">
        <f>INDEX(Personendaten!$C$2:$C$32,MATCH(A30,Personendaten!$A$2:$A$32,0))</f>
        <v/>
      </c>
      <c r="J30" s="22">
        <f>IF(AND(F30&lt;&gt;"",G30=""),1,0)</f>
        <v/>
      </c>
      <c r="K30" s="22">
        <f>IF(LEFT(C30,7)&lt;&gt;"Sprint_","",IF(COUNTIFS(Versuchsdaten!$A$2:$A$1117,$A30,Versuchsdaten!$B$2:$B$1117,$B30,Versuchsdaten!$C$2:$C$1117,"Sprint_5m",Versuchsdaten!$E$2:$E$1117,$E30,Versuchsdaten!$J$2:$J$1117,1)=1,SUMIFS(Versuchsdaten!$F$2:$F$1117,Versuchsdaten!$A$2:$A$1117,$A30,Versuchsdaten!$B$2:$B$1117,$B30,Versuchsdaten!$C$2:$C$1117,"Sprint_5m",Versuchsdaten!$E$2:$E$1117,$E30,Versuchsdaten!$J$2:$J$1117,1),""))</f>
        <v/>
      </c>
      <c r="L30" s="22">
        <f>IF(LEFT(C30,7)&lt;&gt;"Sprint_","",IF(COUNTIFS(Versuchsdaten!$A$2:$A$1117,$A30,Versuchsdaten!$B$2:$B$1117,$B30,Versuchsdaten!$C$2:$C$1117,"Sprint_10m",Versuchsdaten!$E$2:$E$1117,$E30,Versuchsdaten!$J$2:$J$1117,1)=1,SUMIFS(Versuchsdaten!$F$2:$F$1117,Versuchsdaten!$A$2:$A$1117,$A30,Versuchsdaten!$B$2:$B$1117,$B30,Versuchsdaten!$C$2:$C$1117,"Sprint_10m",Versuchsdaten!$E$2:$E$1117,$E30,Versuchsdaten!$J$2:$J$1117,1),""))</f>
        <v/>
      </c>
      <c r="M30" s="22">
        <f>IF(LEFT(C30,7)&lt;&gt;"Sprint_","",IF(COUNTIFS(Versuchsdaten!$A$2:$A$1117,$A30,Versuchsdaten!$B$2:$B$1117,$B30,Versuchsdaten!$C$2:$C$1117,"Sprint_30m",Versuchsdaten!$E$2:$E$1117,$E30,Versuchsdaten!$J$2:$J$1117,1)=1,SUMIFS(Versuchsdaten!$F$2:$F$1117,Versuchsdaten!$A$2:$A$1117,$A30,Versuchsdaten!$B$2:$B$1117,$B30,Versuchsdaten!$C$2:$C$1117,"Sprint_30m",Versuchsdaten!$E$2:$E$1117,$E30,Versuchsdaten!$J$2:$J$1117,1),""))</f>
        <v/>
      </c>
      <c r="N30" s="22">
        <f>IF(LEFT(C30,7)&lt;&gt;"Sprint_",0,IF(IF(ISNUMBER(K30),IF(K30&lt;=0,1,IF(5/K30&gt;10,1,0)),0)+IF(ISNUMBER(L30),IF(ISNUMBER(K30),IF(L30-K30&lt;=0,1,IF(5/(L30-K30)&gt;10,1,0)),IF(L30&lt;=0,1,IF(10/L30&gt;10,1,0))),0)+IF(ISNUMBER(M30),IF(ISNUMBER(L30),IF(M30-L30&lt;=0,1,IF(20/(M30-L30)&gt;10,1,0)),IF(ISNUMBER(K30),IF(M30-K30&lt;=0,1,IF(25/(M30-K30)&gt;10,1,0)),IF(M30&lt;=0,1,IF(30/M30&gt;10,1,0)))),0)&gt;0,1,0))</f>
        <v/>
      </c>
      <c r="O30" s="22">
        <f>IF(AND(J30=1,N30=0),1,0)</f>
        <v/>
      </c>
      <c r="P30" s="22">
        <f>INDEX(Personendaten!$J$2:$J$32,MATCH(A30,Personendaten!$A$2:$A$32,0))</f>
        <v/>
      </c>
      <c r="Q30" s="22">
        <f>IF(O30=1,"",IF(AND(B30="post",P30="nicht angetreten"),"NANG",IF(N30=1,"AUSL",IFERROR(VLOOKUP(H30,Vokabular!$A$2:$B$8,2,FALSE),"UNBEKANNT"))))</f>
        <v/>
      </c>
    </row>
    <row r="31">
      <c r="A31" s="5" t="inlineStr">
        <is>
          <t>BW-02</t>
        </is>
      </c>
      <c r="B31" s="5" t="inlineStr">
        <is>
          <t>prä</t>
        </is>
      </c>
      <c r="C31" s="5" t="inlineStr">
        <is>
          <t>Standweitsprung</t>
        </is>
      </c>
      <c r="D31" s="5" t="inlineStr">
        <is>
          <t>–</t>
        </is>
      </c>
      <c r="E31" s="5" t="n">
        <v>3</v>
      </c>
      <c r="F31" s="5" t="n">
        <v>228</v>
      </c>
      <c r="G31" s="5" t="n"/>
      <c r="H31" s="5" t="n"/>
      <c r="I31" s="22">
        <f>INDEX(Personendaten!$C$2:$C$32,MATCH(A31,Personendaten!$A$2:$A$32,0))</f>
        <v/>
      </c>
      <c r="J31" s="22">
        <f>IF(AND(F31&lt;&gt;"",G31=""),1,0)</f>
        <v/>
      </c>
      <c r="K31" s="22">
        <f>IF(LEFT(C31,7)&lt;&gt;"Sprint_","",IF(COUNTIFS(Versuchsdaten!$A$2:$A$1117,$A31,Versuchsdaten!$B$2:$B$1117,$B31,Versuchsdaten!$C$2:$C$1117,"Sprint_5m",Versuchsdaten!$E$2:$E$1117,$E31,Versuchsdaten!$J$2:$J$1117,1)=1,SUMIFS(Versuchsdaten!$F$2:$F$1117,Versuchsdaten!$A$2:$A$1117,$A31,Versuchsdaten!$B$2:$B$1117,$B31,Versuchsdaten!$C$2:$C$1117,"Sprint_5m",Versuchsdaten!$E$2:$E$1117,$E31,Versuchsdaten!$J$2:$J$1117,1),""))</f>
        <v/>
      </c>
      <c r="L31" s="22">
        <f>IF(LEFT(C31,7)&lt;&gt;"Sprint_","",IF(COUNTIFS(Versuchsdaten!$A$2:$A$1117,$A31,Versuchsdaten!$B$2:$B$1117,$B31,Versuchsdaten!$C$2:$C$1117,"Sprint_10m",Versuchsdaten!$E$2:$E$1117,$E31,Versuchsdaten!$J$2:$J$1117,1)=1,SUMIFS(Versuchsdaten!$F$2:$F$1117,Versuchsdaten!$A$2:$A$1117,$A31,Versuchsdaten!$B$2:$B$1117,$B31,Versuchsdaten!$C$2:$C$1117,"Sprint_10m",Versuchsdaten!$E$2:$E$1117,$E31,Versuchsdaten!$J$2:$J$1117,1),""))</f>
        <v/>
      </c>
      <c r="M31" s="22">
        <f>IF(LEFT(C31,7)&lt;&gt;"Sprint_","",IF(COUNTIFS(Versuchsdaten!$A$2:$A$1117,$A31,Versuchsdaten!$B$2:$B$1117,$B31,Versuchsdaten!$C$2:$C$1117,"Sprint_30m",Versuchsdaten!$E$2:$E$1117,$E31,Versuchsdaten!$J$2:$J$1117,1)=1,SUMIFS(Versuchsdaten!$F$2:$F$1117,Versuchsdaten!$A$2:$A$1117,$A31,Versuchsdaten!$B$2:$B$1117,$B31,Versuchsdaten!$C$2:$C$1117,"Sprint_30m",Versuchsdaten!$E$2:$E$1117,$E31,Versuchsdaten!$J$2:$J$1117,1),""))</f>
        <v/>
      </c>
      <c r="N31" s="22">
        <f>IF(LEFT(C31,7)&lt;&gt;"Sprint_",0,IF(IF(ISNUMBER(K31),IF(K31&lt;=0,1,IF(5/K31&gt;10,1,0)),0)+IF(ISNUMBER(L31),IF(ISNUMBER(K31),IF(L31-K31&lt;=0,1,IF(5/(L31-K31)&gt;10,1,0)),IF(L31&lt;=0,1,IF(10/L31&gt;10,1,0))),0)+IF(ISNUMBER(M31),IF(ISNUMBER(L31),IF(M31-L31&lt;=0,1,IF(20/(M31-L31)&gt;10,1,0)),IF(ISNUMBER(K31),IF(M31-K31&lt;=0,1,IF(25/(M31-K31)&gt;10,1,0)),IF(M31&lt;=0,1,IF(30/M31&gt;10,1,0)))),0)&gt;0,1,0))</f>
        <v/>
      </c>
      <c r="O31" s="22">
        <f>IF(AND(J31=1,N31=0),1,0)</f>
        <v/>
      </c>
      <c r="P31" s="22">
        <f>INDEX(Personendaten!$J$2:$J$32,MATCH(A31,Personendaten!$A$2:$A$32,0))</f>
        <v/>
      </c>
      <c r="Q31" s="22">
        <f>IF(O31=1,"",IF(AND(B31="post",P31="nicht angetreten"),"NANG",IF(N31=1,"AUSL",IFERROR(VLOOKUP(H31,Vokabular!$A$2:$B$8,2,FALSE),"UNBEKANNT"))))</f>
        <v/>
      </c>
    </row>
    <row r="32">
      <c r="A32" s="5" t="inlineStr">
        <is>
          <t>BW-02</t>
        </is>
      </c>
      <c r="B32" s="5" t="inlineStr">
        <is>
          <t>prä</t>
        </is>
      </c>
      <c r="C32" s="5" t="inlineStr">
        <is>
          <t>COD_505</t>
        </is>
      </c>
      <c r="D32" s="5" t="inlineStr">
        <is>
          <t>L</t>
        </is>
      </c>
      <c r="E32" s="5" t="n">
        <v>1</v>
      </c>
      <c r="F32" s="5" t="n">
        <v>2.44</v>
      </c>
      <c r="G32" s="5" t="n"/>
      <c r="H32" s="5" t="n"/>
      <c r="I32" s="22">
        <f>INDEX(Personendaten!$C$2:$C$32,MATCH(A32,Personendaten!$A$2:$A$32,0))</f>
        <v/>
      </c>
      <c r="J32" s="22">
        <f>IF(AND(F32&lt;&gt;"",G32=""),1,0)</f>
        <v/>
      </c>
      <c r="K32" s="22">
        <f>IF(LEFT(C32,7)&lt;&gt;"Sprint_","",IF(COUNTIFS(Versuchsdaten!$A$2:$A$1117,$A32,Versuchsdaten!$B$2:$B$1117,$B32,Versuchsdaten!$C$2:$C$1117,"Sprint_5m",Versuchsdaten!$E$2:$E$1117,$E32,Versuchsdaten!$J$2:$J$1117,1)=1,SUMIFS(Versuchsdaten!$F$2:$F$1117,Versuchsdaten!$A$2:$A$1117,$A32,Versuchsdaten!$B$2:$B$1117,$B32,Versuchsdaten!$C$2:$C$1117,"Sprint_5m",Versuchsdaten!$E$2:$E$1117,$E32,Versuchsdaten!$J$2:$J$1117,1),""))</f>
        <v/>
      </c>
      <c r="L32" s="22">
        <f>IF(LEFT(C32,7)&lt;&gt;"Sprint_","",IF(COUNTIFS(Versuchsdaten!$A$2:$A$1117,$A32,Versuchsdaten!$B$2:$B$1117,$B32,Versuchsdaten!$C$2:$C$1117,"Sprint_10m",Versuchsdaten!$E$2:$E$1117,$E32,Versuchsdaten!$J$2:$J$1117,1)=1,SUMIFS(Versuchsdaten!$F$2:$F$1117,Versuchsdaten!$A$2:$A$1117,$A32,Versuchsdaten!$B$2:$B$1117,$B32,Versuchsdaten!$C$2:$C$1117,"Sprint_10m",Versuchsdaten!$E$2:$E$1117,$E32,Versuchsdaten!$J$2:$J$1117,1),""))</f>
        <v/>
      </c>
      <c r="M32" s="22">
        <f>IF(LEFT(C32,7)&lt;&gt;"Sprint_","",IF(COUNTIFS(Versuchsdaten!$A$2:$A$1117,$A32,Versuchsdaten!$B$2:$B$1117,$B32,Versuchsdaten!$C$2:$C$1117,"Sprint_30m",Versuchsdaten!$E$2:$E$1117,$E32,Versuchsdaten!$J$2:$J$1117,1)=1,SUMIFS(Versuchsdaten!$F$2:$F$1117,Versuchsdaten!$A$2:$A$1117,$A32,Versuchsdaten!$B$2:$B$1117,$B32,Versuchsdaten!$C$2:$C$1117,"Sprint_30m",Versuchsdaten!$E$2:$E$1117,$E32,Versuchsdaten!$J$2:$J$1117,1),""))</f>
        <v/>
      </c>
      <c r="N32" s="22">
        <f>IF(LEFT(C32,7)&lt;&gt;"Sprint_",0,IF(IF(ISNUMBER(K32),IF(K32&lt;=0,1,IF(5/K32&gt;10,1,0)),0)+IF(ISNUMBER(L32),IF(ISNUMBER(K32),IF(L32-K32&lt;=0,1,IF(5/(L32-K32)&gt;10,1,0)),IF(L32&lt;=0,1,IF(10/L32&gt;10,1,0))),0)+IF(ISNUMBER(M32),IF(ISNUMBER(L32),IF(M32-L32&lt;=0,1,IF(20/(M32-L32)&gt;10,1,0)),IF(ISNUMBER(K32),IF(M32-K32&lt;=0,1,IF(25/(M32-K32)&gt;10,1,0)),IF(M32&lt;=0,1,IF(30/M32&gt;10,1,0)))),0)&gt;0,1,0))</f>
        <v/>
      </c>
      <c r="O32" s="22">
        <f>IF(AND(J32=1,N32=0),1,0)</f>
        <v/>
      </c>
      <c r="P32" s="22">
        <f>INDEX(Personendaten!$J$2:$J$32,MATCH(A32,Personendaten!$A$2:$A$32,0))</f>
        <v/>
      </c>
      <c r="Q32" s="22">
        <f>IF(O32=1,"",IF(AND(B32="post",P32="nicht angetreten"),"NANG",IF(N32=1,"AUSL",IFERROR(VLOOKUP(H32,Vokabular!$A$2:$B$8,2,FALSE),"UNBEKANNT"))))</f>
        <v/>
      </c>
    </row>
    <row r="33">
      <c r="A33" s="5" t="inlineStr">
        <is>
          <t>BW-02</t>
        </is>
      </c>
      <c r="B33" s="5" t="inlineStr">
        <is>
          <t>prä</t>
        </is>
      </c>
      <c r="C33" s="5" t="inlineStr">
        <is>
          <t>COD_505</t>
        </is>
      </c>
      <c r="D33" s="5" t="inlineStr">
        <is>
          <t>L</t>
        </is>
      </c>
      <c r="E33" s="5" t="n">
        <v>2</v>
      </c>
      <c r="F33" s="5" t="n">
        <v>2.51</v>
      </c>
      <c r="G33" s="5" t="n"/>
      <c r="H33" s="5" t="n"/>
      <c r="I33" s="22">
        <f>INDEX(Personendaten!$C$2:$C$32,MATCH(A33,Personendaten!$A$2:$A$32,0))</f>
        <v/>
      </c>
      <c r="J33" s="22">
        <f>IF(AND(F33&lt;&gt;"",G33=""),1,0)</f>
        <v/>
      </c>
      <c r="K33" s="22">
        <f>IF(LEFT(C33,7)&lt;&gt;"Sprint_","",IF(COUNTIFS(Versuchsdaten!$A$2:$A$1117,$A33,Versuchsdaten!$B$2:$B$1117,$B33,Versuchsdaten!$C$2:$C$1117,"Sprint_5m",Versuchsdaten!$E$2:$E$1117,$E33,Versuchsdaten!$J$2:$J$1117,1)=1,SUMIFS(Versuchsdaten!$F$2:$F$1117,Versuchsdaten!$A$2:$A$1117,$A33,Versuchsdaten!$B$2:$B$1117,$B33,Versuchsdaten!$C$2:$C$1117,"Sprint_5m",Versuchsdaten!$E$2:$E$1117,$E33,Versuchsdaten!$J$2:$J$1117,1),""))</f>
        <v/>
      </c>
      <c r="L33" s="22">
        <f>IF(LEFT(C33,7)&lt;&gt;"Sprint_","",IF(COUNTIFS(Versuchsdaten!$A$2:$A$1117,$A33,Versuchsdaten!$B$2:$B$1117,$B33,Versuchsdaten!$C$2:$C$1117,"Sprint_10m",Versuchsdaten!$E$2:$E$1117,$E33,Versuchsdaten!$J$2:$J$1117,1)=1,SUMIFS(Versuchsdaten!$F$2:$F$1117,Versuchsdaten!$A$2:$A$1117,$A33,Versuchsdaten!$B$2:$B$1117,$B33,Versuchsdaten!$C$2:$C$1117,"Sprint_10m",Versuchsdaten!$E$2:$E$1117,$E33,Versuchsdaten!$J$2:$J$1117,1),""))</f>
        <v/>
      </c>
      <c r="M33" s="22">
        <f>IF(LEFT(C33,7)&lt;&gt;"Sprint_","",IF(COUNTIFS(Versuchsdaten!$A$2:$A$1117,$A33,Versuchsdaten!$B$2:$B$1117,$B33,Versuchsdaten!$C$2:$C$1117,"Sprint_30m",Versuchsdaten!$E$2:$E$1117,$E33,Versuchsdaten!$J$2:$J$1117,1)=1,SUMIFS(Versuchsdaten!$F$2:$F$1117,Versuchsdaten!$A$2:$A$1117,$A33,Versuchsdaten!$B$2:$B$1117,$B33,Versuchsdaten!$C$2:$C$1117,"Sprint_30m",Versuchsdaten!$E$2:$E$1117,$E33,Versuchsdaten!$J$2:$J$1117,1),""))</f>
        <v/>
      </c>
      <c r="N33" s="22">
        <f>IF(LEFT(C33,7)&lt;&gt;"Sprint_",0,IF(IF(ISNUMBER(K33),IF(K33&lt;=0,1,IF(5/K33&gt;10,1,0)),0)+IF(ISNUMBER(L33),IF(ISNUMBER(K33),IF(L33-K33&lt;=0,1,IF(5/(L33-K33)&gt;10,1,0)),IF(L33&lt;=0,1,IF(10/L33&gt;10,1,0))),0)+IF(ISNUMBER(M33),IF(ISNUMBER(L33),IF(M33-L33&lt;=0,1,IF(20/(M33-L33)&gt;10,1,0)),IF(ISNUMBER(K33),IF(M33-K33&lt;=0,1,IF(25/(M33-K33)&gt;10,1,0)),IF(M33&lt;=0,1,IF(30/M33&gt;10,1,0)))),0)&gt;0,1,0))</f>
        <v/>
      </c>
      <c r="O33" s="22">
        <f>IF(AND(J33=1,N33=0),1,0)</f>
        <v/>
      </c>
      <c r="P33" s="22">
        <f>INDEX(Personendaten!$J$2:$J$32,MATCH(A33,Personendaten!$A$2:$A$32,0))</f>
        <v/>
      </c>
      <c r="Q33" s="22">
        <f>IF(O33=1,"",IF(AND(B33="post",P33="nicht angetreten"),"NANG",IF(N33=1,"AUSL",IFERROR(VLOOKUP(H33,Vokabular!$A$2:$B$8,2,FALSE),"UNBEKANNT"))))</f>
        <v/>
      </c>
    </row>
    <row r="34">
      <c r="A34" s="5" t="inlineStr">
        <is>
          <t>BW-02</t>
        </is>
      </c>
      <c r="B34" s="5" t="inlineStr">
        <is>
          <t>prä</t>
        </is>
      </c>
      <c r="C34" s="5" t="inlineStr">
        <is>
          <t>COD_505</t>
        </is>
      </c>
      <c r="D34" s="5" t="inlineStr">
        <is>
          <t>L</t>
        </is>
      </c>
      <c r="E34" s="5" t="n">
        <v>3</v>
      </c>
      <c r="F34" s="5" t="n"/>
      <c r="G34" s="5" t="n"/>
      <c r="H34" s="5" t="inlineStr">
        <is>
          <t>Nur 2 Versuche aus Zeitmangel</t>
        </is>
      </c>
      <c r="I34" s="22">
        <f>INDEX(Personendaten!$C$2:$C$32,MATCH(A34,Personendaten!$A$2:$A$32,0))</f>
        <v/>
      </c>
      <c r="J34" s="22">
        <f>IF(AND(F34&lt;&gt;"",G34=""),1,0)</f>
        <v/>
      </c>
      <c r="K34" s="22">
        <f>IF(LEFT(C34,7)&lt;&gt;"Sprint_","",IF(COUNTIFS(Versuchsdaten!$A$2:$A$1117,$A34,Versuchsdaten!$B$2:$B$1117,$B34,Versuchsdaten!$C$2:$C$1117,"Sprint_5m",Versuchsdaten!$E$2:$E$1117,$E34,Versuchsdaten!$J$2:$J$1117,1)=1,SUMIFS(Versuchsdaten!$F$2:$F$1117,Versuchsdaten!$A$2:$A$1117,$A34,Versuchsdaten!$B$2:$B$1117,$B34,Versuchsdaten!$C$2:$C$1117,"Sprint_5m",Versuchsdaten!$E$2:$E$1117,$E34,Versuchsdaten!$J$2:$J$1117,1),""))</f>
        <v/>
      </c>
      <c r="L34" s="22">
        <f>IF(LEFT(C34,7)&lt;&gt;"Sprint_","",IF(COUNTIFS(Versuchsdaten!$A$2:$A$1117,$A34,Versuchsdaten!$B$2:$B$1117,$B34,Versuchsdaten!$C$2:$C$1117,"Sprint_10m",Versuchsdaten!$E$2:$E$1117,$E34,Versuchsdaten!$J$2:$J$1117,1)=1,SUMIFS(Versuchsdaten!$F$2:$F$1117,Versuchsdaten!$A$2:$A$1117,$A34,Versuchsdaten!$B$2:$B$1117,$B34,Versuchsdaten!$C$2:$C$1117,"Sprint_10m",Versuchsdaten!$E$2:$E$1117,$E34,Versuchsdaten!$J$2:$J$1117,1),""))</f>
        <v/>
      </c>
      <c r="M34" s="22">
        <f>IF(LEFT(C34,7)&lt;&gt;"Sprint_","",IF(COUNTIFS(Versuchsdaten!$A$2:$A$1117,$A34,Versuchsdaten!$B$2:$B$1117,$B34,Versuchsdaten!$C$2:$C$1117,"Sprint_30m",Versuchsdaten!$E$2:$E$1117,$E34,Versuchsdaten!$J$2:$J$1117,1)=1,SUMIFS(Versuchsdaten!$F$2:$F$1117,Versuchsdaten!$A$2:$A$1117,$A34,Versuchsdaten!$B$2:$B$1117,$B34,Versuchsdaten!$C$2:$C$1117,"Sprint_30m",Versuchsdaten!$E$2:$E$1117,$E34,Versuchsdaten!$J$2:$J$1117,1),""))</f>
        <v/>
      </c>
      <c r="N34" s="22">
        <f>IF(LEFT(C34,7)&lt;&gt;"Sprint_",0,IF(IF(ISNUMBER(K34),IF(K34&lt;=0,1,IF(5/K34&gt;10,1,0)),0)+IF(ISNUMBER(L34),IF(ISNUMBER(K34),IF(L34-K34&lt;=0,1,IF(5/(L34-K34)&gt;10,1,0)),IF(L34&lt;=0,1,IF(10/L34&gt;10,1,0))),0)+IF(ISNUMBER(M34),IF(ISNUMBER(L34),IF(M34-L34&lt;=0,1,IF(20/(M34-L34)&gt;10,1,0)),IF(ISNUMBER(K34),IF(M34-K34&lt;=0,1,IF(25/(M34-K34)&gt;10,1,0)),IF(M34&lt;=0,1,IF(30/M34&gt;10,1,0)))),0)&gt;0,1,0))</f>
        <v/>
      </c>
      <c r="O34" s="22">
        <f>IF(AND(J34=1,N34=0),1,0)</f>
        <v/>
      </c>
      <c r="P34" s="22">
        <f>INDEX(Personendaten!$J$2:$J$32,MATCH(A34,Personendaten!$A$2:$A$32,0))</f>
        <v/>
      </c>
      <c r="Q34" s="22">
        <f>IF(O34=1,"",IF(AND(B34="post",P34="nicht angetreten"),"NANG",IF(N34=1,"AUSL",IFERROR(VLOOKUP(H34,Vokabular!$A$2:$B$8,2,FALSE),"UNBEKANNT"))))</f>
        <v/>
      </c>
    </row>
    <row r="35">
      <c r="A35" s="5" t="inlineStr">
        <is>
          <t>BW-02</t>
        </is>
      </c>
      <c r="B35" s="5" t="inlineStr">
        <is>
          <t>prä</t>
        </is>
      </c>
      <c r="C35" s="5" t="inlineStr">
        <is>
          <t>COD_505</t>
        </is>
      </c>
      <c r="D35" s="5" t="inlineStr">
        <is>
          <t>R</t>
        </is>
      </c>
      <c r="E35" s="5" t="n">
        <v>1</v>
      </c>
      <c r="F35" s="5" t="n">
        <v>2.5</v>
      </c>
      <c r="G35" s="5" t="n"/>
      <c r="H35" s="5" t="n"/>
      <c r="I35" s="22">
        <f>INDEX(Personendaten!$C$2:$C$32,MATCH(A35,Personendaten!$A$2:$A$32,0))</f>
        <v/>
      </c>
      <c r="J35" s="22">
        <f>IF(AND(F35&lt;&gt;"",G35=""),1,0)</f>
        <v/>
      </c>
      <c r="K35" s="22">
        <f>IF(LEFT(C35,7)&lt;&gt;"Sprint_","",IF(COUNTIFS(Versuchsdaten!$A$2:$A$1117,$A35,Versuchsdaten!$B$2:$B$1117,$B35,Versuchsdaten!$C$2:$C$1117,"Sprint_5m",Versuchsdaten!$E$2:$E$1117,$E35,Versuchsdaten!$J$2:$J$1117,1)=1,SUMIFS(Versuchsdaten!$F$2:$F$1117,Versuchsdaten!$A$2:$A$1117,$A35,Versuchsdaten!$B$2:$B$1117,$B35,Versuchsdaten!$C$2:$C$1117,"Sprint_5m",Versuchsdaten!$E$2:$E$1117,$E35,Versuchsdaten!$J$2:$J$1117,1),""))</f>
        <v/>
      </c>
      <c r="L35" s="22">
        <f>IF(LEFT(C35,7)&lt;&gt;"Sprint_","",IF(COUNTIFS(Versuchsdaten!$A$2:$A$1117,$A35,Versuchsdaten!$B$2:$B$1117,$B35,Versuchsdaten!$C$2:$C$1117,"Sprint_10m",Versuchsdaten!$E$2:$E$1117,$E35,Versuchsdaten!$J$2:$J$1117,1)=1,SUMIFS(Versuchsdaten!$F$2:$F$1117,Versuchsdaten!$A$2:$A$1117,$A35,Versuchsdaten!$B$2:$B$1117,$B35,Versuchsdaten!$C$2:$C$1117,"Sprint_10m",Versuchsdaten!$E$2:$E$1117,$E35,Versuchsdaten!$J$2:$J$1117,1),""))</f>
        <v/>
      </c>
      <c r="M35" s="22">
        <f>IF(LEFT(C35,7)&lt;&gt;"Sprint_","",IF(COUNTIFS(Versuchsdaten!$A$2:$A$1117,$A35,Versuchsdaten!$B$2:$B$1117,$B35,Versuchsdaten!$C$2:$C$1117,"Sprint_30m",Versuchsdaten!$E$2:$E$1117,$E35,Versuchsdaten!$J$2:$J$1117,1)=1,SUMIFS(Versuchsdaten!$F$2:$F$1117,Versuchsdaten!$A$2:$A$1117,$A35,Versuchsdaten!$B$2:$B$1117,$B35,Versuchsdaten!$C$2:$C$1117,"Sprint_30m",Versuchsdaten!$E$2:$E$1117,$E35,Versuchsdaten!$J$2:$J$1117,1),""))</f>
        <v/>
      </c>
      <c r="N35" s="22">
        <f>IF(LEFT(C35,7)&lt;&gt;"Sprint_",0,IF(IF(ISNUMBER(K35),IF(K35&lt;=0,1,IF(5/K35&gt;10,1,0)),0)+IF(ISNUMBER(L35),IF(ISNUMBER(K35),IF(L35-K35&lt;=0,1,IF(5/(L35-K35)&gt;10,1,0)),IF(L35&lt;=0,1,IF(10/L35&gt;10,1,0))),0)+IF(ISNUMBER(M35),IF(ISNUMBER(L35),IF(M35-L35&lt;=0,1,IF(20/(M35-L35)&gt;10,1,0)),IF(ISNUMBER(K35),IF(M35-K35&lt;=0,1,IF(25/(M35-K35)&gt;10,1,0)),IF(M35&lt;=0,1,IF(30/M35&gt;10,1,0)))),0)&gt;0,1,0))</f>
        <v/>
      </c>
      <c r="O35" s="22">
        <f>IF(AND(J35=1,N35=0),1,0)</f>
        <v/>
      </c>
      <c r="P35" s="22">
        <f>INDEX(Personendaten!$J$2:$J$32,MATCH(A35,Personendaten!$A$2:$A$32,0))</f>
        <v/>
      </c>
      <c r="Q35" s="22">
        <f>IF(O35=1,"",IF(AND(B35="post",P35="nicht angetreten"),"NANG",IF(N35=1,"AUSL",IFERROR(VLOOKUP(H35,Vokabular!$A$2:$B$8,2,FALSE),"UNBEKANNT"))))</f>
        <v/>
      </c>
    </row>
    <row r="36">
      <c r="A36" s="5" t="inlineStr">
        <is>
          <t>BW-02</t>
        </is>
      </c>
      <c r="B36" s="5" t="inlineStr">
        <is>
          <t>prä</t>
        </is>
      </c>
      <c r="C36" s="5" t="inlineStr">
        <is>
          <t>COD_505</t>
        </is>
      </c>
      <c r="D36" s="5" t="inlineStr">
        <is>
          <t>R</t>
        </is>
      </c>
      <c r="E36" s="5" t="n">
        <v>2</v>
      </c>
      <c r="F36" s="5" t="n">
        <v>2.54</v>
      </c>
      <c r="G36" s="5" t="n"/>
      <c r="H36" s="5" t="n"/>
      <c r="I36" s="22">
        <f>INDEX(Personendaten!$C$2:$C$32,MATCH(A36,Personendaten!$A$2:$A$32,0))</f>
        <v/>
      </c>
      <c r="J36" s="22">
        <f>IF(AND(F36&lt;&gt;"",G36=""),1,0)</f>
        <v/>
      </c>
      <c r="K36" s="22">
        <f>IF(LEFT(C36,7)&lt;&gt;"Sprint_","",IF(COUNTIFS(Versuchsdaten!$A$2:$A$1117,$A36,Versuchsdaten!$B$2:$B$1117,$B36,Versuchsdaten!$C$2:$C$1117,"Sprint_5m",Versuchsdaten!$E$2:$E$1117,$E36,Versuchsdaten!$J$2:$J$1117,1)=1,SUMIFS(Versuchsdaten!$F$2:$F$1117,Versuchsdaten!$A$2:$A$1117,$A36,Versuchsdaten!$B$2:$B$1117,$B36,Versuchsdaten!$C$2:$C$1117,"Sprint_5m",Versuchsdaten!$E$2:$E$1117,$E36,Versuchsdaten!$J$2:$J$1117,1),""))</f>
        <v/>
      </c>
      <c r="L36" s="22">
        <f>IF(LEFT(C36,7)&lt;&gt;"Sprint_","",IF(COUNTIFS(Versuchsdaten!$A$2:$A$1117,$A36,Versuchsdaten!$B$2:$B$1117,$B36,Versuchsdaten!$C$2:$C$1117,"Sprint_10m",Versuchsdaten!$E$2:$E$1117,$E36,Versuchsdaten!$J$2:$J$1117,1)=1,SUMIFS(Versuchsdaten!$F$2:$F$1117,Versuchsdaten!$A$2:$A$1117,$A36,Versuchsdaten!$B$2:$B$1117,$B36,Versuchsdaten!$C$2:$C$1117,"Sprint_10m",Versuchsdaten!$E$2:$E$1117,$E36,Versuchsdaten!$J$2:$J$1117,1),""))</f>
        <v/>
      </c>
      <c r="M36" s="22">
        <f>IF(LEFT(C36,7)&lt;&gt;"Sprint_","",IF(COUNTIFS(Versuchsdaten!$A$2:$A$1117,$A36,Versuchsdaten!$B$2:$B$1117,$B36,Versuchsdaten!$C$2:$C$1117,"Sprint_30m",Versuchsdaten!$E$2:$E$1117,$E36,Versuchsdaten!$J$2:$J$1117,1)=1,SUMIFS(Versuchsdaten!$F$2:$F$1117,Versuchsdaten!$A$2:$A$1117,$A36,Versuchsdaten!$B$2:$B$1117,$B36,Versuchsdaten!$C$2:$C$1117,"Sprint_30m",Versuchsdaten!$E$2:$E$1117,$E36,Versuchsdaten!$J$2:$J$1117,1),""))</f>
        <v/>
      </c>
      <c r="N36" s="22">
        <f>IF(LEFT(C36,7)&lt;&gt;"Sprint_",0,IF(IF(ISNUMBER(K36),IF(K36&lt;=0,1,IF(5/K36&gt;10,1,0)),0)+IF(ISNUMBER(L36),IF(ISNUMBER(K36),IF(L36-K36&lt;=0,1,IF(5/(L36-K36)&gt;10,1,0)),IF(L36&lt;=0,1,IF(10/L36&gt;10,1,0))),0)+IF(ISNUMBER(M36),IF(ISNUMBER(L36),IF(M36-L36&lt;=0,1,IF(20/(M36-L36)&gt;10,1,0)),IF(ISNUMBER(K36),IF(M36-K36&lt;=0,1,IF(25/(M36-K36)&gt;10,1,0)),IF(M36&lt;=0,1,IF(30/M36&gt;10,1,0)))),0)&gt;0,1,0))</f>
        <v/>
      </c>
      <c r="O36" s="22">
        <f>IF(AND(J36=1,N36=0),1,0)</f>
        <v/>
      </c>
      <c r="P36" s="22">
        <f>INDEX(Personendaten!$J$2:$J$32,MATCH(A36,Personendaten!$A$2:$A$32,0))</f>
        <v/>
      </c>
      <c r="Q36" s="22">
        <f>IF(O36=1,"",IF(AND(B36="post",P36="nicht angetreten"),"NANG",IF(N36=1,"AUSL",IFERROR(VLOOKUP(H36,Vokabular!$A$2:$B$8,2,FALSE),"UNBEKANNT"))))</f>
        <v/>
      </c>
    </row>
    <row r="37">
      <c r="A37" s="5" t="inlineStr">
        <is>
          <t>BW-02</t>
        </is>
      </c>
      <c r="B37" s="5" t="inlineStr">
        <is>
          <t>prä</t>
        </is>
      </c>
      <c r="C37" s="5" t="inlineStr">
        <is>
          <t>COD_505</t>
        </is>
      </c>
      <c r="D37" s="5" t="inlineStr">
        <is>
          <t>R</t>
        </is>
      </c>
      <c r="E37" s="5" t="n">
        <v>3</v>
      </c>
      <c r="F37" s="5" t="n"/>
      <c r="G37" s="5" t="n"/>
      <c r="H37" s="5" t="inlineStr">
        <is>
          <t>Nur 2 Versuche aus Zeitmangel</t>
        </is>
      </c>
      <c r="I37" s="22">
        <f>INDEX(Personendaten!$C$2:$C$32,MATCH(A37,Personendaten!$A$2:$A$32,0))</f>
        <v/>
      </c>
      <c r="J37" s="22">
        <f>IF(AND(F37&lt;&gt;"",G37=""),1,0)</f>
        <v/>
      </c>
      <c r="K37" s="22">
        <f>IF(LEFT(C37,7)&lt;&gt;"Sprint_","",IF(COUNTIFS(Versuchsdaten!$A$2:$A$1117,$A37,Versuchsdaten!$B$2:$B$1117,$B37,Versuchsdaten!$C$2:$C$1117,"Sprint_5m",Versuchsdaten!$E$2:$E$1117,$E37,Versuchsdaten!$J$2:$J$1117,1)=1,SUMIFS(Versuchsdaten!$F$2:$F$1117,Versuchsdaten!$A$2:$A$1117,$A37,Versuchsdaten!$B$2:$B$1117,$B37,Versuchsdaten!$C$2:$C$1117,"Sprint_5m",Versuchsdaten!$E$2:$E$1117,$E37,Versuchsdaten!$J$2:$J$1117,1),""))</f>
        <v/>
      </c>
      <c r="L37" s="22">
        <f>IF(LEFT(C37,7)&lt;&gt;"Sprint_","",IF(COUNTIFS(Versuchsdaten!$A$2:$A$1117,$A37,Versuchsdaten!$B$2:$B$1117,$B37,Versuchsdaten!$C$2:$C$1117,"Sprint_10m",Versuchsdaten!$E$2:$E$1117,$E37,Versuchsdaten!$J$2:$J$1117,1)=1,SUMIFS(Versuchsdaten!$F$2:$F$1117,Versuchsdaten!$A$2:$A$1117,$A37,Versuchsdaten!$B$2:$B$1117,$B37,Versuchsdaten!$C$2:$C$1117,"Sprint_10m",Versuchsdaten!$E$2:$E$1117,$E37,Versuchsdaten!$J$2:$J$1117,1),""))</f>
        <v/>
      </c>
      <c r="M37" s="22">
        <f>IF(LEFT(C37,7)&lt;&gt;"Sprint_","",IF(COUNTIFS(Versuchsdaten!$A$2:$A$1117,$A37,Versuchsdaten!$B$2:$B$1117,$B37,Versuchsdaten!$C$2:$C$1117,"Sprint_30m",Versuchsdaten!$E$2:$E$1117,$E37,Versuchsdaten!$J$2:$J$1117,1)=1,SUMIFS(Versuchsdaten!$F$2:$F$1117,Versuchsdaten!$A$2:$A$1117,$A37,Versuchsdaten!$B$2:$B$1117,$B37,Versuchsdaten!$C$2:$C$1117,"Sprint_30m",Versuchsdaten!$E$2:$E$1117,$E37,Versuchsdaten!$J$2:$J$1117,1),""))</f>
        <v/>
      </c>
      <c r="N37" s="22">
        <f>IF(LEFT(C37,7)&lt;&gt;"Sprint_",0,IF(IF(ISNUMBER(K37),IF(K37&lt;=0,1,IF(5/K37&gt;10,1,0)),0)+IF(ISNUMBER(L37),IF(ISNUMBER(K37),IF(L37-K37&lt;=0,1,IF(5/(L37-K37)&gt;10,1,0)),IF(L37&lt;=0,1,IF(10/L37&gt;10,1,0))),0)+IF(ISNUMBER(M37),IF(ISNUMBER(L37),IF(M37-L37&lt;=0,1,IF(20/(M37-L37)&gt;10,1,0)),IF(ISNUMBER(K37),IF(M37-K37&lt;=0,1,IF(25/(M37-K37)&gt;10,1,0)),IF(M37&lt;=0,1,IF(30/M37&gt;10,1,0)))),0)&gt;0,1,0))</f>
        <v/>
      </c>
      <c r="O37" s="22">
        <f>IF(AND(J37=1,N37=0),1,0)</f>
        <v/>
      </c>
      <c r="P37" s="22">
        <f>INDEX(Personendaten!$J$2:$J$32,MATCH(A37,Personendaten!$A$2:$A$32,0))</f>
        <v/>
      </c>
      <c r="Q37" s="22">
        <f>IF(O37=1,"",IF(AND(B37="post",P37="nicht angetreten"),"NANG",IF(N37=1,"AUSL",IFERROR(VLOOKUP(H37,Vokabular!$A$2:$B$8,2,FALSE),"UNBEKANNT"))))</f>
        <v/>
      </c>
    </row>
    <row r="38">
      <c r="A38" s="5" t="inlineStr">
        <is>
          <t>BW-04</t>
        </is>
      </c>
      <c r="B38" s="5" t="inlineStr">
        <is>
          <t>prä</t>
        </is>
      </c>
      <c r="C38" s="5" t="inlineStr">
        <is>
          <t>Sprint_5m</t>
        </is>
      </c>
      <c r="D38" s="5" t="inlineStr">
        <is>
          <t>–</t>
        </is>
      </c>
      <c r="E38" s="5" t="n">
        <v>1</v>
      </c>
      <c r="F38" s="5" t="n">
        <v>1.2</v>
      </c>
      <c r="G38" s="5" t="n"/>
      <c r="H38" s="5" t="n"/>
      <c r="I38" s="22">
        <f>INDEX(Personendaten!$C$2:$C$32,MATCH(A38,Personendaten!$A$2:$A$32,0))</f>
        <v/>
      </c>
      <c r="J38" s="22">
        <f>IF(AND(F38&lt;&gt;"",G38=""),1,0)</f>
        <v/>
      </c>
      <c r="K38" s="22">
        <f>IF(LEFT(C38,7)&lt;&gt;"Sprint_","",IF(COUNTIFS(Versuchsdaten!$A$2:$A$1117,$A38,Versuchsdaten!$B$2:$B$1117,$B38,Versuchsdaten!$C$2:$C$1117,"Sprint_5m",Versuchsdaten!$E$2:$E$1117,$E38,Versuchsdaten!$J$2:$J$1117,1)=1,SUMIFS(Versuchsdaten!$F$2:$F$1117,Versuchsdaten!$A$2:$A$1117,$A38,Versuchsdaten!$B$2:$B$1117,$B38,Versuchsdaten!$C$2:$C$1117,"Sprint_5m",Versuchsdaten!$E$2:$E$1117,$E38,Versuchsdaten!$J$2:$J$1117,1),""))</f>
        <v/>
      </c>
      <c r="L38" s="22">
        <f>IF(LEFT(C38,7)&lt;&gt;"Sprint_","",IF(COUNTIFS(Versuchsdaten!$A$2:$A$1117,$A38,Versuchsdaten!$B$2:$B$1117,$B38,Versuchsdaten!$C$2:$C$1117,"Sprint_10m",Versuchsdaten!$E$2:$E$1117,$E38,Versuchsdaten!$J$2:$J$1117,1)=1,SUMIFS(Versuchsdaten!$F$2:$F$1117,Versuchsdaten!$A$2:$A$1117,$A38,Versuchsdaten!$B$2:$B$1117,$B38,Versuchsdaten!$C$2:$C$1117,"Sprint_10m",Versuchsdaten!$E$2:$E$1117,$E38,Versuchsdaten!$J$2:$J$1117,1),""))</f>
        <v/>
      </c>
      <c r="M38" s="22">
        <f>IF(LEFT(C38,7)&lt;&gt;"Sprint_","",IF(COUNTIFS(Versuchsdaten!$A$2:$A$1117,$A38,Versuchsdaten!$B$2:$B$1117,$B38,Versuchsdaten!$C$2:$C$1117,"Sprint_30m",Versuchsdaten!$E$2:$E$1117,$E38,Versuchsdaten!$J$2:$J$1117,1)=1,SUMIFS(Versuchsdaten!$F$2:$F$1117,Versuchsdaten!$A$2:$A$1117,$A38,Versuchsdaten!$B$2:$B$1117,$B38,Versuchsdaten!$C$2:$C$1117,"Sprint_30m",Versuchsdaten!$E$2:$E$1117,$E38,Versuchsdaten!$J$2:$J$1117,1),""))</f>
        <v/>
      </c>
      <c r="N38" s="22">
        <f>IF(LEFT(C38,7)&lt;&gt;"Sprint_",0,IF(IF(ISNUMBER(K38),IF(K38&lt;=0,1,IF(5/K38&gt;10,1,0)),0)+IF(ISNUMBER(L38),IF(ISNUMBER(K38),IF(L38-K38&lt;=0,1,IF(5/(L38-K38)&gt;10,1,0)),IF(L38&lt;=0,1,IF(10/L38&gt;10,1,0))),0)+IF(ISNUMBER(M38),IF(ISNUMBER(L38),IF(M38-L38&lt;=0,1,IF(20/(M38-L38)&gt;10,1,0)),IF(ISNUMBER(K38),IF(M38-K38&lt;=0,1,IF(25/(M38-K38)&gt;10,1,0)),IF(M38&lt;=0,1,IF(30/M38&gt;10,1,0)))),0)&gt;0,1,0))</f>
        <v/>
      </c>
      <c r="O38" s="22">
        <f>IF(AND(J38=1,N38=0),1,0)</f>
        <v/>
      </c>
      <c r="P38" s="22">
        <f>INDEX(Personendaten!$J$2:$J$32,MATCH(A38,Personendaten!$A$2:$A$32,0))</f>
        <v/>
      </c>
      <c r="Q38" s="22">
        <f>IF(O38=1,"",IF(AND(B38="post",P38="nicht angetreten"),"NANG",IF(N38=1,"AUSL",IFERROR(VLOOKUP(H38,Vokabular!$A$2:$B$8,2,FALSE),"UNBEKANNT"))))</f>
        <v/>
      </c>
    </row>
    <row r="39">
      <c r="A39" s="5" t="inlineStr">
        <is>
          <t>BW-04</t>
        </is>
      </c>
      <c r="B39" s="5" t="inlineStr">
        <is>
          <t>prä</t>
        </is>
      </c>
      <c r="C39" s="5" t="inlineStr">
        <is>
          <t>Sprint_5m</t>
        </is>
      </c>
      <c r="D39" s="5" t="inlineStr">
        <is>
          <t>–</t>
        </is>
      </c>
      <c r="E39" s="5" t="n">
        <v>2</v>
      </c>
      <c r="F39" s="5" t="n">
        <v>1.16</v>
      </c>
      <c r="G39" s="5" t="n"/>
      <c r="H39" s="5" t="n"/>
      <c r="I39" s="22">
        <f>INDEX(Personendaten!$C$2:$C$32,MATCH(A39,Personendaten!$A$2:$A$32,0))</f>
        <v/>
      </c>
      <c r="J39" s="22">
        <f>IF(AND(F39&lt;&gt;"",G39=""),1,0)</f>
        <v/>
      </c>
      <c r="K39" s="22">
        <f>IF(LEFT(C39,7)&lt;&gt;"Sprint_","",IF(COUNTIFS(Versuchsdaten!$A$2:$A$1117,$A39,Versuchsdaten!$B$2:$B$1117,$B39,Versuchsdaten!$C$2:$C$1117,"Sprint_5m",Versuchsdaten!$E$2:$E$1117,$E39,Versuchsdaten!$J$2:$J$1117,1)=1,SUMIFS(Versuchsdaten!$F$2:$F$1117,Versuchsdaten!$A$2:$A$1117,$A39,Versuchsdaten!$B$2:$B$1117,$B39,Versuchsdaten!$C$2:$C$1117,"Sprint_5m",Versuchsdaten!$E$2:$E$1117,$E39,Versuchsdaten!$J$2:$J$1117,1),""))</f>
        <v/>
      </c>
      <c r="L39" s="22">
        <f>IF(LEFT(C39,7)&lt;&gt;"Sprint_","",IF(COUNTIFS(Versuchsdaten!$A$2:$A$1117,$A39,Versuchsdaten!$B$2:$B$1117,$B39,Versuchsdaten!$C$2:$C$1117,"Sprint_10m",Versuchsdaten!$E$2:$E$1117,$E39,Versuchsdaten!$J$2:$J$1117,1)=1,SUMIFS(Versuchsdaten!$F$2:$F$1117,Versuchsdaten!$A$2:$A$1117,$A39,Versuchsdaten!$B$2:$B$1117,$B39,Versuchsdaten!$C$2:$C$1117,"Sprint_10m",Versuchsdaten!$E$2:$E$1117,$E39,Versuchsdaten!$J$2:$J$1117,1),""))</f>
        <v/>
      </c>
      <c r="M39" s="22">
        <f>IF(LEFT(C39,7)&lt;&gt;"Sprint_","",IF(COUNTIFS(Versuchsdaten!$A$2:$A$1117,$A39,Versuchsdaten!$B$2:$B$1117,$B39,Versuchsdaten!$C$2:$C$1117,"Sprint_30m",Versuchsdaten!$E$2:$E$1117,$E39,Versuchsdaten!$J$2:$J$1117,1)=1,SUMIFS(Versuchsdaten!$F$2:$F$1117,Versuchsdaten!$A$2:$A$1117,$A39,Versuchsdaten!$B$2:$B$1117,$B39,Versuchsdaten!$C$2:$C$1117,"Sprint_30m",Versuchsdaten!$E$2:$E$1117,$E39,Versuchsdaten!$J$2:$J$1117,1),""))</f>
        <v/>
      </c>
      <c r="N39" s="22">
        <f>IF(LEFT(C39,7)&lt;&gt;"Sprint_",0,IF(IF(ISNUMBER(K39),IF(K39&lt;=0,1,IF(5/K39&gt;10,1,0)),0)+IF(ISNUMBER(L39),IF(ISNUMBER(K39),IF(L39-K39&lt;=0,1,IF(5/(L39-K39)&gt;10,1,0)),IF(L39&lt;=0,1,IF(10/L39&gt;10,1,0))),0)+IF(ISNUMBER(M39),IF(ISNUMBER(L39),IF(M39-L39&lt;=0,1,IF(20/(M39-L39)&gt;10,1,0)),IF(ISNUMBER(K39),IF(M39-K39&lt;=0,1,IF(25/(M39-K39)&gt;10,1,0)),IF(M39&lt;=0,1,IF(30/M39&gt;10,1,0)))),0)&gt;0,1,0))</f>
        <v/>
      </c>
      <c r="O39" s="22">
        <f>IF(AND(J39=1,N39=0),1,0)</f>
        <v/>
      </c>
      <c r="P39" s="22">
        <f>INDEX(Personendaten!$J$2:$J$32,MATCH(A39,Personendaten!$A$2:$A$32,0))</f>
        <v/>
      </c>
      <c r="Q39" s="22">
        <f>IF(O39=1,"",IF(AND(B39="post",P39="nicht angetreten"),"NANG",IF(N39=1,"AUSL",IFERROR(VLOOKUP(H39,Vokabular!$A$2:$B$8,2,FALSE),"UNBEKANNT"))))</f>
        <v/>
      </c>
    </row>
    <row r="40">
      <c r="A40" s="5" t="inlineStr">
        <is>
          <t>BW-04</t>
        </is>
      </c>
      <c r="B40" s="5" t="inlineStr">
        <is>
          <t>prä</t>
        </is>
      </c>
      <c r="C40" s="5" t="inlineStr">
        <is>
          <t>Sprint_5m</t>
        </is>
      </c>
      <c r="D40" s="5" t="inlineStr">
        <is>
          <t>–</t>
        </is>
      </c>
      <c r="E40" s="5" t="n">
        <v>3</v>
      </c>
      <c r="F40" s="5" t="n"/>
      <c r="G40" s="5" t="n"/>
      <c r="H40" s="5" t="inlineStr">
        <is>
          <t>System nicht aufgenommen</t>
        </is>
      </c>
      <c r="I40" s="22">
        <f>INDEX(Personendaten!$C$2:$C$32,MATCH(A40,Personendaten!$A$2:$A$32,0))</f>
        <v/>
      </c>
      <c r="J40" s="22">
        <f>IF(AND(F40&lt;&gt;"",G40=""),1,0)</f>
        <v/>
      </c>
      <c r="K40" s="22">
        <f>IF(LEFT(C40,7)&lt;&gt;"Sprint_","",IF(COUNTIFS(Versuchsdaten!$A$2:$A$1117,$A40,Versuchsdaten!$B$2:$B$1117,$B40,Versuchsdaten!$C$2:$C$1117,"Sprint_5m",Versuchsdaten!$E$2:$E$1117,$E40,Versuchsdaten!$J$2:$J$1117,1)=1,SUMIFS(Versuchsdaten!$F$2:$F$1117,Versuchsdaten!$A$2:$A$1117,$A40,Versuchsdaten!$B$2:$B$1117,$B40,Versuchsdaten!$C$2:$C$1117,"Sprint_5m",Versuchsdaten!$E$2:$E$1117,$E40,Versuchsdaten!$J$2:$J$1117,1),""))</f>
        <v/>
      </c>
      <c r="L40" s="22">
        <f>IF(LEFT(C40,7)&lt;&gt;"Sprint_","",IF(COUNTIFS(Versuchsdaten!$A$2:$A$1117,$A40,Versuchsdaten!$B$2:$B$1117,$B40,Versuchsdaten!$C$2:$C$1117,"Sprint_10m",Versuchsdaten!$E$2:$E$1117,$E40,Versuchsdaten!$J$2:$J$1117,1)=1,SUMIFS(Versuchsdaten!$F$2:$F$1117,Versuchsdaten!$A$2:$A$1117,$A40,Versuchsdaten!$B$2:$B$1117,$B40,Versuchsdaten!$C$2:$C$1117,"Sprint_10m",Versuchsdaten!$E$2:$E$1117,$E40,Versuchsdaten!$J$2:$J$1117,1),""))</f>
        <v/>
      </c>
      <c r="M40" s="22">
        <f>IF(LEFT(C40,7)&lt;&gt;"Sprint_","",IF(COUNTIFS(Versuchsdaten!$A$2:$A$1117,$A40,Versuchsdaten!$B$2:$B$1117,$B40,Versuchsdaten!$C$2:$C$1117,"Sprint_30m",Versuchsdaten!$E$2:$E$1117,$E40,Versuchsdaten!$J$2:$J$1117,1)=1,SUMIFS(Versuchsdaten!$F$2:$F$1117,Versuchsdaten!$A$2:$A$1117,$A40,Versuchsdaten!$B$2:$B$1117,$B40,Versuchsdaten!$C$2:$C$1117,"Sprint_30m",Versuchsdaten!$E$2:$E$1117,$E40,Versuchsdaten!$J$2:$J$1117,1),""))</f>
        <v/>
      </c>
      <c r="N40" s="22">
        <f>IF(LEFT(C40,7)&lt;&gt;"Sprint_",0,IF(IF(ISNUMBER(K40),IF(K40&lt;=0,1,IF(5/K40&gt;10,1,0)),0)+IF(ISNUMBER(L40),IF(ISNUMBER(K40),IF(L40-K40&lt;=0,1,IF(5/(L40-K40)&gt;10,1,0)),IF(L40&lt;=0,1,IF(10/L40&gt;10,1,0))),0)+IF(ISNUMBER(M40),IF(ISNUMBER(L40),IF(M40-L40&lt;=0,1,IF(20/(M40-L40)&gt;10,1,0)),IF(ISNUMBER(K40),IF(M40-K40&lt;=0,1,IF(25/(M40-K40)&gt;10,1,0)),IF(M40&lt;=0,1,IF(30/M40&gt;10,1,0)))),0)&gt;0,1,0))</f>
        <v/>
      </c>
      <c r="O40" s="22">
        <f>IF(AND(J40=1,N40=0),1,0)</f>
        <v/>
      </c>
      <c r="P40" s="22">
        <f>INDEX(Personendaten!$J$2:$J$32,MATCH(A40,Personendaten!$A$2:$A$32,0))</f>
        <v/>
      </c>
      <c r="Q40" s="22">
        <f>IF(O40=1,"",IF(AND(B40="post",P40="nicht angetreten"),"NANG",IF(N40=1,"AUSL",IFERROR(VLOOKUP(H40,Vokabular!$A$2:$B$8,2,FALSE),"UNBEKANNT"))))</f>
        <v/>
      </c>
    </row>
    <row r="41">
      <c r="A41" s="5" t="inlineStr">
        <is>
          <t>BW-04</t>
        </is>
      </c>
      <c r="B41" s="5" t="inlineStr">
        <is>
          <t>prä</t>
        </is>
      </c>
      <c r="C41" s="5" t="inlineStr">
        <is>
          <t>Sprint_10m</t>
        </is>
      </c>
      <c r="D41" s="5" t="inlineStr">
        <is>
          <t>–</t>
        </is>
      </c>
      <c r="E41" s="5" t="n">
        <v>1</v>
      </c>
      <c r="F41" s="5" t="n">
        <v>1.99</v>
      </c>
      <c r="G41" s="5" t="n"/>
      <c r="H41" s="5" t="n"/>
      <c r="I41" s="22">
        <f>INDEX(Personendaten!$C$2:$C$32,MATCH(A41,Personendaten!$A$2:$A$32,0))</f>
        <v/>
      </c>
      <c r="J41" s="22">
        <f>IF(AND(F41&lt;&gt;"",G41=""),1,0)</f>
        <v/>
      </c>
      <c r="K41" s="22">
        <f>IF(LEFT(C41,7)&lt;&gt;"Sprint_","",IF(COUNTIFS(Versuchsdaten!$A$2:$A$1117,$A41,Versuchsdaten!$B$2:$B$1117,$B41,Versuchsdaten!$C$2:$C$1117,"Sprint_5m",Versuchsdaten!$E$2:$E$1117,$E41,Versuchsdaten!$J$2:$J$1117,1)=1,SUMIFS(Versuchsdaten!$F$2:$F$1117,Versuchsdaten!$A$2:$A$1117,$A41,Versuchsdaten!$B$2:$B$1117,$B41,Versuchsdaten!$C$2:$C$1117,"Sprint_5m",Versuchsdaten!$E$2:$E$1117,$E41,Versuchsdaten!$J$2:$J$1117,1),""))</f>
        <v/>
      </c>
      <c r="L41" s="22">
        <f>IF(LEFT(C41,7)&lt;&gt;"Sprint_","",IF(COUNTIFS(Versuchsdaten!$A$2:$A$1117,$A41,Versuchsdaten!$B$2:$B$1117,$B41,Versuchsdaten!$C$2:$C$1117,"Sprint_10m",Versuchsdaten!$E$2:$E$1117,$E41,Versuchsdaten!$J$2:$J$1117,1)=1,SUMIFS(Versuchsdaten!$F$2:$F$1117,Versuchsdaten!$A$2:$A$1117,$A41,Versuchsdaten!$B$2:$B$1117,$B41,Versuchsdaten!$C$2:$C$1117,"Sprint_10m",Versuchsdaten!$E$2:$E$1117,$E41,Versuchsdaten!$J$2:$J$1117,1),""))</f>
        <v/>
      </c>
      <c r="M41" s="22">
        <f>IF(LEFT(C41,7)&lt;&gt;"Sprint_","",IF(COUNTIFS(Versuchsdaten!$A$2:$A$1117,$A41,Versuchsdaten!$B$2:$B$1117,$B41,Versuchsdaten!$C$2:$C$1117,"Sprint_30m",Versuchsdaten!$E$2:$E$1117,$E41,Versuchsdaten!$J$2:$J$1117,1)=1,SUMIFS(Versuchsdaten!$F$2:$F$1117,Versuchsdaten!$A$2:$A$1117,$A41,Versuchsdaten!$B$2:$B$1117,$B41,Versuchsdaten!$C$2:$C$1117,"Sprint_30m",Versuchsdaten!$E$2:$E$1117,$E41,Versuchsdaten!$J$2:$J$1117,1),""))</f>
        <v/>
      </c>
      <c r="N41" s="22">
        <f>IF(LEFT(C41,7)&lt;&gt;"Sprint_",0,IF(IF(ISNUMBER(K41),IF(K41&lt;=0,1,IF(5/K41&gt;10,1,0)),0)+IF(ISNUMBER(L41),IF(ISNUMBER(K41),IF(L41-K41&lt;=0,1,IF(5/(L41-K41)&gt;10,1,0)),IF(L41&lt;=0,1,IF(10/L41&gt;10,1,0))),0)+IF(ISNUMBER(M41),IF(ISNUMBER(L41),IF(M41-L41&lt;=0,1,IF(20/(M41-L41)&gt;10,1,0)),IF(ISNUMBER(K41),IF(M41-K41&lt;=0,1,IF(25/(M41-K41)&gt;10,1,0)),IF(M41&lt;=0,1,IF(30/M41&gt;10,1,0)))),0)&gt;0,1,0))</f>
        <v/>
      </c>
      <c r="O41" s="22">
        <f>IF(AND(J41=1,N41=0),1,0)</f>
        <v/>
      </c>
      <c r="P41" s="22">
        <f>INDEX(Personendaten!$J$2:$J$32,MATCH(A41,Personendaten!$A$2:$A$32,0))</f>
        <v/>
      </c>
      <c r="Q41" s="22">
        <f>IF(O41=1,"",IF(AND(B41="post",P41="nicht angetreten"),"NANG",IF(N41=1,"AUSL",IFERROR(VLOOKUP(H41,Vokabular!$A$2:$B$8,2,FALSE),"UNBEKANNT"))))</f>
        <v/>
      </c>
    </row>
    <row r="42">
      <c r="A42" s="5" t="inlineStr">
        <is>
          <t>BW-04</t>
        </is>
      </c>
      <c r="B42" s="5" t="inlineStr">
        <is>
          <t>prä</t>
        </is>
      </c>
      <c r="C42" s="5" t="inlineStr">
        <is>
          <t>Sprint_10m</t>
        </is>
      </c>
      <c r="D42" s="5" t="inlineStr">
        <is>
          <t>–</t>
        </is>
      </c>
      <c r="E42" s="5" t="n">
        <v>2</v>
      </c>
      <c r="F42" s="5" t="n">
        <v>1.95</v>
      </c>
      <c r="G42" s="5" t="n"/>
      <c r="H42" s="5" t="n"/>
      <c r="I42" s="22">
        <f>INDEX(Personendaten!$C$2:$C$32,MATCH(A42,Personendaten!$A$2:$A$32,0))</f>
        <v/>
      </c>
      <c r="J42" s="22">
        <f>IF(AND(F42&lt;&gt;"",G42=""),1,0)</f>
        <v/>
      </c>
      <c r="K42" s="22">
        <f>IF(LEFT(C42,7)&lt;&gt;"Sprint_","",IF(COUNTIFS(Versuchsdaten!$A$2:$A$1117,$A42,Versuchsdaten!$B$2:$B$1117,$B42,Versuchsdaten!$C$2:$C$1117,"Sprint_5m",Versuchsdaten!$E$2:$E$1117,$E42,Versuchsdaten!$J$2:$J$1117,1)=1,SUMIFS(Versuchsdaten!$F$2:$F$1117,Versuchsdaten!$A$2:$A$1117,$A42,Versuchsdaten!$B$2:$B$1117,$B42,Versuchsdaten!$C$2:$C$1117,"Sprint_5m",Versuchsdaten!$E$2:$E$1117,$E42,Versuchsdaten!$J$2:$J$1117,1),""))</f>
        <v/>
      </c>
      <c r="L42" s="22">
        <f>IF(LEFT(C42,7)&lt;&gt;"Sprint_","",IF(COUNTIFS(Versuchsdaten!$A$2:$A$1117,$A42,Versuchsdaten!$B$2:$B$1117,$B42,Versuchsdaten!$C$2:$C$1117,"Sprint_10m",Versuchsdaten!$E$2:$E$1117,$E42,Versuchsdaten!$J$2:$J$1117,1)=1,SUMIFS(Versuchsdaten!$F$2:$F$1117,Versuchsdaten!$A$2:$A$1117,$A42,Versuchsdaten!$B$2:$B$1117,$B42,Versuchsdaten!$C$2:$C$1117,"Sprint_10m",Versuchsdaten!$E$2:$E$1117,$E42,Versuchsdaten!$J$2:$J$1117,1),""))</f>
        <v/>
      </c>
      <c r="M42" s="22">
        <f>IF(LEFT(C42,7)&lt;&gt;"Sprint_","",IF(COUNTIFS(Versuchsdaten!$A$2:$A$1117,$A42,Versuchsdaten!$B$2:$B$1117,$B42,Versuchsdaten!$C$2:$C$1117,"Sprint_30m",Versuchsdaten!$E$2:$E$1117,$E42,Versuchsdaten!$J$2:$J$1117,1)=1,SUMIFS(Versuchsdaten!$F$2:$F$1117,Versuchsdaten!$A$2:$A$1117,$A42,Versuchsdaten!$B$2:$B$1117,$B42,Versuchsdaten!$C$2:$C$1117,"Sprint_30m",Versuchsdaten!$E$2:$E$1117,$E42,Versuchsdaten!$J$2:$J$1117,1),""))</f>
        <v/>
      </c>
      <c r="N42" s="22">
        <f>IF(LEFT(C42,7)&lt;&gt;"Sprint_",0,IF(IF(ISNUMBER(K42),IF(K42&lt;=0,1,IF(5/K42&gt;10,1,0)),0)+IF(ISNUMBER(L42),IF(ISNUMBER(K42),IF(L42-K42&lt;=0,1,IF(5/(L42-K42)&gt;10,1,0)),IF(L42&lt;=0,1,IF(10/L42&gt;10,1,0))),0)+IF(ISNUMBER(M42),IF(ISNUMBER(L42),IF(M42-L42&lt;=0,1,IF(20/(M42-L42)&gt;10,1,0)),IF(ISNUMBER(K42),IF(M42-K42&lt;=0,1,IF(25/(M42-K42)&gt;10,1,0)),IF(M42&lt;=0,1,IF(30/M42&gt;10,1,0)))),0)&gt;0,1,0))</f>
        <v/>
      </c>
      <c r="O42" s="22">
        <f>IF(AND(J42=1,N42=0),1,0)</f>
        <v/>
      </c>
      <c r="P42" s="22">
        <f>INDEX(Personendaten!$J$2:$J$32,MATCH(A42,Personendaten!$A$2:$A$32,0))</f>
        <v/>
      </c>
      <c r="Q42" s="22">
        <f>IF(O42=1,"",IF(AND(B42="post",P42="nicht angetreten"),"NANG",IF(N42=1,"AUSL",IFERROR(VLOOKUP(H42,Vokabular!$A$2:$B$8,2,FALSE),"UNBEKANNT"))))</f>
        <v/>
      </c>
    </row>
    <row r="43">
      <c r="A43" s="5" t="inlineStr">
        <is>
          <t>BW-04</t>
        </is>
      </c>
      <c r="B43" s="5" t="inlineStr">
        <is>
          <t>prä</t>
        </is>
      </c>
      <c r="C43" s="5" t="inlineStr">
        <is>
          <t>Sprint_10m</t>
        </is>
      </c>
      <c r="D43" s="5" t="inlineStr">
        <is>
          <t>–</t>
        </is>
      </c>
      <c r="E43" s="5" t="n">
        <v>3</v>
      </c>
      <c r="F43" s="5" t="n">
        <v>1.95</v>
      </c>
      <c r="G43" s="5" t="n"/>
      <c r="H43" s="5" t="n"/>
      <c r="I43" s="22">
        <f>INDEX(Personendaten!$C$2:$C$32,MATCH(A43,Personendaten!$A$2:$A$32,0))</f>
        <v/>
      </c>
      <c r="J43" s="22">
        <f>IF(AND(F43&lt;&gt;"",G43=""),1,0)</f>
        <v/>
      </c>
      <c r="K43" s="22">
        <f>IF(LEFT(C43,7)&lt;&gt;"Sprint_","",IF(COUNTIFS(Versuchsdaten!$A$2:$A$1117,$A43,Versuchsdaten!$B$2:$B$1117,$B43,Versuchsdaten!$C$2:$C$1117,"Sprint_5m",Versuchsdaten!$E$2:$E$1117,$E43,Versuchsdaten!$J$2:$J$1117,1)=1,SUMIFS(Versuchsdaten!$F$2:$F$1117,Versuchsdaten!$A$2:$A$1117,$A43,Versuchsdaten!$B$2:$B$1117,$B43,Versuchsdaten!$C$2:$C$1117,"Sprint_5m",Versuchsdaten!$E$2:$E$1117,$E43,Versuchsdaten!$J$2:$J$1117,1),""))</f>
        <v/>
      </c>
      <c r="L43" s="22">
        <f>IF(LEFT(C43,7)&lt;&gt;"Sprint_","",IF(COUNTIFS(Versuchsdaten!$A$2:$A$1117,$A43,Versuchsdaten!$B$2:$B$1117,$B43,Versuchsdaten!$C$2:$C$1117,"Sprint_10m",Versuchsdaten!$E$2:$E$1117,$E43,Versuchsdaten!$J$2:$J$1117,1)=1,SUMIFS(Versuchsdaten!$F$2:$F$1117,Versuchsdaten!$A$2:$A$1117,$A43,Versuchsdaten!$B$2:$B$1117,$B43,Versuchsdaten!$C$2:$C$1117,"Sprint_10m",Versuchsdaten!$E$2:$E$1117,$E43,Versuchsdaten!$J$2:$J$1117,1),""))</f>
        <v/>
      </c>
      <c r="M43" s="22">
        <f>IF(LEFT(C43,7)&lt;&gt;"Sprint_","",IF(COUNTIFS(Versuchsdaten!$A$2:$A$1117,$A43,Versuchsdaten!$B$2:$B$1117,$B43,Versuchsdaten!$C$2:$C$1117,"Sprint_30m",Versuchsdaten!$E$2:$E$1117,$E43,Versuchsdaten!$J$2:$J$1117,1)=1,SUMIFS(Versuchsdaten!$F$2:$F$1117,Versuchsdaten!$A$2:$A$1117,$A43,Versuchsdaten!$B$2:$B$1117,$B43,Versuchsdaten!$C$2:$C$1117,"Sprint_30m",Versuchsdaten!$E$2:$E$1117,$E43,Versuchsdaten!$J$2:$J$1117,1),""))</f>
        <v/>
      </c>
      <c r="N43" s="22">
        <f>IF(LEFT(C43,7)&lt;&gt;"Sprint_",0,IF(IF(ISNUMBER(K43),IF(K43&lt;=0,1,IF(5/K43&gt;10,1,0)),0)+IF(ISNUMBER(L43),IF(ISNUMBER(K43),IF(L43-K43&lt;=0,1,IF(5/(L43-K43)&gt;10,1,0)),IF(L43&lt;=0,1,IF(10/L43&gt;10,1,0))),0)+IF(ISNUMBER(M43),IF(ISNUMBER(L43),IF(M43-L43&lt;=0,1,IF(20/(M43-L43)&gt;10,1,0)),IF(ISNUMBER(K43),IF(M43-K43&lt;=0,1,IF(25/(M43-K43)&gt;10,1,0)),IF(M43&lt;=0,1,IF(30/M43&gt;10,1,0)))),0)&gt;0,1,0))</f>
        <v/>
      </c>
      <c r="O43" s="22">
        <f>IF(AND(J43=1,N43=0),1,0)</f>
        <v/>
      </c>
      <c r="P43" s="22">
        <f>INDEX(Personendaten!$J$2:$J$32,MATCH(A43,Personendaten!$A$2:$A$32,0))</f>
        <v/>
      </c>
      <c r="Q43" s="22">
        <f>IF(O43=1,"",IF(AND(B43="post",P43="nicht angetreten"),"NANG",IF(N43=1,"AUSL",IFERROR(VLOOKUP(H43,Vokabular!$A$2:$B$8,2,FALSE),"UNBEKANNT"))))</f>
        <v/>
      </c>
    </row>
    <row r="44">
      <c r="A44" s="5" t="inlineStr">
        <is>
          <t>BW-04</t>
        </is>
      </c>
      <c r="B44" s="5" t="inlineStr">
        <is>
          <t>prä</t>
        </is>
      </c>
      <c r="C44" s="5" t="inlineStr">
        <is>
          <t>Sprint_30m</t>
        </is>
      </c>
      <c r="D44" s="5" t="inlineStr">
        <is>
          <t>–</t>
        </is>
      </c>
      <c r="E44" s="5" t="n">
        <v>1</v>
      </c>
      <c r="F44" s="5" t="n">
        <v>4.71</v>
      </c>
      <c r="G44" s="5" t="n"/>
      <c r="H44" s="5" t="n"/>
      <c r="I44" s="22">
        <f>INDEX(Personendaten!$C$2:$C$32,MATCH(A44,Personendaten!$A$2:$A$32,0))</f>
        <v/>
      </c>
      <c r="J44" s="22">
        <f>IF(AND(F44&lt;&gt;"",G44=""),1,0)</f>
        <v/>
      </c>
      <c r="K44" s="22">
        <f>IF(LEFT(C44,7)&lt;&gt;"Sprint_","",IF(COUNTIFS(Versuchsdaten!$A$2:$A$1117,$A44,Versuchsdaten!$B$2:$B$1117,$B44,Versuchsdaten!$C$2:$C$1117,"Sprint_5m",Versuchsdaten!$E$2:$E$1117,$E44,Versuchsdaten!$J$2:$J$1117,1)=1,SUMIFS(Versuchsdaten!$F$2:$F$1117,Versuchsdaten!$A$2:$A$1117,$A44,Versuchsdaten!$B$2:$B$1117,$B44,Versuchsdaten!$C$2:$C$1117,"Sprint_5m",Versuchsdaten!$E$2:$E$1117,$E44,Versuchsdaten!$J$2:$J$1117,1),""))</f>
        <v/>
      </c>
      <c r="L44" s="22">
        <f>IF(LEFT(C44,7)&lt;&gt;"Sprint_","",IF(COUNTIFS(Versuchsdaten!$A$2:$A$1117,$A44,Versuchsdaten!$B$2:$B$1117,$B44,Versuchsdaten!$C$2:$C$1117,"Sprint_10m",Versuchsdaten!$E$2:$E$1117,$E44,Versuchsdaten!$J$2:$J$1117,1)=1,SUMIFS(Versuchsdaten!$F$2:$F$1117,Versuchsdaten!$A$2:$A$1117,$A44,Versuchsdaten!$B$2:$B$1117,$B44,Versuchsdaten!$C$2:$C$1117,"Sprint_10m",Versuchsdaten!$E$2:$E$1117,$E44,Versuchsdaten!$J$2:$J$1117,1),""))</f>
        <v/>
      </c>
      <c r="M44" s="22">
        <f>IF(LEFT(C44,7)&lt;&gt;"Sprint_","",IF(COUNTIFS(Versuchsdaten!$A$2:$A$1117,$A44,Versuchsdaten!$B$2:$B$1117,$B44,Versuchsdaten!$C$2:$C$1117,"Sprint_30m",Versuchsdaten!$E$2:$E$1117,$E44,Versuchsdaten!$J$2:$J$1117,1)=1,SUMIFS(Versuchsdaten!$F$2:$F$1117,Versuchsdaten!$A$2:$A$1117,$A44,Versuchsdaten!$B$2:$B$1117,$B44,Versuchsdaten!$C$2:$C$1117,"Sprint_30m",Versuchsdaten!$E$2:$E$1117,$E44,Versuchsdaten!$J$2:$J$1117,1),""))</f>
        <v/>
      </c>
      <c r="N44" s="22">
        <f>IF(LEFT(C44,7)&lt;&gt;"Sprint_",0,IF(IF(ISNUMBER(K44),IF(K44&lt;=0,1,IF(5/K44&gt;10,1,0)),0)+IF(ISNUMBER(L44),IF(ISNUMBER(K44),IF(L44-K44&lt;=0,1,IF(5/(L44-K44)&gt;10,1,0)),IF(L44&lt;=0,1,IF(10/L44&gt;10,1,0))),0)+IF(ISNUMBER(M44),IF(ISNUMBER(L44),IF(M44-L44&lt;=0,1,IF(20/(M44-L44)&gt;10,1,0)),IF(ISNUMBER(K44),IF(M44-K44&lt;=0,1,IF(25/(M44-K44)&gt;10,1,0)),IF(M44&lt;=0,1,IF(30/M44&gt;10,1,0)))),0)&gt;0,1,0))</f>
        <v/>
      </c>
      <c r="O44" s="22">
        <f>IF(AND(J44=1,N44=0),1,0)</f>
        <v/>
      </c>
      <c r="P44" s="22">
        <f>INDEX(Personendaten!$J$2:$J$32,MATCH(A44,Personendaten!$A$2:$A$32,0))</f>
        <v/>
      </c>
      <c r="Q44" s="22">
        <f>IF(O44=1,"",IF(AND(B44="post",P44="nicht angetreten"),"NANG",IF(N44=1,"AUSL",IFERROR(VLOOKUP(H44,Vokabular!$A$2:$B$8,2,FALSE),"UNBEKANNT"))))</f>
        <v/>
      </c>
    </row>
    <row r="45">
      <c r="A45" s="5" t="inlineStr">
        <is>
          <t>BW-04</t>
        </is>
      </c>
      <c r="B45" s="5" t="inlineStr">
        <is>
          <t>prä</t>
        </is>
      </c>
      <c r="C45" s="5" t="inlineStr">
        <is>
          <t>Sprint_30m</t>
        </is>
      </c>
      <c r="D45" s="5" t="inlineStr">
        <is>
          <t>–</t>
        </is>
      </c>
      <c r="E45" s="5" t="n">
        <v>2</v>
      </c>
      <c r="F45" s="5" t="n">
        <v>4.63</v>
      </c>
      <c r="G45" s="5" t="n"/>
      <c r="H45" s="5" t="n"/>
      <c r="I45" s="22">
        <f>INDEX(Personendaten!$C$2:$C$32,MATCH(A45,Personendaten!$A$2:$A$32,0))</f>
        <v/>
      </c>
      <c r="J45" s="22">
        <f>IF(AND(F45&lt;&gt;"",G45=""),1,0)</f>
        <v/>
      </c>
      <c r="K45" s="22">
        <f>IF(LEFT(C45,7)&lt;&gt;"Sprint_","",IF(COUNTIFS(Versuchsdaten!$A$2:$A$1117,$A45,Versuchsdaten!$B$2:$B$1117,$B45,Versuchsdaten!$C$2:$C$1117,"Sprint_5m",Versuchsdaten!$E$2:$E$1117,$E45,Versuchsdaten!$J$2:$J$1117,1)=1,SUMIFS(Versuchsdaten!$F$2:$F$1117,Versuchsdaten!$A$2:$A$1117,$A45,Versuchsdaten!$B$2:$B$1117,$B45,Versuchsdaten!$C$2:$C$1117,"Sprint_5m",Versuchsdaten!$E$2:$E$1117,$E45,Versuchsdaten!$J$2:$J$1117,1),""))</f>
        <v/>
      </c>
      <c r="L45" s="22">
        <f>IF(LEFT(C45,7)&lt;&gt;"Sprint_","",IF(COUNTIFS(Versuchsdaten!$A$2:$A$1117,$A45,Versuchsdaten!$B$2:$B$1117,$B45,Versuchsdaten!$C$2:$C$1117,"Sprint_10m",Versuchsdaten!$E$2:$E$1117,$E45,Versuchsdaten!$J$2:$J$1117,1)=1,SUMIFS(Versuchsdaten!$F$2:$F$1117,Versuchsdaten!$A$2:$A$1117,$A45,Versuchsdaten!$B$2:$B$1117,$B45,Versuchsdaten!$C$2:$C$1117,"Sprint_10m",Versuchsdaten!$E$2:$E$1117,$E45,Versuchsdaten!$J$2:$J$1117,1),""))</f>
        <v/>
      </c>
      <c r="M45" s="22">
        <f>IF(LEFT(C45,7)&lt;&gt;"Sprint_","",IF(COUNTIFS(Versuchsdaten!$A$2:$A$1117,$A45,Versuchsdaten!$B$2:$B$1117,$B45,Versuchsdaten!$C$2:$C$1117,"Sprint_30m",Versuchsdaten!$E$2:$E$1117,$E45,Versuchsdaten!$J$2:$J$1117,1)=1,SUMIFS(Versuchsdaten!$F$2:$F$1117,Versuchsdaten!$A$2:$A$1117,$A45,Versuchsdaten!$B$2:$B$1117,$B45,Versuchsdaten!$C$2:$C$1117,"Sprint_30m",Versuchsdaten!$E$2:$E$1117,$E45,Versuchsdaten!$J$2:$J$1117,1),""))</f>
        <v/>
      </c>
      <c r="N45" s="22">
        <f>IF(LEFT(C45,7)&lt;&gt;"Sprint_",0,IF(IF(ISNUMBER(K45),IF(K45&lt;=0,1,IF(5/K45&gt;10,1,0)),0)+IF(ISNUMBER(L45),IF(ISNUMBER(K45),IF(L45-K45&lt;=0,1,IF(5/(L45-K45)&gt;10,1,0)),IF(L45&lt;=0,1,IF(10/L45&gt;10,1,0))),0)+IF(ISNUMBER(M45),IF(ISNUMBER(L45),IF(M45-L45&lt;=0,1,IF(20/(M45-L45)&gt;10,1,0)),IF(ISNUMBER(K45),IF(M45-K45&lt;=0,1,IF(25/(M45-K45)&gt;10,1,0)),IF(M45&lt;=0,1,IF(30/M45&gt;10,1,0)))),0)&gt;0,1,0))</f>
        <v/>
      </c>
      <c r="O45" s="22">
        <f>IF(AND(J45=1,N45=0),1,0)</f>
        <v/>
      </c>
      <c r="P45" s="22">
        <f>INDEX(Personendaten!$J$2:$J$32,MATCH(A45,Personendaten!$A$2:$A$32,0))</f>
        <v/>
      </c>
      <c r="Q45" s="22">
        <f>IF(O45=1,"",IF(AND(B45="post",P45="nicht angetreten"),"NANG",IF(N45=1,"AUSL",IFERROR(VLOOKUP(H45,Vokabular!$A$2:$B$8,2,FALSE),"UNBEKANNT"))))</f>
        <v/>
      </c>
    </row>
    <row r="46">
      <c r="A46" s="5" t="inlineStr">
        <is>
          <t>BW-04</t>
        </is>
      </c>
      <c r="B46" s="5" t="inlineStr">
        <is>
          <t>prä</t>
        </is>
      </c>
      <c r="C46" s="5" t="inlineStr">
        <is>
          <t>Sprint_30m</t>
        </is>
      </c>
      <c r="D46" s="5" t="inlineStr">
        <is>
          <t>–</t>
        </is>
      </c>
      <c r="E46" s="5" t="n">
        <v>3</v>
      </c>
      <c r="F46" s="5" t="n">
        <v>4.69</v>
      </c>
      <c r="G46" s="5" t="n"/>
      <c r="H46" s="5" t="n"/>
      <c r="I46" s="22">
        <f>INDEX(Personendaten!$C$2:$C$32,MATCH(A46,Personendaten!$A$2:$A$32,0))</f>
        <v/>
      </c>
      <c r="J46" s="22">
        <f>IF(AND(F46&lt;&gt;"",G46=""),1,0)</f>
        <v/>
      </c>
      <c r="K46" s="22">
        <f>IF(LEFT(C46,7)&lt;&gt;"Sprint_","",IF(COUNTIFS(Versuchsdaten!$A$2:$A$1117,$A46,Versuchsdaten!$B$2:$B$1117,$B46,Versuchsdaten!$C$2:$C$1117,"Sprint_5m",Versuchsdaten!$E$2:$E$1117,$E46,Versuchsdaten!$J$2:$J$1117,1)=1,SUMIFS(Versuchsdaten!$F$2:$F$1117,Versuchsdaten!$A$2:$A$1117,$A46,Versuchsdaten!$B$2:$B$1117,$B46,Versuchsdaten!$C$2:$C$1117,"Sprint_5m",Versuchsdaten!$E$2:$E$1117,$E46,Versuchsdaten!$J$2:$J$1117,1),""))</f>
        <v/>
      </c>
      <c r="L46" s="22">
        <f>IF(LEFT(C46,7)&lt;&gt;"Sprint_","",IF(COUNTIFS(Versuchsdaten!$A$2:$A$1117,$A46,Versuchsdaten!$B$2:$B$1117,$B46,Versuchsdaten!$C$2:$C$1117,"Sprint_10m",Versuchsdaten!$E$2:$E$1117,$E46,Versuchsdaten!$J$2:$J$1117,1)=1,SUMIFS(Versuchsdaten!$F$2:$F$1117,Versuchsdaten!$A$2:$A$1117,$A46,Versuchsdaten!$B$2:$B$1117,$B46,Versuchsdaten!$C$2:$C$1117,"Sprint_10m",Versuchsdaten!$E$2:$E$1117,$E46,Versuchsdaten!$J$2:$J$1117,1),""))</f>
        <v/>
      </c>
      <c r="M46" s="22">
        <f>IF(LEFT(C46,7)&lt;&gt;"Sprint_","",IF(COUNTIFS(Versuchsdaten!$A$2:$A$1117,$A46,Versuchsdaten!$B$2:$B$1117,$B46,Versuchsdaten!$C$2:$C$1117,"Sprint_30m",Versuchsdaten!$E$2:$E$1117,$E46,Versuchsdaten!$J$2:$J$1117,1)=1,SUMIFS(Versuchsdaten!$F$2:$F$1117,Versuchsdaten!$A$2:$A$1117,$A46,Versuchsdaten!$B$2:$B$1117,$B46,Versuchsdaten!$C$2:$C$1117,"Sprint_30m",Versuchsdaten!$E$2:$E$1117,$E46,Versuchsdaten!$J$2:$J$1117,1),""))</f>
        <v/>
      </c>
      <c r="N46" s="22">
        <f>IF(LEFT(C46,7)&lt;&gt;"Sprint_",0,IF(IF(ISNUMBER(K46),IF(K46&lt;=0,1,IF(5/K46&gt;10,1,0)),0)+IF(ISNUMBER(L46),IF(ISNUMBER(K46),IF(L46-K46&lt;=0,1,IF(5/(L46-K46)&gt;10,1,0)),IF(L46&lt;=0,1,IF(10/L46&gt;10,1,0))),0)+IF(ISNUMBER(M46),IF(ISNUMBER(L46),IF(M46-L46&lt;=0,1,IF(20/(M46-L46)&gt;10,1,0)),IF(ISNUMBER(K46),IF(M46-K46&lt;=0,1,IF(25/(M46-K46)&gt;10,1,0)),IF(M46&lt;=0,1,IF(30/M46&gt;10,1,0)))),0)&gt;0,1,0))</f>
        <v/>
      </c>
      <c r="O46" s="22">
        <f>IF(AND(J46=1,N46=0),1,0)</f>
        <v/>
      </c>
      <c r="P46" s="22">
        <f>INDEX(Personendaten!$J$2:$J$32,MATCH(A46,Personendaten!$A$2:$A$32,0))</f>
        <v/>
      </c>
      <c r="Q46" s="22">
        <f>IF(O46=1,"",IF(AND(B46="post",P46="nicht angetreten"),"NANG",IF(N46=1,"AUSL",IFERROR(VLOOKUP(H46,Vokabular!$A$2:$B$8,2,FALSE),"UNBEKANNT"))))</f>
        <v/>
      </c>
    </row>
    <row r="47">
      <c r="A47" s="5" t="inlineStr">
        <is>
          <t>BW-04</t>
        </is>
      </c>
      <c r="B47" s="5" t="inlineStr">
        <is>
          <t>prä</t>
        </is>
      </c>
      <c r="C47" s="5" t="inlineStr">
        <is>
          <t>Standweitsprung</t>
        </is>
      </c>
      <c r="D47" s="5" t="inlineStr">
        <is>
          <t>–</t>
        </is>
      </c>
      <c r="E47" s="5" t="n">
        <v>1</v>
      </c>
      <c r="F47" s="5" t="n">
        <v>251</v>
      </c>
      <c r="G47" s="5" t="n"/>
      <c r="H47" s="5" t="n"/>
      <c r="I47" s="22">
        <f>INDEX(Personendaten!$C$2:$C$32,MATCH(A47,Personendaten!$A$2:$A$32,0))</f>
        <v/>
      </c>
      <c r="J47" s="22">
        <f>IF(AND(F47&lt;&gt;"",G47=""),1,0)</f>
        <v/>
      </c>
      <c r="K47" s="22">
        <f>IF(LEFT(C47,7)&lt;&gt;"Sprint_","",IF(COUNTIFS(Versuchsdaten!$A$2:$A$1117,$A47,Versuchsdaten!$B$2:$B$1117,$B47,Versuchsdaten!$C$2:$C$1117,"Sprint_5m",Versuchsdaten!$E$2:$E$1117,$E47,Versuchsdaten!$J$2:$J$1117,1)=1,SUMIFS(Versuchsdaten!$F$2:$F$1117,Versuchsdaten!$A$2:$A$1117,$A47,Versuchsdaten!$B$2:$B$1117,$B47,Versuchsdaten!$C$2:$C$1117,"Sprint_5m",Versuchsdaten!$E$2:$E$1117,$E47,Versuchsdaten!$J$2:$J$1117,1),""))</f>
        <v/>
      </c>
      <c r="L47" s="22">
        <f>IF(LEFT(C47,7)&lt;&gt;"Sprint_","",IF(COUNTIFS(Versuchsdaten!$A$2:$A$1117,$A47,Versuchsdaten!$B$2:$B$1117,$B47,Versuchsdaten!$C$2:$C$1117,"Sprint_10m",Versuchsdaten!$E$2:$E$1117,$E47,Versuchsdaten!$J$2:$J$1117,1)=1,SUMIFS(Versuchsdaten!$F$2:$F$1117,Versuchsdaten!$A$2:$A$1117,$A47,Versuchsdaten!$B$2:$B$1117,$B47,Versuchsdaten!$C$2:$C$1117,"Sprint_10m",Versuchsdaten!$E$2:$E$1117,$E47,Versuchsdaten!$J$2:$J$1117,1),""))</f>
        <v/>
      </c>
      <c r="M47" s="22">
        <f>IF(LEFT(C47,7)&lt;&gt;"Sprint_","",IF(COUNTIFS(Versuchsdaten!$A$2:$A$1117,$A47,Versuchsdaten!$B$2:$B$1117,$B47,Versuchsdaten!$C$2:$C$1117,"Sprint_30m",Versuchsdaten!$E$2:$E$1117,$E47,Versuchsdaten!$J$2:$J$1117,1)=1,SUMIFS(Versuchsdaten!$F$2:$F$1117,Versuchsdaten!$A$2:$A$1117,$A47,Versuchsdaten!$B$2:$B$1117,$B47,Versuchsdaten!$C$2:$C$1117,"Sprint_30m",Versuchsdaten!$E$2:$E$1117,$E47,Versuchsdaten!$J$2:$J$1117,1),""))</f>
        <v/>
      </c>
      <c r="N47" s="22">
        <f>IF(LEFT(C47,7)&lt;&gt;"Sprint_",0,IF(IF(ISNUMBER(K47),IF(K47&lt;=0,1,IF(5/K47&gt;10,1,0)),0)+IF(ISNUMBER(L47),IF(ISNUMBER(K47),IF(L47-K47&lt;=0,1,IF(5/(L47-K47)&gt;10,1,0)),IF(L47&lt;=0,1,IF(10/L47&gt;10,1,0))),0)+IF(ISNUMBER(M47),IF(ISNUMBER(L47),IF(M47-L47&lt;=0,1,IF(20/(M47-L47)&gt;10,1,0)),IF(ISNUMBER(K47),IF(M47-K47&lt;=0,1,IF(25/(M47-K47)&gt;10,1,0)),IF(M47&lt;=0,1,IF(30/M47&gt;10,1,0)))),0)&gt;0,1,0))</f>
        <v/>
      </c>
      <c r="O47" s="22">
        <f>IF(AND(J47=1,N47=0),1,0)</f>
        <v/>
      </c>
      <c r="P47" s="22">
        <f>INDEX(Personendaten!$J$2:$J$32,MATCH(A47,Personendaten!$A$2:$A$32,0))</f>
        <v/>
      </c>
      <c r="Q47" s="22">
        <f>IF(O47=1,"",IF(AND(B47="post",P47="nicht angetreten"),"NANG",IF(N47=1,"AUSL",IFERROR(VLOOKUP(H47,Vokabular!$A$2:$B$8,2,FALSE),"UNBEKANNT"))))</f>
        <v/>
      </c>
    </row>
    <row r="48">
      <c r="A48" s="5" t="inlineStr">
        <is>
          <t>BW-04</t>
        </is>
      </c>
      <c r="B48" s="5" t="inlineStr">
        <is>
          <t>prä</t>
        </is>
      </c>
      <c r="C48" s="5" t="inlineStr">
        <is>
          <t>Standweitsprung</t>
        </is>
      </c>
      <c r="D48" s="5" t="inlineStr">
        <is>
          <t>–</t>
        </is>
      </c>
      <c r="E48" s="5" t="n">
        <v>2</v>
      </c>
      <c r="F48" s="5" t="n">
        <v>245</v>
      </c>
      <c r="G48" s="5" t="n"/>
      <c r="H48" s="5" t="n"/>
      <c r="I48" s="22">
        <f>INDEX(Personendaten!$C$2:$C$32,MATCH(A48,Personendaten!$A$2:$A$32,0))</f>
        <v/>
      </c>
      <c r="J48" s="22">
        <f>IF(AND(F48&lt;&gt;"",G48=""),1,0)</f>
        <v/>
      </c>
      <c r="K48" s="22">
        <f>IF(LEFT(C48,7)&lt;&gt;"Sprint_","",IF(COUNTIFS(Versuchsdaten!$A$2:$A$1117,$A48,Versuchsdaten!$B$2:$B$1117,$B48,Versuchsdaten!$C$2:$C$1117,"Sprint_5m",Versuchsdaten!$E$2:$E$1117,$E48,Versuchsdaten!$J$2:$J$1117,1)=1,SUMIFS(Versuchsdaten!$F$2:$F$1117,Versuchsdaten!$A$2:$A$1117,$A48,Versuchsdaten!$B$2:$B$1117,$B48,Versuchsdaten!$C$2:$C$1117,"Sprint_5m",Versuchsdaten!$E$2:$E$1117,$E48,Versuchsdaten!$J$2:$J$1117,1),""))</f>
        <v/>
      </c>
      <c r="L48" s="22">
        <f>IF(LEFT(C48,7)&lt;&gt;"Sprint_","",IF(COUNTIFS(Versuchsdaten!$A$2:$A$1117,$A48,Versuchsdaten!$B$2:$B$1117,$B48,Versuchsdaten!$C$2:$C$1117,"Sprint_10m",Versuchsdaten!$E$2:$E$1117,$E48,Versuchsdaten!$J$2:$J$1117,1)=1,SUMIFS(Versuchsdaten!$F$2:$F$1117,Versuchsdaten!$A$2:$A$1117,$A48,Versuchsdaten!$B$2:$B$1117,$B48,Versuchsdaten!$C$2:$C$1117,"Sprint_10m",Versuchsdaten!$E$2:$E$1117,$E48,Versuchsdaten!$J$2:$J$1117,1),""))</f>
        <v/>
      </c>
      <c r="M48" s="22">
        <f>IF(LEFT(C48,7)&lt;&gt;"Sprint_","",IF(COUNTIFS(Versuchsdaten!$A$2:$A$1117,$A48,Versuchsdaten!$B$2:$B$1117,$B48,Versuchsdaten!$C$2:$C$1117,"Sprint_30m",Versuchsdaten!$E$2:$E$1117,$E48,Versuchsdaten!$J$2:$J$1117,1)=1,SUMIFS(Versuchsdaten!$F$2:$F$1117,Versuchsdaten!$A$2:$A$1117,$A48,Versuchsdaten!$B$2:$B$1117,$B48,Versuchsdaten!$C$2:$C$1117,"Sprint_30m",Versuchsdaten!$E$2:$E$1117,$E48,Versuchsdaten!$J$2:$J$1117,1),""))</f>
        <v/>
      </c>
      <c r="N48" s="22">
        <f>IF(LEFT(C48,7)&lt;&gt;"Sprint_",0,IF(IF(ISNUMBER(K48),IF(K48&lt;=0,1,IF(5/K48&gt;10,1,0)),0)+IF(ISNUMBER(L48),IF(ISNUMBER(K48),IF(L48-K48&lt;=0,1,IF(5/(L48-K48)&gt;10,1,0)),IF(L48&lt;=0,1,IF(10/L48&gt;10,1,0))),0)+IF(ISNUMBER(M48),IF(ISNUMBER(L48),IF(M48-L48&lt;=0,1,IF(20/(M48-L48)&gt;10,1,0)),IF(ISNUMBER(K48),IF(M48-K48&lt;=0,1,IF(25/(M48-K48)&gt;10,1,0)),IF(M48&lt;=0,1,IF(30/M48&gt;10,1,0)))),0)&gt;0,1,0))</f>
        <v/>
      </c>
      <c r="O48" s="22">
        <f>IF(AND(J48=1,N48=0),1,0)</f>
        <v/>
      </c>
      <c r="P48" s="22">
        <f>INDEX(Personendaten!$J$2:$J$32,MATCH(A48,Personendaten!$A$2:$A$32,0))</f>
        <v/>
      </c>
      <c r="Q48" s="22">
        <f>IF(O48=1,"",IF(AND(B48="post",P48="nicht angetreten"),"NANG",IF(N48=1,"AUSL",IFERROR(VLOOKUP(H48,Vokabular!$A$2:$B$8,2,FALSE),"UNBEKANNT"))))</f>
        <v/>
      </c>
    </row>
    <row r="49">
      <c r="A49" s="5" t="inlineStr">
        <is>
          <t>BW-04</t>
        </is>
      </c>
      <c r="B49" s="5" t="inlineStr">
        <is>
          <t>prä</t>
        </is>
      </c>
      <c r="C49" s="5" t="inlineStr">
        <is>
          <t>Standweitsprung</t>
        </is>
      </c>
      <c r="D49" s="5" t="inlineStr">
        <is>
          <t>–</t>
        </is>
      </c>
      <c r="E49" s="5" t="n">
        <v>3</v>
      </c>
      <c r="F49" s="5" t="n">
        <v>244</v>
      </c>
      <c r="G49" s="5" t="n"/>
      <c r="H49" s="5" t="n"/>
      <c r="I49" s="22">
        <f>INDEX(Personendaten!$C$2:$C$32,MATCH(A49,Personendaten!$A$2:$A$32,0))</f>
        <v/>
      </c>
      <c r="J49" s="22">
        <f>IF(AND(F49&lt;&gt;"",G49=""),1,0)</f>
        <v/>
      </c>
      <c r="K49" s="22">
        <f>IF(LEFT(C49,7)&lt;&gt;"Sprint_","",IF(COUNTIFS(Versuchsdaten!$A$2:$A$1117,$A49,Versuchsdaten!$B$2:$B$1117,$B49,Versuchsdaten!$C$2:$C$1117,"Sprint_5m",Versuchsdaten!$E$2:$E$1117,$E49,Versuchsdaten!$J$2:$J$1117,1)=1,SUMIFS(Versuchsdaten!$F$2:$F$1117,Versuchsdaten!$A$2:$A$1117,$A49,Versuchsdaten!$B$2:$B$1117,$B49,Versuchsdaten!$C$2:$C$1117,"Sprint_5m",Versuchsdaten!$E$2:$E$1117,$E49,Versuchsdaten!$J$2:$J$1117,1),""))</f>
        <v/>
      </c>
      <c r="L49" s="22">
        <f>IF(LEFT(C49,7)&lt;&gt;"Sprint_","",IF(COUNTIFS(Versuchsdaten!$A$2:$A$1117,$A49,Versuchsdaten!$B$2:$B$1117,$B49,Versuchsdaten!$C$2:$C$1117,"Sprint_10m",Versuchsdaten!$E$2:$E$1117,$E49,Versuchsdaten!$J$2:$J$1117,1)=1,SUMIFS(Versuchsdaten!$F$2:$F$1117,Versuchsdaten!$A$2:$A$1117,$A49,Versuchsdaten!$B$2:$B$1117,$B49,Versuchsdaten!$C$2:$C$1117,"Sprint_10m",Versuchsdaten!$E$2:$E$1117,$E49,Versuchsdaten!$J$2:$J$1117,1),""))</f>
        <v/>
      </c>
      <c r="M49" s="22">
        <f>IF(LEFT(C49,7)&lt;&gt;"Sprint_","",IF(COUNTIFS(Versuchsdaten!$A$2:$A$1117,$A49,Versuchsdaten!$B$2:$B$1117,$B49,Versuchsdaten!$C$2:$C$1117,"Sprint_30m",Versuchsdaten!$E$2:$E$1117,$E49,Versuchsdaten!$J$2:$J$1117,1)=1,SUMIFS(Versuchsdaten!$F$2:$F$1117,Versuchsdaten!$A$2:$A$1117,$A49,Versuchsdaten!$B$2:$B$1117,$B49,Versuchsdaten!$C$2:$C$1117,"Sprint_30m",Versuchsdaten!$E$2:$E$1117,$E49,Versuchsdaten!$J$2:$J$1117,1),""))</f>
        <v/>
      </c>
      <c r="N49" s="22">
        <f>IF(LEFT(C49,7)&lt;&gt;"Sprint_",0,IF(IF(ISNUMBER(K49),IF(K49&lt;=0,1,IF(5/K49&gt;10,1,0)),0)+IF(ISNUMBER(L49),IF(ISNUMBER(K49),IF(L49-K49&lt;=0,1,IF(5/(L49-K49)&gt;10,1,0)),IF(L49&lt;=0,1,IF(10/L49&gt;10,1,0))),0)+IF(ISNUMBER(M49),IF(ISNUMBER(L49),IF(M49-L49&lt;=0,1,IF(20/(M49-L49)&gt;10,1,0)),IF(ISNUMBER(K49),IF(M49-K49&lt;=0,1,IF(25/(M49-K49)&gt;10,1,0)),IF(M49&lt;=0,1,IF(30/M49&gt;10,1,0)))),0)&gt;0,1,0))</f>
        <v/>
      </c>
      <c r="O49" s="22">
        <f>IF(AND(J49=1,N49=0),1,0)</f>
        <v/>
      </c>
      <c r="P49" s="22">
        <f>INDEX(Personendaten!$J$2:$J$32,MATCH(A49,Personendaten!$A$2:$A$32,0))</f>
        <v/>
      </c>
      <c r="Q49" s="22">
        <f>IF(O49=1,"",IF(AND(B49="post",P49="nicht angetreten"),"NANG",IF(N49=1,"AUSL",IFERROR(VLOOKUP(H49,Vokabular!$A$2:$B$8,2,FALSE),"UNBEKANNT"))))</f>
        <v/>
      </c>
    </row>
    <row r="50">
      <c r="A50" s="5" t="inlineStr">
        <is>
          <t>BW-04</t>
        </is>
      </c>
      <c r="B50" s="5" t="inlineStr">
        <is>
          <t>prä</t>
        </is>
      </c>
      <c r="C50" s="5" t="inlineStr">
        <is>
          <t>COD_505</t>
        </is>
      </c>
      <c r="D50" s="5" t="inlineStr">
        <is>
          <t>L</t>
        </is>
      </c>
      <c r="E50" s="5" t="n">
        <v>1</v>
      </c>
      <c r="F50" s="5" t="n">
        <v>2.37</v>
      </c>
      <c r="G50" s="5" t="n"/>
      <c r="H50" s="5" t="n"/>
      <c r="I50" s="22">
        <f>INDEX(Personendaten!$C$2:$C$32,MATCH(A50,Personendaten!$A$2:$A$32,0))</f>
        <v/>
      </c>
      <c r="J50" s="22">
        <f>IF(AND(F50&lt;&gt;"",G50=""),1,0)</f>
        <v/>
      </c>
      <c r="K50" s="22">
        <f>IF(LEFT(C50,7)&lt;&gt;"Sprint_","",IF(COUNTIFS(Versuchsdaten!$A$2:$A$1117,$A50,Versuchsdaten!$B$2:$B$1117,$B50,Versuchsdaten!$C$2:$C$1117,"Sprint_5m",Versuchsdaten!$E$2:$E$1117,$E50,Versuchsdaten!$J$2:$J$1117,1)=1,SUMIFS(Versuchsdaten!$F$2:$F$1117,Versuchsdaten!$A$2:$A$1117,$A50,Versuchsdaten!$B$2:$B$1117,$B50,Versuchsdaten!$C$2:$C$1117,"Sprint_5m",Versuchsdaten!$E$2:$E$1117,$E50,Versuchsdaten!$J$2:$J$1117,1),""))</f>
        <v/>
      </c>
      <c r="L50" s="22">
        <f>IF(LEFT(C50,7)&lt;&gt;"Sprint_","",IF(COUNTIFS(Versuchsdaten!$A$2:$A$1117,$A50,Versuchsdaten!$B$2:$B$1117,$B50,Versuchsdaten!$C$2:$C$1117,"Sprint_10m",Versuchsdaten!$E$2:$E$1117,$E50,Versuchsdaten!$J$2:$J$1117,1)=1,SUMIFS(Versuchsdaten!$F$2:$F$1117,Versuchsdaten!$A$2:$A$1117,$A50,Versuchsdaten!$B$2:$B$1117,$B50,Versuchsdaten!$C$2:$C$1117,"Sprint_10m",Versuchsdaten!$E$2:$E$1117,$E50,Versuchsdaten!$J$2:$J$1117,1),""))</f>
        <v/>
      </c>
      <c r="M50" s="22">
        <f>IF(LEFT(C50,7)&lt;&gt;"Sprint_","",IF(COUNTIFS(Versuchsdaten!$A$2:$A$1117,$A50,Versuchsdaten!$B$2:$B$1117,$B50,Versuchsdaten!$C$2:$C$1117,"Sprint_30m",Versuchsdaten!$E$2:$E$1117,$E50,Versuchsdaten!$J$2:$J$1117,1)=1,SUMIFS(Versuchsdaten!$F$2:$F$1117,Versuchsdaten!$A$2:$A$1117,$A50,Versuchsdaten!$B$2:$B$1117,$B50,Versuchsdaten!$C$2:$C$1117,"Sprint_30m",Versuchsdaten!$E$2:$E$1117,$E50,Versuchsdaten!$J$2:$J$1117,1),""))</f>
        <v/>
      </c>
      <c r="N50" s="22">
        <f>IF(LEFT(C50,7)&lt;&gt;"Sprint_",0,IF(IF(ISNUMBER(K50),IF(K50&lt;=0,1,IF(5/K50&gt;10,1,0)),0)+IF(ISNUMBER(L50),IF(ISNUMBER(K50),IF(L50-K50&lt;=0,1,IF(5/(L50-K50)&gt;10,1,0)),IF(L50&lt;=0,1,IF(10/L50&gt;10,1,0))),0)+IF(ISNUMBER(M50),IF(ISNUMBER(L50),IF(M50-L50&lt;=0,1,IF(20/(M50-L50)&gt;10,1,0)),IF(ISNUMBER(K50),IF(M50-K50&lt;=0,1,IF(25/(M50-K50)&gt;10,1,0)),IF(M50&lt;=0,1,IF(30/M50&gt;10,1,0)))),0)&gt;0,1,0))</f>
        <v/>
      </c>
      <c r="O50" s="22">
        <f>IF(AND(J50=1,N50=0),1,0)</f>
        <v/>
      </c>
      <c r="P50" s="22">
        <f>INDEX(Personendaten!$J$2:$J$32,MATCH(A50,Personendaten!$A$2:$A$32,0))</f>
        <v/>
      </c>
      <c r="Q50" s="22">
        <f>IF(O50=1,"",IF(AND(B50="post",P50="nicht angetreten"),"NANG",IF(N50=1,"AUSL",IFERROR(VLOOKUP(H50,Vokabular!$A$2:$B$8,2,FALSE),"UNBEKANNT"))))</f>
        <v/>
      </c>
    </row>
    <row r="51">
      <c r="A51" s="5" t="inlineStr">
        <is>
          <t>BW-04</t>
        </is>
      </c>
      <c r="B51" s="5" t="inlineStr">
        <is>
          <t>prä</t>
        </is>
      </c>
      <c r="C51" s="5" t="inlineStr">
        <is>
          <t>COD_505</t>
        </is>
      </c>
      <c r="D51" s="5" t="inlineStr">
        <is>
          <t>L</t>
        </is>
      </c>
      <c r="E51" s="5" t="n">
        <v>2</v>
      </c>
      <c r="F51" s="5" t="n">
        <v>2.37</v>
      </c>
      <c r="G51" s="5" t="n"/>
      <c r="H51" s="5" t="n"/>
      <c r="I51" s="22">
        <f>INDEX(Personendaten!$C$2:$C$32,MATCH(A51,Personendaten!$A$2:$A$32,0))</f>
        <v/>
      </c>
      <c r="J51" s="22">
        <f>IF(AND(F51&lt;&gt;"",G51=""),1,0)</f>
        <v/>
      </c>
      <c r="K51" s="22">
        <f>IF(LEFT(C51,7)&lt;&gt;"Sprint_","",IF(COUNTIFS(Versuchsdaten!$A$2:$A$1117,$A51,Versuchsdaten!$B$2:$B$1117,$B51,Versuchsdaten!$C$2:$C$1117,"Sprint_5m",Versuchsdaten!$E$2:$E$1117,$E51,Versuchsdaten!$J$2:$J$1117,1)=1,SUMIFS(Versuchsdaten!$F$2:$F$1117,Versuchsdaten!$A$2:$A$1117,$A51,Versuchsdaten!$B$2:$B$1117,$B51,Versuchsdaten!$C$2:$C$1117,"Sprint_5m",Versuchsdaten!$E$2:$E$1117,$E51,Versuchsdaten!$J$2:$J$1117,1),""))</f>
        <v/>
      </c>
      <c r="L51" s="22">
        <f>IF(LEFT(C51,7)&lt;&gt;"Sprint_","",IF(COUNTIFS(Versuchsdaten!$A$2:$A$1117,$A51,Versuchsdaten!$B$2:$B$1117,$B51,Versuchsdaten!$C$2:$C$1117,"Sprint_10m",Versuchsdaten!$E$2:$E$1117,$E51,Versuchsdaten!$J$2:$J$1117,1)=1,SUMIFS(Versuchsdaten!$F$2:$F$1117,Versuchsdaten!$A$2:$A$1117,$A51,Versuchsdaten!$B$2:$B$1117,$B51,Versuchsdaten!$C$2:$C$1117,"Sprint_10m",Versuchsdaten!$E$2:$E$1117,$E51,Versuchsdaten!$J$2:$J$1117,1),""))</f>
        <v/>
      </c>
      <c r="M51" s="22">
        <f>IF(LEFT(C51,7)&lt;&gt;"Sprint_","",IF(COUNTIFS(Versuchsdaten!$A$2:$A$1117,$A51,Versuchsdaten!$B$2:$B$1117,$B51,Versuchsdaten!$C$2:$C$1117,"Sprint_30m",Versuchsdaten!$E$2:$E$1117,$E51,Versuchsdaten!$J$2:$J$1117,1)=1,SUMIFS(Versuchsdaten!$F$2:$F$1117,Versuchsdaten!$A$2:$A$1117,$A51,Versuchsdaten!$B$2:$B$1117,$B51,Versuchsdaten!$C$2:$C$1117,"Sprint_30m",Versuchsdaten!$E$2:$E$1117,$E51,Versuchsdaten!$J$2:$J$1117,1),""))</f>
        <v/>
      </c>
      <c r="N51" s="22">
        <f>IF(LEFT(C51,7)&lt;&gt;"Sprint_",0,IF(IF(ISNUMBER(K51),IF(K51&lt;=0,1,IF(5/K51&gt;10,1,0)),0)+IF(ISNUMBER(L51),IF(ISNUMBER(K51),IF(L51-K51&lt;=0,1,IF(5/(L51-K51)&gt;10,1,0)),IF(L51&lt;=0,1,IF(10/L51&gt;10,1,0))),0)+IF(ISNUMBER(M51),IF(ISNUMBER(L51),IF(M51-L51&lt;=0,1,IF(20/(M51-L51)&gt;10,1,0)),IF(ISNUMBER(K51),IF(M51-K51&lt;=0,1,IF(25/(M51-K51)&gt;10,1,0)),IF(M51&lt;=0,1,IF(30/M51&gt;10,1,0)))),0)&gt;0,1,0))</f>
        <v/>
      </c>
      <c r="O51" s="22">
        <f>IF(AND(J51=1,N51=0),1,0)</f>
        <v/>
      </c>
      <c r="P51" s="22">
        <f>INDEX(Personendaten!$J$2:$J$32,MATCH(A51,Personendaten!$A$2:$A$32,0))</f>
        <v/>
      </c>
      <c r="Q51" s="22">
        <f>IF(O51=1,"",IF(AND(B51="post",P51="nicht angetreten"),"NANG",IF(N51=1,"AUSL",IFERROR(VLOOKUP(H51,Vokabular!$A$2:$B$8,2,FALSE),"UNBEKANNT"))))</f>
        <v/>
      </c>
    </row>
    <row r="52">
      <c r="A52" s="5" t="inlineStr">
        <is>
          <t>BW-04</t>
        </is>
      </c>
      <c r="B52" s="5" t="inlineStr">
        <is>
          <t>prä</t>
        </is>
      </c>
      <c r="C52" s="5" t="inlineStr">
        <is>
          <t>COD_505</t>
        </is>
      </c>
      <c r="D52" s="5" t="inlineStr">
        <is>
          <t>L</t>
        </is>
      </c>
      <c r="E52" s="5" t="n">
        <v>3</v>
      </c>
      <c r="F52" s="5" t="n"/>
      <c r="G52" s="5" t="n"/>
      <c r="H52" s="5" t="inlineStr">
        <is>
          <t>Nur 2 Versuche aus Zeitmangel</t>
        </is>
      </c>
      <c r="I52" s="22">
        <f>INDEX(Personendaten!$C$2:$C$32,MATCH(A52,Personendaten!$A$2:$A$32,0))</f>
        <v/>
      </c>
      <c r="J52" s="22">
        <f>IF(AND(F52&lt;&gt;"",G52=""),1,0)</f>
        <v/>
      </c>
      <c r="K52" s="22">
        <f>IF(LEFT(C52,7)&lt;&gt;"Sprint_","",IF(COUNTIFS(Versuchsdaten!$A$2:$A$1117,$A52,Versuchsdaten!$B$2:$B$1117,$B52,Versuchsdaten!$C$2:$C$1117,"Sprint_5m",Versuchsdaten!$E$2:$E$1117,$E52,Versuchsdaten!$J$2:$J$1117,1)=1,SUMIFS(Versuchsdaten!$F$2:$F$1117,Versuchsdaten!$A$2:$A$1117,$A52,Versuchsdaten!$B$2:$B$1117,$B52,Versuchsdaten!$C$2:$C$1117,"Sprint_5m",Versuchsdaten!$E$2:$E$1117,$E52,Versuchsdaten!$J$2:$J$1117,1),""))</f>
        <v/>
      </c>
      <c r="L52" s="22">
        <f>IF(LEFT(C52,7)&lt;&gt;"Sprint_","",IF(COUNTIFS(Versuchsdaten!$A$2:$A$1117,$A52,Versuchsdaten!$B$2:$B$1117,$B52,Versuchsdaten!$C$2:$C$1117,"Sprint_10m",Versuchsdaten!$E$2:$E$1117,$E52,Versuchsdaten!$J$2:$J$1117,1)=1,SUMIFS(Versuchsdaten!$F$2:$F$1117,Versuchsdaten!$A$2:$A$1117,$A52,Versuchsdaten!$B$2:$B$1117,$B52,Versuchsdaten!$C$2:$C$1117,"Sprint_10m",Versuchsdaten!$E$2:$E$1117,$E52,Versuchsdaten!$J$2:$J$1117,1),""))</f>
        <v/>
      </c>
      <c r="M52" s="22">
        <f>IF(LEFT(C52,7)&lt;&gt;"Sprint_","",IF(COUNTIFS(Versuchsdaten!$A$2:$A$1117,$A52,Versuchsdaten!$B$2:$B$1117,$B52,Versuchsdaten!$C$2:$C$1117,"Sprint_30m",Versuchsdaten!$E$2:$E$1117,$E52,Versuchsdaten!$J$2:$J$1117,1)=1,SUMIFS(Versuchsdaten!$F$2:$F$1117,Versuchsdaten!$A$2:$A$1117,$A52,Versuchsdaten!$B$2:$B$1117,$B52,Versuchsdaten!$C$2:$C$1117,"Sprint_30m",Versuchsdaten!$E$2:$E$1117,$E52,Versuchsdaten!$J$2:$J$1117,1),""))</f>
        <v/>
      </c>
      <c r="N52" s="22">
        <f>IF(LEFT(C52,7)&lt;&gt;"Sprint_",0,IF(IF(ISNUMBER(K52),IF(K52&lt;=0,1,IF(5/K52&gt;10,1,0)),0)+IF(ISNUMBER(L52),IF(ISNUMBER(K52),IF(L52-K52&lt;=0,1,IF(5/(L52-K52)&gt;10,1,0)),IF(L52&lt;=0,1,IF(10/L52&gt;10,1,0))),0)+IF(ISNUMBER(M52),IF(ISNUMBER(L52),IF(M52-L52&lt;=0,1,IF(20/(M52-L52)&gt;10,1,0)),IF(ISNUMBER(K52),IF(M52-K52&lt;=0,1,IF(25/(M52-K52)&gt;10,1,0)),IF(M52&lt;=0,1,IF(30/M52&gt;10,1,0)))),0)&gt;0,1,0))</f>
        <v/>
      </c>
      <c r="O52" s="22">
        <f>IF(AND(J52=1,N52=0),1,0)</f>
        <v/>
      </c>
      <c r="P52" s="22">
        <f>INDEX(Personendaten!$J$2:$J$32,MATCH(A52,Personendaten!$A$2:$A$32,0))</f>
        <v/>
      </c>
      <c r="Q52" s="22">
        <f>IF(O52=1,"",IF(AND(B52="post",P52="nicht angetreten"),"NANG",IF(N52=1,"AUSL",IFERROR(VLOOKUP(H52,Vokabular!$A$2:$B$8,2,FALSE),"UNBEKANNT"))))</f>
        <v/>
      </c>
    </row>
    <row r="53">
      <c r="A53" s="5" t="inlineStr">
        <is>
          <t>BW-04</t>
        </is>
      </c>
      <c r="B53" s="5" t="inlineStr">
        <is>
          <t>prä</t>
        </is>
      </c>
      <c r="C53" s="5" t="inlineStr">
        <is>
          <t>COD_505</t>
        </is>
      </c>
      <c r="D53" s="5" t="inlineStr">
        <is>
          <t>R</t>
        </is>
      </c>
      <c r="E53" s="5" t="n">
        <v>1</v>
      </c>
      <c r="F53" s="5" t="n">
        <v>2.48</v>
      </c>
      <c r="G53" s="5" t="n"/>
      <c r="H53" s="5" t="n"/>
      <c r="I53" s="22">
        <f>INDEX(Personendaten!$C$2:$C$32,MATCH(A53,Personendaten!$A$2:$A$32,0))</f>
        <v/>
      </c>
      <c r="J53" s="22">
        <f>IF(AND(F53&lt;&gt;"",G53=""),1,0)</f>
        <v/>
      </c>
      <c r="K53" s="22">
        <f>IF(LEFT(C53,7)&lt;&gt;"Sprint_","",IF(COUNTIFS(Versuchsdaten!$A$2:$A$1117,$A53,Versuchsdaten!$B$2:$B$1117,$B53,Versuchsdaten!$C$2:$C$1117,"Sprint_5m",Versuchsdaten!$E$2:$E$1117,$E53,Versuchsdaten!$J$2:$J$1117,1)=1,SUMIFS(Versuchsdaten!$F$2:$F$1117,Versuchsdaten!$A$2:$A$1117,$A53,Versuchsdaten!$B$2:$B$1117,$B53,Versuchsdaten!$C$2:$C$1117,"Sprint_5m",Versuchsdaten!$E$2:$E$1117,$E53,Versuchsdaten!$J$2:$J$1117,1),""))</f>
        <v/>
      </c>
      <c r="L53" s="22">
        <f>IF(LEFT(C53,7)&lt;&gt;"Sprint_","",IF(COUNTIFS(Versuchsdaten!$A$2:$A$1117,$A53,Versuchsdaten!$B$2:$B$1117,$B53,Versuchsdaten!$C$2:$C$1117,"Sprint_10m",Versuchsdaten!$E$2:$E$1117,$E53,Versuchsdaten!$J$2:$J$1117,1)=1,SUMIFS(Versuchsdaten!$F$2:$F$1117,Versuchsdaten!$A$2:$A$1117,$A53,Versuchsdaten!$B$2:$B$1117,$B53,Versuchsdaten!$C$2:$C$1117,"Sprint_10m",Versuchsdaten!$E$2:$E$1117,$E53,Versuchsdaten!$J$2:$J$1117,1),""))</f>
        <v/>
      </c>
      <c r="M53" s="22">
        <f>IF(LEFT(C53,7)&lt;&gt;"Sprint_","",IF(COUNTIFS(Versuchsdaten!$A$2:$A$1117,$A53,Versuchsdaten!$B$2:$B$1117,$B53,Versuchsdaten!$C$2:$C$1117,"Sprint_30m",Versuchsdaten!$E$2:$E$1117,$E53,Versuchsdaten!$J$2:$J$1117,1)=1,SUMIFS(Versuchsdaten!$F$2:$F$1117,Versuchsdaten!$A$2:$A$1117,$A53,Versuchsdaten!$B$2:$B$1117,$B53,Versuchsdaten!$C$2:$C$1117,"Sprint_30m",Versuchsdaten!$E$2:$E$1117,$E53,Versuchsdaten!$J$2:$J$1117,1),""))</f>
        <v/>
      </c>
      <c r="N53" s="22">
        <f>IF(LEFT(C53,7)&lt;&gt;"Sprint_",0,IF(IF(ISNUMBER(K53),IF(K53&lt;=0,1,IF(5/K53&gt;10,1,0)),0)+IF(ISNUMBER(L53),IF(ISNUMBER(K53),IF(L53-K53&lt;=0,1,IF(5/(L53-K53)&gt;10,1,0)),IF(L53&lt;=0,1,IF(10/L53&gt;10,1,0))),0)+IF(ISNUMBER(M53),IF(ISNUMBER(L53),IF(M53-L53&lt;=0,1,IF(20/(M53-L53)&gt;10,1,0)),IF(ISNUMBER(K53),IF(M53-K53&lt;=0,1,IF(25/(M53-K53)&gt;10,1,0)),IF(M53&lt;=0,1,IF(30/M53&gt;10,1,0)))),0)&gt;0,1,0))</f>
        <v/>
      </c>
      <c r="O53" s="22">
        <f>IF(AND(J53=1,N53=0),1,0)</f>
        <v/>
      </c>
      <c r="P53" s="22">
        <f>INDEX(Personendaten!$J$2:$J$32,MATCH(A53,Personendaten!$A$2:$A$32,0))</f>
        <v/>
      </c>
      <c r="Q53" s="22">
        <f>IF(O53=1,"",IF(AND(B53="post",P53="nicht angetreten"),"NANG",IF(N53=1,"AUSL",IFERROR(VLOOKUP(H53,Vokabular!$A$2:$B$8,2,FALSE),"UNBEKANNT"))))</f>
        <v/>
      </c>
    </row>
    <row r="54">
      <c r="A54" s="5" t="inlineStr">
        <is>
          <t>BW-04</t>
        </is>
      </c>
      <c r="B54" s="5" t="inlineStr">
        <is>
          <t>prä</t>
        </is>
      </c>
      <c r="C54" s="5" t="inlineStr">
        <is>
          <t>COD_505</t>
        </is>
      </c>
      <c r="D54" s="5" t="inlineStr">
        <is>
          <t>R</t>
        </is>
      </c>
      <c r="E54" s="5" t="n">
        <v>2</v>
      </c>
      <c r="F54" s="5" t="n">
        <v>2.7</v>
      </c>
      <c r="G54" s="5" t="n"/>
      <c r="H54" s="5" t="n"/>
      <c r="I54" s="22">
        <f>INDEX(Personendaten!$C$2:$C$32,MATCH(A54,Personendaten!$A$2:$A$32,0))</f>
        <v/>
      </c>
      <c r="J54" s="22">
        <f>IF(AND(F54&lt;&gt;"",G54=""),1,0)</f>
        <v/>
      </c>
      <c r="K54" s="22">
        <f>IF(LEFT(C54,7)&lt;&gt;"Sprint_","",IF(COUNTIFS(Versuchsdaten!$A$2:$A$1117,$A54,Versuchsdaten!$B$2:$B$1117,$B54,Versuchsdaten!$C$2:$C$1117,"Sprint_5m",Versuchsdaten!$E$2:$E$1117,$E54,Versuchsdaten!$J$2:$J$1117,1)=1,SUMIFS(Versuchsdaten!$F$2:$F$1117,Versuchsdaten!$A$2:$A$1117,$A54,Versuchsdaten!$B$2:$B$1117,$B54,Versuchsdaten!$C$2:$C$1117,"Sprint_5m",Versuchsdaten!$E$2:$E$1117,$E54,Versuchsdaten!$J$2:$J$1117,1),""))</f>
        <v/>
      </c>
      <c r="L54" s="22">
        <f>IF(LEFT(C54,7)&lt;&gt;"Sprint_","",IF(COUNTIFS(Versuchsdaten!$A$2:$A$1117,$A54,Versuchsdaten!$B$2:$B$1117,$B54,Versuchsdaten!$C$2:$C$1117,"Sprint_10m",Versuchsdaten!$E$2:$E$1117,$E54,Versuchsdaten!$J$2:$J$1117,1)=1,SUMIFS(Versuchsdaten!$F$2:$F$1117,Versuchsdaten!$A$2:$A$1117,$A54,Versuchsdaten!$B$2:$B$1117,$B54,Versuchsdaten!$C$2:$C$1117,"Sprint_10m",Versuchsdaten!$E$2:$E$1117,$E54,Versuchsdaten!$J$2:$J$1117,1),""))</f>
        <v/>
      </c>
      <c r="M54" s="22">
        <f>IF(LEFT(C54,7)&lt;&gt;"Sprint_","",IF(COUNTIFS(Versuchsdaten!$A$2:$A$1117,$A54,Versuchsdaten!$B$2:$B$1117,$B54,Versuchsdaten!$C$2:$C$1117,"Sprint_30m",Versuchsdaten!$E$2:$E$1117,$E54,Versuchsdaten!$J$2:$J$1117,1)=1,SUMIFS(Versuchsdaten!$F$2:$F$1117,Versuchsdaten!$A$2:$A$1117,$A54,Versuchsdaten!$B$2:$B$1117,$B54,Versuchsdaten!$C$2:$C$1117,"Sprint_30m",Versuchsdaten!$E$2:$E$1117,$E54,Versuchsdaten!$J$2:$J$1117,1),""))</f>
        <v/>
      </c>
      <c r="N54" s="22">
        <f>IF(LEFT(C54,7)&lt;&gt;"Sprint_",0,IF(IF(ISNUMBER(K54),IF(K54&lt;=0,1,IF(5/K54&gt;10,1,0)),0)+IF(ISNUMBER(L54),IF(ISNUMBER(K54),IF(L54-K54&lt;=0,1,IF(5/(L54-K54)&gt;10,1,0)),IF(L54&lt;=0,1,IF(10/L54&gt;10,1,0))),0)+IF(ISNUMBER(M54),IF(ISNUMBER(L54),IF(M54-L54&lt;=0,1,IF(20/(M54-L54)&gt;10,1,0)),IF(ISNUMBER(K54),IF(M54-K54&lt;=0,1,IF(25/(M54-K54)&gt;10,1,0)),IF(M54&lt;=0,1,IF(30/M54&gt;10,1,0)))),0)&gt;0,1,0))</f>
        <v/>
      </c>
      <c r="O54" s="22">
        <f>IF(AND(J54=1,N54=0),1,0)</f>
        <v/>
      </c>
      <c r="P54" s="22">
        <f>INDEX(Personendaten!$J$2:$J$32,MATCH(A54,Personendaten!$A$2:$A$32,0))</f>
        <v/>
      </c>
      <c r="Q54" s="22">
        <f>IF(O54=1,"",IF(AND(B54="post",P54="nicht angetreten"),"NANG",IF(N54=1,"AUSL",IFERROR(VLOOKUP(H54,Vokabular!$A$2:$B$8,2,FALSE),"UNBEKANNT"))))</f>
        <v/>
      </c>
    </row>
    <row r="55">
      <c r="A55" s="5" t="inlineStr">
        <is>
          <t>BW-04</t>
        </is>
      </c>
      <c r="B55" s="5" t="inlineStr">
        <is>
          <t>prä</t>
        </is>
      </c>
      <c r="C55" s="5" t="inlineStr">
        <is>
          <t>COD_505</t>
        </is>
      </c>
      <c r="D55" s="5" t="inlineStr">
        <is>
          <t>R</t>
        </is>
      </c>
      <c r="E55" s="5" t="n">
        <v>3</v>
      </c>
      <c r="F55" s="5" t="n"/>
      <c r="G55" s="5" t="n"/>
      <c r="H55" s="5" t="inlineStr">
        <is>
          <t>Nur 2 Versuche aus Zeitmangel</t>
        </is>
      </c>
      <c r="I55" s="22">
        <f>INDEX(Personendaten!$C$2:$C$32,MATCH(A55,Personendaten!$A$2:$A$32,0))</f>
        <v/>
      </c>
      <c r="J55" s="22">
        <f>IF(AND(F55&lt;&gt;"",G55=""),1,0)</f>
        <v/>
      </c>
      <c r="K55" s="22">
        <f>IF(LEFT(C55,7)&lt;&gt;"Sprint_","",IF(COUNTIFS(Versuchsdaten!$A$2:$A$1117,$A55,Versuchsdaten!$B$2:$B$1117,$B55,Versuchsdaten!$C$2:$C$1117,"Sprint_5m",Versuchsdaten!$E$2:$E$1117,$E55,Versuchsdaten!$J$2:$J$1117,1)=1,SUMIFS(Versuchsdaten!$F$2:$F$1117,Versuchsdaten!$A$2:$A$1117,$A55,Versuchsdaten!$B$2:$B$1117,$B55,Versuchsdaten!$C$2:$C$1117,"Sprint_5m",Versuchsdaten!$E$2:$E$1117,$E55,Versuchsdaten!$J$2:$J$1117,1),""))</f>
        <v/>
      </c>
      <c r="L55" s="22">
        <f>IF(LEFT(C55,7)&lt;&gt;"Sprint_","",IF(COUNTIFS(Versuchsdaten!$A$2:$A$1117,$A55,Versuchsdaten!$B$2:$B$1117,$B55,Versuchsdaten!$C$2:$C$1117,"Sprint_10m",Versuchsdaten!$E$2:$E$1117,$E55,Versuchsdaten!$J$2:$J$1117,1)=1,SUMIFS(Versuchsdaten!$F$2:$F$1117,Versuchsdaten!$A$2:$A$1117,$A55,Versuchsdaten!$B$2:$B$1117,$B55,Versuchsdaten!$C$2:$C$1117,"Sprint_10m",Versuchsdaten!$E$2:$E$1117,$E55,Versuchsdaten!$J$2:$J$1117,1),""))</f>
        <v/>
      </c>
      <c r="M55" s="22">
        <f>IF(LEFT(C55,7)&lt;&gt;"Sprint_","",IF(COUNTIFS(Versuchsdaten!$A$2:$A$1117,$A55,Versuchsdaten!$B$2:$B$1117,$B55,Versuchsdaten!$C$2:$C$1117,"Sprint_30m",Versuchsdaten!$E$2:$E$1117,$E55,Versuchsdaten!$J$2:$J$1117,1)=1,SUMIFS(Versuchsdaten!$F$2:$F$1117,Versuchsdaten!$A$2:$A$1117,$A55,Versuchsdaten!$B$2:$B$1117,$B55,Versuchsdaten!$C$2:$C$1117,"Sprint_30m",Versuchsdaten!$E$2:$E$1117,$E55,Versuchsdaten!$J$2:$J$1117,1),""))</f>
        <v/>
      </c>
      <c r="N55" s="22">
        <f>IF(LEFT(C55,7)&lt;&gt;"Sprint_",0,IF(IF(ISNUMBER(K55),IF(K55&lt;=0,1,IF(5/K55&gt;10,1,0)),0)+IF(ISNUMBER(L55),IF(ISNUMBER(K55),IF(L55-K55&lt;=0,1,IF(5/(L55-K55)&gt;10,1,0)),IF(L55&lt;=0,1,IF(10/L55&gt;10,1,0))),0)+IF(ISNUMBER(M55),IF(ISNUMBER(L55),IF(M55-L55&lt;=0,1,IF(20/(M55-L55)&gt;10,1,0)),IF(ISNUMBER(K55),IF(M55-K55&lt;=0,1,IF(25/(M55-K55)&gt;10,1,0)),IF(M55&lt;=0,1,IF(30/M55&gt;10,1,0)))),0)&gt;0,1,0))</f>
        <v/>
      </c>
      <c r="O55" s="22">
        <f>IF(AND(J55=1,N55=0),1,0)</f>
        <v/>
      </c>
      <c r="P55" s="22">
        <f>INDEX(Personendaten!$J$2:$J$32,MATCH(A55,Personendaten!$A$2:$A$32,0))</f>
        <v/>
      </c>
      <c r="Q55" s="22">
        <f>IF(O55=1,"",IF(AND(B55="post",P55="nicht angetreten"),"NANG",IF(N55=1,"AUSL",IFERROR(VLOOKUP(H55,Vokabular!$A$2:$B$8,2,FALSE),"UNBEKANNT"))))</f>
        <v/>
      </c>
    </row>
    <row r="56">
      <c r="A56" s="5" t="inlineStr">
        <is>
          <t>BW-05</t>
        </is>
      </c>
      <c r="B56" s="5" t="inlineStr">
        <is>
          <t>prä</t>
        </is>
      </c>
      <c r="C56" s="5" t="inlineStr">
        <is>
          <t>Sprint_5m</t>
        </is>
      </c>
      <c r="D56" s="5" t="inlineStr">
        <is>
          <t>–</t>
        </is>
      </c>
      <c r="E56" s="5" t="n">
        <v>1</v>
      </c>
      <c r="F56" s="5" t="n">
        <v>1.11</v>
      </c>
      <c r="G56" s="5" t="n"/>
      <c r="H56" s="5" t="n"/>
      <c r="I56" s="22">
        <f>INDEX(Personendaten!$C$2:$C$32,MATCH(A56,Personendaten!$A$2:$A$32,0))</f>
        <v/>
      </c>
      <c r="J56" s="22">
        <f>IF(AND(F56&lt;&gt;"",G56=""),1,0)</f>
        <v/>
      </c>
      <c r="K56" s="22">
        <f>IF(LEFT(C56,7)&lt;&gt;"Sprint_","",IF(COUNTIFS(Versuchsdaten!$A$2:$A$1117,$A56,Versuchsdaten!$B$2:$B$1117,$B56,Versuchsdaten!$C$2:$C$1117,"Sprint_5m",Versuchsdaten!$E$2:$E$1117,$E56,Versuchsdaten!$J$2:$J$1117,1)=1,SUMIFS(Versuchsdaten!$F$2:$F$1117,Versuchsdaten!$A$2:$A$1117,$A56,Versuchsdaten!$B$2:$B$1117,$B56,Versuchsdaten!$C$2:$C$1117,"Sprint_5m",Versuchsdaten!$E$2:$E$1117,$E56,Versuchsdaten!$J$2:$J$1117,1),""))</f>
        <v/>
      </c>
      <c r="L56" s="22">
        <f>IF(LEFT(C56,7)&lt;&gt;"Sprint_","",IF(COUNTIFS(Versuchsdaten!$A$2:$A$1117,$A56,Versuchsdaten!$B$2:$B$1117,$B56,Versuchsdaten!$C$2:$C$1117,"Sprint_10m",Versuchsdaten!$E$2:$E$1117,$E56,Versuchsdaten!$J$2:$J$1117,1)=1,SUMIFS(Versuchsdaten!$F$2:$F$1117,Versuchsdaten!$A$2:$A$1117,$A56,Versuchsdaten!$B$2:$B$1117,$B56,Versuchsdaten!$C$2:$C$1117,"Sprint_10m",Versuchsdaten!$E$2:$E$1117,$E56,Versuchsdaten!$J$2:$J$1117,1),""))</f>
        <v/>
      </c>
      <c r="M56" s="22">
        <f>IF(LEFT(C56,7)&lt;&gt;"Sprint_","",IF(COUNTIFS(Versuchsdaten!$A$2:$A$1117,$A56,Versuchsdaten!$B$2:$B$1117,$B56,Versuchsdaten!$C$2:$C$1117,"Sprint_30m",Versuchsdaten!$E$2:$E$1117,$E56,Versuchsdaten!$J$2:$J$1117,1)=1,SUMIFS(Versuchsdaten!$F$2:$F$1117,Versuchsdaten!$A$2:$A$1117,$A56,Versuchsdaten!$B$2:$B$1117,$B56,Versuchsdaten!$C$2:$C$1117,"Sprint_30m",Versuchsdaten!$E$2:$E$1117,$E56,Versuchsdaten!$J$2:$J$1117,1),""))</f>
        <v/>
      </c>
      <c r="N56" s="22">
        <f>IF(LEFT(C56,7)&lt;&gt;"Sprint_",0,IF(IF(ISNUMBER(K56),IF(K56&lt;=0,1,IF(5/K56&gt;10,1,0)),0)+IF(ISNUMBER(L56),IF(ISNUMBER(K56),IF(L56-K56&lt;=0,1,IF(5/(L56-K56)&gt;10,1,0)),IF(L56&lt;=0,1,IF(10/L56&gt;10,1,0))),0)+IF(ISNUMBER(M56),IF(ISNUMBER(L56),IF(M56-L56&lt;=0,1,IF(20/(M56-L56)&gt;10,1,0)),IF(ISNUMBER(K56),IF(M56-K56&lt;=0,1,IF(25/(M56-K56)&gt;10,1,0)),IF(M56&lt;=0,1,IF(30/M56&gt;10,1,0)))),0)&gt;0,1,0))</f>
        <v/>
      </c>
      <c r="O56" s="22">
        <f>IF(AND(J56=1,N56=0),1,0)</f>
        <v/>
      </c>
      <c r="P56" s="22">
        <f>INDEX(Personendaten!$J$2:$J$32,MATCH(A56,Personendaten!$A$2:$A$32,0))</f>
        <v/>
      </c>
      <c r="Q56" s="22">
        <f>IF(O56=1,"",IF(AND(B56="post",P56="nicht angetreten"),"NANG",IF(N56=1,"AUSL",IFERROR(VLOOKUP(H56,Vokabular!$A$2:$B$8,2,FALSE),"UNBEKANNT"))))</f>
        <v/>
      </c>
    </row>
    <row r="57">
      <c r="A57" s="5" t="inlineStr">
        <is>
          <t>BW-05</t>
        </is>
      </c>
      <c r="B57" s="5" t="inlineStr">
        <is>
          <t>prä</t>
        </is>
      </c>
      <c r="C57" s="5" t="inlineStr">
        <is>
          <t>Sprint_5m</t>
        </is>
      </c>
      <c r="D57" s="5" t="inlineStr">
        <is>
          <t>–</t>
        </is>
      </c>
      <c r="E57" s="5" t="n">
        <v>2</v>
      </c>
      <c r="F57" s="5" t="n">
        <v>1.04</v>
      </c>
      <c r="G57" s="5" t="n"/>
      <c r="H57" s="5" t="n"/>
      <c r="I57" s="22">
        <f>INDEX(Personendaten!$C$2:$C$32,MATCH(A57,Personendaten!$A$2:$A$32,0))</f>
        <v/>
      </c>
      <c r="J57" s="22">
        <f>IF(AND(F57&lt;&gt;"",G57=""),1,0)</f>
        <v/>
      </c>
      <c r="K57" s="22">
        <f>IF(LEFT(C57,7)&lt;&gt;"Sprint_","",IF(COUNTIFS(Versuchsdaten!$A$2:$A$1117,$A57,Versuchsdaten!$B$2:$B$1117,$B57,Versuchsdaten!$C$2:$C$1117,"Sprint_5m",Versuchsdaten!$E$2:$E$1117,$E57,Versuchsdaten!$J$2:$J$1117,1)=1,SUMIFS(Versuchsdaten!$F$2:$F$1117,Versuchsdaten!$A$2:$A$1117,$A57,Versuchsdaten!$B$2:$B$1117,$B57,Versuchsdaten!$C$2:$C$1117,"Sprint_5m",Versuchsdaten!$E$2:$E$1117,$E57,Versuchsdaten!$J$2:$J$1117,1),""))</f>
        <v/>
      </c>
      <c r="L57" s="22">
        <f>IF(LEFT(C57,7)&lt;&gt;"Sprint_","",IF(COUNTIFS(Versuchsdaten!$A$2:$A$1117,$A57,Versuchsdaten!$B$2:$B$1117,$B57,Versuchsdaten!$C$2:$C$1117,"Sprint_10m",Versuchsdaten!$E$2:$E$1117,$E57,Versuchsdaten!$J$2:$J$1117,1)=1,SUMIFS(Versuchsdaten!$F$2:$F$1117,Versuchsdaten!$A$2:$A$1117,$A57,Versuchsdaten!$B$2:$B$1117,$B57,Versuchsdaten!$C$2:$C$1117,"Sprint_10m",Versuchsdaten!$E$2:$E$1117,$E57,Versuchsdaten!$J$2:$J$1117,1),""))</f>
        <v/>
      </c>
      <c r="M57" s="22">
        <f>IF(LEFT(C57,7)&lt;&gt;"Sprint_","",IF(COUNTIFS(Versuchsdaten!$A$2:$A$1117,$A57,Versuchsdaten!$B$2:$B$1117,$B57,Versuchsdaten!$C$2:$C$1117,"Sprint_30m",Versuchsdaten!$E$2:$E$1117,$E57,Versuchsdaten!$J$2:$J$1117,1)=1,SUMIFS(Versuchsdaten!$F$2:$F$1117,Versuchsdaten!$A$2:$A$1117,$A57,Versuchsdaten!$B$2:$B$1117,$B57,Versuchsdaten!$C$2:$C$1117,"Sprint_30m",Versuchsdaten!$E$2:$E$1117,$E57,Versuchsdaten!$J$2:$J$1117,1),""))</f>
        <v/>
      </c>
      <c r="N57" s="22">
        <f>IF(LEFT(C57,7)&lt;&gt;"Sprint_",0,IF(IF(ISNUMBER(K57),IF(K57&lt;=0,1,IF(5/K57&gt;10,1,0)),0)+IF(ISNUMBER(L57),IF(ISNUMBER(K57),IF(L57-K57&lt;=0,1,IF(5/(L57-K57)&gt;10,1,0)),IF(L57&lt;=0,1,IF(10/L57&gt;10,1,0))),0)+IF(ISNUMBER(M57),IF(ISNUMBER(L57),IF(M57-L57&lt;=0,1,IF(20/(M57-L57)&gt;10,1,0)),IF(ISNUMBER(K57),IF(M57-K57&lt;=0,1,IF(25/(M57-K57)&gt;10,1,0)),IF(M57&lt;=0,1,IF(30/M57&gt;10,1,0)))),0)&gt;0,1,0))</f>
        <v/>
      </c>
      <c r="O57" s="22">
        <f>IF(AND(J57=1,N57=0),1,0)</f>
        <v/>
      </c>
      <c r="P57" s="22">
        <f>INDEX(Personendaten!$J$2:$J$32,MATCH(A57,Personendaten!$A$2:$A$32,0))</f>
        <v/>
      </c>
      <c r="Q57" s="22">
        <f>IF(O57=1,"",IF(AND(B57="post",P57="nicht angetreten"),"NANG",IF(N57=1,"AUSL",IFERROR(VLOOKUP(H57,Vokabular!$A$2:$B$8,2,FALSE),"UNBEKANNT"))))</f>
        <v/>
      </c>
    </row>
    <row r="58">
      <c r="A58" s="5" t="inlineStr">
        <is>
          <t>BW-05</t>
        </is>
      </c>
      <c r="B58" s="5" t="inlineStr">
        <is>
          <t>prä</t>
        </is>
      </c>
      <c r="C58" s="5" t="inlineStr">
        <is>
          <t>Sprint_5m</t>
        </is>
      </c>
      <c r="D58" s="5" t="inlineStr">
        <is>
          <t>–</t>
        </is>
      </c>
      <c r="E58" s="5" t="n">
        <v>3</v>
      </c>
      <c r="F58" s="5" t="n"/>
      <c r="G58" s="5" t="n"/>
      <c r="H58" s="5" t="inlineStr">
        <is>
          <t>System nicht aufgenommen</t>
        </is>
      </c>
      <c r="I58" s="22">
        <f>INDEX(Personendaten!$C$2:$C$32,MATCH(A58,Personendaten!$A$2:$A$32,0))</f>
        <v/>
      </c>
      <c r="J58" s="22">
        <f>IF(AND(F58&lt;&gt;"",G58=""),1,0)</f>
        <v/>
      </c>
      <c r="K58" s="22">
        <f>IF(LEFT(C58,7)&lt;&gt;"Sprint_","",IF(COUNTIFS(Versuchsdaten!$A$2:$A$1117,$A58,Versuchsdaten!$B$2:$B$1117,$B58,Versuchsdaten!$C$2:$C$1117,"Sprint_5m",Versuchsdaten!$E$2:$E$1117,$E58,Versuchsdaten!$J$2:$J$1117,1)=1,SUMIFS(Versuchsdaten!$F$2:$F$1117,Versuchsdaten!$A$2:$A$1117,$A58,Versuchsdaten!$B$2:$B$1117,$B58,Versuchsdaten!$C$2:$C$1117,"Sprint_5m",Versuchsdaten!$E$2:$E$1117,$E58,Versuchsdaten!$J$2:$J$1117,1),""))</f>
        <v/>
      </c>
      <c r="L58" s="22">
        <f>IF(LEFT(C58,7)&lt;&gt;"Sprint_","",IF(COUNTIFS(Versuchsdaten!$A$2:$A$1117,$A58,Versuchsdaten!$B$2:$B$1117,$B58,Versuchsdaten!$C$2:$C$1117,"Sprint_10m",Versuchsdaten!$E$2:$E$1117,$E58,Versuchsdaten!$J$2:$J$1117,1)=1,SUMIFS(Versuchsdaten!$F$2:$F$1117,Versuchsdaten!$A$2:$A$1117,$A58,Versuchsdaten!$B$2:$B$1117,$B58,Versuchsdaten!$C$2:$C$1117,"Sprint_10m",Versuchsdaten!$E$2:$E$1117,$E58,Versuchsdaten!$J$2:$J$1117,1),""))</f>
        <v/>
      </c>
      <c r="M58" s="22">
        <f>IF(LEFT(C58,7)&lt;&gt;"Sprint_","",IF(COUNTIFS(Versuchsdaten!$A$2:$A$1117,$A58,Versuchsdaten!$B$2:$B$1117,$B58,Versuchsdaten!$C$2:$C$1117,"Sprint_30m",Versuchsdaten!$E$2:$E$1117,$E58,Versuchsdaten!$J$2:$J$1117,1)=1,SUMIFS(Versuchsdaten!$F$2:$F$1117,Versuchsdaten!$A$2:$A$1117,$A58,Versuchsdaten!$B$2:$B$1117,$B58,Versuchsdaten!$C$2:$C$1117,"Sprint_30m",Versuchsdaten!$E$2:$E$1117,$E58,Versuchsdaten!$J$2:$J$1117,1),""))</f>
        <v/>
      </c>
      <c r="N58" s="22">
        <f>IF(LEFT(C58,7)&lt;&gt;"Sprint_",0,IF(IF(ISNUMBER(K58),IF(K58&lt;=0,1,IF(5/K58&gt;10,1,0)),0)+IF(ISNUMBER(L58),IF(ISNUMBER(K58),IF(L58-K58&lt;=0,1,IF(5/(L58-K58)&gt;10,1,0)),IF(L58&lt;=0,1,IF(10/L58&gt;10,1,0))),0)+IF(ISNUMBER(M58),IF(ISNUMBER(L58),IF(M58-L58&lt;=0,1,IF(20/(M58-L58)&gt;10,1,0)),IF(ISNUMBER(K58),IF(M58-K58&lt;=0,1,IF(25/(M58-K58)&gt;10,1,0)),IF(M58&lt;=0,1,IF(30/M58&gt;10,1,0)))),0)&gt;0,1,0))</f>
        <v/>
      </c>
      <c r="O58" s="22">
        <f>IF(AND(J58=1,N58=0),1,0)</f>
        <v/>
      </c>
      <c r="P58" s="22">
        <f>INDEX(Personendaten!$J$2:$J$32,MATCH(A58,Personendaten!$A$2:$A$32,0))</f>
        <v/>
      </c>
      <c r="Q58" s="22">
        <f>IF(O58=1,"",IF(AND(B58="post",P58="nicht angetreten"),"NANG",IF(N58=1,"AUSL",IFERROR(VLOOKUP(H58,Vokabular!$A$2:$B$8,2,FALSE),"UNBEKANNT"))))</f>
        <v/>
      </c>
    </row>
    <row r="59">
      <c r="A59" s="5" t="inlineStr">
        <is>
          <t>BW-05</t>
        </is>
      </c>
      <c r="B59" s="5" t="inlineStr">
        <is>
          <t>prä</t>
        </is>
      </c>
      <c r="C59" s="5" t="inlineStr">
        <is>
          <t>Sprint_10m</t>
        </is>
      </c>
      <c r="D59" s="5" t="inlineStr">
        <is>
          <t>–</t>
        </is>
      </c>
      <c r="E59" s="5" t="n">
        <v>1</v>
      </c>
      <c r="F59" s="5" t="n">
        <v>1.87</v>
      </c>
      <c r="G59" s="5" t="n"/>
      <c r="H59" s="5" t="n"/>
      <c r="I59" s="22">
        <f>INDEX(Personendaten!$C$2:$C$32,MATCH(A59,Personendaten!$A$2:$A$32,0))</f>
        <v/>
      </c>
      <c r="J59" s="22">
        <f>IF(AND(F59&lt;&gt;"",G59=""),1,0)</f>
        <v/>
      </c>
      <c r="K59" s="22">
        <f>IF(LEFT(C59,7)&lt;&gt;"Sprint_","",IF(COUNTIFS(Versuchsdaten!$A$2:$A$1117,$A59,Versuchsdaten!$B$2:$B$1117,$B59,Versuchsdaten!$C$2:$C$1117,"Sprint_5m",Versuchsdaten!$E$2:$E$1117,$E59,Versuchsdaten!$J$2:$J$1117,1)=1,SUMIFS(Versuchsdaten!$F$2:$F$1117,Versuchsdaten!$A$2:$A$1117,$A59,Versuchsdaten!$B$2:$B$1117,$B59,Versuchsdaten!$C$2:$C$1117,"Sprint_5m",Versuchsdaten!$E$2:$E$1117,$E59,Versuchsdaten!$J$2:$J$1117,1),""))</f>
        <v/>
      </c>
      <c r="L59" s="22">
        <f>IF(LEFT(C59,7)&lt;&gt;"Sprint_","",IF(COUNTIFS(Versuchsdaten!$A$2:$A$1117,$A59,Versuchsdaten!$B$2:$B$1117,$B59,Versuchsdaten!$C$2:$C$1117,"Sprint_10m",Versuchsdaten!$E$2:$E$1117,$E59,Versuchsdaten!$J$2:$J$1117,1)=1,SUMIFS(Versuchsdaten!$F$2:$F$1117,Versuchsdaten!$A$2:$A$1117,$A59,Versuchsdaten!$B$2:$B$1117,$B59,Versuchsdaten!$C$2:$C$1117,"Sprint_10m",Versuchsdaten!$E$2:$E$1117,$E59,Versuchsdaten!$J$2:$J$1117,1),""))</f>
        <v/>
      </c>
      <c r="M59" s="22">
        <f>IF(LEFT(C59,7)&lt;&gt;"Sprint_","",IF(COUNTIFS(Versuchsdaten!$A$2:$A$1117,$A59,Versuchsdaten!$B$2:$B$1117,$B59,Versuchsdaten!$C$2:$C$1117,"Sprint_30m",Versuchsdaten!$E$2:$E$1117,$E59,Versuchsdaten!$J$2:$J$1117,1)=1,SUMIFS(Versuchsdaten!$F$2:$F$1117,Versuchsdaten!$A$2:$A$1117,$A59,Versuchsdaten!$B$2:$B$1117,$B59,Versuchsdaten!$C$2:$C$1117,"Sprint_30m",Versuchsdaten!$E$2:$E$1117,$E59,Versuchsdaten!$J$2:$J$1117,1),""))</f>
        <v/>
      </c>
      <c r="N59" s="22">
        <f>IF(LEFT(C59,7)&lt;&gt;"Sprint_",0,IF(IF(ISNUMBER(K59),IF(K59&lt;=0,1,IF(5/K59&gt;10,1,0)),0)+IF(ISNUMBER(L59),IF(ISNUMBER(K59),IF(L59-K59&lt;=0,1,IF(5/(L59-K59)&gt;10,1,0)),IF(L59&lt;=0,1,IF(10/L59&gt;10,1,0))),0)+IF(ISNUMBER(M59),IF(ISNUMBER(L59),IF(M59-L59&lt;=0,1,IF(20/(M59-L59)&gt;10,1,0)),IF(ISNUMBER(K59),IF(M59-K59&lt;=0,1,IF(25/(M59-K59)&gt;10,1,0)),IF(M59&lt;=0,1,IF(30/M59&gt;10,1,0)))),0)&gt;0,1,0))</f>
        <v/>
      </c>
      <c r="O59" s="22">
        <f>IF(AND(J59=1,N59=0),1,0)</f>
        <v/>
      </c>
      <c r="P59" s="22">
        <f>INDEX(Personendaten!$J$2:$J$32,MATCH(A59,Personendaten!$A$2:$A$32,0))</f>
        <v/>
      </c>
      <c r="Q59" s="22">
        <f>IF(O59=1,"",IF(AND(B59="post",P59="nicht angetreten"),"NANG",IF(N59=1,"AUSL",IFERROR(VLOOKUP(H59,Vokabular!$A$2:$B$8,2,FALSE),"UNBEKANNT"))))</f>
        <v/>
      </c>
    </row>
    <row r="60">
      <c r="A60" s="5" t="inlineStr">
        <is>
          <t>BW-05</t>
        </is>
      </c>
      <c r="B60" s="5" t="inlineStr">
        <is>
          <t>prä</t>
        </is>
      </c>
      <c r="C60" s="5" t="inlineStr">
        <is>
          <t>Sprint_10m</t>
        </is>
      </c>
      <c r="D60" s="5" t="inlineStr">
        <is>
          <t>–</t>
        </is>
      </c>
      <c r="E60" s="5" t="n">
        <v>2</v>
      </c>
      <c r="F60" s="5" t="n">
        <v>1.86</v>
      </c>
      <c r="G60" s="5" t="n"/>
      <c r="H60" s="5" t="n"/>
      <c r="I60" s="22">
        <f>INDEX(Personendaten!$C$2:$C$32,MATCH(A60,Personendaten!$A$2:$A$32,0))</f>
        <v/>
      </c>
      <c r="J60" s="22">
        <f>IF(AND(F60&lt;&gt;"",G60=""),1,0)</f>
        <v/>
      </c>
      <c r="K60" s="22">
        <f>IF(LEFT(C60,7)&lt;&gt;"Sprint_","",IF(COUNTIFS(Versuchsdaten!$A$2:$A$1117,$A60,Versuchsdaten!$B$2:$B$1117,$B60,Versuchsdaten!$C$2:$C$1117,"Sprint_5m",Versuchsdaten!$E$2:$E$1117,$E60,Versuchsdaten!$J$2:$J$1117,1)=1,SUMIFS(Versuchsdaten!$F$2:$F$1117,Versuchsdaten!$A$2:$A$1117,$A60,Versuchsdaten!$B$2:$B$1117,$B60,Versuchsdaten!$C$2:$C$1117,"Sprint_5m",Versuchsdaten!$E$2:$E$1117,$E60,Versuchsdaten!$J$2:$J$1117,1),""))</f>
        <v/>
      </c>
      <c r="L60" s="22">
        <f>IF(LEFT(C60,7)&lt;&gt;"Sprint_","",IF(COUNTIFS(Versuchsdaten!$A$2:$A$1117,$A60,Versuchsdaten!$B$2:$B$1117,$B60,Versuchsdaten!$C$2:$C$1117,"Sprint_10m",Versuchsdaten!$E$2:$E$1117,$E60,Versuchsdaten!$J$2:$J$1117,1)=1,SUMIFS(Versuchsdaten!$F$2:$F$1117,Versuchsdaten!$A$2:$A$1117,$A60,Versuchsdaten!$B$2:$B$1117,$B60,Versuchsdaten!$C$2:$C$1117,"Sprint_10m",Versuchsdaten!$E$2:$E$1117,$E60,Versuchsdaten!$J$2:$J$1117,1),""))</f>
        <v/>
      </c>
      <c r="M60" s="22">
        <f>IF(LEFT(C60,7)&lt;&gt;"Sprint_","",IF(COUNTIFS(Versuchsdaten!$A$2:$A$1117,$A60,Versuchsdaten!$B$2:$B$1117,$B60,Versuchsdaten!$C$2:$C$1117,"Sprint_30m",Versuchsdaten!$E$2:$E$1117,$E60,Versuchsdaten!$J$2:$J$1117,1)=1,SUMIFS(Versuchsdaten!$F$2:$F$1117,Versuchsdaten!$A$2:$A$1117,$A60,Versuchsdaten!$B$2:$B$1117,$B60,Versuchsdaten!$C$2:$C$1117,"Sprint_30m",Versuchsdaten!$E$2:$E$1117,$E60,Versuchsdaten!$J$2:$J$1117,1),""))</f>
        <v/>
      </c>
      <c r="N60" s="22">
        <f>IF(LEFT(C60,7)&lt;&gt;"Sprint_",0,IF(IF(ISNUMBER(K60),IF(K60&lt;=0,1,IF(5/K60&gt;10,1,0)),0)+IF(ISNUMBER(L60),IF(ISNUMBER(K60),IF(L60-K60&lt;=0,1,IF(5/(L60-K60)&gt;10,1,0)),IF(L60&lt;=0,1,IF(10/L60&gt;10,1,0))),0)+IF(ISNUMBER(M60),IF(ISNUMBER(L60),IF(M60-L60&lt;=0,1,IF(20/(M60-L60)&gt;10,1,0)),IF(ISNUMBER(K60),IF(M60-K60&lt;=0,1,IF(25/(M60-K60)&gt;10,1,0)),IF(M60&lt;=0,1,IF(30/M60&gt;10,1,0)))),0)&gt;0,1,0))</f>
        <v/>
      </c>
      <c r="O60" s="22">
        <f>IF(AND(J60=1,N60=0),1,0)</f>
        <v/>
      </c>
      <c r="P60" s="22">
        <f>INDEX(Personendaten!$J$2:$J$32,MATCH(A60,Personendaten!$A$2:$A$32,0))</f>
        <v/>
      </c>
      <c r="Q60" s="22">
        <f>IF(O60=1,"",IF(AND(B60="post",P60="nicht angetreten"),"NANG",IF(N60=1,"AUSL",IFERROR(VLOOKUP(H60,Vokabular!$A$2:$B$8,2,FALSE),"UNBEKANNT"))))</f>
        <v/>
      </c>
    </row>
    <row r="61">
      <c r="A61" s="5" t="inlineStr">
        <is>
          <t>BW-05</t>
        </is>
      </c>
      <c r="B61" s="5" t="inlineStr">
        <is>
          <t>prä</t>
        </is>
      </c>
      <c r="C61" s="5" t="inlineStr">
        <is>
          <t>Sprint_10m</t>
        </is>
      </c>
      <c r="D61" s="5" t="inlineStr">
        <is>
          <t>–</t>
        </is>
      </c>
      <c r="E61" s="5" t="n">
        <v>3</v>
      </c>
      <c r="F61" s="5" t="n">
        <v>1.86</v>
      </c>
      <c r="G61" s="5" t="n"/>
      <c r="H61" s="5" t="n"/>
      <c r="I61" s="22">
        <f>INDEX(Personendaten!$C$2:$C$32,MATCH(A61,Personendaten!$A$2:$A$32,0))</f>
        <v/>
      </c>
      <c r="J61" s="22">
        <f>IF(AND(F61&lt;&gt;"",G61=""),1,0)</f>
        <v/>
      </c>
      <c r="K61" s="22">
        <f>IF(LEFT(C61,7)&lt;&gt;"Sprint_","",IF(COUNTIFS(Versuchsdaten!$A$2:$A$1117,$A61,Versuchsdaten!$B$2:$B$1117,$B61,Versuchsdaten!$C$2:$C$1117,"Sprint_5m",Versuchsdaten!$E$2:$E$1117,$E61,Versuchsdaten!$J$2:$J$1117,1)=1,SUMIFS(Versuchsdaten!$F$2:$F$1117,Versuchsdaten!$A$2:$A$1117,$A61,Versuchsdaten!$B$2:$B$1117,$B61,Versuchsdaten!$C$2:$C$1117,"Sprint_5m",Versuchsdaten!$E$2:$E$1117,$E61,Versuchsdaten!$J$2:$J$1117,1),""))</f>
        <v/>
      </c>
      <c r="L61" s="22">
        <f>IF(LEFT(C61,7)&lt;&gt;"Sprint_","",IF(COUNTIFS(Versuchsdaten!$A$2:$A$1117,$A61,Versuchsdaten!$B$2:$B$1117,$B61,Versuchsdaten!$C$2:$C$1117,"Sprint_10m",Versuchsdaten!$E$2:$E$1117,$E61,Versuchsdaten!$J$2:$J$1117,1)=1,SUMIFS(Versuchsdaten!$F$2:$F$1117,Versuchsdaten!$A$2:$A$1117,$A61,Versuchsdaten!$B$2:$B$1117,$B61,Versuchsdaten!$C$2:$C$1117,"Sprint_10m",Versuchsdaten!$E$2:$E$1117,$E61,Versuchsdaten!$J$2:$J$1117,1),""))</f>
        <v/>
      </c>
      <c r="M61" s="22">
        <f>IF(LEFT(C61,7)&lt;&gt;"Sprint_","",IF(COUNTIFS(Versuchsdaten!$A$2:$A$1117,$A61,Versuchsdaten!$B$2:$B$1117,$B61,Versuchsdaten!$C$2:$C$1117,"Sprint_30m",Versuchsdaten!$E$2:$E$1117,$E61,Versuchsdaten!$J$2:$J$1117,1)=1,SUMIFS(Versuchsdaten!$F$2:$F$1117,Versuchsdaten!$A$2:$A$1117,$A61,Versuchsdaten!$B$2:$B$1117,$B61,Versuchsdaten!$C$2:$C$1117,"Sprint_30m",Versuchsdaten!$E$2:$E$1117,$E61,Versuchsdaten!$J$2:$J$1117,1),""))</f>
        <v/>
      </c>
      <c r="N61" s="22">
        <f>IF(LEFT(C61,7)&lt;&gt;"Sprint_",0,IF(IF(ISNUMBER(K61),IF(K61&lt;=0,1,IF(5/K61&gt;10,1,0)),0)+IF(ISNUMBER(L61),IF(ISNUMBER(K61),IF(L61-K61&lt;=0,1,IF(5/(L61-K61)&gt;10,1,0)),IF(L61&lt;=0,1,IF(10/L61&gt;10,1,0))),0)+IF(ISNUMBER(M61),IF(ISNUMBER(L61),IF(M61-L61&lt;=0,1,IF(20/(M61-L61)&gt;10,1,0)),IF(ISNUMBER(K61),IF(M61-K61&lt;=0,1,IF(25/(M61-K61)&gt;10,1,0)),IF(M61&lt;=0,1,IF(30/M61&gt;10,1,0)))),0)&gt;0,1,0))</f>
        <v/>
      </c>
      <c r="O61" s="22">
        <f>IF(AND(J61=1,N61=0),1,0)</f>
        <v/>
      </c>
      <c r="P61" s="22">
        <f>INDEX(Personendaten!$J$2:$J$32,MATCH(A61,Personendaten!$A$2:$A$32,0))</f>
        <v/>
      </c>
      <c r="Q61" s="22">
        <f>IF(O61=1,"",IF(AND(B61="post",P61="nicht angetreten"),"NANG",IF(N61=1,"AUSL",IFERROR(VLOOKUP(H61,Vokabular!$A$2:$B$8,2,FALSE),"UNBEKANNT"))))</f>
        <v/>
      </c>
    </row>
    <row r="62">
      <c r="A62" s="5" t="inlineStr">
        <is>
          <t>BW-05</t>
        </is>
      </c>
      <c r="B62" s="5" t="inlineStr">
        <is>
          <t>prä</t>
        </is>
      </c>
      <c r="C62" s="5" t="inlineStr">
        <is>
          <t>Sprint_30m</t>
        </is>
      </c>
      <c r="D62" s="5" t="inlineStr">
        <is>
          <t>–</t>
        </is>
      </c>
      <c r="E62" s="5" t="n">
        <v>1</v>
      </c>
      <c r="F62" s="5" t="n">
        <v>4.49</v>
      </c>
      <c r="G62" s="5" t="n"/>
      <c r="H62" s="5" t="n"/>
      <c r="I62" s="22">
        <f>INDEX(Personendaten!$C$2:$C$32,MATCH(A62,Personendaten!$A$2:$A$32,0))</f>
        <v/>
      </c>
      <c r="J62" s="22">
        <f>IF(AND(F62&lt;&gt;"",G62=""),1,0)</f>
        <v/>
      </c>
      <c r="K62" s="22">
        <f>IF(LEFT(C62,7)&lt;&gt;"Sprint_","",IF(COUNTIFS(Versuchsdaten!$A$2:$A$1117,$A62,Versuchsdaten!$B$2:$B$1117,$B62,Versuchsdaten!$C$2:$C$1117,"Sprint_5m",Versuchsdaten!$E$2:$E$1117,$E62,Versuchsdaten!$J$2:$J$1117,1)=1,SUMIFS(Versuchsdaten!$F$2:$F$1117,Versuchsdaten!$A$2:$A$1117,$A62,Versuchsdaten!$B$2:$B$1117,$B62,Versuchsdaten!$C$2:$C$1117,"Sprint_5m",Versuchsdaten!$E$2:$E$1117,$E62,Versuchsdaten!$J$2:$J$1117,1),""))</f>
        <v/>
      </c>
      <c r="L62" s="22">
        <f>IF(LEFT(C62,7)&lt;&gt;"Sprint_","",IF(COUNTIFS(Versuchsdaten!$A$2:$A$1117,$A62,Versuchsdaten!$B$2:$B$1117,$B62,Versuchsdaten!$C$2:$C$1117,"Sprint_10m",Versuchsdaten!$E$2:$E$1117,$E62,Versuchsdaten!$J$2:$J$1117,1)=1,SUMIFS(Versuchsdaten!$F$2:$F$1117,Versuchsdaten!$A$2:$A$1117,$A62,Versuchsdaten!$B$2:$B$1117,$B62,Versuchsdaten!$C$2:$C$1117,"Sprint_10m",Versuchsdaten!$E$2:$E$1117,$E62,Versuchsdaten!$J$2:$J$1117,1),""))</f>
        <v/>
      </c>
      <c r="M62" s="22">
        <f>IF(LEFT(C62,7)&lt;&gt;"Sprint_","",IF(COUNTIFS(Versuchsdaten!$A$2:$A$1117,$A62,Versuchsdaten!$B$2:$B$1117,$B62,Versuchsdaten!$C$2:$C$1117,"Sprint_30m",Versuchsdaten!$E$2:$E$1117,$E62,Versuchsdaten!$J$2:$J$1117,1)=1,SUMIFS(Versuchsdaten!$F$2:$F$1117,Versuchsdaten!$A$2:$A$1117,$A62,Versuchsdaten!$B$2:$B$1117,$B62,Versuchsdaten!$C$2:$C$1117,"Sprint_30m",Versuchsdaten!$E$2:$E$1117,$E62,Versuchsdaten!$J$2:$J$1117,1),""))</f>
        <v/>
      </c>
      <c r="N62" s="22">
        <f>IF(LEFT(C62,7)&lt;&gt;"Sprint_",0,IF(IF(ISNUMBER(K62),IF(K62&lt;=0,1,IF(5/K62&gt;10,1,0)),0)+IF(ISNUMBER(L62),IF(ISNUMBER(K62),IF(L62-K62&lt;=0,1,IF(5/(L62-K62)&gt;10,1,0)),IF(L62&lt;=0,1,IF(10/L62&gt;10,1,0))),0)+IF(ISNUMBER(M62),IF(ISNUMBER(L62),IF(M62-L62&lt;=0,1,IF(20/(M62-L62)&gt;10,1,0)),IF(ISNUMBER(K62),IF(M62-K62&lt;=0,1,IF(25/(M62-K62)&gt;10,1,0)),IF(M62&lt;=0,1,IF(30/M62&gt;10,1,0)))),0)&gt;0,1,0))</f>
        <v/>
      </c>
      <c r="O62" s="22">
        <f>IF(AND(J62=1,N62=0),1,0)</f>
        <v/>
      </c>
      <c r="P62" s="22">
        <f>INDEX(Personendaten!$J$2:$J$32,MATCH(A62,Personendaten!$A$2:$A$32,0))</f>
        <v/>
      </c>
      <c r="Q62" s="22">
        <f>IF(O62=1,"",IF(AND(B62="post",P62="nicht angetreten"),"NANG",IF(N62=1,"AUSL",IFERROR(VLOOKUP(H62,Vokabular!$A$2:$B$8,2,FALSE),"UNBEKANNT"))))</f>
        <v/>
      </c>
    </row>
    <row r="63">
      <c r="A63" s="5" t="inlineStr">
        <is>
          <t>BW-05</t>
        </is>
      </c>
      <c r="B63" s="5" t="inlineStr">
        <is>
          <t>prä</t>
        </is>
      </c>
      <c r="C63" s="5" t="inlineStr">
        <is>
          <t>Sprint_30m</t>
        </is>
      </c>
      <c r="D63" s="5" t="inlineStr">
        <is>
          <t>–</t>
        </is>
      </c>
      <c r="E63" s="5" t="n">
        <v>2</v>
      </c>
      <c r="F63" s="5" t="n">
        <v>4.42</v>
      </c>
      <c r="G63" s="5" t="n"/>
      <c r="H63" s="5" t="n"/>
      <c r="I63" s="22">
        <f>INDEX(Personendaten!$C$2:$C$32,MATCH(A63,Personendaten!$A$2:$A$32,0))</f>
        <v/>
      </c>
      <c r="J63" s="22">
        <f>IF(AND(F63&lt;&gt;"",G63=""),1,0)</f>
        <v/>
      </c>
      <c r="K63" s="22">
        <f>IF(LEFT(C63,7)&lt;&gt;"Sprint_","",IF(COUNTIFS(Versuchsdaten!$A$2:$A$1117,$A63,Versuchsdaten!$B$2:$B$1117,$B63,Versuchsdaten!$C$2:$C$1117,"Sprint_5m",Versuchsdaten!$E$2:$E$1117,$E63,Versuchsdaten!$J$2:$J$1117,1)=1,SUMIFS(Versuchsdaten!$F$2:$F$1117,Versuchsdaten!$A$2:$A$1117,$A63,Versuchsdaten!$B$2:$B$1117,$B63,Versuchsdaten!$C$2:$C$1117,"Sprint_5m",Versuchsdaten!$E$2:$E$1117,$E63,Versuchsdaten!$J$2:$J$1117,1),""))</f>
        <v/>
      </c>
      <c r="L63" s="22">
        <f>IF(LEFT(C63,7)&lt;&gt;"Sprint_","",IF(COUNTIFS(Versuchsdaten!$A$2:$A$1117,$A63,Versuchsdaten!$B$2:$B$1117,$B63,Versuchsdaten!$C$2:$C$1117,"Sprint_10m",Versuchsdaten!$E$2:$E$1117,$E63,Versuchsdaten!$J$2:$J$1117,1)=1,SUMIFS(Versuchsdaten!$F$2:$F$1117,Versuchsdaten!$A$2:$A$1117,$A63,Versuchsdaten!$B$2:$B$1117,$B63,Versuchsdaten!$C$2:$C$1117,"Sprint_10m",Versuchsdaten!$E$2:$E$1117,$E63,Versuchsdaten!$J$2:$J$1117,1),""))</f>
        <v/>
      </c>
      <c r="M63" s="22">
        <f>IF(LEFT(C63,7)&lt;&gt;"Sprint_","",IF(COUNTIFS(Versuchsdaten!$A$2:$A$1117,$A63,Versuchsdaten!$B$2:$B$1117,$B63,Versuchsdaten!$C$2:$C$1117,"Sprint_30m",Versuchsdaten!$E$2:$E$1117,$E63,Versuchsdaten!$J$2:$J$1117,1)=1,SUMIFS(Versuchsdaten!$F$2:$F$1117,Versuchsdaten!$A$2:$A$1117,$A63,Versuchsdaten!$B$2:$B$1117,$B63,Versuchsdaten!$C$2:$C$1117,"Sprint_30m",Versuchsdaten!$E$2:$E$1117,$E63,Versuchsdaten!$J$2:$J$1117,1),""))</f>
        <v/>
      </c>
      <c r="N63" s="22">
        <f>IF(LEFT(C63,7)&lt;&gt;"Sprint_",0,IF(IF(ISNUMBER(K63),IF(K63&lt;=0,1,IF(5/K63&gt;10,1,0)),0)+IF(ISNUMBER(L63),IF(ISNUMBER(K63),IF(L63-K63&lt;=0,1,IF(5/(L63-K63)&gt;10,1,0)),IF(L63&lt;=0,1,IF(10/L63&gt;10,1,0))),0)+IF(ISNUMBER(M63),IF(ISNUMBER(L63),IF(M63-L63&lt;=0,1,IF(20/(M63-L63)&gt;10,1,0)),IF(ISNUMBER(K63),IF(M63-K63&lt;=0,1,IF(25/(M63-K63)&gt;10,1,0)),IF(M63&lt;=0,1,IF(30/M63&gt;10,1,0)))),0)&gt;0,1,0))</f>
        <v/>
      </c>
      <c r="O63" s="22">
        <f>IF(AND(J63=1,N63=0),1,0)</f>
        <v/>
      </c>
      <c r="P63" s="22">
        <f>INDEX(Personendaten!$J$2:$J$32,MATCH(A63,Personendaten!$A$2:$A$32,0))</f>
        <v/>
      </c>
      <c r="Q63" s="22">
        <f>IF(O63=1,"",IF(AND(B63="post",P63="nicht angetreten"),"NANG",IF(N63=1,"AUSL",IFERROR(VLOOKUP(H63,Vokabular!$A$2:$B$8,2,FALSE),"UNBEKANNT"))))</f>
        <v/>
      </c>
    </row>
    <row r="64">
      <c r="A64" s="5" t="inlineStr">
        <is>
          <t>BW-05</t>
        </is>
      </c>
      <c r="B64" s="5" t="inlineStr">
        <is>
          <t>prä</t>
        </is>
      </c>
      <c r="C64" s="5" t="inlineStr">
        <is>
          <t>Sprint_30m</t>
        </is>
      </c>
      <c r="D64" s="5" t="inlineStr">
        <is>
          <t>–</t>
        </is>
      </c>
      <c r="E64" s="5" t="n">
        <v>3</v>
      </c>
      <c r="F64" s="5" t="n">
        <v>4.43</v>
      </c>
      <c r="G64" s="5" t="n"/>
      <c r="H64" s="5" t="n"/>
      <c r="I64" s="22">
        <f>INDEX(Personendaten!$C$2:$C$32,MATCH(A64,Personendaten!$A$2:$A$32,0))</f>
        <v/>
      </c>
      <c r="J64" s="22">
        <f>IF(AND(F64&lt;&gt;"",G64=""),1,0)</f>
        <v/>
      </c>
      <c r="K64" s="22">
        <f>IF(LEFT(C64,7)&lt;&gt;"Sprint_","",IF(COUNTIFS(Versuchsdaten!$A$2:$A$1117,$A64,Versuchsdaten!$B$2:$B$1117,$B64,Versuchsdaten!$C$2:$C$1117,"Sprint_5m",Versuchsdaten!$E$2:$E$1117,$E64,Versuchsdaten!$J$2:$J$1117,1)=1,SUMIFS(Versuchsdaten!$F$2:$F$1117,Versuchsdaten!$A$2:$A$1117,$A64,Versuchsdaten!$B$2:$B$1117,$B64,Versuchsdaten!$C$2:$C$1117,"Sprint_5m",Versuchsdaten!$E$2:$E$1117,$E64,Versuchsdaten!$J$2:$J$1117,1),""))</f>
        <v/>
      </c>
      <c r="L64" s="22">
        <f>IF(LEFT(C64,7)&lt;&gt;"Sprint_","",IF(COUNTIFS(Versuchsdaten!$A$2:$A$1117,$A64,Versuchsdaten!$B$2:$B$1117,$B64,Versuchsdaten!$C$2:$C$1117,"Sprint_10m",Versuchsdaten!$E$2:$E$1117,$E64,Versuchsdaten!$J$2:$J$1117,1)=1,SUMIFS(Versuchsdaten!$F$2:$F$1117,Versuchsdaten!$A$2:$A$1117,$A64,Versuchsdaten!$B$2:$B$1117,$B64,Versuchsdaten!$C$2:$C$1117,"Sprint_10m",Versuchsdaten!$E$2:$E$1117,$E64,Versuchsdaten!$J$2:$J$1117,1),""))</f>
        <v/>
      </c>
      <c r="M64" s="22">
        <f>IF(LEFT(C64,7)&lt;&gt;"Sprint_","",IF(COUNTIFS(Versuchsdaten!$A$2:$A$1117,$A64,Versuchsdaten!$B$2:$B$1117,$B64,Versuchsdaten!$C$2:$C$1117,"Sprint_30m",Versuchsdaten!$E$2:$E$1117,$E64,Versuchsdaten!$J$2:$J$1117,1)=1,SUMIFS(Versuchsdaten!$F$2:$F$1117,Versuchsdaten!$A$2:$A$1117,$A64,Versuchsdaten!$B$2:$B$1117,$B64,Versuchsdaten!$C$2:$C$1117,"Sprint_30m",Versuchsdaten!$E$2:$E$1117,$E64,Versuchsdaten!$J$2:$J$1117,1),""))</f>
        <v/>
      </c>
      <c r="N64" s="22">
        <f>IF(LEFT(C64,7)&lt;&gt;"Sprint_",0,IF(IF(ISNUMBER(K64),IF(K64&lt;=0,1,IF(5/K64&gt;10,1,0)),0)+IF(ISNUMBER(L64),IF(ISNUMBER(K64),IF(L64-K64&lt;=0,1,IF(5/(L64-K64)&gt;10,1,0)),IF(L64&lt;=0,1,IF(10/L64&gt;10,1,0))),0)+IF(ISNUMBER(M64),IF(ISNUMBER(L64),IF(M64-L64&lt;=0,1,IF(20/(M64-L64)&gt;10,1,0)),IF(ISNUMBER(K64),IF(M64-K64&lt;=0,1,IF(25/(M64-K64)&gt;10,1,0)),IF(M64&lt;=0,1,IF(30/M64&gt;10,1,0)))),0)&gt;0,1,0))</f>
        <v/>
      </c>
      <c r="O64" s="22">
        <f>IF(AND(J64=1,N64=0),1,0)</f>
        <v/>
      </c>
      <c r="P64" s="22">
        <f>INDEX(Personendaten!$J$2:$J$32,MATCH(A64,Personendaten!$A$2:$A$32,0))</f>
        <v/>
      </c>
      <c r="Q64" s="22">
        <f>IF(O64=1,"",IF(AND(B64="post",P64="nicht angetreten"),"NANG",IF(N64=1,"AUSL",IFERROR(VLOOKUP(H64,Vokabular!$A$2:$B$8,2,FALSE),"UNBEKANNT"))))</f>
        <v/>
      </c>
    </row>
    <row r="65">
      <c r="A65" s="5" t="inlineStr">
        <is>
          <t>BW-05</t>
        </is>
      </c>
      <c r="B65" s="5" t="inlineStr">
        <is>
          <t>prä</t>
        </is>
      </c>
      <c r="C65" s="5" t="inlineStr">
        <is>
          <t>Standweitsprung</t>
        </is>
      </c>
      <c r="D65" s="5" t="inlineStr">
        <is>
          <t>–</t>
        </is>
      </c>
      <c r="E65" s="5" t="n">
        <v>1</v>
      </c>
      <c r="F65" s="5" t="n">
        <v>238</v>
      </c>
      <c r="G65" s="5" t="n"/>
      <c r="H65" s="5" t="n"/>
      <c r="I65" s="22">
        <f>INDEX(Personendaten!$C$2:$C$32,MATCH(A65,Personendaten!$A$2:$A$32,0))</f>
        <v/>
      </c>
      <c r="J65" s="22">
        <f>IF(AND(F65&lt;&gt;"",G65=""),1,0)</f>
        <v/>
      </c>
      <c r="K65" s="22">
        <f>IF(LEFT(C65,7)&lt;&gt;"Sprint_","",IF(COUNTIFS(Versuchsdaten!$A$2:$A$1117,$A65,Versuchsdaten!$B$2:$B$1117,$B65,Versuchsdaten!$C$2:$C$1117,"Sprint_5m",Versuchsdaten!$E$2:$E$1117,$E65,Versuchsdaten!$J$2:$J$1117,1)=1,SUMIFS(Versuchsdaten!$F$2:$F$1117,Versuchsdaten!$A$2:$A$1117,$A65,Versuchsdaten!$B$2:$B$1117,$B65,Versuchsdaten!$C$2:$C$1117,"Sprint_5m",Versuchsdaten!$E$2:$E$1117,$E65,Versuchsdaten!$J$2:$J$1117,1),""))</f>
        <v/>
      </c>
      <c r="L65" s="22">
        <f>IF(LEFT(C65,7)&lt;&gt;"Sprint_","",IF(COUNTIFS(Versuchsdaten!$A$2:$A$1117,$A65,Versuchsdaten!$B$2:$B$1117,$B65,Versuchsdaten!$C$2:$C$1117,"Sprint_10m",Versuchsdaten!$E$2:$E$1117,$E65,Versuchsdaten!$J$2:$J$1117,1)=1,SUMIFS(Versuchsdaten!$F$2:$F$1117,Versuchsdaten!$A$2:$A$1117,$A65,Versuchsdaten!$B$2:$B$1117,$B65,Versuchsdaten!$C$2:$C$1117,"Sprint_10m",Versuchsdaten!$E$2:$E$1117,$E65,Versuchsdaten!$J$2:$J$1117,1),""))</f>
        <v/>
      </c>
      <c r="M65" s="22">
        <f>IF(LEFT(C65,7)&lt;&gt;"Sprint_","",IF(COUNTIFS(Versuchsdaten!$A$2:$A$1117,$A65,Versuchsdaten!$B$2:$B$1117,$B65,Versuchsdaten!$C$2:$C$1117,"Sprint_30m",Versuchsdaten!$E$2:$E$1117,$E65,Versuchsdaten!$J$2:$J$1117,1)=1,SUMIFS(Versuchsdaten!$F$2:$F$1117,Versuchsdaten!$A$2:$A$1117,$A65,Versuchsdaten!$B$2:$B$1117,$B65,Versuchsdaten!$C$2:$C$1117,"Sprint_30m",Versuchsdaten!$E$2:$E$1117,$E65,Versuchsdaten!$J$2:$J$1117,1),""))</f>
        <v/>
      </c>
      <c r="N65" s="22">
        <f>IF(LEFT(C65,7)&lt;&gt;"Sprint_",0,IF(IF(ISNUMBER(K65),IF(K65&lt;=0,1,IF(5/K65&gt;10,1,0)),0)+IF(ISNUMBER(L65),IF(ISNUMBER(K65),IF(L65-K65&lt;=0,1,IF(5/(L65-K65)&gt;10,1,0)),IF(L65&lt;=0,1,IF(10/L65&gt;10,1,0))),0)+IF(ISNUMBER(M65),IF(ISNUMBER(L65),IF(M65-L65&lt;=0,1,IF(20/(M65-L65)&gt;10,1,0)),IF(ISNUMBER(K65),IF(M65-K65&lt;=0,1,IF(25/(M65-K65)&gt;10,1,0)),IF(M65&lt;=0,1,IF(30/M65&gt;10,1,0)))),0)&gt;0,1,0))</f>
        <v/>
      </c>
      <c r="O65" s="22">
        <f>IF(AND(J65=1,N65=0),1,0)</f>
        <v/>
      </c>
      <c r="P65" s="22">
        <f>INDEX(Personendaten!$J$2:$J$32,MATCH(A65,Personendaten!$A$2:$A$32,0))</f>
        <v/>
      </c>
      <c r="Q65" s="22">
        <f>IF(O65=1,"",IF(AND(B65="post",P65="nicht angetreten"),"NANG",IF(N65=1,"AUSL",IFERROR(VLOOKUP(H65,Vokabular!$A$2:$B$8,2,FALSE),"UNBEKANNT"))))</f>
        <v/>
      </c>
    </row>
    <row r="66">
      <c r="A66" s="5" t="inlineStr">
        <is>
          <t>BW-05</t>
        </is>
      </c>
      <c r="B66" s="5" t="inlineStr">
        <is>
          <t>prä</t>
        </is>
      </c>
      <c r="C66" s="5" t="inlineStr">
        <is>
          <t>Standweitsprung</t>
        </is>
      </c>
      <c r="D66" s="5" t="inlineStr">
        <is>
          <t>–</t>
        </is>
      </c>
      <c r="E66" s="5" t="n">
        <v>2</v>
      </c>
      <c r="F66" s="5" t="n">
        <v>232</v>
      </c>
      <c r="G66" s="5" t="n"/>
      <c r="H66" s="5" t="n"/>
      <c r="I66" s="22">
        <f>INDEX(Personendaten!$C$2:$C$32,MATCH(A66,Personendaten!$A$2:$A$32,0))</f>
        <v/>
      </c>
      <c r="J66" s="22">
        <f>IF(AND(F66&lt;&gt;"",G66=""),1,0)</f>
        <v/>
      </c>
      <c r="K66" s="22">
        <f>IF(LEFT(C66,7)&lt;&gt;"Sprint_","",IF(COUNTIFS(Versuchsdaten!$A$2:$A$1117,$A66,Versuchsdaten!$B$2:$B$1117,$B66,Versuchsdaten!$C$2:$C$1117,"Sprint_5m",Versuchsdaten!$E$2:$E$1117,$E66,Versuchsdaten!$J$2:$J$1117,1)=1,SUMIFS(Versuchsdaten!$F$2:$F$1117,Versuchsdaten!$A$2:$A$1117,$A66,Versuchsdaten!$B$2:$B$1117,$B66,Versuchsdaten!$C$2:$C$1117,"Sprint_5m",Versuchsdaten!$E$2:$E$1117,$E66,Versuchsdaten!$J$2:$J$1117,1),""))</f>
        <v/>
      </c>
      <c r="L66" s="22">
        <f>IF(LEFT(C66,7)&lt;&gt;"Sprint_","",IF(COUNTIFS(Versuchsdaten!$A$2:$A$1117,$A66,Versuchsdaten!$B$2:$B$1117,$B66,Versuchsdaten!$C$2:$C$1117,"Sprint_10m",Versuchsdaten!$E$2:$E$1117,$E66,Versuchsdaten!$J$2:$J$1117,1)=1,SUMIFS(Versuchsdaten!$F$2:$F$1117,Versuchsdaten!$A$2:$A$1117,$A66,Versuchsdaten!$B$2:$B$1117,$B66,Versuchsdaten!$C$2:$C$1117,"Sprint_10m",Versuchsdaten!$E$2:$E$1117,$E66,Versuchsdaten!$J$2:$J$1117,1),""))</f>
        <v/>
      </c>
      <c r="M66" s="22">
        <f>IF(LEFT(C66,7)&lt;&gt;"Sprint_","",IF(COUNTIFS(Versuchsdaten!$A$2:$A$1117,$A66,Versuchsdaten!$B$2:$B$1117,$B66,Versuchsdaten!$C$2:$C$1117,"Sprint_30m",Versuchsdaten!$E$2:$E$1117,$E66,Versuchsdaten!$J$2:$J$1117,1)=1,SUMIFS(Versuchsdaten!$F$2:$F$1117,Versuchsdaten!$A$2:$A$1117,$A66,Versuchsdaten!$B$2:$B$1117,$B66,Versuchsdaten!$C$2:$C$1117,"Sprint_30m",Versuchsdaten!$E$2:$E$1117,$E66,Versuchsdaten!$J$2:$J$1117,1),""))</f>
        <v/>
      </c>
      <c r="N66" s="22">
        <f>IF(LEFT(C66,7)&lt;&gt;"Sprint_",0,IF(IF(ISNUMBER(K66),IF(K66&lt;=0,1,IF(5/K66&gt;10,1,0)),0)+IF(ISNUMBER(L66),IF(ISNUMBER(K66),IF(L66-K66&lt;=0,1,IF(5/(L66-K66)&gt;10,1,0)),IF(L66&lt;=0,1,IF(10/L66&gt;10,1,0))),0)+IF(ISNUMBER(M66),IF(ISNUMBER(L66),IF(M66-L66&lt;=0,1,IF(20/(M66-L66)&gt;10,1,0)),IF(ISNUMBER(K66),IF(M66-K66&lt;=0,1,IF(25/(M66-K66)&gt;10,1,0)),IF(M66&lt;=0,1,IF(30/M66&gt;10,1,0)))),0)&gt;0,1,0))</f>
        <v/>
      </c>
      <c r="O66" s="22">
        <f>IF(AND(J66=1,N66=0),1,0)</f>
        <v/>
      </c>
      <c r="P66" s="22">
        <f>INDEX(Personendaten!$J$2:$J$32,MATCH(A66,Personendaten!$A$2:$A$32,0))</f>
        <v/>
      </c>
      <c r="Q66" s="22">
        <f>IF(O66=1,"",IF(AND(B66="post",P66="nicht angetreten"),"NANG",IF(N66=1,"AUSL",IFERROR(VLOOKUP(H66,Vokabular!$A$2:$B$8,2,FALSE),"UNBEKANNT"))))</f>
        <v/>
      </c>
    </row>
    <row r="67">
      <c r="A67" s="5" t="inlineStr">
        <is>
          <t>BW-05</t>
        </is>
      </c>
      <c r="B67" s="5" t="inlineStr">
        <is>
          <t>prä</t>
        </is>
      </c>
      <c r="C67" s="5" t="inlineStr">
        <is>
          <t>Standweitsprung</t>
        </is>
      </c>
      <c r="D67" s="5" t="inlineStr">
        <is>
          <t>–</t>
        </is>
      </c>
      <c r="E67" s="5" t="n">
        <v>3</v>
      </c>
      <c r="F67" s="5" t="n">
        <v>228</v>
      </c>
      <c r="G67" s="5" t="n"/>
      <c r="H67" s="5" t="n"/>
      <c r="I67" s="22">
        <f>INDEX(Personendaten!$C$2:$C$32,MATCH(A67,Personendaten!$A$2:$A$32,0))</f>
        <v/>
      </c>
      <c r="J67" s="22">
        <f>IF(AND(F67&lt;&gt;"",G67=""),1,0)</f>
        <v/>
      </c>
      <c r="K67" s="22">
        <f>IF(LEFT(C67,7)&lt;&gt;"Sprint_","",IF(COUNTIFS(Versuchsdaten!$A$2:$A$1117,$A67,Versuchsdaten!$B$2:$B$1117,$B67,Versuchsdaten!$C$2:$C$1117,"Sprint_5m",Versuchsdaten!$E$2:$E$1117,$E67,Versuchsdaten!$J$2:$J$1117,1)=1,SUMIFS(Versuchsdaten!$F$2:$F$1117,Versuchsdaten!$A$2:$A$1117,$A67,Versuchsdaten!$B$2:$B$1117,$B67,Versuchsdaten!$C$2:$C$1117,"Sprint_5m",Versuchsdaten!$E$2:$E$1117,$E67,Versuchsdaten!$J$2:$J$1117,1),""))</f>
        <v/>
      </c>
      <c r="L67" s="22">
        <f>IF(LEFT(C67,7)&lt;&gt;"Sprint_","",IF(COUNTIFS(Versuchsdaten!$A$2:$A$1117,$A67,Versuchsdaten!$B$2:$B$1117,$B67,Versuchsdaten!$C$2:$C$1117,"Sprint_10m",Versuchsdaten!$E$2:$E$1117,$E67,Versuchsdaten!$J$2:$J$1117,1)=1,SUMIFS(Versuchsdaten!$F$2:$F$1117,Versuchsdaten!$A$2:$A$1117,$A67,Versuchsdaten!$B$2:$B$1117,$B67,Versuchsdaten!$C$2:$C$1117,"Sprint_10m",Versuchsdaten!$E$2:$E$1117,$E67,Versuchsdaten!$J$2:$J$1117,1),""))</f>
        <v/>
      </c>
      <c r="M67" s="22">
        <f>IF(LEFT(C67,7)&lt;&gt;"Sprint_","",IF(COUNTIFS(Versuchsdaten!$A$2:$A$1117,$A67,Versuchsdaten!$B$2:$B$1117,$B67,Versuchsdaten!$C$2:$C$1117,"Sprint_30m",Versuchsdaten!$E$2:$E$1117,$E67,Versuchsdaten!$J$2:$J$1117,1)=1,SUMIFS(Versuchsdaten!$F$2:$F$1117,Versuchsdaten!$A$2:$A$1117,$A67,Versuchsdaten!$B$2:$B$1117,$B67,Versuchsdaten!$C$2:$C$1117,"Sprint_30m",Versuchsdaten!$E$2:$E$1117,$E67,Versuchsdaten!$J$2:$J$1117,1),""))</f>
        <v/>
      </c>
      <c r="N67" s="22">
        <f>IF(LEFT(C67,7)&lt;&gt;"Sprint_",0,IF(IF(ISNUMBER(K67),IF(K67&lt;=0,1,IF(5/K67&gt;10,1,0)),0)+IF(ISNUMBER(L67),IF(ISNUMBER(K67),IF(L67-K67&lt;=0,1,IF(5/(L67-K67)&gt;10,1,0)),IF(L67&lt;=0,1,IF(10/L67&gt;10,1,0))),0)+IF(ISNUMBER(M67),IF(ISNUMBER(L67),IF(M67-L67&lt;=0,1,IF(20/(M67-L67)&gt;10,1,0)),IF(ISNUMBER(K67),IF(M67-K67&lt;=0,1,IF(25/(M67-K67)&gt;10,1,0)),IF(M67&lt;=0,1,IF(30/M67&gt;10,1,0)))),0)&gt;0,1,0))</f>
        <v/>
      </c>
      <c r="O67" s="22">
        <f>IF(AND(J67=1,N67=0),1,0)</f>
        <v/>
      </c>
      <c r="P67" s="22">
        <f>INDEX(Personendaten!$J$2:$J$32,MATCH(A67,Personendaten!$A$2:$A$32,0))</f>
        <v/>
      </c>
      <c r="Q67" s="22">
        <f>IF(O67=1,"",IF(AND(B67="post",P67="nicht angetreten"),"NANG",IF(N67=1,"AUSL",IFERROR(VLOOKUP(H67,Vokabular!$A$2:$B$8,2,FALSE),"UNBEKANNT"))))</f>
        <v/>
      </c>
    </row>
    <row r="68">
      <c r="A68" s="5" t="inlineStr">
        <is>
          <t>BW-05</t>
        </is>
      </c>
      <c r="B68" s="5" t="inlineStr">
        <is>
          <t>prä</t>
        </is>
      </c>
      <c r="C68" s="5" t="inlineStr">
        <is>
          <t>COD_505</t>
        </is>
      </c>
      <c r="D68" s="5" t="inlineStr">
        <is>
          <t>L</t>
        </is>
      </c>
      <c r="E68" s="5" t="n">
        <v>1</v>
      </c>
      <c r="F68" s="5" t="n">
        <v>2.57</v>
      </c>
      <c r="G68" s="5" t="n"/>
      <c r="H68" s="5" t="n"/>
      <c r="I68" s="22">
        <f>INDEX(Personendaten!$C$2:$C$32,MATCH(A68,Personendaten!$A$2:$A$32,0))</f>
        <v/>
      </c>
      <c r="J68" s="22">
        <f>IF(AND(F68&lt;&gt;"",G68=""),1,0)</f>
        <v/>
      </c>
      <c r="K68" s="22">
        <f>IF(LEFT(C68,7)&lt;&gt;"Sprint_","",IF(COUNTIFS(Versuchsdaten!$A$2:$A$1117,$A68,Versuchsdaten!$B$2:$B$1117,$B68,Versuchsdaten!$C$2:$C$1117,"Sprint_5m",Versuchsdaten!$E$2:$E$1117,$E68,Versuchsdaten!$J$2:$J$1117,1)=1,SUMIFS(Versuchsdaten!$F$2:$F$1117,Versuchsdaten!$A$2:$A$1117,$A68,Versuchsdaten!$B$2:$B$1117,$B68,Versuchsdaten!$C$2:$C$1117,"Sprint_5m",Versuchsdaten!$E$2:$E$1117,$E68,Versuchsdaten!$J$2:$J$1117,1),""))</f>
        <v/>
      </c>
      <c r="L68" s="22">
        <f>IF(LEFT(C68,7)&lt;&gt;"Sprint_","",IF(COUNTIFS(Versuchsdaten!$A$2:$A$1117,$A68,Versuchsdaten!$B$2:$B$1117,$B68,Versuchsdaten!$C$2:$C$1117,"Sprint_10m",Versuchsdaten!$E$2:$E$1117,$E68,Versuchsdaten!$J$2:$J$1117,1)=1,SUMIFS(Versuchsdaten!$F$2:$F$1117,Versuchsdaten!$A$2:$A$1117,$A68,Versuchsdaten!$B$2:$B$1117,$B68,Versuchsdaten!$C$2:$C$1117,"Sprint_10m",Versuchsdaten!$E$2:$E$1117,$E68,Versuchsdaten!$J$2:$J$1117,1),""))</f>
        <v/>
      </c>
      <c r="M68" s="22">
        <f>IF(LEFT(C68,7)&lt;&gt;"Sprint_","",IF(COUNTIFS(Versuchsdaten!$A$2:$A$1117,$A68,Versuchsdaten!$B$2:$B$1117,$B68,Versuchsdaten!$C$2:$C$1117,"Sprint_30m",Versuchsdaten!$E$2:$E$1117,$E68,Versuchsdaten!$J$2:$J$1117,1)=1,SUMIFS(Versuchsdaten!$F$2:$F$1117,Versuchsdaten!$A$2:$A$1117,$A68,Versuchsdaten!$B$2:$B$1117,$B68,Versuchsdaten!$C$2:$C$1117,"Sprint_30m",Versuchsdaten!$E$2:$E$1117,$E68,Versuchsdaten!$J$2:$J$1117,1),""))</f>
        <v/>
      </c>
      <c r="N68" s="22">
        <f>IF(LEFT(C68,7)&lt;&gt;"Sprint_",0,IF(IF(ISNUMBER(K68),IF(K68&lt;=0,1,IF(5/K68&gt;10,1,0)),0)+IF(ISNUMBER(L68),IF(ISNUMBER(K68),IF(L68-K68&lt;=0,1,IF(5/(L68-K68)&gt;10,1,0)),IF(L68&lt;=0,1,IF(10/L68&gt;10,1,0))),0)+IF(ISNUMBER(M68),IF(ISNUMBER(L68),IF(M68-L68&lt;=0,1,IF(20/(M68-L68)&gt;10,1,0)),IF(ISNUMBER(K68),IF(M68-K68&lt;=0,1,IF(25/(M68-K68)&gt;10,1,0)),IF(M68&lt;=0,1,IF(30/M68&gt;10,1,0)))),0)&gt;0,1,0))</f>
        <v/>
      </c>
      <c r="O68" s="22">
        <f>IF(AND(J68=1,N68=0),1,0)</f>
        <v/>
      </c>
      <c r="P68" s="22">
        <f>INDEX(Personendaten!$J$2:$J$32,MATCH(A68,Personendaten!$A$2:$A$32,0))</f>
        <v/>
      </c>
      <c r="Q68" s="22">
        <f>IF(O68=1,"",IF(AND(B68="post",P68="nicht angetreten"),"NANG",IF(N68=1,"AUSL",IFERROR(VLOOKUP(H68,Vokabular!$A$2:$B$8,2,FALSE),"UNBEKANNT"))))</f>
        <v/>
      </c>
    </row>
    <row r="69">
      <c r="A69" s="5" t="inlineStr">
        <is>
          <t>BW-05</t>
        </is>
      </c>
      <c r="B69" s="5" t="inlineStr">
        <is>
          <t>prä</t>
        </is>
      </c>
      <c r="C69" s="5" t="inlineStr">
        <is>
          <t>COD_505</t>
        </is>
      </c>
      <c r="D69" s="5" t="inlineStr">
        <is>
          <t>L</t>
        </is>
      </c>
      <c r="E69" s="5" t="n">
        <v>2</v>
      </c>
      <c r="F69" s="5" t="n">
        <v>2.46</v>
      </c>
      <c r="G69" s="5" t="n"/>
      <c r="H69" s="5" t="n"/>
      <c r="I69" s="22">
        <f>INDEX(Personendaten!$C$2:$C$32,MATCH(A69,Personendaten!$A$2:$A$32,0))</f>
        <v/>
      </c>
      <c r="J69" s="22">
        <f>IF(AND(F69&lt;&gt;"",G69=""),1,0)</f>
        <v/>
      </c>
      <c r="K69" s="22">
        <f>IF(LEFT(C69,7)&lt;&gt;"Sprint_","",IF(COUNTIFS(Versuchsdaten!$A$2:$A$1117,$A69,Versuchsdaten!$B$2:$B$1117,$B69,Versuchsdaten!$C$2:$C$1117,"Sprint_5m",Versuchsdaten!$E$2:$E$1117,$E69,Versuchsdaten!$J$2:$J$1117,1)=1,SUMIFS(Versuchsdaten!$F$2:$F$1117,Versuchsdaten!$A$2:$A$1117,$A69,Versuchsdaten!$B$2:$B$1117,$B69,Versuchsdaten!$C$2:$C$1117,"Sprint_5m",Versuchsdaten!$E$2:$E$1117,$E69,Versuchsdaten!$J$2:$J$1117,1),""))</f>
        <v/>
      </c>
      <c r="L69" s="22">
        <f>IF(LEFT(C69,7)&lt;&gt;"Sprint_","",IF(COUNTIFS(Versuchsdaten!$A$2:$A$1117,$A69,Versuchsdaten!$B$2:$B$1117,$B69,Versuchsdaten!$C$2:$C$1117,"Sprint_10m",Versuchsdaten!$E$2:$E$1117,$E69,Versuchsdaten!$J$2:$J$1117,1)=1,SUMIFS(Versuchsdaten!$F$2:$F$1117,Versuchsdaten!$A$2:$A$1117,$A69,Versuchsdaten!$B$2:$B$1117,$B69,Versuchsdaten!$C$2:$C$1117,"Sprint_10m",Versuchsdaten!$E$2:$E$1117,$E69,Versuchsdaten!$J$2:$J$1117,1),""))</f>
        <v/>
      </c>
      <c r="M69" s="22">
        <f>IF(LEFT(C69,7)&lt;&gt;"Sprint_","",IF(COUNTIFS(Versuchsdaten!$A$2:$A$1117,$A69,Versuchsdaten!$B$2:$B$1117,$B69,Versuchsdaten!$C$2:$C$1117,"Sprint_30m",Versuchsdaten!$E$2:$E$1117,$E69,Versuchsdaten!$J$2:$J$1117,1)=1,SUMIFS(Versuchsdaten!$F$2:$F$1117,Versuchsdaten!$A$2:$A$1117,$A69,Versuchsdaten!$B$2:$B$1117,$B69,Versuchsdaten!$C$2:$C$1117,"Sprint_30m",Versuchsdaten!$E$2:$E$1117,$E69,Versuchsdaten!$J$2:$J$1117,1),""))</f>
        <v/>
      </c>
      <c r="N69" s="22">
        <f>IF(LEFT(C69,7)&lt;&gt;"Sprint_",0,IF(IF(ISNUMBER(K69),IF(K69&lt;=0,1,IF(5/K69&gt;10,1,0)),0)+IF(ISNUMBER(L69),IF(ISNUMBER(K69),IF(L69-K69&lt;=0,1,IF(5/(L69-K69)&gt;10,1,0)),IF(L69&lt;=0,1,IF(10/L69&gt;10,1,0))),0)+IF(ISNUMBER(M69),IF(ISNUMBER(L69),IF(M69-L69&lt;=0,1,IF(20/(M69-L69)&gt;10,1,0)),IF(ISNUMBER(K69),IF(M69-K69&lt;=0,1,IF(25/(M69-K69)&gt;10,1,0)),IF(M69&lt;=0,1,IF(30/M69&gt;10,1,0)))),0)&gt;0,1,0))</f>
        <v/>
      </c>
      <c r="O69" s="22">
        <f>IF(AND(J69=1,N69=0),1,0)</f>
        <v/>
      </c>
      <c r="P69" s="22">
        <f>INDEX(Personendaten!$J$2:$J$32,MATCH(A69,Personendaten!$A$2:$A$32,0))</f>
        <v/>
      </c>
      <c r="Q69" s="22">
        <f>IF(O69=1,"",IF(AND(B69="post",P69="nicht angetreten"),"NANG",IF(N69=1,"AUSL",IFERROR(VLOOKUP(H69,Vokabular!$A$2:$B$8,2,FALSE),"UNBEKANNT"))))</f>
        <v/>
      </c>
    </row>
    <row r="70">
      <c r="A70" s="5" t="inlineStr">
        <is>
          <t>BW-05</t>
        </is>
      </c>
      <c r="B70" s="5" t="inlineStr">
        <is>
          <t>prä</t>
        </is>
      </c>
      <c r="C70" s="5" t="inlineStr">
        <is>
          <t>COD_505</t>
        </is>
      </c>
      <c r="D70" s="5" t="inlineStr">
        <is>
          <t>L</t>
        </is>
      </c>
      <c r="E70" s="5" t="n">
        <v>3</v>
      </c>
      <c r="F70" s="5" t="n"/>
      <c r="G70" s="5" t="n"/>
      <c r="H70" s="5" t="inlineStr">
        <is>
          <t>Nur 2 Versuche aus Zeitmangel</t>
        </is>
      </c>
      <c r="I70" s="22">
        <f>INDEX(Personendaten!$C$2:$C$32,MATCH(A70,Personendaten!$A$2:$A$32,0))</f>
        <v/>
      </c>
      <c r="J70" s="22">
        <f>IF(AND(F70&lt;&gt;"",G70=""),1,0)</f>
        <v/>
      </c>
      <c r="K70" s="22">
        <f>IF(LEFT(C70,7)&lt;&gt;"Sprint_","",IF(COUNTIFS(Versuchsdaten!$A$2:$A$1117,$A70,Versuchsdaten!$B$2:$B$1117,$B70,Versuchsdaten!$C$2:$C$1117,"Sprint_5m",Versuchsdaten!$E$2:$E$1117,$E70,Versuchsdaten!$J$2:$J$1117,1)=1,SUMIFS(Versuchsdaten!$F$2:$F$1117,Versuchsdaten!$A$2:$A$1117,$A70,Versuchsdaten!$B$2:$B$1117,$B70,Versuchsdaten!$C$2:$C$1117,"Sprint_5m",Versuchsdaten!$E$2:$E$1117,$E70,Versuchsdaten!$J$2:$J$1117,1),""))</f>
        <v/>
      </c>
      <c r="L70" s="22">
        <f>IF(LEFT(C70,7)&lt;&gt;"Sprint_","",IF(COUNTIFS(Versuchsdaten!$A$2:$A$1117,$A70,Versuchsdaten!$B$2:$B$1117,$B70,Versuchsdaten!$C$2:$C$1117,"Sprint_10m",Versuchsdaten!$E$2:$E$1117,$E70,Versuchsdaten!$J$2:$J$1117,1)=1,SUMIFS(Versuchsdaten!$F$2:$F$1117,Versuchsdaten!$A$2:$A$1117,$A70,Versuchsdaten!$B$2:$B$1117,$B70,Versuchsdaten!$C$2:$C$1117,"Sprint_10m",Versuchsdaten!$E$2:$E$1117,$E70,Versuchsdaten!$J$2:$J$1117,1),""))</f>
        <v/>
      </c>
      <c r="M70" s="22">
        <f>IF(LEFT(C70,7)&lt;&gt;"Sprint_","",IF(COUNTIFS(Versuchsdaten!$A$2:$A$1117,$A70,Versuchsdaten!$B$2:$B$1117,$B70,Versuchsdaten!$C$2:$C$1117,"Sprint_30m",Versuchsdaten!$E$2:$E$1117,$E70,Versuchsdaten!$J$2:$J$1117,1)=1,SUMIFS(Versuchsdaten!$F$2:$F$1117,Versuchsdaten!$A$2:$A$1117,$A70,Versuchsdaten!$B$2:$B$1117,$B70,Versuchsdaten!$C$2:$C$1117,"Sprint_30m",Versuchsdaten!$E$2:$E$1117,$E70,Versuchsdaten!$J$2:$J$1117,1),""))</f>
        <v/>
      </c>
      <c r="N70" s="22">
        <f>IF(LEFT(C70,7)&lt;&gt;"Sprint_",0,IF(IF(ISNUMBER(K70),IF(K70&lt;=0,1,IF(5/K70&gt;10,1,0)),0)+IF(ISNUMBER(L70),IF(ISNUMBER(K70),IF(L70-K70&lt;=0,1,IF(5/(L70-K70)&gt;10,1,0)),IF(L70&lt;=0,1,IF(10/L70&gt;10,1,0))),0)+IF(ISNUMBER(M70),IF(ISNUMBER(L70),IF(M70-L70&lt;=0,1,IF(20/(M70-L70)&gt;10,1,0)),IF(ISNUMBER(K70),IF(M70-K70&lt;=0,1,IF(25/(M70-K70)&gt;10,1,0)),IF(M70&lt;=0,1,IF(30/M70&gt;10,1,0)))),0)&gt;0,1,0))</f>
        <v/>
      </c>
      <c r="O70" s="22">
        <f>IF(AND(J70=1,N70=0),1,0)</f>
        <v/>
      </c>
      <c r="P70" s="22">
        <f>INDEX(Personendaten!$J$2:$J$32,MATCH(A70,Personendaten!$A$2:$A$32,0))</f>
        <v/>
      </c>
      <c r="Q70" s="22">
        <f>IF(O70=1,"",IF(AND(B70="post",P70="nicht angetreten"),"NANG",IF(N70=1,"AUSL",IFERROR(VLOOKUP(H70,Vokabular!$A$2:$B$8,2,FALSE),"UNBEKANNT"))))</f>
        <v/>
      </c>
    </row>
    <row r="71">
      <c r="A71" s="5" t="inlineStr">
        <is>
          <t>BW-05</t>
        </is>
      </c>
      <c r="B71" s="5" t="inlineStr">
        <is>
          <t>prä</t>
        </is>
      </c>
      <c r="C71" s="5" t="inlineStr">
        <is>
          <t>COD_505</t>
        </is>
      </c>
      <c r="D71" s="5" t="inlineStr">
        <is>
          <t>R</t>
        </is>
      </c>
      <c r="E71" s="5" t="n">
        <v>1</v>
      </c>
      <c r="F71" s="5" t="n">
        <v>2.49</v>
      </c>
      <c r="G71" s="5" t="n"/>
      <c r="H71" s="5" t="n"/>
      <c r="I71" s="22">
        <f>INDEX(Personendaten!$C$2:$C$32,MATCH(A71,Personendaten!$A$2:$A$32,0))</f>
        <v/>
      </c>
      <c r="J71" s="22">
        <f>IF(AND(F71&lt;&gt;"",G71=""),1,0)</f>
        <v/>
      </c>
      <c r="K71" s="22">
        <f>IF(LEFT(C71,7)&lt;&gt;"Sprint_","",IF(COUNTIFS(Versuchsdaten!$A$2:$A$1117,$A71,Versuchsdaten!$B$2:$B$1117,$B71,Versuchsdaten!$C$2:$C$1117,"Sprint_5m",Versuchsdaten!$E$2:$E$1117,$E71,Versuchsdaten!$J$2:$J$1117,1)=1,SUMIFS(Versuchsdaten!$F$2:$F$1117,Versuchsdaten!$A$2:$A$1117,$A71,Versuchsdaten!$B$2:$B$1117,$B71,Versuchsdaten!$C$2:$C$1117,"Sprint_5m",Versuchsdaten!$E$2:$E$1117,$E71,Versuchsdaten!$J$2:$J$1117,1),""))</f>
        <v/>
      </c>
      <c r="L71" s="22">
        <f>IF(LEFT(C71,7)&lt;&gt;"Sprint_","",IF(COUNTIFS(Versuchsdaten!$A$2:$A$1117,$A71,Versuchsdaten!$B$2:$B$1117,$B71,Versuchsdaten!$C$2:$C$1117,"Sprint_10m",Versuchsdaten!$E$2:$E$1117,$E71,Versuchsdaten!$J$2:$J$1117,1)=1,SUMIFS(Versuchsdaten!$F$2:$F$1117,Versuchsdaten!$A$2:$A$1117,$A71,Versuchsdaten!$B$2:$B$1117,$B71,Versuchsdaten!$C$2:$C$1117,"Sprint_10m",Versuchsdaten!$E$2:$E$1117,$E71,Versuchsdaten!$J$2:$J$1117,1),""))</f>
        <v/>
      </c>
      <c r="M71" s="22">
        <f>IF(LEFT(C71,7)&lt;&gt;"Sprint_","",IF(COUNTIFS(Versuchsdaten!$A$2:$A$1117,$A71,Versuchsdaten!$B$2:$B$1117,$B71,Versuchsdaten!$C$2:$C$1117,"Sprint_30m",Versuchsdaten!$E$2:$E$1117,$E71,Versuchsdaten!$J$2:$J$1117,1)=1,SUMIFS(Versuchsdaten!$F$2:$F$1117,Versuchsdaten!$A$2:$A$1117,$A71,Versuchsdaten!$B$2:$B$1117,$B71,Versuchsdaten!$C$2:$C$1117,"Sprint_30m",Versuchsdaten!$E$2:$E$1117,$E71,Versuchsdaten!$J$2:$J$1117,1),""))</f>
        <v/>
      </c>
      <c r="N71" s="22">
        <f>IF(LEFT(C71,7)&lt;&gt;"Sprint_",0,IF(IF(ISNUMBER(K71),IF(K71&lt;=0,1,IF(5/K71&gt;10,1,0)),0)+IF(ISNUMBER(L71),IF(ISNUMBER(K71),IF(L71-K71&lt;=0,1,IF(5/(L71-K71)&gt;10,1,0)),IF(L71&lt;=0,1,IF(10/L71&gt;10,1,0))),0)+IF(ISNUMBER(M71),IF(ISNUMBER(L71),IF(M71-L71&lt;=0,1,IF(20/(M71-L71)&gt;10,1,0)),IF(ISNUMBER(K71),IF(M71-K71&lt;=0,1,IF(25/(M71-K71)&gt;10,1,0)),IF(M71&lt;=0,1,IF(30/M71&gt;10,1,0)))),0)&gt;0,1,0))</f>
        <v/>
      </c>
      <c r="O71" s="22">
        <f>IF(AND(J71=1,N71=0),1,0)</f>
        <v/>
      </c>
      <c r="P71" s="22">
        <f>INDEX(Personendaten!$J$2:$J$32,MATCH(A71,Personendaten!$A$2:$A$32,0))</f>
        <v/>
      </c>
      <c r="Q71" s="22">
        <f>IF(O71=1,"",IF(AND(B71="post",P71="nicht angetreten"),"NANG",IF(N71=1,"AUSL",IFERROR(VLOOKUP(H71,Vokabular!$A$2:$B$8,2,FALSE),"UNBEKANNT"))))</f>
        <v/>
      </c>
    </row>
    <row r="72">
      <c r="A72" s="5" t="inlineStr">
        <is>
          <t>BW-05</t>
        </is>
      </c>
      <c r="B72" s="5" t="inlineStr">
        <is>
          <t>prä</t>
        </is>
      </c>
      <c r="C72" s="5" t="inlineStr">
        <is>
          <t>COD_505</t>
        </is>
      </c>
      <c r="D72" s="5" t="inlineStr">
        <is>
          <t>R</t>
        </is>
      </c>
      <c r="E72" s="5" t="n">
        <v>2</v>
      </c>
      <c r="F72" s="5" t="n">
        <v>2.49</v>
      </c>
      <c r="G72" s="5" t="n"/>
      <c r="H72" s="5" t="n"/>
      <c r="I72" s="22">
        <f>INDEX(Personendaten!$C$2:$C$32,MATCH(A72,Personendaten!$A$2:$A$32,0))</f>
        <v/>
      </c>
      <c r="J72" s="22">
        <f>IF(AND(F72&lt;&gt;"",G72=""),1,0)</f>
        <v/>
      </c>
      <c r="K72" s="22">
        <f>IF(LEFT(C72,7)&lt;&gt;"Sprint_","",IF(COUNTIFS(Versuchsdaten!$A$2:$A$1117,$A72,Versuchsdaten!$B$2:$B$1117,$B72,Versuchsdaten!$C$2:$C$1117,"Sprint_5m",Versuchsdaten!$E$2:$E$1117,$E72,Versuchsdaten!$J$2:$J$1117,1)=1,SUMIFS(Versuchsdaten!$F$2:$F$1117,Versuchsdaten!$A$2:$A$1117,$A72,Versuchsdaten!$B$2:$B$1117,$B72,Versuchsdaten!$C$2:$C$1117,"Sprint_5m",Versuchsdaten!$E$2:$E$1117,$E72,Versuchsdaten!$J$2:$J$1117,1),""))</f>
        <v/>
      </c>
      <c r="L72" s="22">
        <f>IF(LEFT(C72,7)&lt;&gt;"Sprint_","",IF(COUNTIFS(Versuchsdaten!$A$2:$A$1117,$A72,Versuchsdaten!$B$2:$B$1117,$B72,Versuchsdaten!$C$2:$C$1117,"Sprint_10m",Versuchsdaten!$E$2:$E$1117,$E72,Versuchsdaten!$J$2:$J$1117,1)=1,SUMIFS(Versuchsdaten!$F$2:$F$1117,Versuchsdaten!$A$2:$A$1117,$A72,Versuchsdaten!$B$2:$B$1117,$B72,Versuchsdaten!$C$2:$C$1117,"Sprint_10m",Versuchsdaten!$E$2:$E$1117,$E72,Versuchsdaten!$J$2:$J$1117,1),""))</f>
        <v/>
      </c>
      <c r="M72" s="22">
        <f>IF(LEFT(C72,7)&lt;&gt;"Sprint_","",IF(COUNTIFS(Versuchsdaten!$A$2:$A$1117,$A72,Versuchsdaten!$B$2:$B$1117,$B72,Versuchsdaten!$C$2:$C$1117,"Sprint_30m",Versuchsdaten!$E$2:$E$1117,$E72,Versuchsdaten!$J$2:$J$1117,1)=1,SUMIFS(Versuchsdaten!$F$2:$F$1117,Versuchsdaten!$A$2:$A$1117,$A72,Versuchsdaten!$B$2:$B$1117,$B72,Versuchsdaten!$C$2:$C$1117,"Sprint_30m",Versuchsdaten!$E$2:$E$1117,$E72,Versuchsdaten!$J$2:$J$1117,1),""))</f>
        <v/>
      </c>
      <c r="N72" s="22">
        <f>IF(LEFT(C72,7)&lt;&gt;"Sprint_",0,IF(IF(ISNUMBER(K72),IF(K72&lt;=0,1,IF(5/K72&gt;10,1,0)),0)+IF(ISNUMBER(L72),IF(ISNUMBER(K72),IF(L72-K72&lt;=0,1,IF(5/(L72-K72)&gt;10,1,0)),IF(L72&lt;=0,1,IF(10/L72&gt;10,1,0))),0)+IF(ISNUMBER(M72),IF(ISNUMBER(L72),IF(M72-L72&lt;=0,1,IF(20/(M72-L72)&gt;10,1,0)),IF(ISNUMBER(K72),IF(M72-K72&lt;=0,1,IF(25/(M72-K72)&gt;10,1,0)),IF(M72&lt;=0,1,IF(30/M72&gt;10,1,0)))),0)&gt;0,1,0))</f>
        <v/>
      </c>
      <c r="O72" s="22">
        <f>IF(AND(J72=1,N72=0),1,0)</f>
        <v/>
      </c>
      <c r="P72" s="22">
        <f>INDEX(Personendaten!$J$2:$J$32,MATCH(A72,Personendaten!$A$2:$A$32,0))</f>
        <v/>
      </c>
      <c r="Q72" s="22">
        <f>IF(O72=1,"",IF(AND(B72="post",P72="nicht angetreten"),"NANG",IF(N72=1,"AUSL",IFERROR(VLOOKUP(H72,Vokabular!$A$2:$B$8,2,FALSE),"UNBEKANNT"))))</f>
        <v/>
      </c>
    </row>
    <row r="73">
      <c r="A73" s="5" t="inlineStr">
        <is>
          <t>BW-05</t>
        </is>
      </c>
      <c r="B73" s="5" t="inlineStr">
        <is>
          <t>prä</t>
        </is>
      </c>
      <c r="C73" s="5" t="inlineStr">
        <is>
          <t>COD_505</t>
        </is>
      </c>
      <c r="D73" s="5" t="inlineStr">
        <is>
          <t>R</t>
        </is>
      </c>
      <c r="E73" s="5" t="n">
        <v>3</v>
      </c>
      <c r="F73" s="5" t="n"/>
      <c r="G73" s="5" t="n"/>
      <c r="H73" s="5" t="inlineStr">
        <is>
          <t>Nur 2 Versuche aus Zeitmangel</t>
        </is>
      </c>
      <c r="I73" s="22">
        <f>INDEX(Personendaten!$C$2:$C$32,MATCH(A73,Personendaten!$A$2:$A$32,0))</f>
        <v/>
      </c>
      <c r="J73" s="22">
        <f>IF(AND(F73&lt;&gt;"",G73=""),1,0)</f>
        <v/>
      </c>
      <c r="K73" s="22">
        <f>IF(LEFT(C73,7)&lt;&gt;"Sprint_","",IF(COUNTIFS(Versuchsdaten!$A$2:$A$1117,$A73,Versuchsdaten!$B$2:$B$1117,$B73,Versuchsdaten!$C$2:$C$1117,"Sprint_5m",Versuchsdaten!$E$2:$E$1117,$E73,Versuchsdaten!$J$2:$J$1117,1)=1,SUMIFS(Versuchsdaten!$F$2:$F$1117,Versuchsdaten!$A$2:$A$1117,$A73,Versuchsdaten!$B$2:$B$1117,$B73,Versuchsdaten!$C$2:$C$1117,"Sprint_5m",Versuchsdaten!$E$2:$E$1117,$E73,Versuchsdaten!$J$2:$J$1117,1),""))</f>
        <v/>
      </c>
      <c r="L73" s="22">
        <f>IF(LEFT(C73,7)&lt;&gt;"Sprint_","",IF(COUNTIFS(Versuchsdaten!$A$2:$A$1117,$A73,Versuchsdaten!$B$2:$B$1117,$B73,Versuchsdaten!$C$2:$C$1117,"Sprint_10m",Versuchsdaten!$E$2:$E$1117,$E73,Versuchsdaten!$J$2:$J$1117,1)=1,SUMIFS(Versuchsdaten!$F$2:$F$1117,Versuchsdaten!$A$2:$A$1117,$A73,Versuchsdaten!$B$2:$B$1117,$B73,Versuchsdaten!$C$2:$C$1117,"Sprint_10m",Versuchsdaten!$E$2:$E$1117,$E73,Versuchsdaten!$J$2:$J$1117,1),""))</f>
        <v/>
      </c>
      <c r="M73" s="22">
        <f>IF(LEFT(C73,7)&lt;&gt;"Sprint_","",IF(COUNTIFS(Versuchsdaten!$A$2:$A$1117,$A73,Versuchsdaten!$B$2:$B$1117,$B73,Versuchsdaten!$C$2:$C$1117,"Sprint_30m",Versuchsdaten!$E$2:$E$1117,$E73,Versuchsdaten!$J$2:$J$1117,1)=1,SUMIFS(Versuchsdaten!$F$2:$F$1117,Versuchsdaten!$A$2:$A$1117,$A73,Versuchsdaten!$B$2:$B$1117,$B73,Versuchsdaten!$C$2:$C$1117,"Sprint_30m",Versuchsdaten!$E$2:$E$1117,$E73,Versuchsdaten!$J$2:$J$1117,1),""))</f>
        <v/>
      </c>
      <c r="N73" s="22">
        <f>IF(LEFT(C73,7)&lt;&gt;"Sprint_",0,IF(IF(ISNUMBER(K73),IF(K73&lt;=0,1,IF(5/K73&gt;10,1,0)),0)+IF(ISNUMBER(L73),IF(ISNUMBER(K73),IF(L73-K73&lt;=0,1,IF(5/(L73-K73)&gt;10,1,0)),IF(L73&lt;=0,1,IF(10/L73&gt;10,1,0))),0)+IF(ISNUMBER(M73),IF(ISNUMBER(L73),IF(M73-L73&lt;=0,1,IF(20/(M73-L73)&gt;10,1,0)),IF(ISNUMBER(K73),IF(M73-K73&lt;=0,1,IF(25/(M73-K73)&gt;10,1,0)),IF(M73&lt;=0,1,IF(30/M73&gt;10,1,0)))),0)&gt;0,1,0))</f>
        <v/>
      </c>
      <c r="O73" s="22">
        <f>IF(AND(J73=1,N73=0),1,0)</f>
        <v/>
      </c>
      <c r="P73" s="22">
        <f>INDEX(Personendaten!$J$2:$J$32,MATCH(A73,Personendaten!$A$2:$A$32,0))</f>
        <v/>
      </c>
      <c r="Q73" s="22">
        <f>IF(O73=1,"",IF(AND(B73="post",P73="nicht angetreten"),"NANG",IF(N73=1,"AUSL",IFERROR(VLOOKUP(H73,Vokabular!$A$2:$B$8,2,FALSE),"UNBEKANNT"))))</f>
        <v/>
      </c>
    </row>
    <row r="74">
      <c r="A74" s="5" t="inlineStr">
        <is>
          <t>BW-06</t>
        </is>
      </c>
      <c r="B74" s="5" t="inlineStr">
        <is>
          <t>prä</t>
        </is>
      </c>
      <c r="C74" s="5" t="inlineStr">
        <is>
          <t>Sprint_5m</t>
        </is>
      </c>
      <c r="D74" s="5" t="inlineStr">
        <is>
          <t>–</t>
        </is>
      </c>
      <c r="E74" s="5" t="n">
        <v>1</v>
      </c>
      <c r="F74" s="5" t="n">
        <v>1.02</v>
      </c>
      <c r="G74" s="5" t="n"/>
      <c r="H74" s="5" t="n"/>
      <c r="I74" s="22">
        <f>INDEX(Personendaten!$C$2:$C$32,MATCH(A74,Personendaten!$A$2:$A$32,0))</f>
        <v/>
      </c>
      <c r="J74" s="22">
        <f>IF(AND(F74&lt;&gt;"",G74=""),1,0)</f>
        <v/>
      </c>
      <c r="K74" s="22">
        <f>IF(LEFT(C74,7)&lt;&gt;"Sprint_","",IF(COUNTIFS(Versuchsdaten!$A$2:$A$1117,$A74,Versuchsdaten!$B$2:$B$1117,$B74,Versuchsdaten!$C$2:$C$1117,"Sprint_5m",Versuchsdaten!$E$2:$E$1117,$E74,Versuchsdaten!$J$2:$J$1117,1)=1,SUMIFS(Versuchsdaten!$F$2:$F$1117,Versuchsdaten!$A$2:$A$1117,$A74,Versuchsdaten!$B$2:$B$1117,$B74,Versuchsdaten!$C$2:$C$1117,"Sprint_5m",Versuchsdaten!$E$2:$E$1117,$E74,Versuchsdaten!$J$2:$J$1117,1),""))</f>
        <v/>
      </c>
      <c r="L74" s="22">
        <f>IF(LEFT(C74,7)&lt;&gt;"Sprint_","",IF(COUNTIFS(Versuchsdaten!$A$2:$A$1117,$A74,Versuchsdaten!$B$2:$B$1117,$B74,Versuchsdaten!$C$2:$C$1117,"Sprint_10m",Versuchsdaten!$E$2:$E$1117,$E74,Versuchsdaten!$J$2:$J$1117,1)=1,SUMIFS(Versuchsdaten!$F$2:$F$1117,Versuchsdaten!$A$2:$A$1117,$A74,Versuchsdaten!$B$2:$B$1117,$B74,Versuchsdaten!$C$2:$C$1117,"Sprint_10m",Versuchsdaten!$E$2:$E$1117,$E74,Versuchsdaten!$J$2:$J$1117,1),""))</f>
        <v/>
      </c>
      <c r="M74" s="22">
        <f>IF(LEFT(C74,7)&lt;&gt;"Sprint_","",IF(COUNTIFS(Versuchsdaten!$A$2:$A$1117,$A74,Versuchsdaten!$B$2:$B$1117,$B74,Versuchsdaten!$C$2:$C$1117,"Sprint_30m",Versuchsdaten!$E$2:$E$1117,$E74,Versuchsdaten!$J$2:$J$1117,1)=1,SUMIFS(Versuchsdaten!$F$2:$F$1117,Versuchsdaten!$A$2:$A$1117,$A74,Versuchsdaten!$B$2:$B$1117,$B74,Versuchsdaten!$C$2:$C$1117,"Sprint_30m",Versuchsdaten!$E$2:$E$1117,$E74,Versuchsdaten!$J$2:$J$1117,1),""))</f>
        <v/>
      </c>
      <c r="N74" s="22">
        <f>IF(LEFT(C74,7)&lt;&gt;"Sprint_",0,IF(IF(ISNUMBER(K74),IF(K74&lt;=0,1,IF(5/K74&gt;10,1,0)),0)+IF(ISNUMBER(L74),IF(ISNUMBER(K74),IF(L74-K74&lt;=0,1,IF(5/(L74-K74)&gt;10,1,0)),IF(L74&lt;=0,1,IF(10/L74&gt;10,1,0))),0)+IF(ISNUMBER(M74),IF(ISNUMBER(L74),IF(M74-L74&lt;=0,1,IF(20/(M74-L74)&gt;10,1,0)),IF(ISNUMBER(K74),IF(M74-K74&lt;=0,1,IF(25/(M74-K74)&gt;10,1,0)),IF(M74&lt;=0,1,IF(30/M74&gt;10,1,0)))),0)&gt;0,1,0))</f>
        <v/>
      </c>
      <c r="O74" s="22">
        <f>IF(AND(J74=1,N74=0),1,0)</f>
        <v/>
      </c>
      <c r="P74" s="22">
        <f>INDEX(Personendaten!$J$2:$J$32,MATCH(A74,Personendaten!$A$2:$A$32,0))</f>
        <v/>
      </c>
      <c r="Q74" s="22">
        <f>IF(O74=1,"",IF(AND(B74="post",P74="nicht angetreten"),"NANG",IF(N74=1,"AUSL",IFERROR(VLOOKUP(H74,Vokabular!$A$2:$B$8,2,FALSE),"UNBEKANNT"))))</f>
        <v/>
      </c>
    </row>
    <row r="75">
      <c r="A75" s="5" t="inlineStr">
        <is>
          <t>BW-06</t>
        </is>
      </c>
      <c r="B75" s="5" t="inlineStr">
        <is>
          <t>prä</t>
        </is>
      </c>
      <c r="C75" s="5" t="inlineStr">
        <is>
          <t>Sprint_5m</t>
        </is>
      </c>
      <c r="D75" s="5" t="inlineStr">
        <is>
          <t>–</t>
        </is>
      </c>
      <c r="E75" s="5" t="n">
        <v>2</v>
      </c>
      <c r="F75" s="5" t="n">
        <v>1.06</v>
      </c>
      <c r="G75" s="5" t="n"/>
      <c r="H75" s="5" t="n"/>
      <c r="I75" s="22">
        <f>INDEX(Personendaten!$C$2:$C$32,MATCH(A75,Personendaten!$A$2:$A$32,0))</f>
        <v/>
      </c>
      <c r="J75" s="22">
        <f>IF(AND(F75&lt;&gt;"",G75=""),1,0)</f>
        <v/>
      </c>
      <c r="K75" s="22">
        <f>IF(LEFT(C75,7)&lt;&gt;"Sprint_","",IF(COUNTIFS(Versuchsdaten!$A$2:$A$1117,$A75,Versuchsdaten!$B$2:$B$1117,$B75,Versuchsdaten!$C$2:$C$1117,"Sprint_5m",Versuchsdaten!$E$2:$E$1117,$E75,Versuchsdaten!$J$2:$J$1117,1)=1,SUMIFS(Versuchsdaten!$F$2:$F$1117,Versuchsdaten!$A$2:$A$1117,$A75,Versuchsdaten!$B$2:$B$1117,$B75,Versuchsdaten!$C$2:$C$1117,"Sprint_5m",Versuchsdaten!$E$2:$E$1117,$E75,Versuchsdaten!$J$2:$J$1117,1),""))</f>
        <v/>
      </c>
      <c r="L75" s="22">
        <f>IF(LEFT(C75,7)&lt;&gt;"Sprint_","",IF(COUNTIFS(Versuchsdaten!$A$2:$A$1117,$A75,Versuchsdaten!$B$2:$B$1117,$B75,Versuchsdaten!$C$2:$C$1117,"Sprint_10m",Versuchsdaten!$E$2:$E$1117,$E75,Versuchsdaten!$J$2:$J$1117,1)=1,SUMIFS(Versuchsdaten!$F$2:$F$1117,Versuchsdaten!$A$2:$A$1117,$A75,Versuchsdaten!$B$2:$B$1117,$B75,Versuchsdaten!$C$2:$C$1117,"Sprint_10m",Versuchsdaten!$E$2:$E$1117,$E75,Versuchsdaten!$J$2:$J$1117,1),""))</f>
        <v/>
      </c>
      <c r="M75" s="22">
        <f>IF(LEFT(C75,7)&lt;&gt;"Sprint_","",IF(COUNTIFS(Versuchsdaten!$A$2:$A$1117,$A75,Versuchsdaten!$B$2:$B$1117,$B75,Versuchsdaten!$C$2:$C$1117,"Sprint_30m",Versuchsdaten!$E$2:$E$1117,$E75,Versuchsdaten!$J$2:$J$1117,1)=1,SUMIFS(Versuchsdaten!$F$2:$F$1117,Versuchsdaten!$A$2:$A$1117,$A75,Versuchsdaten!$B$2:$B$1117,$B75,Versuchsdaten!$C$2:$C$1117,"Sprint_30m",Versuchsdaten!$E$2:$E$1117,$E75,Versuchsdaten!$J$2:$J$1117,1),""))</f>
        <v/>
      </c>
      <c r="N75" s="22">
        <f>IF(LEFT(C75,7)&lt;&gt;"Sprint_",0,IF(IF(ISNUMBER(K75),IF(K75&lt;=0,1,IF(5/K75&gt;10,1,0)),0)+IF(ISNUMBER(L75),IF(ISNUMBER(K75),IF(L75-K75&lt;=0,1,IF(5/(L75-K75)&gt;10,1,0)),IF(L75&lt;=0,1,IF(10/L75&gt;10,1,0))),0)+IF(ISNUMBER(M75),IF(ISNUMBER(L75),IF(M75-L75&lt;=0,1,IF(20/(M75-L75)&gt;10,1,0)),IF(ISNUMBER(K75),IF(M75-K75&lt;=0,1,IF(25/(M75-K75)&gt;10,1,0)),IF(M75&lt;=0,1,IF(30/M75&gt;10,1,0)))),0)&gt;0,1,0))</f>
        <v/>
      </c>
      <c r="O75" s="22">
        <f>IF(AND(J75=1,N75=0),1,0)</f>
        <v/>
      </c>
      <c r="P75" s="22">
        <f>INDEX(Personendaten!$J$2:$J$32,MATCH(A75,Personendaten!$A$2:$A$32,0))</f>
        <v/>
      </c>
      <c r="Q75" s="22">
        <f>IF(O75=1,"",IF(AND(B75="post",P75="nicht angetreten"),"NANG",IF(N75=1,"AUSL",IFERROR(VLOOKUP(H75,Vokabular!$A$2:$B$8,2,FALSE),"UNBEKANNT"))))</f>
        <v/>
      </c>
    </row>
    <row r="76">
      <c r="A76" s="5" t="inlineStr">
        <is>
          <t>BW-06</t>
        </is>
      </c>
      <c r="B76" s="5" t="inlineStr">
        <is>
          <t>prä</t>
        </is>
      </c>
      <c r="C76" s="5" t="inlineStr">
        <is>
          <t>Sprint_5m</t>
        </is>
      </c>
      <c r="D76" s="5" t="inlineStr">
        <is>
          <t>–</t>
        </is>
      </c>
      <c r="E76" s="5" t="n">
        <v>3</v>
      </c>
      <c r="F76" s="5" t="n">
        <v>1.05</v>
      </c>
      <c r="G76" s="5" t="n"/>
      <c r="H76" s="5" t="n"/>
      <c r="I76" s="22">
        <f>INDEX(Personendaten!$C$2:$C$32,MATCH(A76,Personendaten!$A$2:$A$32,0))</f>
        <v/>
      </c>
      <c r="J76" s="22">
        <f>IF(AND(F76&lt;&gt;"",G76=""),1,0)</f>
        <v/>
      </c>
      <c r="K76" s="22">
        <f>IF(LEFT(C76,7)&lt;&gt;"Sprint_","",IF(COUNTIFS(Versuchsdaten!$A$2:$A$1117,$A76,Versuchsdaten!$B$2:$B$1117,$B76,Versuchsdaten!$C$2:$C$1117,"Sprint_5m",Versuchsdaten!$E$2:$E$1117,$E76,Versuchsdaten!$J$2:$J$1117,1)=1,SUMIFS(Versuchsdaten!$F$2:$F$1117,Versuchsdaten!$A$2:$A$1117,$A76,Versuchsdaten!$B$2:$B$1117,$B76,Versuchsdaten!$C$2:$C$1117,"Sprint_5m",Versuchsdaten!$E$2:$E$1117,$E76,Versuchsdaten!$J$2:$J$1117,1),""))</f>
        <v/>
      </c>
      <c r="L76" s="22">
        <f>IF(LEFT(C76,7)&lt;&gt;"Sprint_","",IF(COUNTIFS(Versuchsdaten!$A$2:$A$1117,$A76,Versuchsdaten!$B$2:$B$1117,$B76,Versuchsdaten!$C$2:$C$1117,"Sprint_10m",Versuchsdaten!$E$2:$E$1117,$E76,Versuchsdaten!$J$2:$J$1117,1)=1,SUMIFS(Versuchsdaten!$F$2:$F$1117,Versuchsdaten!$A$2:$A$1117,$A76,Versuchsdaten!$B$2:$B$1117,$B76,Versuchsdaten!$C$2:$C$1117,"Sprint_10m",Versuchsdaten!$E$2:$E$1117,$E76,Versuchsdaten!$J$2:$J$1117,1),""))</f>
        <v/>
      </c>
      <c r="M76" s="22">
        <f>IF(LEFT(C76,7)&lt;&gt;"Sprint_","",IF(COUNTIFS(Versuchsdaten!$A$2:$A$1117,$A76,Versuchsdaten!$B$2:$B$1117,$B76,Versuchsdaten!$C$2:$C$1117,"Sprint_30m",Versuchsdaten!$E$2:$E$1117,$E76,Versuchsdaten!$J$2:$J$1117,1)=1,SUMIFS(Versuchsdaten!$F$2:$F$1117,Versuchsdaten!$A$2:$A$1117,$A76,Versuchsdaten!$B$2:$B$1117,$B76,Versuchsdaten!$C$2:$C$1117,"Sprint_30m",Versuchsdaten!$E$2:$E$1117,$E76,Versuchsdaten!$J$2:$J$1117,1),""))</f>
        <v/>
      </c>
      <c r="N76" s="22">
        <f>IF(LEFT(C76,7)&lt;&gt;"Sprint_",0,IF(IF(ISNUMBER(K76),IF(K76&lt;=0,1,IF(5/K76&gt;10,1,0)),0)+IF(ISNUMBER(L76),IF(ISNUMBER(K76),IF(L76-K76&lt;=0,1,IF(5/(L76-K76)&gt;10,1,0)),IF(L76&lt;=0,1,IF(10/L76&gt;10,1,0))),0)+IF(ISNUMBER(M76),IF(ISNUMBER(L76),IF(M76-L76&lt;=0,1,IF(20/(M76-L76)&gt;10,1,0)),IF(ISNUMBER(K76),IF(M76-K76&lt;=0,1,IF(25/(M76-K76)&gt;10,1,0)),IF(M76&lt;=0,1,IF(30/M76&gt;10,1,0)))),0)&gt;0,1,0))</f>
        <v/>
      </c>
      <c r="O76" s="22">
        <f>IF(AND(J76=1,N76=0),1,0)</f>
        <v/>
      </c>
      <c r="P76" s="22">
        <f>INDEX(Personendaten!$J$2:$J$32,MATCH(A76,Personendaten!$A$2:$A$32,0))</f>
        <v/>
      </c>
      <c r="Q76" s="22">
        <f>IF(O76=1,"",IF(AND(B76="post",P76="nicht angetreten"),"NANG",IF(N76=1,"AUSL",IFERROR(VLOOKUP(H76,Vokabular!$A$2:$B$8,2,FALSE),"UNBEKANNT"))))</f>
        <v/>
      </c>
    </row>
    <row r="77">
      <c r="A77" s="5" t="inlineStr">
        <is>
          <t>BW-06</t>
        </is>
      </c>
      <c r="B77" s="5" t="inlineStr">
        <is>
          <t>prä</t>
        </is>
      </c>
      <c r="C77" s="5" t="inlineStr">
        <is>
          <t>Sprint_10m</t>
        </is>
      </c>
      <c r="D77" s="5" t="inlineStr">
        <is>
          <t>–</t>
        </is>
      </c>
      <c r="E77" s="5" t="n">
        <v>1</v>
      </c>
      <c r="F77" s="5" t="n">
        <v>1.84</v>
      </c>
      <c r="G77" s="5" t="n"/>
      <c r="H77" s="5" t="n"/>
      <c r="I77" s="22">
        <f>INDEX(Personendaten!$C$2:$C$32,MATCH(A77,Personendaten!$A$2:$A$32,0))</f>
        <v/>
      </c>
      <c r="J77" s="22">
        <f>IF(AND(F77&lt;&gt;"",G77=""),1,0)</f>
        <v/>
      </c>
      <c r="K77" s="22">
        <f>IF(LEFT(C77,7)&lt;&gt;"Sprint_","",IF(COUNTIFS(Versuchsdaten!$A$2:$A$1117,$A77,Versuchsdaten!$B$2:$B$1117,$B77,Versuchsdaten!$C$2:$C$1117,"Sprint_5m",Versuchsdaten!$E$2:$E$1117,$E77,Versuchsdaten!$J$2:$J$1117,1)=1,SUMIFS(Versuchsdaten!$F$2:$F$1117,Versuchsdaten!$A$2:$A$1117,$A77,Versuchsdaten!$B$2:$B$1117,$B77,Versuchsdaten!$C$2:$C$1117,"Sprint_5m",Versuchsdaten!$E$2:$E$1117,$E77,Versuchsdaten!$J$2:$J$1117,1),""))</f>
        <v/>
      </c>
      <c r="L77" s="22">
        <f>IF(LEFT(C77,7)&lt;&gt;"Sprint_","",IF(COUNTIFS(Versuchsdaten!$A$2:$A$1117,$A77,Versuchsdaten!$B$2:$B$1117,$B77,Versuchsdaten!$C$2:$C$1117,"Sprint_10m",Versuchsdaten!$E$2:$E$1117,$E77,Versuchsdaten!$J$2:$J$1117,1)=1,SUMIFS(Versuchsdaten!$F$2:$F$1117,Versuchsdaten!$A$2:$A$1117,$A77,Versuchsdaten!$B$2:$B$1117,$B77,Versuchsdaten!$C$2:$C$1117,"Sprint_10m",Versuchsdaten!$E$2:$E$1117,$E77,Versuchsdaten!$J$2:$J$1117,1),""))</f>
        <v/>
      </c>
      <c r="M77" s="22">
        <f>IF(LEFT(C77,7)&lt;&gt;"Sprint_","",IF(COUNTIFS(Versuchsdaten!$A$2:$A$1117,$A77,Versuchsdaten!$B$2:$B$1117,$B77,Versuchsdaten!$C$2:$C$1117,"Sprint_30m",Versuchsdaten!$E$2:$E$1117,$E77,Versuchsdaten!$J$2:$J$1117,1)=1,SUMIFS(Versuchsdaten!$F$2:$F$1117,Versuchsdaten!$A$2:$A$1117,$A77,Versuchsdaten!$B$2:$B$1117,$B77,Versuchsdaten!$C$2:$C$1117,"Sprint_30m",Versuchsdaten!$E$2:$E$1117,$E77,Versuchsdaten!$J$2:$J$1117,1),""))</f>
        <v/>
      </c>
      <c r="N77" s="22">
        <f>IF(LEFT(C77,7)&lt;&gt;"Sprint_",0,IF(IF(ISNUMBER(K77),IF(K77&lt;=0,1,IF(5/K77&gt;10,1,0)),0)+IF(ISNUMBER(L77),IF(ISNUMBER(K77),IF(L77-K77&lt;=0,1,IF(5/(L77-K77)&gt;10,1,0)),IF(L77&lt;=0,1,IF(10/L77&gt;10,1,0))),0)+IF(ISNUMBER(M77),IF(ISNUMBER(L77),IF(M77-L77&lt;=0,1,IF(20/(M77-L77)&gt;10,1,0)),IF(ISNUMBER(K77),IF(M77-K77&lt;=0,1,IF(25/(M77-K77)&gt;10,1,0)),IF(M77&lt;=0,1,IF(30/M77&gt;10,1,0)))),0)&gt;0,1,0))</f>
        <v/>
      </c>
      <c r="O77" s="22">
        <f>IF(AND(J77=1,N77=0),1,0)</f>
        <v/>
      </c>
      <c r="P77" s="22">
        <f>INDEX(Personendaten!$J$2:$J$32,MATCH(A77,Personendaten!$A$2:$A$32,0))</f>
        <v/>
      </c>
      <c r="Q77" s="22">
        <f>IF(O77=1,"",IF(AND(B77="post",P77="nicht angetreten"),"NANG",IF(N77=1,"AUSL",IFERROR(VLOOKUP(H77,Vokabular!$A$2:$B$8,2,FALSE),"UNBEKANNT"))))</f>
        <v/>
      </c>
    </row>
    <row r="78">
      <c r="A78" s="5" t="inlineStr">
        <is>
          <t>BW-06</t>
        </is>
      </c>
      <c r="B78" s="5" t="inlineStr">
        <is>
          <t>prä</t>
        </is>
      </c>
      <c r="C78" s="5" t="inlineStr">
        <is>
          <t>Sprint_10m</t>
        </is>
      </c>
      <c r="D78" s="5" t="inlineStr">
        <is>
          <t>–</t>
        </is>
      </c>
      <c r="E78" s="5" t="n">
        <v>2</v>
      </c>
      <c r="F78" s="5" t="n">
        <v>1.87</v>
      </c>
      <c r="G78" s="5" t="n"/>
      <c r="H78" s="5" t="n"/>
      <c r="I78" s="22">
        <f>INDEX(Personendaten!$C$2:$C$32,MATCH(A78,Personendaten!$A$2:$A$32,0))</f>
        <v/>
      </c>
      <c r="J78" s="22">
        <f>IF(AND(F78&lt;&gt;"",G78=""),1,0)</f>
        <v/>
      </c>
      <c r="K78" s="22">
        <f>IF(LEFT(C78,7)&lt;&gt;"Sprint_","",IF(COUNTIFS(Versuchsdaten!$A$2:$A$1117,$A78,Versuchsdaten!$B$2:$B$1117,$B78,Versuchsdaten!$C$2:$C$1117,"Sprint_5m",Versuchsdaten!$E$2:$E$1117,$E78,Versuchsdaten!$J$2:$J$1117,1)=1,SUMIFS(Versuchsdaten!$F$2:$F$1117,Versuchsdaten!$A$2:$A$1117,$A78,Versuchsdaten!$B$2:$B$1117,$B78,Versuchsdaten!$C$2:$C$1117,"Sprint_5m",Versuchsdaten!$E$2:$E$1117,$E78,Versuchsdaten!$J$2:$J$1117,1),""))</f>
        <v/>
      </c>
      <c r="L78" s="22">
        <f>IF(LEFT(C78,7)&lt;&gt;"Sprint_","",IF(COUNTIFS(Versuchsdaten!$A$2:$A$1117,$A78,Versuchsdaten!$B$2:$B$1117,$B78,Versuchsdaten!$C$2:$C$1117,"Sprint_10m",Versuchsdaten!$E$2:$E$1117,$E78,Versuchsdaten!$J$2:$J$1117,1)=1,SUMIFS(Versuchsdaten!$F$2:$F$1117,Versuchsdaten!$A$2:$A$1117,$A78,Versuchsdaten!$B$2:$B$1117,$B78,Versuchsdaten!$C$2:$C$1117,"Sprint_10m",Versuchsdaten!$E$2:$E$1117,$E78,Versuchsdaten!$J$2:$J$1117,1),""))</f>
        <v/>
      </c>
      <c r="M78" s="22">
        <f>IF(LEFT(C78,7)&lt;&gt;"Sprint_","",IF(COUNTIFS(Versuchsdaten!$A$2:$A$1117,$A78,Versuchsdaten!$B$2:$B$1117,$B78,Versuchsdaten!$C$2:$C$1117,"Sprint_30m",Versuchsdaten!$E$2:$E$1117,$E78,Versuchsdaten!$J$2:$J$1117,1)=1,SUMIFS(Versuchsdaten!$F$2:$F$1117,Versuchsdaten!$A$2:$A$1117,$A78,Versuchsdaten!$B$2:$B$1117,$B78,Versuchsdaten!$C$2:$C$1117,"Sprint_30m",Versuchsdaten!$E$2:$E$1117,$E78,Versuchsdaten!$J$2:$J$1117,1),""))</f>
        <v/>
      </c>
      <c r="N78" s="22">
        <f>IF(LEFT(C78,7)&lt;&gt;"Sprint_",0,IF(IF(ISNUMBER(K78),IF(K78&lt;=0,1,IF(5/K78&gt;10,1,0)),0)+IF(ISNUMBER(L78),IF(ISNUMBER(K78),IF(L78-K78&lt;=0,1,IF(5/(L78-K78)&gt;10,1,0)),IF(L78&lt;=0,1,IF(10/L78&gt;10,1,0))),0)+IF(ISNUMBER(M78),IF(ISNUMBER(L78),IF(M78-L78&lt;=0,1,IF(20/(M78-L78)&gt;10,1,0)),IF(ISNUMBER(K78),IF(M78-K78&lt;=0,1,IF(25/(M78-K78)&gt;10,1,0)),IF(M78&lt;=0,1,IF(30/M78&gt;10,1,0)))),0)&gt;0,1,0))</f>
        <v/>
      </c>
      <c r="O78" s="22">
        <f>IF(AND(J78=1,N78=0),1,0)</f>
        <v/>
      </c>
      <c r="P78" s="22">
        <f>INDEX(Personendaten!$J$2:$J$32,MATCH(A78,Personendaten!$A$2:$A$32,0))</f>
        <v/>
      </c>
      <c r="Q78" s="22">
        <f>IF(O78=1,"",IF(AND(B78="post",P78="nicht angetreten"),"NANG",IF(N78=1,"AUSL",IFERROR(VLOOKUP(H78,Vokabular!$A$2:$B$8,2,FALSE),"UNBEKANNT"))))</f>
        <v/>
      </c>
    </row>
    <row r="79">
      <c r="A79" s="5" t="inlineStr">
        <is>
          <t>BW-06</t>
        </is>
      </c>
      <c r="B79" s="5" t="inlineStr">
        <is>
          <t>prä</t>
        </is>
      </c>
      <c r="C79" s="5" t="inlineStr">
        <is>
          <t>Sprint_10m</t>
        </is>
      </c>
      <c r="D79" s="5" t="inlineStr">
        <is>
          <t>–</t>
        </is>
      </c>
      <c r="E79" s="5" t="n">
        <v>3</v>
      </c>
      <c r="F79" s="5" t="n">
        <v>1.84</v>
      </c>
      <c r="G79" s="5" t="n"/>
      <c r="H79" s="5" t="n"/>
      <c r="I79" s="22">
        <f>INDEX(Personendaten!$C$2:$C$32,MATCH(A79,Personendaten!$A$2:$A$32,0))</f>
        <v/>
      </c>
      <c r="J79" s="22">
        <f>IF(AND(F79&lt;&gt;"",G79=""),1,0)</f>
        <v/>
      </c>
      <c r="K79" s="22">
        <f>IF(LEFT(C79,7)&lt;&gt;"Sprint_","",IF(COUNTIFS(Versuchsdaten!$A$2:$A$1117,$A79,Versuchsdaten!$B$2:$B$1117,$B79,Versuchsdaten!$C$2:$C$1117,"Sprint_5m",Versuchsdaten!$E$2:$E$1117,$E79,Versuchsdaten!$J$2:$J$1117,1)=1,SUMIFS(Versuchsdaten!$F$2:$F$1117,Versuchsdaten!$A$2:$A$1117,$A79,Versuchsdaten!$B$2:$B$1117,$B79,Versuchsdaten!$C$2:$C$1117,"Sprint_5m",Versuchsdaten!$E$2:$E$1117,$E79,Versuchsdaten!$J$2:$J$1117,1),""))</f>
        <v/>
      </c>
      <c r="L79" s="22">
        <f>IF(LEFT(C79,7)&lt;&gt;"Sprint_","",IF(COUNTIFS(Versuchsdaten!$A$2:$A$1117,$A79,Versuchsdaten!$B$2:$B$1117,$B79,Versuchsdaten!$C$2:$C$1117,"Sprint_10m",Versuchsdaten!$E$2:$E$1117,$E79,Versuchsdaten!$J$2:$J$1117,1)=1,SUMIFS(Versuchsdaten!$F$2:$F$1117,Versuchsdaten!$A$2:$A$1117,$A79,Versuchsdaten!$B$2:$B$1117,$B79,Versuchsdaten!$C$2:$C$1117,"Sprint_10m",Versuchsdaten!$E$2:$E$1117,$E79,Versuchsdaten!$J$2:$J$1117,1),""))</f>
        <v/>
      </c>
      <c r="M79" s="22">
        <f>IF(LEFT(C79,7)&lt;&gt;"Sprint_","",IF(COUNTIFS(Versuchsdaten!$A$2:$A$1117,$A79,Versuchsdaten!$B$2:$B$1117,$B79,Versuchsdaten!$C$2:$C$1117,"Sprint_30m",Versuchsdaten!$E$2:$E$1117,$E79,Versuchsdaten!$J$2:$J$1117,1)=1,SUMIFS(Versuchsdaten!$F$2:$F$1117,Versuchsdaten!$A$2:$A$1117,$A79,Versuchsdaten!$B$2:$B$1117,$B79,Versuchsdaten!$C$2:$C$1117,"Sprint_30m",Versuchsdaten!$E$2:$E$1117,$E79,Versuchsdaten!$J$2:$J$1117,1),""))</f>
        <v/>
      </c>
      <c r="N79" s="22">
        <f>IF(LEFT(C79,7)&lt;&gt;"Sprint_",0,IF(IF(ISNUMBER(K79),IF(K79&lt;=0,1,IF(5/K79&gt;10,1,0)),0)+IF(ISNUMBER(L79),IF(ISNUMBER(K79),IF(L79-K79&lt;=0,1,IF(5/(L79-K79)&gt;10,1,0)),IF(L79&lt;=0,1,IF(10/L79&gt;10,1,0))),0)+IF(ISNUMBER(M79),IF(ISNUMBER(L79),IF(M79-L79&lt;=0,1,IF(20/(M79-L79)&gt;10,1,0)),IF(ISNUMBER(K79),IF(M79-K79&lt;=0,1,IF(25/(M79-K79)&gt;10,1,0)),IF(M79&lt;=0,1,IF(30/M79&gt;10,1,0)))),0)&gt;0,1,0))</f>
        <v/>
      </c>
      <c r="O79" s="22">
        <f>IF(AND(J79=1,N79=0),1,0)</f>
        <v/>
      </c>
      <c r="P79" s="22">
        <f>INDEX(Personendaten!$J$2:$J$32,MATCH(A79,Personendaten!$A$2:$A$32,0))</f>
        <v/>
      </c>
      <c r="Q79" s="22">
        <f>IF(O79=1,"",IF(AND(B79="post",P79="nicht angetreten"),"NANG",IF(N79=1,"AUSL",IFERROR(VLOOKUP(H79,Vokabular!$A$2:$B$8,2,FALSE),"UNBEKANNT"))))</f>
        <v/>
      </c>
    </row>
    <row r="80">
      <c r="A80" s="5" t="inlineStr">
        <is>
          <t>BW-06</t>
        </is>
      </c>
      <c r="B80" s="5" t="inlineStr">
        <is>
          <t>prä</t>
        </is>
      </c>
      <c r="C80" s="5" t="inlineStr">
        <is>
          <t>Sprint_30m</t>
        </is>
      </c>
      <c r="D80" s="5" t="inlineStr">
        <is>
          <t>–</t>
        </is>
      </c>
      <c r="E80" s="5" t="n">
        <v>1</v>
      </c>
      <c r="F80" s="5" t="n">
        <v>4.5</v>
      </c>
      <c r="G80" s="5" t="n"/>
      <c r="H80" s="5" t="n"/>
      <c r="I80" s="22">
        <f>INDEX(Personendaten!$C$2:$C$32,MATCH(A80,Personendaten!$A$2:$A$32,0))</f>
        <v/>
      </c>
      <c r="J80" s="22">
        <f>IF(AND(F80&lt;&gt;"",G80=""),1,0)</f>
        <v/>
      </c>
      <c r="K80" s="22">
        <f>IF(LEFT(C80,7)&lt;&gt;"Sprint_","",IF(COUNTIFS(Versuchsdaten!$A$2:$A$1117,$A80,Versuchsdaten!$B$2:$B$1117,$B80,Versuchsdaten!$C$2:$C$1117,"Sprint_5m",Versuchsdaten!$E$2:$E$1117,$E80,Versuchsdaten!$J$2:$J$1117,1)=1,SUMIFS(Versuchsdaten!$F$2:$F$1117,Versuchsdaten!$A$2:$A$1117,$A80,Versuchsdaten!$B$2:$B$1117,$B80,Versuchsdaten!$C$2:$C$1117,"Sprint_5m",Versuchsdaten!$E$2:$E$1117,$E80,Versuchsdaten!$J$2:$J$1117,1),""))</f>
        <v/>
      </c>
      <c r="L80" s="22">
        <f>IF(LEFT(C80,7)&lt;&gt;"Sprint_","",IF(COUNTIFS(Versuchsdaten!$A$2:$A$1117,$A80,Versuchsdaten!$B$2:$B$1117,$B80,Versuchsdaten!$C$2:$C$1117,"Sprint_10m",Versuchsdaten!$E$2:$E$1117,$E80,Versuchsdaten!$J$2:$J$1117,1)=1,SUMIFS(Versuchsdaten!$F$2:$F$1117,Versuchsdaten!$A$2:$A$1117,$A80,Versuchsdaten!$B$2:$B$1117,$B80,Versuchsdaten!$C$2:$C$1117,"Sprint_10m",Versuchsdaten!$E$2:$E$1117,$E80,Versuchsdaten!$J$2:$J$1117,1),""))</f>
        <v/>
      </c>
      <c r="M80" s="22">
        <f>IF(LEFT(C80,7)&lt;&gt;"Sprint_","",IF(COUNTIFS(Versuchsdaten!$A$2:$A$1117,$A80,Versuchsdaten!$B$2:$B$1117,$B80,Versuchsdaten!$C$2:$C$1117,"Sprint_30m",Versuchsdaten!$E$2:$E$1117,$E80,Versuchsdaten!$J$2:$J$1117,1)=1,SUMIFS(Versuchsdaten!$F$2:$F$1117,Versuchsdaten!$A$2:$A$1117,$A80,Versuchsdaten!$B$2:$B$1117,$B80,Versuchsdaten!$C$2:$C$1117,"Sprint_30m",Versuchsdaten!$E$2:$E$1117,$E80,Versuchsdaten!$J$2:$J$1117,1),""))</f>
        <v/>
      </c>
      <c r="N80" s="22">
        <f>IF(LEFT(C80,7)&lt;&gt;"Sprint_",0,IF(IF(ISNUMBER(K80),IF(K80&lt;=0,1,IF(5/K80&gt;10,1,0)),0)+IF(ISNUMBER(L80),IF(ISNUMBER(K80),IF(L80-K80&lt;=0,1,IF(5/(L80-K80)&gt;10,1,0)),IF(L80&lt;=0,1,IF(10/L80&gt;10,1,0))),0)+IF(ISNUMBER(M80),IF(ISNUMBER(L80),IF(M80-L80&lt;=0,1,IF(20/(M80-L80)&gt;10,1,0)),IF(ISNUMBER(K80),IF(M80-K80&lt;=0,1,IF(25/(M80-K80)&gt;10,1,0)),IF(M80&lt;=0,1,IF(30/M80&gt;10,1,0)))),0)&gt;0,1,0))</f>
        <v/>
      </c>
      <c r="O80" s="22">
        <f>IF(AND(J80=1,N80=0),1,0)</f>
        <v/>
      </c>
      <c r="P80" s="22">
        <f>INDEX(Personendaten!$J$2:$J$32,MATCH(A80,Personendaten!$A$2:$A$32,0))</f>
        <v/>
      </c>
      <c r="Q80" s="22">
        <f>IF(O80=1,"",IF(AND(B80="post",P80="nicht angetreten"),"NANG",IF(N80=1,"AUSL",IFERROR(VLOOKUP(H80,Vokabular!$A$2:$B$8,2,FALSE),"UNBEKANNT"))))</f>
        <v/>
      </c>
    </row>
    <row r="81">
      <c r="A81" s="5" t="inlineStr">
        <is>
          <t>BW-06</t>
        </is>
      </c>
      <c r="B81" s="5" t="inlineStr">
        <is>
          <t>prä</t>
        </is>
      </c>
      <c r="C81" s="5" t="inlineStr">
        <is>
          <t>Sprint_30m</t>
        </is>
      </c>
      <c r="D81" s="5" t="inlineStr">
        <is>
          <t>–</t>
        </is>
      </c>
      <c r="E81" s="5" t="n">
        <v>2</v>
      </c>
      <c r="F81" s="5" t="n">
        <v>4.59</v>
      </c>
      <c r="G81" s="5" t="n"/>
      <c r="H81" s="5" t="n"/>
      <c r="I81" s="22">
        <f>INDEX(Personendaten!$C$2:$C$32,MATCH(A81,Personendaten!$A$2:$A$32,0))</f>
        <v/>
      </c>
      <c r="J81" s="22">
        <f>IF(AND(F81&lt;&gt;"",G81=""),1,0)</f>
        <v/>
      </c>
      <c r="K81" s="22">
        <f>IF(LEFT(C81,7)&lt;&gt;"Sprint_","",IF(COUNTIFS(Versuchsdaten!$A$2:$A$1117,$A81,Versuchsdaten!$B$2:$B$1117,$B81,Versuchsdaten!$C$2:$C$1117,"Sprint_5m",Versuchsdaten!$E$2:$E$1117,$E81,Versuchsdaten!$J$2:$J$1117,1)=1,SUMIFS(Versuchsdaten!$F$2:$F$1117,Versuchsdaten!$A$2:$A$1117,$A81,Versuchsdaten!$B$2:$B$1117,$B81,Versuchsdaten!$C$2:$C$1117,"Sprint_5m",Versuchsdaten!$E$2:$E$1117,$E81,Versuchsdaten!$J$2:$J$1117,1),""))</f>
        <v/>
      </c>
      <c r="L81" s="22">
        <f>IF(LEFT(C81,7)&lt;&gt;"Sprint_","",IF(COUNTIFS(Versuchsdaten!$A$2:$A$1117,$A81,Versuchsdaten!$B$2:$B$1117,$B81,Versuchsdaten!$C$2:$C$1117,"Sprint_10m",Versuchsdaten!$E$2:$E$1117,$E81,Versuchsdaten!$J$2:$J$1117,1)=1,SUMIFS(Versuchsdaten!$F$2:$F$1117,Versuchsdaten!$A$2:$A$1117,$A81,Versuchsdaten!$B$2:$B$1117,$B81,Versuchsdaten!$C$2:$C$1117,"Sprint_10m",Versuchsdaten!$E$2:$E$1117,$E81,Versuchsdaten!$J$2:$J$1117,1),""))</f>
        <v/>
      </c>
      <c r="M81" s="22">
        <f>IF(LEFT(C81,7)&lt;&gt;"Sprint_","",IF(COUNTIFS(Versuchsdaten!$A$2:$A$1117,$A81,Versuchsdaten!$B$2:$B$1117,$B81,Versuchsdaten!$C$2:$C$1117,"Sprint_30m",Versuchsdaten!$E$2:$E$1117,$E81,Versuchsdaten!$J$2:$J$1117,1)=1,SUMIFS(Versuchsdaten!$F$2:$F$1117,Versuchsdaten!$A$2:$A$1117,$A81,Versuchsdaten!$B$2:$B$1117,$B81,Versuchsdaten!$C$2:$C$1117,"Sprint_30m",Versuchsdaten!$E$2:$E$1117,$E81,Versuchsdaten!$J$2:$J$1117,1),""))</f>
        <v/>
      </c>
      <c r="N81" s="22">
        <f>IF(LEFT(C81,7)&lt;&gt;"Sprint_",0,IF(IF(ISNUMBER(K81),IF(K81&lt;=0,1,IF(5/K81&gt;10,1,0)),0)+IF(ISNUMBER(L81),IF(ISNUMBER(K81),IF(L81-K81&lt;=0,1,IF(5/(L81-K81)&gt;10,1,0)),IF(L81&lt;=0,1,IF(10/L81&gt;10,1,0))),0)+IF(ISNUMBER(M81),IF(ISNUMBER(L81),IF(M81-L81&lt;=0,1,IF(20/(M81-L81)&gt;10,1,0)),IF(ISNUMBER(K81),IF(M81-K81&lt;=0,1,IF(25/(M81-K81)&gt;10,1,0)),IF(M81&lt;=0,1,IF(30/M81&gt;10,1,0)))),0)&gt;0,1,0))</f>
        <v/>
      </c>
      <c r="O81" s="22">
        <f>IF(AND(J81=1,N81=0),1,0)</f>
        <v/>
      </c>
      <c r="P81" s="22">
        <f>INDEX(Personendaten!$J$2:$J$32,MATCH(A81,Personendaten!$A$2:$A$32,0))</f>
        <v/>
      </c>
      <c r="Q81" s="22">
        <f>IF(O81=1,"",IF(AND(B81="post",P81="nicht angetreten"),"NANG",IF(N81=1,"AUSL",IFERROR(VLOOKUP(H81,Vokabular!$A$2:$B$8,2,FALSE),"UNBEKANNT"))))</f>
        <v/>
      </c>
    </row>
    <row r="82">
      <c r="A82" s="5" t="inlineStr">
        <is>
          <t>BW-06</t>
        </is>
      </c>
      <c r="B82" s="5" t="inlineStr">
        <is>
          <t>prä</t>
        </is>
      </c>
      <c r="C82" s="5" t="inlineStr">
        <is>
          <t>Sprint_30m</t>
        </is>
      </c>
      <c r="D82" s="5" t="inlineStr">
        <is>
          <t>–</t>
        </is>
      </c>
      <c r="E82" s="5" t="n">
        <v>3</v>
      </c>
      <c r="F82" s="5" t="n">
        <v>4.55</v>
      </c>
      <c r="G82" s="5" t="n"/>
      <c r="H82" s="5" t="n"/>
      <c r="I82" s="22">
        <f>INDEX(Personendaten!$C$2:$C$32,MATCH(A82,Personendaten!$A$2:$A$32,0))</f>
        <v/>
      </c>
      <c r="J82" s="22">
        <f>IF(AND(F82&lt;&gt;"",G82=""),1,0)</f>
        <v/>
      </c>
      <c r="K82" s="22">
        <f>IF(LEFT(C82,7)&lt;&gt;"Sprint_","",IF(COUNTIFS(Versuchsdaten!$A$2:$A$1117,$A82,Versuchsdaten!$B$2:$B$1117,$B82,Versuchsdaten!$C$2:$C$1117,"Sprint_5m",Versuchsdaten!$E$2:$E$1117,$E82,Versuchsdaten!$J$2:$J$1117,1)=1,SUMIFS(Versuchsdaten!$F$2:$F$1117,Versuchsdaten!$A$2:$A$1117,$A82,Versuchsdaten!$B$2:$B$1117,$B82,Versuchsdaten!$C$2:$C$1117,"Sprint_5m",Versuchsdaten!$E$2:$E$1117,$E82,Versuchsdaten!$J$2:$J$1117,1),""))</f>
        <v/>
      </c>
      <c r="L82" s="22">
        <f>IF(LEFT(C82,7)&lt;&gt;"Sprint_","",IF(COUNTIFS(Versuchsdaten!$A$2:$A$1117,$A82,Versuchsdaten!$B$2:$B$1117,$B82,Versuchsdaten!$C$2:$C$1117,"Sprint_10m",Versuchsdaten!$E$2:$E$1117,$E82,Versuchsdaten!$J$2:$J$1117,1)=1,SUMIFS(Versuchsdaten!$F$2:$F$1117,Versuchsdaten!$A$2:$A$1117,$A82,Versuchsdaten!$B$2:$B$1117,$B82,Versuchsdaten!$C$2:$C$1117,"Sprint_10m",Versuchsdaten!$E$2:$E$1117,$E82,Versuchsdaten!$J$2:$J$1117,1),""))</f>
        <v/>
      </c>
      <c r="M82" s="22">
        <f>IF(LEFT(C82,7)&lt;&gt;"Sprint_","",IF(COUNTIFS(Versuchsdaten!$A$2:$A$1117,$A82,Versuchsdaten!$B$2:$B$1117,$B82,Versuchsdaten!$C$2:$C$1117,"Sprint_30m",Versuchsdaten!$E$2:$E$1117,$E82,Versuchsdaten!$J$2:$J$1117,1)=1,SUMIFS(Versuchsdaten!$F$2:$F$1117,Versuchsdaten!$A$2:$A$1117,$A82,Versuchsdaten!$B$2:$B$1117,$B82,Versuchsdaten!$C$2:$C$1117,"Sprint_30m",Versuchsdaten!$E$2:$E$1117,$E82,Versuchsdaten!$J$2:$J$1117,1),""))</f>
        <v/>
      </c>
      <c r="N82" s="22">
        <f>IF(LEFT(C82,7)&lt;&gt;"Sprint_",0,IF(IF(ISNUMBER(K82),IF(K82&lt;=0,1,IF(5/K82&gt;10,1,0)),0)+IF(ISNUMBER(L82),IF(ISNUMBER(K82),IF(L82-K82&lt;=0,1,IF(5/(L82-K82)&gt;10,1,0)),IF(L82&lt;=0,1,IF(10/L82&gt;10,1,0))),0)+IF(ISNUMBER(M82),IF(ISNUMBER(L82),IF(M82-L82&lt;=0,1,IF(20/(M82-L82)&gt;10,1,0)),IF(ISNUMBER(K82),IF(M82-K82&lt;=0,1,IF(25/(M82-K82)&gt;10,1,0)),IF(M82&lt;=0,1,IF(30/M82&gt;10,1,0)))),0)&gt;0,1,0))</f>
        <v/>
      </c>
      <c r="O82" s="22">
        <f>IF(AND(J82=1,N82=0),1,0)</f>
        <v/>
      </c>
      <c r="P82" s="22">
        <f>INDEX(Personendaten!$J$2:$J$32,MATCH(A82,Personendaten!$A$2:$A$32,0))</f>
        <v/>
      </c>
      <c r="Q82" s="22">
        <f>IF(O82=1,"",IF(AND(B82="post",P82="nicht angetreten"),"NANG",IF(N82=1,"AUSL",IFERROR(VLOOKUP(H82,Vokabular!$A$2:$B$8,2,FALSE),"UNBEKANNT"))))</f>
        <v/>
      </c>
    </row>
    <row r="83">
      <c r="A83" s="5" t="inlineStr">
        <is>
          <t>BW-06</t>
        </is>
      </c>
      <c r="B83" s="5" t="inlineStr">
        <is>
          <t>prä</t>
        </is>
      </c>
      <c r="C83" s="5" t="inlineStr">
        <is>
          <t>Standweitsprung</t>
        </is>
      </c>
      <c r="D83" s="5" t="inlineStr">
        <is>
          <t>–</t>
        </is>
      </c>
      <c r="E83" s="5" t="n">
        <v>1</v>
      </c>
      <c r="F83" s="5" t="n">
        <v>239</v>
      </c>
      <c r="G83" s="5" t="n"/>
      <c r="H83" s="5" t="n"/>
      <c r="I83" s="22">
        <f>INDEX(Personendaten!$C$2:$C$32,MATCH(A83,Personendaten!$A$2:$A$32,0))</f>
        <v/>
      </c>
      <c r="J83" s="22">
        <f>IF(AND(F83&lt;&gt;"",G83=""),1,0)</f>
        <v/>
      </c>
      <c r="K83" s="22">
        <f>IF(LEFT(C83,7)&lt;&gt;"Sprint_","",IF(COUNTIFS(Versuchsdaten!$A$2:$A$1117,$A83,Versuchsdaten!$B$2:$B$1117,$B83,Versuchsdaten!$C$2:$C$1117,"Sprint_5m",Versuchsdaten!$E$2:$E$1117,$E83,Versuchsdaten!$J$2:$J$1117,1)=1,SUMIFS(Versuchsdaten!$F$2:$F$1117,Versuchsdaten!$A$2:$A$1117,$A83,Versuchsdaten!$B$2:$B$1117,$B83,Versuchsdaten!$C$2:$C$1117,"Sprint_5m",Versuchsdaten!$E$2:$E$1117,$E83,Versuchsdaten!$J$2:$J$1117,1),""))</f>
        <v/>
      </c>
      <c r="L83" s="22">
        <f>IF(LEFT(C83,7)&lt;&gt;"Sprint_","",IF(COUNTIFS(Versuchsdaten!$A$2:$A$1117,$A83,Versuchsdaten!$B$2:$B$1117,$B83,Versuchsdaten!$C$2:$C$1117,"Sprint_10m",Versuchsdaten!$E$2:$E$1117,$E83,Versuchsdaten!$J$2:$J$1117,1)=1,SUMIFS(Versuchsdaten!$F$2:$F$1117,Versuchsdaten!$A$2:$A$1117,$A83,Versuchsdaten!$B$2:$B$1117,$B83,Versuchsdaten!$C$2:$C$1117,"Sprint_10m",Versuchsdaten!$E$2:$E$1117,$E83,Versuchsdaten!$J$2:$J$1117,1),""))</f>
        <v/>
      </c>
      <c r="M83" s="22">
        <f>IF(LEFT(C83,7)&lt;&gt;"Sprint_","",IF(COUNTIFS(Versuchsdaten!$A$2:$A$1117,$A83,Versuchsdaten!$B$2:$B$1117,$B83,Versuchsdaten!$C$2:$C$1117,"Sprint_30m",Versuchsdaten!$E$2:$E$1117,$E83,Versuchsdaten!$J$2:$J$1117,1)=1,SUMIFS(Versuchsdaten!$F$2:$F$1117,Versuchsdaten!$A$2:$A$1117,$A83,Versuchsdaten!$B$2:$B$1117,$B83,Versuchsdaten!$C$2:$C$1117,"Sprint_30m",Versuchsdaten!$E$2:$E$1117,$E83,Versuchsdaten!$J$2:$J$1117,1),""))</f>
        <v/>
      </c>
      <c r="N83" s="22">
        <f>IF(LEFT(C83,7)&lt;&gt;"Sprint_",0,IF(IF(ISNUMBER(K83),IF(K83&lt;=0,1,IF(5/K83&gt;10,1,0)),0)+IF(ISNUMBER(L83),IF(ISNUMBER(K83),IF(L83-K83&lt;=0,1,IF(5/(L83-K83)&gt;10,1,0)),IF(L83&lt;=0,1,IF(10/L83&gt;10,1,0))),0)+IF(ISNUMBER(M83),IF(ISNUMBER(L83),IF(M83-L83&lt;=0,1,IF(20/(M83-L83)&gt;10,1,0)),IF(ISNUMBER(K83),IF(M83-K83&lt;=0,1,IF(25/(M83-K83)&gt;10,1,0)),IF(M83&lt;=0,1,IF(30/M83&gt;10,1,0)))),0)&gt;0,1,0))</f>
        <v/>
      </c>
      <c r="O83" s="22">
        <f>IF(AND(J83=1,N83=0),1,0)</f>
        <v/>
      </c>
      <c r="P83" s="22">
        <f>INDEX(Personendaten!$J$2:$J$32,MATCH(A83,Personendaten!$A$2:$A$32,0))</f>
        <v/>
      </c>
      <c r="Q83" s="22">
        <f>IF(O83=1,"",IF(AND(B83="post",P83="nicht angetreten"),"NANG",IF(N83=1,"AUSL",IFERROR(VLOOKUP(H83,Vokabular!$A$2:$B$8,2,FALSE),"UNBEKANNT"))))</f>
        <v/>
      </c>
    </row>
    <row r="84">
      <c r="A84" s="5" t="inlineStr">
        <is>
          <t>BW-06</t>
        </is>
      </c>
      <c r="B84" s="5" t="inlineStr">
        <is>
          <t>prä</t>
        </is>
      </c>
      <c r="C84" s="5" t="inlineStr">
        <is>
          <t>Standweitsprung</t>
        </is>
      </c>
      <c r="D84" s="5" t="inlineStr">
        <is>
          <t>–</t>
        </is>
      </c>
      <c r="E84" s="5" t="n">
        <v>2</v>
      </c>
      <c r="F84" s="5" t="n">
        <v>243</v>
      </c>
      <c r="G84" s="5" t="n"/>
      <c r="H84" s="5" t="n"/>
      <c r="I84" s="22">
        <f>INDEX(Personendaten!$C$2:$C$32,MATCH(A84,Personendaten!$A$2:$A$32,0))</f>
        <v/>
      </c>
      <c r="J84" s="22">
        <f>IF(AND(F84&lt;&gt;"",G84=""),1,0)</f>
        <v/>
      </c>
      <c r="K84" s="22">
        <f>IF(LEFT(C84,7)&lt;&gt;"Sprint_","",IF(COUNTIFS(Versuchsdaten!$A$2:$A$1117,$A84,Versuchsdaten!$B$2:$B$1117,$B84,Versuchsdaten!$C$2:$C$1117,"Sprint_5m",Versuchsdaten!$E$2:$E$1117,$E84,Versuchsdaten!$J$2:$J$1117,1)=1,SUMIFS(Versuchsdaten!$F$2:$F$1117,Versuchsdaten!$A$2:$A$1117,$A84,Versuchsdaten!$B$2:$B$1117,$B84,Versuchsdaten!$C$2:$C$1117,"Sprint_5m",Versuchsdaten!$E$2:$E$1117,$E84,Versuchsdaten!$J$2:$J$1117,1),""))</f>
        <v/>
      </c>
      <c r="L84" s="22">
        <f>IF(LEFT(C84,7)&lt;&gt;"Sprint_","",IF(COUNTIFS(Versuchsdaten!$A$2:$A$1117,$A84,Versuchsdaten!$B$2:$B$1117,$B84,Versuchsdaten!$C$2:$C$1117,"Sprint_10m",Versuchsdaten!$E$2:$E$1117,$E84,Versuchsdaten!$J$2:$J$1117,1)=1,SUMIFS(Versuchsdaten!$F$2:$F$1117,Versuchsdaten!$A$2:$A$1117,$A84,Versuchsdaten!$B$2:$B$1117,$B84,Versuchsdaten!$C$2:$C$1117,"Sprint_10m",Versuchsdaten!$E$2:$E$1117,$E84,Versuchsdaten!$J$2:$J$1117,1),""))</f>
        <v/>
      </c>
      <c r="M84" s="22">
        <f>IF(LEFT(C84,7)&lt;&gt;"Sprint_","",IF(COUNTIFS(Versuchsdaten!$A$2:$A$1117,$A84,Versuchsdaten!$B$2:$B$1117,$B84,Versuchsdaten!$C$2:$C$1117,"Sprint_30m",Versuchsdaten!$E$2:$E$1117,$E84,Versuchsdaten!$J$2:$J$1117,1)=1,SUMIFS(Versuchsdaten!$F$2:$F$1117,Versuchsdaten!$A$2:$A$1117,$A84,Versuchsdaten!$B$2:$B$1117,$B84,Versuchsdaten!$C$2:$C$1117,"Sprint_30m",Versuchsdaten!$E$2:$E$1117,$E84,Versuchsdaten!$J$2:$J$1117,1),""))</f>
        <v/>
      </c>
      <c r="N84" s="22">
        <f>IF(LEFT(C84,7)&lt;&gt;"Sprint_",0,IF(IF(ISNUMBER(K84),IF(K84&lt;=0,1,IF(5/K84&gt;10,1,0)),0)+IF(ISNUMBER(L84),IF(ISNUMBER(K84),IF(L84-K84&lt;=0,1,IF(5/(L84-K84)&gt;10,1,0)),IF(L84&lt;=0,1,IF(10/L84&gt;10,1,0))),0)+IF(ISNUMBER(M84),IF(ISNUMBER(L84),IF(M84-L84&lt;=0,1,IF(20/(M84-L84)&gt;10,1,0)),IF(ISNUMBER(K84),IF(M84-K84&lt;=0,1,IF(25/(M84-K84)&gt;10,1,0)),IF(M84&lt;=0,1,IF(30/M84&gt;10,1,0)))),0)&gt;0,1,0))</f>
        <v/>
      </c>
      <c r="O84" s="22">
        <f>IF(AND(J84=1,N84=0),1,0)</f>
        <v/>
      </c>
      <c r="P84" s="22">
        <f>INDEX(Personendaten!$J$2:$J$32,MATCH(A84,Personendaten!$A$2:$A$32,0))</f>
        <v/>
      </c>
      <c r="Q84" s="22">
        <f>IF(O84=1,"",IF(AND(B84="post",P84="nicht angetreten"),"NANG",IF(N84=1,"AUSL",IFERROR(VLOOKUP(H84,Vokabular!$A$2:$B$8,2,FALSE),"UNBEKANNT"))))</f>
        <v/>
      </c>
    </row>
    <row r="85">
      <c r="A85" s="5" t="inlineStr">
        <is>
          <t>BW-06</t>
        </is>
      </c>
      <c r="B85" s="5" t="inlineStr">
        <is>
          <t>prä</t>
        </is>
      </c>
      <c r="C85" s="5" t="inlineStr">
        <is>
          <t>Standweitsprung</t>
        </is>
      </c>
      <c r="D85" s="5" t="inlineStr">
        <is>
          <t>–</t>
        </is>
      </c>
      <c r="E85" s="5" t="n">
        <v>3</v>
      </c>
      <c r="F85" s="5" t="n">
        <v>243</v>
      </c>
      <c r="G85" s="5" t="n"/>
      <c r="H85" s="5" t="n"/>
      <c r="I85" s="22">
        <f>INDEX(Personendaten!$C$2:$C$32,MATCH(A85,Personendaten!$A$2:$A$32,0))</f>
        <v/>
      </c>
      <c r="J85" s="22">
        <f>IF(AND(F85&lt;&gt;"",G85=""),1,0)</f>
        <v/>
      </c>
      <c r="K85" s="22">
        <f>IF(LEFT(C85,7)&lt;&gt;"Sprint_","",IF(COUNTIFS(Versuchsdaten!$A$2:$A$1117,$A85,Versuchsdaten!$B$2:$B$1117,$B85,Versuchsdaten!$C$2:$C$1117,"Sprint_5m",Versuchsdaten!$E$2:$E$1117,$E85,Versuchsdaten!$J$2:$J$1117,1)=1,SUMIFS(Versuchsdaten!$F$2:$F$1117,Versuchsdaten!$A$2:$A$1117,$A85,Versuchsdaten!$B$2:$B$1117,$B85,Versuchsdaten!$C$2:$C$1117,"Sprint_5m",Versuchsdaten!$E$2:$E$1117,$E85,Versuchsdaten!$J$2:$J$1117,1),""))</f>
        <v/>
      </c>
      <c r="L85" s="22">
        <f>IF(LEFT(C85,7)&lt;&gt;"Sprint_","",IF(COUNTIFS(Versuchsdaten!$A$2:$A$1117,$A85,Versuchsdaten!$B$2:$B$1117,$B85,Versuchsdaten!$C$2:$C$1117,"Sprint_10m",Versuchsdaten!$E$2:$E$1117,$E85,Versuchsdaten!$J$2:$J$1117,1)=1,SUMIFS(Versuchsdaten!$F$2:$F$1117,Versuchsdaten!$A$2:$A$1117,$A85,Versuchsdaten!$B$2:$B$1117,$B85,Versuchsdaten!$C$2:$C$1117,"Sprint_10m",Versuchsdaten!$E$2:$E$1117,$E85,Versuchsdaten!$J$2:$J$1117,1),""))</f>
        <v/>
      </c>
      <c r="M85" s="22">
        <f>IF(LEFT(C85,7)&lt;&gt;"Sprint_","",IF(COUNTIFS(Versuchsdaten!$A$2:$A$1117,$A85,Versuchsdaten!$B$2:$B$1117,$B85,Versuchsdaten!$C$2:$C$1117,"Sprint_30m",Versuchsdaten!$E$2:$E$1117,$E85,Versuchsdaten!$J$2:$J$1117,1)=1,SUMIFS(Versuchsdaten!$F$2:$F$1117,Versuchsdaten!$A$2:$A$1117,$A85,Versuchsdaten!$B$2:$B$1117,$B85,Versuchsdaten!$C$2:$C$1117,"Sprint_30m",Versuchsdaten!$E$2:$E$1117,$E85,Versuchsdaten!$J$2:$J$1117,1),""))</f>
        <v/>
      </c>
      <c r="N85" s="22">
        <f>IF(LEFT(C85,7)&lt;&gt;"Sprint_",0,IF(IF(ISNUMBER(K85),IF(K85&lt;=0,1,IF(5/K85&gt;10,1,0)),0)+IF(ISNUMBER(L85),IF(ISNUMBER(K85),IF(L85-K85&lt;=0,1,IF(5/(L85-K85)&gt;10,1,0)),IF(L85&lt;=0,1,IF(10/L85&gt;10,1,0))),0)+IF(ISNUMBER(M85),IF(ISNUMBER(L85),IF(M85-L85&lt;=0,1,IF(20/(M85-L85)&gt;10,1,0)),IF(ISNUMBER(K85),IF(M85-K85&lt;=0,1,IF(25/(M85-K85)&gt;10,1,0)),IF(M85&lt;=0,1,IF(30/M85&gt;10,1,0)))),0)&gt;0,1,0))</f>
        <v/>
      </c>
      <c r="O85" s="22">
        <f>IF(AND(J85=1,N85=0),1,0)</f>
        <v/>
      </c>
      <c r="P85" s="22">
        <f>INDEX(Personendaten!$J$2:$J$32,MATCH(A85,Personendaten!$A$2:$A$32,0))</f>
        <v/>
      </c>
      <c r="Q85" s="22">
        <f>IF(O85=1,"",IF(AND(B85="post",P85="nicht angetreten"),"NANG",IF(N85=1,"AUSL",IFERROR(VLOOKUP(H85,Vokabular!$A$2:$B$8,2,FALSE),"UNBEKANNT"))))</f>
        <v/>
      </c>
    </row>
    <row r="86">
      <c r="A86" s="5" t="inlineStr">
        <is>
          <t>BW-06</t>
        </is>
      </c>
      <c r="B86" s="5" t="inlineStr">
        <is>
          <t>prä</t>
        </is>
      </c>
      <c r="C86" s="5" t="inlineStr">
        <is>
          <t>COD_505</t>
        </is>
      </c>
      <c r="D86" s="5" t="inlineStr">
        <is>
          <t>L</t>
        </is>
      </c>
      <c r="E86" s="5" t="n">
        <v>1</v>
      </c>
      <c r="F86" s="5" t="n">
        <v>2.54</v>
      </c>
      <c r="G86" s="5" t="n"/>
      <c r="H86" s="5" t="n"/>
      <c r="I86" s="22">
        <f>INDEX(Personendaten!$C$2:$C$32,MATCH(A86,Personendaten!$A$2:$A$32,0))</f>
        <v/>
      </c>
      <c r="J86" s="22">
        <f>IF(AND(F86&lt;&gt;"",G86=""),1,0)</f>
        <v/>
      </c>
      <c r="K86" s="22">
        <f>IF(LEFT(C86,7)&lt;&gt;"Sprint_","",IF(COUNTIFS(Versuchsdaten!$A$2:$A$1117,$A86,Versuchsdaten!$B$2:$B$1117,$B86,Versuchsdaten!$C$2:$C$1117,"Sprint_5m",Versuchsdaten!$E$2:$E$1117,$E86,Versuchsdaten!$J$2:$J$1117,1)=1,SUMIFS(Versuchsdaten!$F$2:$F$1117,Versuchsdaten!$A$2:$A$1117,$A86,Versuchsdaten!$B$2:$B$1117,$B86,Versuchsdaten!$C$2:$C$1117,"Sprint_5m",Versuchsdaten!$E$2:$E$1117,$E86,Versuchsdaten!$J$2:$J$1117,1),""))</f>
        <v/>
      </c>
      <c r="L86" s="22">
        <f>IF(LEFT(C86,7)&lt;&gt;"Sprint_","",IF(COUNTIFS(Versuchsdaten!$A$2:$A$1117,$A86,Versuchsdaten!$B$2:$B$1117,$B86,Versuchsdaten!$C$2:$C$1117,"Sprint_10m",Versuchsdaten!$E$2:$E$1117,$E86,Versuchsdaten!$J$2:$J$1117,1)=1,SUMIFS(Versuchsdaten!$F$2:$F$1117,Versuchsdaten!$A$2:$A$1117,$A86,Versuchsdaten!$B$2:$B$1117,$B86,Versuchsdaten!$C$2:$C$1117,"Sprint_10m",Versuchsdaten!$E$2:$E$1117,$E86,Versuchsdaten!$J$2:$J$1117,1),""))</f>
        <v/>
      </c>
      <c r="M86" s="22">
        <f>IF(LEFT(C86,7)&lt;&gt;"Sprint_","",IF(COUNTIFS(Versuchsdaten!$A$2:$A$1117,$A86,Versuchsdaten!$B$2:$B$1117,$B86,Versuchsdaten!$C$2:$C$1117,"Sprint_30m",Versuchsdaten!$E$2:$E$1117,$E86,Versuchsdaten!$J$2:$J$1117,1)=1,SUMIFS(Versuchsdaten!$F$2:$F$1117,Versuchsdaten!$A$2:$A$1117,$A86,Versuchsdaten!$B$2:$B$1117,$B86,Versuchsdaten!$C$2:$C$1117,"Sprint_30m",Versuchsdaten!$E$2:$E$1117,$E86,Versuchsdaten!$J$2:$J$1117,1),""))</f>
        <v/>
      </c>
      <c r="N86" s="22">
        <f>IF(LEFT(C86,7)&lt;&gt;"Sprint_",0,IF(IF(ISNUMBER(K86),IF(K86&lt;=0,1,IF(5/K86&gt;10,1,0)),0)+IF(ISNUMBER(L86),IF(ISNUMBER(K86),IF(L86-K86&lt;=0,1,IF(5/(L86-K86)&gt;10,1,0)),IF(L86&lt;=0,1,IF(10/L86&gt;10,1,0))),0)+IF(ISNUMBER(M86),IF(ISNUMBER(L86),IF(M86-L86&lt;=0,1,IF(20/(M86-L86)&gt;10,1,0)),IF(ISNUMBER(K86),IF(M86-K86&lt;=0,1,IF(25/(M86-K86)&gt;10,1,0)),IF(M86&lt;=0,1,IF(30/M86&gt;10,1,0)))),0)&gt;0,1,0))</f>
        <v/>
      </c>
      <c r="O86" s="22">
        <f>IF(AND(J86=1,N86=0),1,0)</f>
        <v/>
      </c>
      <c r="P86" s="22">
        <f>INDEX(Personendaten!$J$2:$J$32,MATCH(A86,Personendaten!$A$2:$A$32,0))</f>
        <v/>
      </c>
      <c r="Q86" s="22">
        <f>IF(O86=1,"",IF(AND(B86="post",P86="nicht angetreten"),"NANG",IF(N86=1,"AUSL",IFERROR(VLOOKUP(H86,Vokabular!$A$2:$B$8,2,FALSE),"UNBEKANNT"))))</f>
        <v/>
      </c>
    </row>
    <row r="87">
      <c r="A87" s="5" t="inlineStr">
        <is>
          <t>BW-06</t>
        </is>
      </c>
      <c r="B87" s="5" t="inlineStr">
        <is>
          <t>prä</t>
        </is>
      </c>
      <c r="C87" s="5" t="inlineStr">
        <is>
          <t>COD_505</t>
        </is>
      </c>
      <c r="D87" s="5" t="inlineStr">
        <is>
          <t>L</t>
        </is>
      </c>
      <c r="E87" s="5" t="n">
        <v>2</v>
      </c>
      <c r="F87" s="5" t="n">
        <v>2.63</v>
      </c>
      <c r="G87" s="5" t="n"/>
      <c r="H87" s="5" t="n"/>
      <c r="I87" s="22">
        <f>INDEX(Personendaten!$C$2:$C$32,MATCH(A87,Personendaten!$A$2:$A$32,0))</f>
        <v/>
      </c>
      <c r="J87" s="22">
        <f>IF(AND(F87&lt;&gt;"",G87=""),1,0)</f>
        <v/>
      </c>
      <c r="K87" s="22">
        <f>IF(LEFT(C87,7)&lt;&gt;"Sprint_","",IF(COUNTIFS(Versuchsdaten!$A$2:$A$1117,$A87,Versuchsdaten!$B$2:$B$1117,$B87,Versuchsdaten!$C$2:$C$1117,"Sprint_5m",Versuchsdaten!$E$2:$E$1117,$E87,Versuchsdaten!$J$2:$J$1117,1)=1,SUMIFS(Versuchsdaten!$F$2:$F$1117,Versuchsdaten!$A$2:$A$1117,$A87,Versuchsdaten!$B$2:$B$1117,$B87,Versuchsdaten!$C$2:$C$1117,"Sprint_5m",Versuchsdaten!$E$2:$E$1117,$E87,Versuchsdaten!$J$2:$J$1117,1),""))</f>
        <v/>
      </c>
      <c r="L87" s="22">
        <f>IF(LEFT(C87,7)&lt;&gt;"Sprint_","",IF(COUNTIFS(Versuchsdaten!$A$2:$A$1117,$A87,Versuchsdaten!$B$2:$B$1117,$B87,Versuchsdaten!$C$2:$C$1117,"Sprint_10m",Versuchsdaten!$E$2:$E$1117,$E87,Versuchsdaten!$J$2:$J$1117,1)=1,SUMIFS(Versuchsdaten!$F$2:$F$1117,Versuchsdaten!$A$2:$A$1117,$A87,Versuchsdaten!$B$2:$B$1117,$B87,Versuchsdaten!$C$2:$C$1117,"Sprint_10m",Versuchsdaten!$E$2:$E$1117,$E87,Versuchsdaten!$J$2:$J$1117,1),""))</f>
        <v/>
      </c>
      <c r="M87" s="22">
        <f>IF(LEFT(C87,7)&lt;&gt;"Sprint_","",IF(COUNTIFS(Versuchsdaten!$A$2:$A$1117,$A87,Versuchsdaten!$B$2:$B$1117,$B87,Versuchsdaten!$C$2:$C$1117,"Sprint_30m",Versuchsdaten!$E$2:$E$1117,$E87,Versuchsdaten!$J$2:$J$1117,1)=1,SUMIFS(Versuchsdaten!$F$2:$F$1117,Versuchsdaten!$A$2:$A$1117,$A87,Versuchsdaten!$B$2:$B$1117,$B87,Versuchsdaten!$C$2:$C$1117,"Sprint_30m",Versuchsdaten!$E$2:$E$1117,$E87,Versuchsdaten!$J$2:$J$1117,1),""))</f>
        <v/>
      </c>
      <c r="N87" s="22">
        <f>IF(LEFT(C87,7)&lt;&gt;"Sprint_",0,IF(IF(ISNUMBER(K87),IF(K87&lt;=0,1,IF(5/K87&gt;10,1,0)),0)+IF(ISNUMBER(L87),IF(ISNUMBER(K87),IF(L87-K87&lt;=0,1,IF(5/(L87-K87)&gt;10,1,0)),IF(L87&lt;=0,1,IF(10/L87&gt;10,1,0))),0)+IF(ISNUMBER(M87),IF(ISNUMBER(L87),IF(M87-L87&lt;=0,1,IF(20/(M87-L87)&gt;10,1,0)),IF(ISNUMBER(K87),IF(M87-K87&lt;=0,1,IF(25/(M87-K87)&gt;10,1,0)),IF(M87&lt;=0,1,IF(30/M87&gt;10,1,0)))),0)&gt;0,1,0))</f>
        <v/>
      </c>
      <c r="O87" s="22">
        <f>IF(AND(J87=1,N87=0),1,0)</f>
        <v/>
      </c>
      <c r="P87" s="22">
        <f>INDEX(Personendaten!$J$2:$J$32,MATCH(A87,Personendaten!$A$2:$A$32,0))</f>
        <v/>
      </c>
      <c r="Q87" s="22">
        <f>IF(O87=1,"",IF(AND(B87="post",P87="nicht angetreten"),"NANG",IF(N87=1,"AUSL",IFERROR(VLOOKUP(H87,Vokabular!$A$2:$B$8,2,FALSE),"UNBEKANNT"))))</f>
        <v/>
      </c>
    </row>
    <row r="88">
      <c r="A88" s="5" t="inlineStr">
        <is>
          <t>BW-06</t>
        </is>
      </c>
      <c r="B88" s="5" t="inlineStr">
        <is>
          <t>prä</t>
        </is>
      </c>
      <c r="C88" s="5" t="inlineStr">
        <is>
          <t>COD_505</t>
        </is>
      </c>
      <c r="D88" s="5" t="inlineStr">
        <is>
          <t>L</t>
        </is>
      </c>
      <c r="E88" s="5" t="n">
        <v>3</v>
      </c>
      <c r="F88" s="5" t="n"/>
      <c r="G88" s="5" t="n"/>
      <c r="H88" s="5" t="inlineStr">
        <is>
          <t>Nur 2 Versuche aus Zeitmangel</t>
        </is>
      </c>
      <c r="I88" s="22">
        <f>INDEX(Personendaten!$C$2:$C$32,MATCH(A88,Personendaten!$A$2:$A$32,0))</f>
        <v/>
      </c>
      <c r="J88" s="22">
        <f>IF(AND(F88&lt;&gt;"",G88=""),1,0)</f>
        <v/>
      </c>
      <c r="K88" s="22">
        <f>IF(LEFT(C88,7)&lt;&gt;"Sprint_","",IF(COUNTIFS(Versuchsdaten!$A$2:$A$1117,$A88,Versuchsdaten!$B$2:$B$1117,$B88,Versuchsdaten!$C$2:$C$1117,"Sprint_5m",Versuchsdaten!$E$2:$E$1117,$E88,Versuchsdaten!$J$2:$J$1117,1)=1,SUMIFS(Versuchsdaten!$F$2:$F$1117,Versuchsdaten!$A$2:$A$1117,$A88,Versuchsdaten!$B$2:$B$1117,$B88,Versuchsdaten!$C$2:$C$1117,"Sprint_5m",Versuchsdaten!$E$2:$E$1117,$E88,Versuchsdaten!$J$2:$J$1117,1),""))</f>
        <v/>
      </c>
      <c r="L88" s="22">
        <f>IF(LEFT(C88,7)&lt;&gt;"Sprint_","",IF(COUNTIFS(Versuchsdaten!$A$2:$A$1117,$A88,Versuchsdaten!$B$2:$B$1117,$B88,Versuchsdaten!$C$2:$C$1117,"Sprint_10m",Versuchsdaten!$E$2:$E$1117,$E88,Versuchsdaten!$J$2:$J$1117,1)=1,SUMIFS(Versuchsdaten!$F$2:$F$1117,Versuchsdaten!$A$2:$A$1117,$A88,Versuchsdaten!$B$2:$B$1117,$B88,Versuchsdaten!$C$2:$C$1117,"Sprint_10m",Versuchsdaten!$E$2:$E$1117,$E88,Versuchsdaten!$J$2:$J$1117,1),""))</f>
        <v/>
      </c>
      <c r="M88" s="22">
        <f>IF(LEFT(C88,7)&lt;&gt;"Sprint_","",IF(COUNTIFS(Versuchsdaten!$A$2:$A$1117,$A88,Versuchsdaten!$B$2:$B$1117,$B88,Versuchsdaten!$C$2:$C$1117,"Sprint_30m",Versuchsdaten!$E$2:$E$1117,$E88,Versuchsdaten!$J$2:$J$1117,1)=1,SUMIFS(Versuchsdaten!$F$2:$F$1117,Versuchsdaten!$A$2:$A$1117,$A88,Versuchsdaten!$B$2:$B$1117,$B88,Versuchsdaten!$C$2:$C$1117,"Sprint_30m",Versuchsdaten!$E$2:$E$1117,$E88,Versuchsdaten!$J$2:$J$1117,1),""))</f>
        <v/>
      </c>
      <c r="N88" s="22">
        <f>IF(LEFT(C88,7)&lt;&gt;"Sprint_",0,IF(IF(ISNUMBER(K88),IF(K88&lt;=0,1,IF(5/K88&gt;10,1,0)),0)+IF(ISNUMBER(L88),IF(ISNUMBER(K88),IF(L88-K88&lt;=0,1,IF(5/(L88-K88)&gt;10,1,0)),IF(L88&lt;=0,1,IF(10/L88&gt;10,1,0))),0)+IF(ISNUMBER(M88),IF(ISNUMBER(L88),IF(M88-L88&lt;=0,1,IF(20/(M88-L88)&gt;10,1,0)),IF(ISNUMBER(K88),IF(M88-K88&lt;=0,1,IF(25/(M88-K88)&gt;10,1,0)),IF(M88&lt;=0,1,IF(30/M88&gt;10,1,0)))),0)&gt;0,1,0))</f>
        <v/>
      </c>
      <c r="O88" s="22">
        <f>IF(AND(J88=1,N88=0),1,0)</f>
        <v/>
      </c>
      <c r="P88" s="22">
        <f>INDEX(Personendaten!$J$2:$J$32,MATCH(A88,Personendaten!$A$2:$A$32,0))</f>
        <v/>
      </c>
      <c r="Q88" s="22">
        <f>IF(O88=1,"",IF(AND(B88="post",P88="nicht angetreten"),"NANG",IF(N88=1,"AUSL",IFERROR(VLOOKUP(H88,Vokabular!$A$2:$B$8,2,FALSE),"UNBEKANNT"))))</f>
        <v/>
      </c>
    </row>
    <row r="89">
      <c r="A89" s="5" t="inlineStr">
        <is>
          <t>BW-06</t>
        </is>
      </c>
      <c r="B89" s="5" t="inlineStr">
        <is>
          <t>prä</t>
        </is>
      </c>
      <c r="C89" s="5" t="inlineStr">
        <is>
          <t>COD_505</t>
        </is>
      </c>
      <c r="D89" s="5" t="inlineStr">
        <is>
          <t>R</t>
        </is>
      </c>
      <c r="E89" s="5" t="n">
        <v>1</v>
      </c>
      <c r="F89" s="5" t="n">
        <v>2.61</v>
      </c>
      <c r="G89" s="5" t="n"/>
      <c r="H89" s="5" t="n"/>
      <c r="I89" s="22">
        <f>INDEX(Personendaten!$C$2:$C$32,MATCH(A89,Personendaten!$A$2:$A$32,0))</f>
        <v/>
      </c>
      <c r="J89" s="22">
        <f>IF(AND(F89&lt;&gt;"",G89=""),1,0)</f>
        <v/>
      </c>
      <c r="K89" s="22">
        <f>IF(LEFT(C89,7)&lt;&gt;"Sprint_","",IF(COUNTIFS(Versuchsdaten!$A$2:$A$1117,$A89,Versuchsdaten!$B$2:$B$1117,$B89,Versuchsdaten!$C$2:$C$1117,"Sprint_5m",Versuchsdaten!$E$2:$E$1117,$E89,Versuchsdaten!$J$2:$J$1117,1)=1,SUMIFS(Versuchsdaten!$F$2:$F$1117,Versuchsdaten!$A$2:$A$1117,$A89,Versuchsdaten!$B$2:$B$1117,$B89,Versuchsdaten!$C$2:$C$1117,"Sprint_5m",Versuchsdaten!$E$2:$E$1117,$E89,Versuchsdaten!$J$2:$J$1117,1),""))</f>
        <v/>
      </c>
      <c r="L89" s="22">
        <f>IF(LEFT(C89,7)&lt;&gt;"Sprint_","",IF(COUNTIFS(Versuchsdaten!$A$2:$A$1117,$A89,Versuchsdaten!$B$2:$B$1117,$B89,Versuchsdaten!$C$2:$C$1117,"Sprint_10m",Versuchsdaten!$E$2:$E$1117,$E89,Versuchsdaten!$J$2:$J$1117,1)=1,SUMIFS(Versuchsdaten!$F$2:$F$1117,Versuchsdaten!$A$2:$A$1117,$A89,Versuchsdaten!$B$2:$B$1117,$B89,Versuchsdaten!$C$2:$C$1117,"Sprint_10m",Versuchsdaten!$E$2:$E$1117,$E89,Versuchsdaten!$J$2:$J$1117,1),""))</f>
        <v/>
      </c>
      <c r="M89" s="22">
        <f>IF(LEFT(C89,7)&lt;&gt;"Sprint_","",IF(COUNTIFS(Versuchsdaten!$A$2:$A$1117,$A89,Versuchsdaten!$B$2:$B$1117,$B89,Versuchsdaten!$C$2:$C$1117,"Sprint_30m",Versuchsdaten!$E$2:$E$1117,$E89,Versuchsdaten!$J$2:$J$1117,1)=1,SUMIFS(Versuchsdaten!$F$2:$F$1117,Versuchsdaten!$A$2:$A$1117,$A89,Versuchsdaten!$B$2:$B$1117,$B89,Versuchsdaten!$C$2:$C$1117,"Sprint_30m",Versuchsdaten!$E$2:$E$1117,$E89,Versuchsdaten!$J$2:$J$1117,1),""))</f>
        <v/>
      </c>
      <c r="N89" s="22">
        <f>IF(LEFT(C89,7)&lt;&gt;"Sprint_",0,IF(IF(ISNUMBER(K89),IF(K89&lt;=0,1,IF(5/K89&gt;10,1,0)),0)+IF(ISNUMBER(L89),IF(ISNUMBER(K89),IF(L89-K89&lt;=0,1,IF(5/(L89-K89)&gt;10,1,0)),IF(L89&lt;=0,1,IF(10/L89&gt;10,1,0))),0)+IF(ISNUMBER(M89),IF(ISNUMBER(L89),IF(M89-L89&lt;=0,1,IF(20/(M89-L89)&gt;10,1,0)),IF(ISNUMBER(K89),IF(M89-K89&lt;=0,1,IF(25/(M89-K89)&gt;10,1,0)),IF(M89&lt;=0,1,IF(30/M89&gt;10,1,0)))),0)&gt;0,1,0))</f>
        <v/>
      </c>
      <c r="O89" s="22">
        <f>IF(AND(J89=1,N89=0),1,0)</f>
        <v/>
      </c>
      <c r="P89" s="22">
        <f>INDEX(Personendaten!$J$2:$J$32,MATCH(A89,Personendaten!$A$2:$A$32,0))</f>
        <v/>
      </c>
      <c r="Q89" s="22">
        <f>IF(O89=1,"",IF(AND(B89="post",P89="nicht angetreten"),"NANG",IF(N89=1,"AUSL",IFERROR(VLOOKUP(H89,Vokabular!$A$2:$B$8,2,FALSE),"UNBEKANNT"))))</f>
        <v/>
      </c>
    </row>
    <row r="90">
      <c r="A90" s="5" t="inlineStr">
        <is>
          <t>BW-06</t>
        </is>
      </c>
      <c r="B90" s="5" t="inlineStr">
        <is>
          <t>prä</t>
        </is>
      </c>
      <c r="C90" s="5" t="inlineStr">
        <is>
          <t>COD_505</t>
        </is>
      </c>
      <c r="D90" s="5" t="inlineStr">
        <is>
          <t>R</t>
        </is>
      </c>
      <c r="E90" s="5" t="n">
        <v>2</v>
      </c>
      <c r="F90" s="5" t="n">
        <v>2.64</v>
      </c>
      <c r="G90" s="5" t="n"/>
      <c r="H90" s="5" t="n"/>
      <c r="I90" s="22">
        <f>INDEX(Personendaten!$C$2:$C$32,MATCH(A90,Personendaten!$A$2:$A$32,0))</f>
        <v/>
      </c>
      <c r="J90" s="22">
        <f>IF(AND(F90&lt;&gt;"",G90=""),1,0)</f>
        <v/>
      </c>
      <c r="K90" s="22">
        <f>IF(LEFT(C90,7)&lt;&gt;"Sprint_","",IF(COUNTIFS(Versuchsdaten!$A$2:$A$1117,$A90,Versuchsdaten!$B$2:$B$1117,$B90,Versuchsdaten!$C$2:$C$1117,"Sprint_5m",Versuchsdaten!$E$2:$E$1117,$E90,Versuchsdaten!$J$2:$J$1117,1)=1,SUMIFS(Versuchsdaten!$F$2:$F$1117,Versuchsdaten!$A$2:$A$1117,$A90,Versuchsdaten!$B$2:$B$1117,$B90,Versuchsdaten!$C$2:$C$1117,"Sprint_5m",Versuchsdaten!$E$2:$E$1117,$E90,Versuchsdaten!$J$2:$J$1117,1),""))</f>
        <v/>
      </c>
      <c r="L90" s="22">
        <f>IF(LEFT(C90,7)&lt;&gt;"Sprint_","",IF(COUNTIFS(Versuchsdaten!$A$2:$A$1117,$A90,Versuchsdaten!$B$2:$B$1117,$B90,Versuchsdaten!$C$2:$C$1117,"Sprint_10m",Versuchsdaten!$E$2:$E$1117,$E90,Versuchsdaten!$J$2:$J$1117,1)=1,SUMIFS(Versuchsdaten!$F$2:$F$1117,Versuchsdaten!$A$2:$A$1117,$A90,Versuchsdaten!$B$2:$B$1117,$B90,Versuchsdaten!$C$2:$C$1117,"Sprint_10m",Versuchsdaten!$E$2:$E$1117,$E90,Versuchsdaten!$J$2:$J$1117,1),""))</f>
        <v/>
      </c>
      <c r="M90" s="22">
        <f>IF(LEFT(C90,7)&lt;&gt;"Sprint_","",IF(COUNTIFS(Versuchsdaten!$A$2:$A$1117,$A90,Versuchsdaten!$B$2:$B$1117,$B90,Versuchsdaten!$C$2:$C$1117,"Sprint_30m",Versuchsdaten!$E$2:$E$1117,$E90,Versuchsdaten!$J$2:$J$1117,1)=1,SUMIFS(Versuchsdaten!$F$2:$F$1117,Versuchsdaten!$A$2:$A$1117,$A90,Versuchsdaten!$B$2:$B$1117,$B90,Versuchsdaten!$C$2:$C$1117,"Sprint_30m",Versuchsdaten!$E$2:$E$1117,$E90,Versuchsdaten!$J$2:$J$1117,1),""))</f>
        <v/>
      </c>
      <c r="N90" s="22">
        <f>IF(LEFT(C90,7)&lt;&gt;"Sprint_",0,IF(IF(ISNUMBER(K90),IF(K90&lt;=0,1,IF(5/K90&gt;10,1,0)),0)+IF(ISNUMBER(L90),IF(ISNUMBER(K90),IF(L90-K90&lt;=0,1,IF(5/(L90-K90)&gt;10,1,0)),IF(L90&lt;=0,1,IF(10/L90&gt;10,1,0))),0)+IF(ISNUMBER(M90),IF(ISNUMBER(L90),IF(M90-L90&lt;=0,1,IF(20/(M90-L90)&gt;10,1,0)),IF(ISNUMBER(K90),IF(M90-K90&lt;=0,1,IF(25/(M90-K90)&gt;10,1,0)),IF(M90&lt;=0,1,IF(30/M90&gt;10,1,0)))),0)&gt;0,1,0))</f>
        <v/>
      </c>
      <c r="O90" s="22">
        <f>IF(AND(J90=1,N90=0),1,0)</f>
        <v/>
      </c>
      <c r="P90" s="22">
        <f>INDEX(Personendaten!$J$2:$J$32,MATCH(A90,Personendaten!$A$2:$A$32,0))</f>
        <v/>
      </c>
      <c r="Q90" s="22">
        <f>IF(O90=1,"",IF(AND(B90="post",P90="nicht angetreten"),"NANG",IF(N90=1,"AUSL",IFERROR(VLOOKUP(H90,Vokabular!$A$2:$B$8,2,FALSE),"UNBEKANNT"))))</f>
        <v/>
      </c>
    </row>
    <row r="91">
      <c r="A91" s="5" t="inlineStr">
        <is>
          <t>BW-06</t>
        </is>
      </c>
      <c r="B91" s="5" t="inlineStr">
        <is>
          <t>prä</t>
        </is>
      </c>
      <c r="C91" s="5" t="inlineStr">
        <is>
          <t>COD_505</t>
        </is>
      </c>
      <c r="D91" s="5" t="inlineStr">
        <is>
          <t>R</t>
        </is>
      </c>
      <c r="E91" s="5" t="n">
        <v>3</v>
      </c>
      <c r="F91" s="5" t="n"/>
      <c r="G91" s="5" t="n"/>
      <c r="H91" s="5" t="inlineStr">
        <is>
          <t>Nur 2 Versuche aus Zeitmangel</t>
        </is>
      </c>
      <c r="I91" s="22">
        <f>INDEX(Personendaten!$C$2:$C$32,MATCH(A91,Personendaten!$A$2:$A$32,0))</f>
        <v/>
      </c>
      <c r="J91" s="22">
        <f>IF(AND(F91&lt;&gt;"",G91=""),1,0)</f>
        <v/>
      </c>
      <c r="K91" s="22">
        <f>IF(LEFT(C91,7)&lt;&gt;"Sprint_","",IF(COUNTIFS(Versuchsdaten!$A$2:$A$1117,$A91,Versuchsdaten!$B$2:$B$1117,$B91,Versuchsdaten!$C$2:$C$1117,"Sprint_5m",Versuchsdaten!$E$2:$E$1117,$E91,Versuchsdaten!$J$2:$J$1117,1)=1,SUMIFS(Versuchsdaten!$F$2:$F$1117,Versuchsdaten!$A$2:$A$1117,$A91,Versuchsdaten!$B$2:$B$1117,$B91,Versuchsdaten!$C$2:$C$1117,"Sprint_5m",Versuchsdaten!$E$2:$E$1117,$E91,Versuchsdaten!$J$2:$J$1117,1),""))</f>
        <v/>
      </c>
      <c r="L91" s="22">
        <f>IF(LEFT(C91,7)&lt;&gt;"Sprint_","",IF(COUNTIFS(Versuchsdaten!$A$2:$A$1117,$A91,Versuchsdaten!$B$2:$B$1117,$B91,Versuchsdaten!$C$2:$C$1117,"Sprint_10m",Versuchsdaten!$E$2:$E$1117,$E91,Versuchsdaten!$J$2:$J$1117,1)=1,SUMIFS(Versuchsdaten!$F$2:$F$1117,Versuchsdaten!$A$2:$A$1117,$A91,Versuchsdaten!$B$2:$B$1117,$B91,Versuchsdaten!$C$2:$C$1117,"Sprint_10m",Versuchsdaten!$E$2:$E$1117,$E91,Versuchsdaten!$J$2:$J$1117,1),""))</f>
        <v/>
      </c>
      <c r="M91" s="22">
        <f>IF(LEFT(C91,7)&lt;&gt;"Sprint_","",IF(COUNTIFS(Versuchsdaten!$A$2:$A$1117,$A91,Versuchsdaten!$B$2:$B$1117,$B91,Versuchsdaten!$C$2:$C$1117,"Sprint_30m",Versuchsdaten!$E$2:$E$1117,$E91,Versuchsdaten!$J$2:$J$1117,1)=1,SUMIFS(Versuchsdaten!$F$2:$F$1117,Versuchsdaten!$A$2:$A$1117,$A91,Versuchsdaten!$B$2:$B$1117,$B91,Versuchsdaten!$C$2:$C$1117,"Sprint_30m",Versuchsdaten!$E$2:$E$1117,$E91,Versuchsdaten!$J$2:$J$1117,1),""))</f>
        <v/>
      </c>
      <c r="N91" s="22">
        <f>IF(LEFT(C91,7)&lt;&gt;"Sprint_",0,IF(IF(ISNUMBER(K91),IF(K91&lt;=0,1,IF(5/K91&gt;10,1,0)),0)+IF(ISNUMBER(L91),IF(ISNUMBER(K91),IF(L91-K91&lt;=0,1,IF(5/(L91-K91)&gt;10,1,0)),IF(L91&lt;=0,1,IF(10/L91&gt;10,1,0))),0)+IF(ISNUMBER(M91),IF(ISNUMBER(L91),IF(M91-L91&lt;=0,1,IF(20/(M91-L91)&gt;10,1,0)),IF(ISNUMBER(K91),IF(M91-K91&lt;=0,1,IF(25/(M91-K91)&gt;10,1,0)),IF(M91&lt;=0,1,IF(30/M91&gt;10,1,0)))),0)&gt;0,1,0))</f>
        <v/>
      </c>
      <c r="O91" s="22">
        <f>IF(AND(J91=1,N91=0),1,0)</f>
        <v/>
      </c>
      <c r="P91" s="22">
        <f>INDEX(Personendaten!$J$2:$J$32,MATCH(A91,Personendaten!$A$2:$A$32,0))</f>
        <v/>
      </c>
      <c r="Q91" s="22">
        <f>IF(O91=1,"",IF(AND(B91="post",P91="nicht angetreten"),"NANG",IF(N91=1,"AUSL",IFERROR(VLOOKUP(H91,Vokabular!$A$2:$B$8,2,FALSE),"UNBEKANNT"))))</f>
        <v/>
      </c>
    </row>
    <row r="92">
      <c r="A92" s="5" t="inlineStr">
        <is>
          <t>BW-07</t>
        </is>
      </c>
      <c r="B92" s="5" t="inlineStr">
        <is>
          <t>prä</t>
        </is>
      </c>
      <c r="C92" s="5" t="inlineStr">
        <is>
          <t>Sprint_5m</t>
        </is>
      </c>
      <c r="D92" s="5" t="inlineStr">
        <is>
          <t>–</t>
        </is>
      </c>
      <c r="E92" s="5" t="n">
        <v>1</v>
      </c>
      <c r="F92" s="5" t="n"/>
      <c r="G92" s="5" t="n"/>
      <c r="H92" s="5" t="inlineStr">
        <is>
          <t>System nicht aufgenommen</t>
        </is>
      </c>
      <c r="I92" s="22">
        <f>INDEX(Personendaten!$C$2:$C$32,MATCH(A92,Personendaten!$A$2:$A$32,0))</f>
        <v/>
      </c>
      <c r="J92" s="22">
        <f>IF(AND(F92&lt;&gt;"",G92=""),1,0)</f>
        <v/>
      </c>
      <c r="K92" s="22">
        <f>IF(LEFT(C92,7)&lt;&gt;"Sprint_","",IF(COUNTIFS(Versuchsdaten!$A$2:$A$1117,$A92,Versuchsdaten!$B$2:$B$1117,$B92,Versuchsdaten!$C$2:$C$1117,"Sprint_5m",Versuchsdaten!$E$2:$E$1117,$E92,Versuchsdaten!$J$2:$J$1117,1)=1,SUMIFS(Versuchsdaten!$F$2:$F$1117,Versuchsdaten!$A$2:$A$1117,$A92,Versuchsdaten!$B$2:$B$1117,$B92,Versuchsdaten!$C$2:$C$1117,"Sprint_5m",Versuchsdaten!$E$2:$E$1117,$E92,Versuchsdaten!$J$2:$J$1117,1),""))</f>
        <v/>
      </c>
      <c r="L92" s="22">
        <f>IF(LEFT(C92,7)&lt;&gt;"Sprint_","",IF(COUNTIFS(Versuchsdaten!$A$2:$A$1117,$A92,Versuchsdaten!$B$2:$B$1117,$B92,Versuchsdaten!$C$2:$C$1117,"Sprint_10m",Versuchsdaten!$E$2:$E$1117,$E92,Versuchsdaten!$J$2:$J$1117,1)=1,SUMIFS(Versuchsdaten!$F$2:$F$1117,Versuchsdaten!$A$2:$A$1117,$A92,Versuchsdaten!$B$2:$B$1117,$B92,Versuchsdaten!$C$2:$C$1117,"Sprint_10m",Versuchsdaten!$E$2:$E$1117,$E92,Versuchsdaten!$J$2:$J$1117,1),""))</f>
        <v/>
      </c>
      <c r="M92" s="22">
        <f>IF(LEFT(C92,7)&lt;&gt;"Sprint_","",IF(COUNTIFS(Versuchsdaten!$A$2:$A$1117,$A92,Versuchsdaten!$B$2:$B$1117,$B92,Versuchsdaten!$C$2:$C$1117,"Sprint_30m",Versuchsdaten!$E$2:$E$1117,$E92,Versuchsdaten!$J$2:$J$1117,1)=1,SUMIFS(Versuchsdaten!$F$2:$F$1117,Versuchsdaten!$A$2:$A$1117,$A92,Versuchsdaten!$B$2:$B$1117,$B92,Versuchsdaten!$C$2:$C$1117,"Sprint_30m",Versuchsdaten!$E$2:$E$1117,$E92,Versuchsdaten!$J$2:$J$1117,1),""))</f>
        <v/>
      </c>
      <c r="N92" s="22">
        <f>IF(LEFT(C92,7)&lt;&gt;"Sprint_",0,IF(IF(ISNUMBER(K92),IF(K92&lt;=0,1,IF(5/K92&gt;10,1,0)),0)+IF(ISNUMBER(L92),IF(ISNUMBER(K92),IF(L92-K92&lt;=0,1,IF(5/(L92-K92)&gt;10,1,0)),IF(L92&lt;=0,1,IF(10/L92&gt;10,1,0))),0)+IF(ISNUMBER(M92),IF(ISNUMBER(L92),IF(M92-L92&lt;=0,1,IF(20/(M92-L92)&gt;10,1,0)),IF(ISNUMBER(K92),IF(M92-K92&lt;=0,1,IF(25/(M92-K92)&gt;10,1,0)),IF(M92&lt;=0,1,IF(30/M92&gt;10,1,0)))),0)&gt;0,1,0))</f>
        <v/>
      </c>
      <c r="O92" s="22">
        <f>IF(AND(J92=1,N92=0),1,0)</f>
        <v/>
      </c>
      <c r="P92" s="22">
        <f>INDEX(Personendaten!$J$2:$J$32,MATCH(A92,Personendaten!$A$2:$A$32,0))</f>
        <v/>
      </c>
      <c r="Q92" s="22">
        <f>IF(O92=1,"",IF(AND(B92="post",P92="nicht angetreten"),"NANG",IF(N92=1,"AUSL",IFERROR(VLOOKUP(H92,Vokabular!$A$2:$B$8,2,FALSE),"UNBEKANNT"))))</f>
        <v/>
      </c>
    </row>
    <row r="93">
      <c r="A93" s="5" t="inlineStr">
        <is>
          <t>BW-07</t>
        </is>
      </c>
      <c r="B93" s="5" t="inlineStr">
        <is>
          <t>prä</t>
        </is>
      </c>
      <c r="C93" s="5" t="inlineStr">
        <is>
          <t>Sprint_5m</t>
        </is>
      </c>
      <c r="D93" s="5" t="inlineStr">
        <is>
          <t>–</t>
        </is>
      </c>
      <c r="E93" s="5" t="n">
        <v>2</v>
      </c>
      <c r="F93" s="5" t="n"/>
      <c r="G93" s="5" t="n"/>
      <c r="H93" s="5" t="inlineStr">
        <is>
          <t>System nicht aufgenommen</t>
        </is>
      </c>
      <c r="I93" s="22">
        <f>INDEX(Personendaten!$C$2:$C$32,MATCH(A93,Personendaten!$A$2:$A$32,0))</f>
        <v/>
      </c>
      <c r="J93" s="22">
        <f>IF(AND(F93&lt;&gt;"",G93=""),1,0)</f>
        <v/>
      </c>
      <c r="K93" s="22">
        <f>IF(LEFT(C93,7)&lt;&gt;"Sprint_","",IF(COUNTIFS(Versuchsdaten!$A$2:$A$1117,$A93,Versuchsdaten!$B$2:$B$1117,$B93,Versuchsdaten!$C$2:$C$1117,"Sprint_5m",Versuchsdaten!$E$2:$E$1117,$E93,Versuchsdaten!$J$2:$J$1117,1)=1,SUMIFS(Versuchsdaten!$F$2:$F$1117,Versuchsdaten!$A$2:$A$1117,$A93,Versuchsdaten!$B$2:$B$1117,$B93,Versuchsdaten!$C$2:$C$1117,"Sprint_5m",Versuchsdaten!$E$2:$E$1117,$E93,Versuchsdaten!$J$2:$J$1117,1),""))</f>
        <v/>
      </c>
      <c r="L93" s="22">
        <f>IF(LEFT(C93,7)&lt;&gt;"Sprint_","",IF(COUNTIFS(Versuchsdaten!$A$2:$A$1117,$A93,Versuchsdaten!$B$2:$B$1117,$B93,Versuchsdaten!$C$2:$C$1117,"Sprint_10m",Versuchsdaten!$E$2:$E$1117,$E93,Versuchsdaten!$J$2:$J$1117,1)=1,SUMIFS(Versuchsdaten!$F$2:$F$1117,Versuchsdaten!$A$2:$A$1117,$A93,Versuchsdaten!$B$2:$B$1117,$B93,Versuchsdaten!$C$2:$C$1117,"Sprint_10m",Versuchsdaten!$E$2:$E$1117,$E93,Versuchsdaten!$J$2:$J$1117,1),""))</f>
        <v/>
      </c>
      <c r="M93" s="22">
        <f>IF(LEFT(C93,7)&lt;&gt;"Sprint_","",IF(COUNTIFS(Versuchsdaten!$A$2:$A$1117,$A93,Versuchsdaten!$B$2:$B$1117,$B93,Versuchsdaten!$C$2:$C$1117,"Sprint_30m",Versuchsdaten!$E$2:$E$1117,$E93,Versuchsdaten!$J$2:$J$1117,1)=1,SUMIFS(Versuchsdaten!$F$2:$F$1117,Versuchsdaten!$A$2:$A$1117,$A93,Versuchsdaten!$B$2:$B$1117,$B93,Versuchsdaten!$C$2:$C$1117,"Sprint_30m",Versuchsdaten!$E$2:$E$1117,$E93,Versuchsdaten!$J$2:$J$1117,1),""))</f>
        <v/>
      </c>
      <c r="N93" s="22">
        <f>IF(LEFT(C93,7)&lt;&gt;"Sprint_",0,IF(IF(ISNUMBER(K93),IF(K93&lt;=0,1,IF(5/K93&gt;10,1,0)),0)+IF(ISNUMBER(L93),IF(ISNUMBER(K93),IF(L93-K93&lt;=0,1,IF(5/(L93-K93)&gt;10,1,0)),IF(L93&lt;=0,1,IF(10/L93&gt;10,1,0))),0)+IF(ISNUMBER(M93),IF(ISNUMBER(L93),IF(M93-L93&lt;=0,1,IF(20/(M93-L93)&gt;10,1,0)),IF(ISNUMBER(K93),IF(M93-K93&lt;=0,1,IF(25/(M93-K93)&gt;10,1,0)),IF(M93&lt;=0,1,IF(30/M93&gt;10,1,0)))),0)&gt;0,1,0))</f>
        <v/>
      </c>
      <c r="O93" s="22">
        <f>IF(AND(J93=1,N93=0),1,0)</f>
        <v/>
      </c>
      <c r="P93" s="22">
        <f>INDEX(Personendaten!$J$2:$J$32,MATCH(A93,Personendaten!$A$2:$A$32,0))</f>
        <v/>
      </c>
      <c r="Q93" s="22">
        <f>IF(O93=1,"",IF(AND(B93="post",P93="nicht angetreten"),"NANG",IF(N93=1,"AUSL",IFERROR(VLOOKUP(H93,Vokabular!$A$2:$B$8,2,FALSE),"UNBEKANNT"))))</f>
        <v/>
      </c>
    </row>
    <row r="94">
      <c r="A94" s="5" t="inlineStr">
        <is>
          <t>BW-07</t>
        </is>
      </c>
      <c r="B94" s="5" t="inlineStr">
        <is>
          <t>prä</t>
        </is>
      </c>
      <c r="C94" s="5" t="inlineStr">
        <is>
          <t>Sprint_5m</t>
        </is>
      </c>
      <c r="D94" s="5" t="inlineStr">
        <is>
          <t>–</t>
        </is>
      </c>
      <c r="E94" s="5" t="n">
        <v>3</v>
      </c>
      <c r="F94" s="5" t="n">
        <v>1.05</v>
      </c>
      <c r="G94" s="5" t="n"/>
      <c r="H94" s="5" t="n"/>
      <c r="I94" s="22">
        <f>INDEX(Personendaten!$C$2:$C$32,MATCH(A94,Personendaten!$A$2:$A$32,0))</f>
        <v/>
      </c>
      <c r="J94" s="22">
        <f>IF(AND(F94&lt;&gt;"",G94=""),1,0)</f>
        <v/>
      </c>
      <c r="K94" s="22">
        <f>IF(LEFT(C94,7)&lt;&gt;"Sprint_","",IF(COUNTIFS(Versuchsdaten!$A$2:$A$1117,$A94,Versuchsdaten!$B$2:$B$1117,$B94,Versuchsdaten!$C$2:$C$1117,"Sprint_5m",Versuchsdaten!$E$2:$E$1117,$E94,Versuchsdaten!$J$2:$J$1117,1)=1,SUMIFS(Versuchsdaten!$F$2:$F$1117,Versuchsdaten!$A$2:$A$1117,$A94,Versuchsdaten!$B$2:$B$1117,$B94,Versuchsdaten!$C$2:$C$1117,"Sprint_5m",Versuchsdaten!$E$2:$E$1117,$E94,Versuchsdaten!$J$2:$J$1117,1),""))</f>
        <v/>
      </c>
      <c r="L94" s="22">
        <f>IF(LEFT(C94,7)&lt;&gt;"Sprint_","",IF(COUNTIFS(Versuchsdaten!$A$2:$A$1117,$A94,Versuchsdaten!$B$2:$B$1117,$B94,Versuchsdaten!$C$2:$C$1117,"Sprint_10m",Versuchsdaten!$E$2:$E$1117,$E94,Versuchsdaten!$J$2:$J$1117,1)=1,SUMIFS(Versuchsdaten!$F$2:$F$1117,Versuchsdaten!$A$2:$A$1117,$A94,Versuchsdaten!$B$2:$B$1117,$B94,Versuchsdaten!$C$2:$C$1117,"Sprint_10m",Versuchsdaten!$E$2:$E$1117,$E94,Versuchsdaten!$J$2:$J$1117,1),""))</f>
        <v/>
      </c>
      <c r="M94" s="22">
        <f>IF(LEFT(C94,7)&lt;&gt;"Sprint_","",IF(COUNTIFS(Versuchsdaten!$A$2:$A$1117,$A94,Versuchsdaten!$B$2:$B$1117,$B94,Versuchsdaten!$C$2:$C$1117,"Sprint_30m",Versuchsdaten!$E$2:$E$1117,$E94,Versuchsdaten!$J$2:$J$1117,1)=1,SUMIFS(Versuchsdaten!$F$2:$F$1117,Versuchsdaten!$A$2:$A$1117,$A94,Versuchsdaten!$B$2:$B$1117,$B94,Versuchsdaten!$C$2:$C$1117,"Sprint_30m",Versuchsdaten!$E$2:$E$1117,$E94,Versuchsdaten!$J$2:$J$1117,1),""))</f>
        <v/>
      </c>
      <c r="N94" s="22">
        <f>IF(LEFT(C94,7)&lt;&gt;"Sprint_",0,IF(IF(ISNUMBER(K94),IF(K94&lt;=0,1,IF(5/K94&gt;10,1,0)),0)+IF(ISNUMBER(L94),IF(ISNUMBER(K94),IF(L94-K94&lt;=0,1,IF(5/(L94-K94)&gt;10,1,0)),IF(L94&lt;=0,1,IF(10/L94&gt;10,1,0))),0)+IF(ISNUMBER(M94),IF(ISNUMBER(L94),IF(M94-L94&lt;=0,1,IF(20/(M94-L94)&gt;10,1,0)),IF(ISNUMBER(K94),IF(M94-K94&lt;=0,1,IF(25/(M94-K94)&gt;10,1,0)),IF(M94&lt;=0,1,IF(30/M94&gt;10,1,0)))),0)&gt;0,1,0))</f>
        <v/>
      </c>
      <c r="O94" s="22">
        <f>IF(AND(J94=1,N94=0),1,0)</f>
        <v/>
      </c>
      <c r="P94" s="22">
        <f>INDEX(Personendaten!$J$2:$J$32,MATCH(A94,Personendaten!$A$2:$A$32,0))</f>
        <v/>
      </c>
      <c r="Q94" s="22">
        <f>IF(O94=1,"",IF(AND(B94="post",P94="nicht angetreten"),"NANG",IF(N94=1,"AUSL",IFERROR(VLOOKUP(H94,Vokabular!$A$2:$B$8,2,FALSE),"UNBEKANNT"))))</f>
        <v/>
      </c>
    </row>
    <row r="95">
      <c r="A95" s="5" t="inlineStr">
        <is>
          <t>BW-07</t>
        </is>
      </c>
      <c r="B95" s="5" t="inlineStr">
        <is>
          <t>prä</t>
        </is>
      </c>
      <c r="C95" s="5" t="inlineStr">
        <is>
          <t>Sprint_10m</t>
        </is>
      </c>
      <c r="D95" s="5" t="inlineStr">
        <is>
          <t>–</t>
        </is>
      </c>
      <c r="E95" s="5" t="n">
        <v>1</v>
      </c>
      <c r="F95" s="5" t="n">
        <v>1.81</v>
      </c>
      <c r="G95" s="5" t="n"/>
      <c r="H95" s="5" t="n"/>
      <c r="I95" s="22">
        <f>INDEX(Personendaten!$C$2:$C$32,MATCH(A95,Personendaten!$A$2:$A$32,0))</f>
        <v/>
      </c>
      <c r="J95" s="22">
        <f>IF(AND(F95&lt;&gt;"",G95=""),1,0)</f>
        <v/>
      </c>
      <c r="K95" s="22">
        <f>IF(LEFT(C95,7)&lt;&gt;"Sprint_","",IF(COUNTIFS(Versuchsdaten!$A$2:$A$1117,$A95,Versuchsdaten!$B$2:$B$1117,$B95,Versuchsdaten!$C$2:$C$1117,"Sprint_5m",Versuchsdaten!$E$2:$E$1117,$E95,Versuchsdaten!$J$2:$J$1117,1)=1,SUMIFS(Versuchsdaten!$F$2:$F$1117,Versuchsdaten!$A$2:$A$1117,$A95,Versuchsdaten!$B$2:$B$1117,$B95,Versuchsdaten!$C$2:$C$1117,"Sprint_5m",Versuchsdaten!$E$2:$E$1117,$E95,Versuchsdaten!$J$2:$J$1117,1),""))</f>
        <v/>
      </c>
      <c r="L95" s="22">
        <f>IF(LEFT(C95,7)&lt;&gt;"Sprint_","",IF(COUNTIFS(Versuchsdaten!$A$2:$A$1117,$A95,Versuchsdaten!$B$2:$B$1117,$B95,Versuchsdaten!$C$2:$C$1117,"Sprint_10m",Versuchsdaten!$E$2:$E$1117,$E95,Versuchsdaten!$J$2:$J$1117,1)=1,SUMIFS(Versuchsdaten!$F$2:$F$1117,Versuchsdaten!$A$2:$A$1117,$A95,Versuchsdaten!$B$2:$B$1117,$B95,Versuchsdaten!$C$2:$C$1117,"Sprint_10m",Versuchsdaten!$E$2:$E$1117,$E95,Versuchsdaten!$J$2:$J$1117,1),""))</f>
        <v/>
      </c>
      <c r="M95" s="22">
        <f>IF(LEFT(C95,7)&lt;&gt;"Sprint_","",IF(COUNTIFS(Versuchsdaten!$A$2:$A$1117,$A95,Versuchsdaten!$B$2:$B$1117,$B95,Versuchsdaten!$C$2:$C$1117,"Sprint_30m",Versuchsdaten!$E$2:$E$1117,$E95,Versuchsdaten!$J$2:$J$1117,1)=1,SUMIFS(Versuchsdaten!$F$2:$F$1117,Versuchsdaten!$A$2:$A$1117,$A95,Versuchsdaten!$B$2:$B$1117,$B95,Versuchsdaten!$C$2:$C$1117,"Sprint_30m",Versuchsdaten!$E$2:$E$1117,$E95,Versuchsdaten!$J$2:$J$1117,1),""))</f>
        <v/>
      </c>
      <c r="N95" s="22">
        <f>IF(LEFT(C95,7)&lt;&gt;"Sprint_",0,IF(IF(ISNUMBER(K95),IF(K95&lt;=0,1,IF(5/K95&gt;10,1,0)),0)+IF(ISNUMBER(L95),IF(ISNUMBER(K95),IF(L95-K95&lt;=0,1,IF(5/(L95-K95)&gt;10,1,0)),IF(L95&lt;=0,1,IF(10/L95&gt;10,1,0))),0)+IF(ISNUMBER(M95),IF(ISNUMBER(L95),IF(M95-L95&lt;=0,1,IF(20/(M95-L95)&gt;10,1,0)),IF(ISNUMBER(K95),IF(M95-K95&lt;=0,1,IF(25/(M95-K95)&gt;10,1,0)),IF(M95&lt;=0,1,IF(30/M95&gt;10,1,0)))),0)&gt;0,1,0))</f>
        <v/>
      </c>
      <c r="O95" s="22">
        <f>IF(AND(J95=1,N95=0),1,0)</f>
        <v/>
      </c>
      <c r="P95" s="22">
        <f>INDEX(Personendaten!$J$2:$J$32,MATCH(A95,Personendaten!$A$2:$A$32,0))</f>
        <v/>
      </c>
      <c r="Q95" s="22">
        <f>IF(O95=1,"",IF(AND(B95="post",P95="nicht angetreten"),"NANG",IF(N95=1,"AUSL",IFERROR(VLOOKUP(H95,Vokabular!$A$2:$B$8,2,FALSE),"UNBEKANNT"))))</f>
        <v/>
      </c>
    </row>
    <row r="96">
      <c r="A96" s="5" t="inlineStr">
        <is>
          <t>BW-07</t>
        </is>
      </c>
      <c r="B96" s="5" t="inlineStr">
        <is>
          <t>prä</t>
        </is>
      </c>
      <c r="C96" s="5" t="inlineStr">
        <is>
          <t>Sprint_10m</t>
        </is>
      </c>
      <c r="D96" s="5" t="inlineStr">
        <is>
          <t>–</t>
        </is>
      </c>
      <c r="E96" s="5" t="n">
        <v>2</v>
      </c>
      <c r="F96" s="5" t="n">
        <v>1.79</v>
      </c>
      <c r="G96" s="5" t="n"/>
      <c r="H96" s="5" t="n"/>
      <c r="I96" s="22">
        <f>INDEX(Personendaten!$C$2:$C$32,MATCH(A96,Personendaten!$A$2:$A$32,0))</f>
        <v/>
      </c>
      <c r="J96" s="22">
        <f>IF(AND(F96&lt;&gt;"",G96=""),1,0)</f>
        <v/>
      </c>
      <c r="K96" s="22">
        <f>IF(LEFT(C96,7)&lt;&gt;"Sprint_","",IF(COUNTIFS(Versuchsdaten!$A$2:$A$1117,$A96,Versuchsdaten!$B$2:$B$1117,$B96,Versuchsdaten!$C$2:$C$1117,"Sprint_5m",Versuchsdaten!$E$2:$E$1117,$E96,Versuchsdaten!$J$2:$J$1117,1)=1,SUMIFS(Versuchsdaten!$F$2:$F$1117,Versuchsdaten!$A$2:$A$1117,$A96,Versuchsdaten!$B$2:$B$1117,$B96,Versuchsdaten!$C$2:$C$1117,"Sprint_5m",Versuchsdaten!$E$2:$E$1117,$E96,Versuchsdaten!$J$2:$J$1117,1),""))</f>
        <v/>
      </c>
      <c r="L96" s="22">
        <f>IF(LEFT(C96,7)&lt;&gt;"Sprint_","",IF(COUNTIFS(Versuchsdaten!$A$2:$A$1117,$A96,Versuchsdaten!$B$2:$B$1117,$B96,Versuchsdaten!$C$2:$C$1117,"Sprint_10m",Versuchsdaten!$E$2:$E$1117,$E96,Versuchsdaten!$J$2:$J$1117,1)=1,SUMIFS(Versuchsdaten!$F$2:$F$1117,Versuchsdaten!$A$2:$A$1117,$A96,Versuchsdaten!$B$2:$B$1117,$B96,Versuchsdaten!$C$2:$C$1117,"Sprint_10m",Versuchsdaten!$E$2:$E$1117,$E96,Versuchsdaten!$J$2:$J$1117,1),""))</f>
        <v/>
      </c>
      <c r="M96" s="22">
        <f>IF(LEFT(C96,7)&lt;&gt;"Sprint_","",IF(COUNTIFS(Versuchsdaten!$A$2:$A$1117,$A96,Versuchsdaten!$B$2:$B$1117,$B96,Versuchsdaten!$C$2:$C$1117,"Sprint_30m",Versuchsdaten!$E$2:$E$1117,$E96,Versuchsdaten!$J$2:$J$1117,1)=1,SUMIFS(Versuchsdaten!$F$2:$F$1117,Versuchsdaten!$A$2:$A$1117,$A96,Versuchsdaten!$B$2:$B$1117,$B96,Versuchsdaten!$C$2:$C$1117,"Sprint_30m",Versuchsdaten!$E$2:$E$1117,$E96,Versuchsdaten!$J$2:$J$1117,1),""))</f>
        <v/>
      </c>
      <c r="N96" s="22">
        <f>IF(LEFT(C96,7)&lt;&gt;"Sprint_",0,IF(IF(ISNUMBER(K96),IF(K96&lt;=0,1,IF(5/K96&gt;10,1,0)),0)+IF(ISNUMBER(L96),IF(ISNUMBER(K96),IF(L96-K96&lt;=0,1,IF(5/(L96-K96)&gt;10,1,0)),IF(L96&lt;=0,1,IF(10/L96&gt;10,1,0))),0)+IF(ISNUMBER(M96),IF(ISNUMBER(L96),IF(M96-L96&lt;=0,1,IF(20/(M96-L96)&gt;10,1,0)),IF(ISNUMBER(K96),IF(M96-K96&lt;=0,1,IF(25/(M96-K96)&gt;10,1,0)),IF(M96&lt;=0,1,IF(30/M96&gt;10,1,0)))),0)&gt;0,1,0))</f>
        <v/>
      </c>
      <c r="O96" s="22">
        <f>IF(AND(J96=1,N96=0),1,0)</f>
        <v/>
      </c>
      <c r="P96" s="22">
        <f>INDEX(Personendaten!$J$2:$J$32,MATCH(A96,Personendaten!$A$2:$A$32,0))</f>
        <v/>
      </c>
      <c r="Q96" s="22">
        <f>IF(O96=1,"",IF(AND(B96="post",P96="nicht angetreten"),"NANG",IF(N96=1,"AUSL",IFERROR(VLOOKUP(H96,Vokabular!$A$2:$B$8,2,FALSE),"UNBEKANNT"))))</f>
        <v/>
      </c>
    </row>
    <row r="97">
      <c r="A97" s="5" t="inlineStr">
        <is>
          <t>BW-07</t>
        </is>
      </c>
      <c r="B97" s="5" t="inlineStr">
        <is>
          <t>prä</t>
        </is>
      </c>
      <c r="C97" s="5" t="inlineStr">
        <is>
          <t>Sprint_10m</t>
        </is>
      </c>
      <c r="D97" s="5" t="inlineStr">
        <is>
          <t>–</t>
        </is>
      </c>
      <c r="E97" s="5" t="n">
        <v>3</v>
      </c>
      <c r="F97" s="5" t="n">
        <v>1.79</v>
      </c>
      <c r="G97" s="5" t="n"/>
      <c r="H97" s="5" t="n"/>
      <c r="I97" s="22">
        <f>INDEX(Personendaten!$C$2:$C$32,MATCH(A97,Personendaten!$A$2:$A$32,0))</f>
        <v/>
      </c>
      <c r="J97" s="22">
        <f>IF(AND(F97&lt;&gt;"",G97=""),1,0)</f>
        <v/>
      </c>
      <c r="K97" s="22">
        <f>IF(LEFT(C97,7)&lt;&gt;"Sprint_","",IF(COUNTIFS(Versuchsdaten!$A$2:$A$1117,$A97,Versuchsdaten!$B$2:$B$1117,$B97,Versuchsdaten!$C$2:$C$1117,"Sprint_5m",Versuchsdaten!$E$2:$E$1117,$E97,Versuchsdaten!$J$2:$J$1117,1)=1,SUMIFS(Versuchsdaten!$F$2:$F$1117,Versuchsdaten!$A$2:$A$1117,$A97,Versuchsdaten!$B$2:$B$1117,$B97,Versuchsdaten!$C$2:$C$1117,"Sprint_5m",Versuchsdaten!$E$2:$E$1117,$E97,Versuchsdaten!$J$2:$J$1117,1),""))</f>
        <v/>
      </c>
      <c r="L97" s="22">
        <f>IF(LEFT(C97,7)&lt;&gt;"Sprint_","",IF(COUNTIFS(Versuchsdaten!$A$2:$A$1117,$A97,Versuchsdaten!$B$2:$B$1117,$B97,Versuchsdaten!$C$2:$C$1117,"Sprint_10m",Versuchsdaten!$E$2:$E$1117,$E97,Versuchsdaten!$J$2:$J$1117,1)=1,SUMIFS(Versuchsdaten!$F$2:$F$1117,Versuchsdaten!$A$2:$A$1117,$A97,Versuchsdaten!$B$2:$B$1117,$B97,Versuchsdaten!$C$2:$C$1117,"Sprint_10m",Versuchsdaten!$E$2:$E$1117,$E97,Versuchsdaten!$J$2:$J$1117,1),""))</f>
        <v/>
      </c>
      <c r="M97" s="22">
        <f>IF(LEFT(C97,7)&lt;&gt;"Sprint_","",IF(COUNTIFS(Versuchsdaten!$A$2:$A$1117,$A97,Versuchsdaten!$B$2:$B$1117,$B97,Versuchsdaten!$C$2:$C$1117,"Sprint_30m",Versuchsdaten!$E$2:$E$1117,$E97,Versuchsdaten!$J$2:$J$1117,1)=1,SUMIFS(Versuchsdaten!$F$2:$F$1117,Versuchsdaten!$A$2:$A$1117,$A97,Versuchsdaten!$B$2:$B$1117,$B97,Versuchsdaten!$C$2:$C$1117,"Sprint_30m",Versuchsdaten!$E$2:$E$1117,$E97,Versuchsdaten!$J$2:$J$1117,1),""))</f>
        <v/>
      </c>
      <c r="N97" s="22">
        <f>IF(LEFT(C97,7)&lt;&gt;"Sprint_",0,IF(IF(ISNUMBER(K97),IF(K97&lt;=0,1,IF(5/K97&gt;10,1,0)),0)+IF(ISNUMBER(L97),IF(ISNUMBER(K97),IF(L97-K97&lt;=0,1,IF(5/(L97-K97)&gt;10,1,0)),IF(L97&lt;=0,1,IF(10/L97&gt;10,1,0))),0)+IF(ISNUMBER(M97),IF(ISNUMBER(L97),IF(M97-L97&lt;=0,1,IF(20/(M97-L97)&gt;10,1,0)),IF(ISNUMBER(K97),IF(M97-K97&lt;=0,1,IF(25/(M97-K97)&gt;10,1,0)),IF(M97&lt;=0,1,IF(30/M97&gt;10,1,0)))),0)&gt;0,1,0))</f>
        <v/>
      </c>
      <c r="O97" s="22">
        <f>IF(AND(J97=1,N97=0),1,0)</f>
        <v/>
      </c>
      <c r="P97" s="22">
        <f>INDEX(Personendaten!$J$2:$J$32,MATCH(A97,Personendaten!$A$2:$A$32,0))</f>
        <v/>
      </c>
      <c r="Q97" s="22">
        <f>IF(O97=1,"",IF(AND(B97="post",P97="nicht angetreten"),"NANG",IF(N97=1,"AUSL",IFERROR(VLOOKUP(H97,Vokabular!$A$2:$B$8,2,FALSE),"UNBEKANNT"))))</f>
        <v/>
      </c>
    </row>
    <row r="98">
      <c r="A98" s="5" t="inlineStr">
        <is>
          <t>BW-07</t>
        </is>
      </c>
      <c r="B98" s="5" t="inlineStr">
        <is>
          <t>prä</t>
        </is>
      </c>
      <c r="C98" s="5" t="inlineStr">
        <is>
          <t>Sprint_30m</t>
        </is>
      </c>
      <c r="D98" s="5" t="inlineStr">
        <is>
          <t>–</t>
        </is>
      </c>
      <c r="E98" s="5" t="n">
        <v>1</v>
      </c>
      <c r="F98" s="5" t="n">
        <v>4.29</v>
      </c>
      <c r="G98" s="5" t="n"/>
      <c r="H98" s="5" t="n"/>
      <c r="I98" s="22">
        <f>INDEX(Personendaten!$C$2:$C$32,MATCH(A98,Personendaten!$A$2:$A$32,0))</f>
        <v/>
      </c>
      <c r="J98" s="22">
        <f>IF(AND(F98&lt;&gt;"",G98=""),1,0)</f>
        <v/>
      </c>
      <c r="K98" s="22">
        <f>IF(LEFT(C98,7)&lt;&gt;"Sprint_","",IF(COUNTIFS(Versuchsdaten!$A$2:$A$1117,$A98,Versuchsdaten!$B$2:$B$1117,$B98,Versuchsdaten!$C$2:$C$1117,"Sprint_5m",Versuchsdaten!$E$2:$E$1117,$E98,Versuchsdaten!$J$2:$J$1117,1)=1,SUMIFS(Versuchsdaten!$F$2:$F$1117,Versuchsdaten!$A$2:$A$1117,$A98,Versuchsdaten!$B$2:$B$1117,$B98,Versuchsdaten!$C$2:$C$1117,"Sprint_5m",Versuchsdaten!$E$2:$E$1117,$E98,Versuchsdaten!$J$2:$J$1117,1),""))</f>
        <v/>
      </c>
      <c r="L98" s="22">
        <f>IF(LEFT(C98,7)&lt;&gt;"Sprint_","",IF(COUNTIFS(Versuchsdaten!$A$2:$A$1117,$A98,Versuchsdaten!$B$2:$B$1117,$B98,Versuchsdaten!$C$2:$C$1117,"Sprint_10m",Versuchsdaten!$E$2:$E$1117,$E98,Versuchsdaten!$J$2:$J$1117,1)=1,SUMIFS(Versuchsdaten!$F$2:$F$1117,Versuchsdaten!$A$2:$A$1117,$A98,Versuchsdaten!$B$2:$B$1117,$B98,Versuchsdaten!$C$2:$C$1117,"Sprint_10m",Versuchsdaten!$E$2:$E$1117,$E98,Versuchsdaten!$J$2:$J$1117,1),""))</f>
        <v/>
      </c>
      <c r="M98" s="22">
        <f>IF(LEFT(C98,7)&lt;&gt;"Sprint_","",IF(COUNTIFS(Versuchsdaten!$A$2:$A$1117,$A98,Versuchsdaten!$B$2:$B$1117,$B98,Versuchsdaten!$C$2:$C$1117,"Sprint_30m",Versuchsdaten!$E$2:$E$1117,$E98,Versuchsdaten!$J$2:$J$1117,1)=1,SUMIFS(Versuchsdaten!$F$2:$F$1117,Versuchsdaten!$A$2:$A$1117,$A98,Versuchsdaten!$B$2:$B$1117,$B98,Versuchsdaten!$C$2:$C$1117,"Sprint_30m",Versuchsdaten!$E$2:$E$1117,$E98,Versuchsdaten!$J$2:$J$1117,1),""))</f>
        <v/>
      </c>
      <c r="N98" s="22">
        <f>IF(LEFT(C98,7)&lt;&gt;"Sprint_",0,IF(IF(ISNUMBER(K98),IF(K98&lt;=0,1,IF(5/K98&gt;10,1,0)),0)+IF(ISNUMBER(L98),IF(ISNUMBER(K98),IF(L98-K98&lt;=0,1,IF(5/(L98-K98)&gt;10,1,0)),IF(L98&lt;=0,1,IF(10/L98&gt;10,1,0))),0)+IF(ISNUMBER(M98),IF(ISNUMBER(L98),IF(M98-L98&lt;=0,1,IF(20/(M98-L98)&gt;10,1,0)),IF(ISNUMBER(K98),IF(M98-K98&lt;=0,1,IF(25/(M98-K98)&gt;10,1,0)),IF(M98&lt;=0,1,IF(30/M98&gt;10,1,0)))),0)&gt;0,1,0))</f>
        <v/>
      </c>
      <c r="O98" s="22">
        <f>IF(AND(J98=1,N98=0),1,0)</f>
        <v/>
      </c>
      <c r="P98" s="22">
        <f>INDEX(Personendaten!$J$2:$J$32,MATCH(A98,Personendaten!$A$2:$A$32,0))</f>
        <v/>
      </c>
      <c r="Q98" s="22">
        <f>IF(O98=1,"",IF(AND(B98="post",P98="nicht angetreten"),"NANG",IF(N98=1,"AUSL",IFERROR(VLOOKUP(H98,Vokabular!$A$2:$B$8,2,FALSE),"UNBEKANNT"))))</f>
        <v/>
      </c>
    </row>
    <row r="99">
      <c r="A99" s="5" t="inlineStr">
        <is>
          <t>BW-07</t>
        </is>
      </c>
      <c r="B99" s="5" t="inlineStr">
        <is>
          <t>prä</t>
        </is>
      </c>
      <c r="C99" s="5" t="inlineStr">
        <is>
          <t>Sprint_30m</t>
        </is>
      </c>
      <c r="D99" s="5" t="inlineStr">
        <is>
          <t>–</t>
        </is>
      </c>
      <c r="E99" s="5" t="n">
        <v>2</v>
      </c>
      <c r="F99" s="5" t="n">
        <v>4.29</v>
      </c>
      <c r="G99" s="5" t="n"/>
      <c r="H99" s="5" t="n"/>
      <c r="I99" s="22">
        <f>INDEX(Personendaten!$C$2:$C$32,MATCH(A99,Personendaten!$A$2:$A$32,0))</f>
        <v/>
      </c>
      <c r="J99" s="22">
        <f>IF(AND(F99&lt;&gt;"",G99=""),1,0)</f>
        <v/>
      </c>
      <c r="K99" s="22">
        <f>IF(LEFT(C99,7)&lt;&gt;"Sprint_","",IF(COUNTIFS(Versuchsdaten!$A$2:$A$1117,$A99,Versuchsdaten!$B$2:$B$1117,$B99,Versuchsdaten!$C$2:$C$1117,"Sprint_5m",Versuchsdaten!$E$2:$E$1117,$E99,Versuchsdaten!$J$2:$J$1117,1)=1,SUMIFS(Versuchsdaten!$F$2:$F$1117,Versuchsdaten!$A$2:$A$1117,$A99,Versuchsdaten!$B$2:$B$1117,$B99,Versuchsdaten!$C$2:$C$1117,"Sprint_5m",Versuchsdaten!$E$2:$E$1117,$E99,Versuchsdaten!$J$2:$J$1117,1),""))</f>
        <v/>
      </c>
      <c r="L99" s="22">
        <f>IF(LEFT(C99,7)&lt;&gt;"Sprint_","",IF(COUNTIFS(Versuchsdaten!$A$2:$A$1117,$A99,Versuchsdaten!$B$2:$B$1117,$B99,Versuchsdaten!$C$2:$C$1117,"Sprint_10m",Versuchsdaten!$E$2:$E$1117,$E99,Versuchsdaten!$J$2:$J$1117,1)=1,SUMIFS(Versuchsdaten!$F$2:$F$1117,Versuchsdaten!$A$2:$A$1117,$A99,Versuchsdaten!$B$2:$B$1117,$B99,Versuchsdaten!$C$2:$C$1117,"Sprint_10m",Versuchsdaten!$E$2:$E$1117,$E99,Versuchsdaten!$J$2:$J$1117,1),""))</f>
        <v/>
      </c>
      <c r="M99" s="22">
        <f>IF(LEFT(C99,7)&lt;&gt;"Sprint_","",IF(COUNTIFS(Versuchsdaten!$A$2:$A$1117,$A99,Versuchsdaten!$B$2:$B$1117,$B99,Versuchsdaten!$C$2:$C$1117,"Sprint_30m",Versuchsdaten!$E$2:$E$1117,$E99,Versuchsdaten!$J$2:$J$1117,1)=1,SUMIFS(Versuchsdaten!$F$2:$F$1117,Versuchsdaten!$A$2:$A$1117,$A99,Versuchsdaten!$B$2:$B$1117,$B99,Versuchsdaten!$C$2:$C$1117,"Sprint_30m",Versuchsdaten!$E$2:$E$1117,$E99,Versuchsdaten!$J$2:$J$1117,1),""))</f>
        <v/>
      </c>
      <c r="N99" s="22">
        <f>IF(LEFT(C99,7)&lt;&gt;"Sprint_",0,IF(IF(ISNUMBER(K99),IF(K99&lt;=0,1,IF(5/K99&gt;10,1,0)),0)+IF(ISNUMBER(L99),IF(ISNUMBER(K99),IF(L99-K99&lt;=0,1,IF(5/(L99-K99)&gt;10,1,0)),IF(L99&lt;=0,1,IF(10/L99&gt;10,1,0))),0)+IF(ISNUMBER(M99),IF(ISNUMBER(L99),IF(M99-L99&lt;=0,1,IF(20/(M99-L99)&gt;10,1,0)),IF(ISNUMBER(K99),IF(M99-K99&lt;=0,1,IF(25/(M99-K99)&gt;10,1,0)),IF(M99&lt;=0,1,IF(30/M99&gt;10,1,0)))),0)&gt;0,1,0))</f>
        <v/>
      </c>
      <c r="O99" s="22">
        <f>IF(AND(J99=1,N99=0),1,0)</f>
        <v/>
      </c>
      <c r="P99" s="22">
        <f>INDEX(Personendaten!$J$2:$J$32,MATCH(A99,Personendaten!$A$2:$A$32,0))</f>
        <v/>
      </c>
      <c r="Q99" s="22">
        <f>IF(O99=1,"",IF(AND(B99="post",P99="nicht angetreten"),"NANG",IF(N99=1,"AUSL",IFERROR(VLOOKUP(H99,Vokabular!$A$2:$B$8,2,FALSE),"UNBEKANNT"))))</f>
        <v/>
      </c>
    </row>
    <row r="100">
      <c r="A100" s="5" t="inlineStr">
        <is>
          <t>BW-07</t>
        </is>
      </c>
      <c r="B100" s="5" t="inlineStr">
        <is>
          <t>prä</t>
        </is>
      </c>
      <c r="C100" s="5" t="inlineStr">
        <is>
          <t>Sprint_30m</t>
        </is>
      </c>
      <c r="D100" s="5" t="inlineStr">
        <is>
          <t>–</t>
        </is>
      </c>
      <c r="E100" s="5" t="n">
        <v>3</v>
      </c>
      <c r="F100" s="5" t="n">
        <v>4.31</v>
      </c>
      <c r="G100" s="5" t="n"/>
      <c r="H100" s="5" t="n"/>
      <c r="I100" s="22">
        <f>INDEX(Personendaten!$C$2:$C$32,MATCH(A100,Personendaten!$A$2:$A$32,0))</f>
        <v/>
      </c>
      <c r="J100" s="22">
        <f>IF(AND(F100&lt;&gt;"",G100=""),1,0)</f>
        <v/>
      </c>
      <c r="K100" s="22">
        <f>IF(LEFT(C100,7)&lt;&gt;"Sprint_","",IF(COUNTIFS(Versuchsdaten!$A$2:$A$1117,$A100,Versuchsdaten!$B$2:$B$1117,$B100,Versuchsdaten!$C$2:$C$1117,"Sprint_5m",Versuchsdaten!$E$2:$E$1117,$E100,Versuchsdaten!$J$2:$J$1117,1)=1,SUMIFS(Versuchsdaten!$F$2:$F$1117,Versuchsdaten!$A$2:$A$1117,$A100,Versuchsdaten!$B$2:$B$1117,$B100,Versuchsdaten!$C$2:$C$1117,"Sprint_5m",Versuchsdaten!$E$2:$E$1117,$E100,Versuchsdaten!$J$2:$J$1117,1),""))</f>
        <v/>
      </c>
      <c r="L100" s="22">
        <f>IF(LEFT(C100,7)&lt;&gt;"Sprint_","",IF(COUNTIFS(Versuchsdaten!$A$2:$A$1117,$A100,Versuchsdaten!$B$2:$B$1117,$B100,Versuchsdaten!$C$2:$C$1117,"Sprint_10m",Versuchsdaten!$E$2:$E$1117,$E100,Versuchsdaten!$J$2:$J$1117,1)=1,SUMIFS(Versuchsdaten!$F$2:$F$1117,Versuchsdaten!$A$2:$A$1117,$A100,Versuchsdaten!$B$2:$B$1117,$B100,Versuchsdaten!$C$2:$C$1117,"Sprint_10m",Versuchsdaten!$E$2:$E$1117,$E100,Versuchsdaten!$J$2:$J$1117,1),""))</f>
        <v/>
      </c>
      <c r="M100" s="22">
        <f>IF(LEFT(C100,7)&lt;&gt;"Sprint_","",IF(COUNTIFS(Versuchsdaten!$A$2:$A$1117,$A100,Versuchsdaten!$B$2:$B$1117,$B100,Versuchsdaten!$C$2:$C$1117,"Sprint_30m",Versuchsdaten!$E$2:$E$1117,$E100,Versuchsdaten!$J$2:$J$1117,1)=1,SUMIFS(Versuchsdaten!$F$2:$F$1117,Versuchsdaten!$A$2:$A$1117,$A100,Versuchsdaten!$B$2:$B$1117,$B100,Versuchsdaten!$C$2:$C$1117,"Sprint_30m",Versuchsdaten!$E$2:$E$1117,$E100,Versuchsdaten!$J$2:$J$1117,1),""))</f>
        <v/>
      </c>
      <c r="N100" s="22">
        <f>IF(LEFT(C100,7)&lt;&gt;"Sprint_",0,IF(IF(ISNUMBER(K100),IF(K100&lt;=0,1,IF(5/K100&gt;10,1,0)),0)+IF(ISNUMBER(L100),IF(ISNUMBER(K100),IF(L100-K100&lt;=0,1,IF(5/(L100-K100)&gt;10,1,0)),IF(L100&lt;=0,1,IF(10/L100&gt;10,1,0))),0)+IF(ISNUMBER(M100),IF(ISNUMBER(L100),IF(M100-L100&lt;=0,1,IF(20/(M100-L100)&gt;10,1,0)),IF(ISNUMBER(K100),IF(M100-K100&lt;=0,1,IF(25/(M100-K100)&gt;10,1,0)),IF(M100&lt;=0,1,IF(30/M100&gt;10,1,0)))),0)&gt;0,1,0))</f>
        <v/>
      </c>
      <c r="O100" s="22">
        <f>IF(AND(J100=1,N100=0),1,0)</f>
        <v/>
      </c>
      <c r="P100" s="22">
        <f>INDEX(Personendaten!$J$2:$J$32,MATCH(A100,Personendaten!$A$2:$A$32,0))</f>
        <v/>
      </c>
      <c r="Q100" s="22">
        <f>IF(O100=1,"",IF(AND(B100="post",P100="nicht angetreten"),"NANG",IF(N100=1,"AUSL",IFERROR(VLOOKUP(H100,Vokabular!$A$2:$B$8,2,FALSE),"UNBEKANNT"))))</f>
        <v/>
      </c>
    </row>
    <row r="101">
      <c r="A101" s="5" t="inlineStr">
        <is>
          <t>BW-07</t>
        </is>
      </c>
      <c r="B101" s="5" t="inlineStr">
        <is>
          <t>prä</t>
        </is>
      </c>
      <c r="C101" s="5" t="inlineStr">
        <is>
          <t>Standweitsprung</t>
        </is>
      </c>
      <c r="D101" s="5" t="inlineStr">
        <is>
          <t>–</t>
        </is>
      </c>
      <c r="E101" s="5" t="n">
        <v>1</v>
      </c>
      <c r="F101" s="5" t="n">
        <v>246</v>
      </c>
      <c r="G101" s="5" t="n"/>
      <c r="H101" s="5" t="n"/>
      <c r="I101" s="22">
        <f>INDEX(Personendaten!$C$2:$C$32,MATCH(A101,Personendaten!$A$2:$A$32,0))</f>
        <v/>
      </c>
      <c r="J101" s="22">
        <f>IF(AND(F101&lt;&gt;"",G101=""),1,0)</f>
        <v/>
      </c>
      <c r="K101" s="22">
        <f>IF(LEFT(C101,7)&lt;&gt;"Sprint_","",IF(COUNTIFS(Versuchsdaten!$A$2:$A$1117,$A101,Versuchsdaten!$B$2:$B$1117,$B101,Versuchsdaten!$C$2:$C$1117,"Sprint_5m",Versuchsdaten!$E$2:$E$1117,$E101,Versuchsdaten!$J$2:$J$1117,1)=1,SUMIFS(Versuchsdaten!$F$2:$F$1117,Versuchsdaten!$A$2:$A$1117,$A101,Versuchsdaten!$B$2:$B$1117,$B101,Versuchsdaten!$C$2:$C$1117,"Sprint_5m",Versuchsdaten!$E$2:$E$1117,$E101,Versuchsdaten!$J$2:$J$1117,1),""))</f>
        <v/>
      </c>
      <c r="L101" s="22">
        <f>IF(LEFT(C101,7)&lt;&gt;"Sprint_","",IF(COUNTIFS(Versuchsdaten!$A$2:$A$1117,$A101,Versuchsdaten!$B$2:$B$1117,$B101,Versuchsdaten!$C$2:$C$1117,"Sprint_10m",Versuchsdaten!$E$2:$E$1117,$E101,Versuchsdaten!$J$2:$J$1117,1)=1,SUMIFS(Versuchsdaten!$F$2:$F$1117,Versuchsdaten!$A$2:$A$1117,$A101,Versuchsdaten!$B$2:$B$1117,$B101,Versuchsdaten!$C$2:$C$1117,"Sprint_10m",Versuchsdaten!$E$2:$E$1117,$E101,Versuchsdaten!$J$2:$J$1117,1),""))</f>
        <v/>
      </c>
      <c r="M101" s="22">
        <f>IF(LEFT(C101,7)&lt;&gt;"Sprint_","",IF(COUNTIFS(Versuchsdaten!$A$2:$A$1117,$A101,Versuchsdaten!$B$2:$B$1117,$B101,Versuchsdaten!$C$2:$C$1117,"Sprint_30m",Versuchsdaten!$E$2:$E$1117,$E101,Versuchsdaten!$J$2:$J$1117,1)=1,SUMIFS(Versuchsdaten!$F$2:$F$1117,Versuchsdaten!$A$2:$A$1117,$A101,Versuchsdaten!$B$2:$B$1117,$B101,Versuchsdaten!$C$2:$C$1117,"Sprint_30m",Versuchsdaten!$E$2:$E$1117,$E101,Versuchsdaten!$J$2:$J$1117,1),""))</f>
        <v/>
      </c>
      <c r="N101" s="22">
        <f>IF(LEFT(C101,7)&lt;&gt;"Sprint_",0,IF(IF(ISNUMBER(K101),IF(K101&lt;=0,1,IF(5/K101&gt;10,1,0)),0)+IF(ISNUMBER(L101),IF(ISNUMBER(K101),IF(L101-K101&lt;=0,1,IF(5/(L101-K101)&gt;10,1,0)),IF(L101&lt;=0,1,IF(10/L101&gt;10,1,0))),0)+IF(ISNUMBER(M101),IF(ISNUMBER(L101),IF(M101-L101&lt;=0,1,IF(20/(M101-L101)&gt;10,1,0)),IF(ISNUMBER(K101),IF(M101-K101&lt;=0,1,IF(25/(M101-K101)&gt;10,1,0)),IF(M101&lt;=0,1,IF(30/M101&gt;10,1,0)))),0)&gt;0,1,0))</f>
        <v/>
      </c>
      <c r="O101" s="22">
        <f>IF(AND(J101=1,N101=0),1,0)</f>
        <v/>
      </c>
      <c r="P101" s="22">
        <f>INDEX(Personendaten!$J$2:$J$32,MATCH(A101,Personendaten!$A$2:$A$32,0))</f>
        <v/>
      </c>
      <c r="Q101" s="22">
        <f>IF(O101=1,"",IF(AND(B101="post",P101="nicht angetreten"),"NANG",IF(N101=1,"AUSL",IFERROR(VLOOKUP(H101,Vokabular!$A$2:$B$8,2,FALSE),"UNBEKANNT"))))</f>
        <v/>
      </c>
    </row>
    <row r="102">
      <c r="A102" s="5" t="inlineStr">
        <is>
          <t>BW-07</t>
        </is>
      </c>
      <c r="B102" s="5" t="inlineStr">
        <is>
          <t>prä</t>
        </is>
      </c>
      <c r="C102" s="5" t="inlineStr">
        <is>
          <t>Standweitsprung</t>
        </is>
      </c>
      <c r="D102" s="5" t="inlineStr">
        <is>
          <t>–</t>
        </is>
      </c>
      <c r="E102" s="5" t="n">
        <v>2</v>
      </c>
      <c r="F102" s="5" t="n">
        <v>244</v>
      </c>
      <c r="G102" s="5" t="n"/>
      <c r="H102" s="5" t="n"/>
      <c r="I102" s="22">
        <f>INDEX(Personendaten!$C$2:$C$32,MATCH(A102,Personendaten!$A$2:$A$32,0))</f>
        <v/>
      </c>
      <c r="J102" s="22">
        <f>IF(AND(F102&lt;&gt;"",G102=""),1,0)</f>
        <v/>
      </c>
      <c r="K102" s="22">
        <f>IF(LEFT(C102,7)&lt;&gt;"Sprint_","",IF(COUNTIFS(Versuchsdaten!$A$2:$A$1117,$A102,Versuchsdaten!$B$2:$B$1117,$B102,Versuchsdaten!$C$2:$C$1117,"Sprint_5m",Versuchsdaten!$E$2:$E$1117,$E102,Versuchsdaten!$J$2:$J$1117,1)=1,SUMIFS(Versuchsdaten!$F$2:$F$1117,Versuchsdaten!$A$2:$A$1117,$A102,Versuchsdaten!$B$2:$B$1117,$B102,Versuchsdaten!$C$2:$C$1117,"Sprint_5m",Versuchsdaten!$E$2:$E$1117,$E102,Versuchsdaten!$J$2:$J$1117,1),""))</f>
        <v/>
      </c>
      <c r="L102" s="22">
        <f>IF(LEFT(C102,7)&lt;&gt;"Sprint_","",IF(COUNTIFS(Versuchsdaten!$A$2:$A$1117,$A102,Versuchsdaten!$B$2:$B$1117,$B102,Versuchsdaten!$C$2:$C$1117,"Sprint_10m",Versuchsdaten!$E$2:$E$1117,$E102,Versuchsdaten!$J$2:$J$1117,1)=1,SUMIFS(Versuchsdaten!$F$2:$F$1117,Versuchsdaten!$A$2:$A$1117,$A102,Versuchsdaten!$B$2:$B$1117,$B102,Versuchsdaten!$C$2:$C$1117,"Sprint_10m",Versuchsdaten!$E$2:$E$1117,$E102,Versuchsdaten!$J$2:$J$1117,1),""))</f>
        <v/>
      </c>
      <c r="M102" s="22">
        <f>IF(LEFT(C102,7)&lt;&gt;"Sprint_","",IF(COUNTIFS(Versuchsdaten!$A$2:$A$1117,$A102,Versuchsdaten!$B$2:$B$1117,$B102,Versuchsdaten!$C$2:$C$1117,"Sprint_30m",Versuchsdaten!$E$2:$E$1117,$E102,Versuchsdaten!$J$2:$J$1117,1)=1,SUMIFS(Versuchsdaten!$F$2:$F$1117,Versuchsdaten!$A$2:$A$1117,$A102,Versuchsdaten!$B$2:$B$1117,$B102,Versuchsdaten!$C$2:$C$1117,"Sprint_30m",Versuchsdaten!$E$2:$E$1117,$E102,Versuchsdaten!$J$2:$J$1117,1),""))</f>
        <v/>
      </c>
      <c r="N102" s="22">
        <f>IF(LEFT(C102,7)&lt;&gt;"Sprint_",0,IF(IF(ISNUMBER(K102),IF(K102&lt;=0,1,IF(5/K102&gt;10,1,0)),0)+IF(ISNUMBER(L102),IF(ISNUMBER(K102),IF(L102-K102&lt;=0,1,IF(5/(L102-K102)&gt;10,1,0)),IF(L102&lt;=0,1,IF(10/L102&gt;10,1,0))),0)+IF(ISNUMBER(M102),IF(ISNUMBER(L102),IF(M102-L102&lt;=0,1,IF(20/(M102-L102)&gt;10,1,0)),IF(ISNUMBER(K102),IF(M102-K102&lt;=0,1,IF(25/(M102-K102)&gt;10,1,0)),IF(M102&lt;=0,1,IF(30/M102&gt;10,1,0)))),0)&gt;0,1,0))</f>
        <v/>
      </c>
      <c r="O102" s="22">
        <f>IF(AND(J102=1,N102=0),1,0)</f>
        <v/>
      </c>
      <c r="P102" s="22">
        <f>INDEX(Personendaten!$J$2:$J$32,MATCH(A102,Personendaten!$A$2:$A$32,0))</f>
        <v/>
      </c>
      <c r="Q102" s="22">
        <f>IF(O102=1,"",IF(AND(B102="post",P102="nicht angetreten"),"NANG",IF(N102=1,"AUSL",IFERROR(VLOOKUP(H102,Vokabular!$A$2:$B$8,2,FALSE),"UNBEKANNT"))))</f>
        <v/>
      </c>
    </row>
    <row r="103">
      <c r="A103" s="5" t="inlineStr">
        <is>
          <t>BW-07</t>
        </is>
      </c>
      <c r="B103" s="5" t="inlineStr">
        <is>
          <t>prä</t>
        </is>
      </c>
      <c r="C103" s="5" t="inlineStr">
        <is>
          <t>Standweitsprung</t>
        </is>
      </c>
      <c r="D103" s="5" t="inlineStr">
        <is>
          <t>–</t>
        </is>
      </c>
      <c r="E103" s="5" t="n">
        <v>3</v>
      </c>
      <c r="F103" s="5" t="n">
        <v>247</v>
      </c>
      <c r="G103" s="5" t="n"/>
      <c r="H103" s="5" t="n"/>
      <c r="I103" s="22">
        <f>INDEX(Personendaten!$C$2:$C$32,MATCH(A103,Personendaten!$A$2:$A$32,0))</f>
        <v/>
      </c>
      <c r="J103" s="22">
        <f>IF(AND(F103&lt;&gt;"",G103=""),1,0)</f>
        <v/>
      </c>
      <c r="K103" s="22">
        <f>IF(LEFT(C103,7)&lt;&gt;"Sprint_","",IF(COUNTIFS(Versuchsdaten!$A$2:$A$1117,$A103,Versuchsdaten!$B$2:$B$1117,$B103,Versuchsdaten!$C$2:$C$1117,"Sprint_5m",Versuchsdaten!$E$2:$E$1117,$E103,Versuchsdaten!$J$2:$J$1117,1)=1,SUMIFS(Versuchsdaten!$F$2:$F$1117,Versuchsdaten!$A$2:$A$1117,$A103,Versuchsdaten!$B$2:$B$1117,$B103,Versuchsdaten!$C$2:$C$1117,"Sprint_5m",Versuchsdaten!$E$2:$E$1117,$E103,Versuchsdaten!$J$2:$J$1117,1),""))</f>
        <v/>
      </c>
      <c r="L103" s="22">
        <f>IF(LEFT(C103,7)&lt;&gt;"Sprint_","",IF(COUNTIFS(Versuchsdaten!$A$2:$A$1117,$A103,Versuchsdaten!$B$2:$B$1117,$B103,Versuchsdaten!$C$2:$C$1117,"Sprint_10m",Versuchsdaten!$E$2:$E$1117,$E103,Versuchsdaten!$J$2:$J$1117,1)=1,SUMIFS(Versuchsdaten!$F$2:$F$1117,Versuchsdaten!$A$2:$A$1117,$A103,Versuchsdaten!$B$2:$B$1117,$B103,Versuchsdaten!$C$2:$C$1117,"Sprint_10m",Versuchsdaten!$E$2:$E$1117,$E103,Versuchsdaten!$J$2:$J$1117,1),""))</f>
        <v/>
      </c>
      <c r="M103" s="22">
        <f>IF(LEFT(C103,7)&lt;&gt;"Sprint_","",IF(COUNTIFS(Versuchsdaten!$A$2:$A$1117,$A103,Versuchsdaten!$B$2:$B$1117,$B103,Versuchsdaten!$C$2:$C$1117,"Sprint_30m",Versuchsdaten!$E$2:$E$1117,$E103,Versuchsdaten!$J$2:$J$1117,1)=1,SUMIFS(Versuchsdaten!$F$2:$F$1117,Versuchsdaten!$A$2:$A$1117,$A103,Versuchsdaten!$B$2:$B$1117,$B103,Versuchsdaten!$C$2:$C$1117,"Sprint_30m",Versuchsdaten!$E$2:$E$1117,$E103,Versuchsdaten!$J$2:$J$1117,1),""))</f>
        <v/>
      </c>
      <c r="N103" s="22">
        <f>IF(LEFT(C103,7)&lt;&gt;"Sprint_",0,IF(IF(ISNUMBER(K103),IF(K103&lt;=0,1,IF(5/K103&gt;10,1,0)),0)+IF(ISNUMBER(L103),IF(ISNUMBER(K103),IF(L103-K103&lt;=0,1,IF(5/(L103-K103)&gt;10,1,0)),IF(L103&lt;=0,1,IF(10/L103&gt;10,1,0))),0)+IF(ISNUMBER(M103),IF(ISNUMBER(L103),IF(M103-L103&lt;=0,1,IF(20/(M103-L103)&gt;10,1,0)),IF(ISNUMBER(K103),IF(M103-K103&lt;=0,1,IF(25/(M103-K103)&gt;10,1,0)),IF(M103&lt;=0,1,IF(30/M103&gt;10,1,0)))),0)&gt;0,1,0))</f>
        <v/>
      </c>
      <c r="O103" s="22">
        <f>IF(AND(J103=1,N103=0),1,0)</f>
        <v/>
      </c>
      <c r="P103" s="22">
        <f>INDEX(Personendaten!$J$2:$J$32,MATCH(A103,Personendaten!$A$2:$A$32,0))</f>
        <v/>
      </c>
      <c r="Q103" s="22">
        <f>IF(O103=1,"",IF(AND(B103="post",P103="nicht angetreten"),"NANG",IF(N103=1,"AUSL",IFERROR(VLOOKUP(H103,Vokabular!$A$2:$B$8,2,FALSE),"UNBEKANNT"))))</f>
        <v/>
      </c>
    </row>
    <row r="104">
      <c r="A104" s="5" t="inlineStr">
        <is>
          <t>BW-07</t>
        </is>
      </c>
      <c r="B104" s="5" t="inlineStr">
        <is>
          <t>prä</t>
        </is>
      </c>
      <c r="C104" s="5" t="inlineStr">
        <is>
          <t>COD_505</t>
        </is>
      </c>
      <c r="D104" s="5" t="inlineStr">
        <is>
          <t>L</t>
        </is>
      </c>
      <c r="E104" s="5" t="n">
        <v>1</v>
      </c>
      <c r="F104" s="5" t="n">
        <v>2.53</v>
      </c>
      <c r="G104" s="5" t="n"/>
      <c r="H104" s="5" t="n"/>
      <c r="I104" s="22">
        <f>INDEX(Personendaten!$C$2:$C$32,MATCH(A104,Personendaten!$A$2:$A$32,0))</f>
        <v/>
      </c>
      <c r="J104" s="22">
        <f>IF(AND(F104&lt;&gt;"",G104=""),1,0)</f>
        <v/>
      </c>
      <c r="K104" s="22">
        <f>IF(LEFT(C104,7)&lt;&gt;"Sprint_","",IF(COUNTIFS(Versuchsdaten!$A$2:$A$1117,$A104,Versuchsdaten!$B$2:$B$1117,$B104,Versuchsdaten!$C$2:$C$1117,"Sprint_5m",Versuchsdaten!$E$2:$E$1117,$E104,Versuchsdaten!$J$2:$J$1117,1)=1,SUMIFS(Versuchsdaten!$F$2:$F$1117,Versuchsdaten!$A$2:$A$1117,$A104,Versuchsdaten!$B$2:$B$1117,$B104,Versuchsdaten!$C$2:$C$1117,"Sprint_5m",Versuchsdaten!$E$2:$E$1117,$E104,Versuchsdaten!$J$2:$J$1117,1),""))</f>
        <v/>
      </c>
      <c r="L104" s="22">
        <f>IF(LEFT(C104,7)&lt;&gt;"Sprint_","",IF(COUNTIFS(Versuchsdaten!$A$2:$A$1117,$A104,Versuchsdaten!$B$2:$B$1117,$B104,Versuchsdaten!$C$2:$C$1117,"Sprint_10m",Versuchsdaten!$E$2:$E$1117,$E104,Versuchsdaten!$J$2:$J$1117,1)=1,SUMIFS(Versuchsdaten!$F$2:$F$1117,Versuchsdaten!$A$2:$A$1117,$A104,Versuchsdaten!$B$2:$B$1117,$B104,Versuchsdaten!$C$2:$C$1117,"Sprint_10m",Versuchsdaten!$E$2:$E$1117,$E104,Versuchsdaten!$J$2:$J$1117,1),""))</f>
        <v/>
      </c>
      <c r="M104" s="22">
        <f>IF(LEFT(C104,7)&lt;&gt;"Sprint_","",IF(COUNTIFS(Versuchsdaten!$A$2:$A$1117,$A104,Versuchsdaten!$B$2:$B$1117,$B104,Versuchsdaten!$C$2:$C$1117,"Sprint_30m",Versuchsdaten!$E$2:$E$1117,$E104,Versuchsdaten!$J$2:$J$1117,1)=1,SUMIFS(Versuchsdaten!$F$2:$F$1117,Versuchsdaten!$A$2:$A$1117,$A104,Versuchsdaten!$B$2:$B$1117,$B104,Versuchsdaten!$C$2:$C$1117,"Sprint_30m",Versuchsdaten!$E$2:$E$1117,$E104,Versuchsdaten!$J$2:$J$1117,1),""))</f>
        <v/>
      </c>
      <c r="N104" s="22">
        <f>IF(LEFT(C104,7)&lt;&gt;"Sprint_",0,IF(IF(ISNUMBER(K104),IF(K104&lt;=0,1,IF(5/K104&gt;10,1,0)),0)+IF(ISNUMBER(L104),IF(ISNUMBER(K104),IF(L104-K104&lt;=0,1,IF(5/(L104-K104)&gt;10,1,0)),IF(L104&lt;=0,1,IF(10/L104&gt;10,1,0))),0)+IF(ISNUMBER(M104),IF(ISNUMBER(L104),IF(M104-L104&lt;=0,1,IF(20/(M104-L104)&gt;10,1,0)),IF(ISNUMBER(K104),IF(M104-K104&lt;=0,1,IF(25/(M104-K104)&gt;10,1,0)),IF(M104&lt;=0,1,IF(30/M104&gt;10,1,0)))),0)&gt;0,1,0))</f>
        <v/>
      </c>
      <c r="O104" s="22">
        <f>IF(AND(J104=1,N104=0),1,0)</f>
        <v/>
      </c>
      <c r="P104" s="22">
        <f>INDEX(Personendaten!$J$2:$J$32,MATCH(A104,Personendaten!$A$2:$A$32,0))</f>
        <v/>
      </c>
      <c r="Q104" s="22">
        <f>IF(O104=1,"",IF(AND(B104="post",P104="nicht angetreten"),"NANG",IF(N104=1,"AUSL",IFERROR(VLOOKUP(H104,Vokabular!$A$2:$B$8,2,FALSE),"UNBEKANNT"))))</f>
        <v/>
      </c>
    </row>
    <row r="105">
      <c r="A105" s="5" t="inlineStr">
        <is>
          <t>BW-07</t>
        </is>
      </c>
      <c r="B105" s="5" t="inlineStr">
        <is>
          <t>prä</t>
        </is>
      </c>
      <c r="C105" s="5" t="inlineStr">
        <is>
          <t>COD_505</t>
        </is>
      </c>
      <c r="D105" s="5" t="inlineStr">
        <is>
          <t>L</t>
        </is>
      </c>
      <c r="E105" s="5" t="n">
        <v>2</v>
      </c>
      <c r="F105" s="5" t="n">
        <v>2.41</v>
      </c>
      <c r="G105" s="5" t="n"/>
      <c r="H105" s="5" t="n"/>
      <c r="I105" s="22">
        <f>INDEX(Personendaten!$C$2:$C$32,MATCH(A105,Personendaten!$A$2:$A$32,0))</f>
        <v/>
      </c>
      <c r="J105" s="22">
        <f>IF(AND(F105&lt;&gt;"",G105=""),1,0)</f>
        <v/>
      </c>
      <c r="K105" s="22">
        <f>IF(LEFT(C105,7)&lt;&gt;"Sprint_","",IF(COUNTIFS(Versuchsdaten!$A$2:$A$1117,$A105,Versuchsdaten!$B$2:$B$1117,$B105,Versuchsdaten!$C$2:$C$1117,"Sprint_5m",Versuchsdaten!$E$2:$E$1117,$E105,Versuchsdaten!$J$2:$J$1117,1)=1,SUMIFS(Versuchsdaten!$F$2:$F$1117,Versuchsdaten!$A$2:$A$1117,$A105,Versuchsdaten!$B$2:$B$1117,$B105,Versuchsdaten!$C$2:$C$1117,"Sprint_5m",Versuchsdaten!$E$2:$E$1117,$E105,Versuchsdaten!$J$2:$J$1117,1),""))</f>
        <v/>
      </c>
      <c r="L105" s="22">
        <f>IF(LEFT(C105,7)&lt;&gt;"Sprint_","",IF(COUNTIFS(Versuchsdaten!$A$2:$A$1117,$A105,Versuchsdaten!$B$2:$B$1117,$B105,Versuchsdaten!$C$2:$C$1117,"Sprint_10m",Versuchsdaten!$E$2:$E$1117,$E105,Versuchsdaten!$J$2:$J$1117,1)=1,SUMIFS(Versuchsdaten!$F$2:$F$1117,Versuchsdaten!$A$2:$A$1117,$A105,Versuchsdaten!$B$2:$B$1117,$B105,Versuchsdaten!$C$2:$C$1117,"Sprint_10m",Versuchsdaten!$E$2:$E$1117,$E105,Versuchsdaten!$J$2:$J$1117,1),""))</f>
        <v/>
      </c>
      <c r="M105" s="22">
        <f>IF(LEFT(C105,7)&lt;&gt;"Sprint_","",IF(COUNTIFS(Versuchsdaten!$A$2:$A$1117,$A105,Versuchsdaten!$B$2:$B$1117,$B105,Versuchsdaten!$C$2:$C$1117,"Sprint_30m",Versuchsdaten!$E$2:$E$1117,$E105,Versuchsdaten!$J$2:$J$1117,1)=1,SUMIFS(Versuchsdaten!$F$2:$F$1117,Versuchsdaten!$A$2:$A$1117,$A105,Versuchsdaten!$B$2:$B$1117,$B105,Versuchsdaten!$C$2:$C$1117,"Sprint_30m",Versuchsdaten!$E$2:$E$1117,$E105,Versuchsdaten!$J$2:$J$1117,1),""))</f>
        <v/>
      </c>
      <c r="N105" s="22">
        <f>IF(LEFT(C105,7)&lt;&gt;"Sprint_",0,IF(IF(ISNUMBER(K105),IF(K105&lt;=0,1,IF(5/K105&gt;10,1,0)),0)+IF(ISNUMBER(L105),IF(ISNUMBER(K105),IF(L105-K105&lt;=0,1,IF(5/(L105-K105)&gt;10,1,0)),IF(L105&lt;=0,1,IF(10/L105&gt;10,1,0))),0)+IF(ISNUMBER(M105),IF(ISNUMBER(L105),IF(M105-L105&lt;=0,1,IF(20/(M105-L105)&gt;10,1,0)),IF(ISNUMBER(K105),IF(M105-K105&lt;=0,1,IF(25/(M105-K105)&gt;10,1,0)),IF(M105&lt;=0,1,IF(30/M105&gt;10,1,0)))),0)&gt;0,1,0))</f>
        <v/>
      </c>
      <c r="O105" s="22">
        <f>IF(AND(J105=1,N105=0),1,0)</f>
        <v/>
      </c>
      <c r="P105" s="22">
        <f>INDEX(Personendaten!$J$2:$J$32,MATCH(A105,Personendaten!$A$2:$A$32,0))</f>
        <v/>
      </c>
      <c r="Q105" s="22">
        <f>IF(O105=1,"",IF(AND(B105="post",P105="nicht angetreten"),"NANG",IF(N105=1,"AUSL",IFERROR(VLOOKUP(H105,Vokabular!$A$2:$B$8,2,FALSE),"UNBEKANNT"))))</f>
        <v/>
      </c>
    </row>
    <row r="106">
      <c r="A106" s="5" t="inlineStr">
        <is>
          <t>BW-07</t>
        </is>
      </c>
      <c r="B106" s="5" t="inlineStr">
        <is>
          <t>prä</t>
        </is>
      </c>
      <c r="C106" s="5" t="inlineStr">
        <is>
          <t>COD_505</t>
        </is>
      </c>
      <c r="D106" s="5" t="inlineStr">
        <is>
          <t>L</t>
        </is>
      </c>
      <c r="E106" s="5" t="n">
        <v>3</v>
      </c>
      <c r="F106" s="5" t="n"/>
      <c r="G106" s="5" t="n"/>
      <c r="H106" s="5" t="inlineStr">
        <is>
          <t>Nur 2 Versuche aus Zeitmangel</t>
        </is>
      </c>
      <c r="I106" s="22">
        <f>INDEX(Personendaten!$C$2:$C$32,MATCH(A106,Personendaten!$A$2:$A$32,0))</f>
        <v/>
      </c>
      <c r="J106" s="22">
        <f>IF(AND(F106&lt;&gt;"",G106=""),1,0)</f>
        <v/>
      </c>
      <c r="K106" s="22">
        <f>IF(LEFT(C106,7)&lt;&gt;"Sprint_","",IF(COUNTIFS(Versuchsdaten!$A$2:$A$1117,$A106,Versuchsdaten!$B$2:$B$1117,$B106,Versuchsdaten!$C$2:$C$1117,"Sprint_5m",Versuchsdaten!$E$2:$E$1117,$E106,Versuchsdaten!$J$2:$J$1117,1)=1,SUMIFS(Versuchsdaten!$F$2:$F$1117,Versuchsdaten!$A$2:$A$1117,$A106,Versuchsdaten!$B$2:$B$1117,$B106,Versuchsdaten!$C$2:$C$1117,"Sprint_5m",Versuchsdaten!$E$2:$E$1117,$E106,Versuchsdaten!$J$2:$J$1117,1),""))</f>
        <v/>
      </c>
      <c r="L106" s="22">
        <f>IF(LEFT(C106,7)&lt;&gt;"Sprint_","",IF(COUNTIFS(Versuchsdaten!$A$2:$A$1117,$A106,Versuchsdaten!$B$2:$B$1117,$B106,Versuchsdaten!$C$2:$C$1117,"Sprint_10m",Versuchsdaten!$E$2:$E$1117,$E106,Versuchsdaten!$J$2:$J$1117,1)=1,SUMIFS(Versuchsdaten!$F$2:$F$1117,Versuchsdaten!$A$2:$A$1117,$A106,Versuchsdaten!$B$2:$B$1117,$B106,Versuchsdaten!$C$2:$C$1117,"Sprint_10m",Versuchsdaten!$E$2:$E$1117,$E106,Versuchsdaten!$J$2:$J$1117,1),""))</f>
        <v/>
      </c>
      <c r="M106" s="22">
        <f>IF(LEFT(C106,7)&lt;&gt;"Sprint_","",IF(COUNTIFS(Versuchsdaten!$A$2:$A$1117,$A106,Versuchsdaten!$B$2:$B$1117,$B106,Versuchsdaten!$C$2:$C$1117,"Sprint_30m",Versuchsdaten!$E$2:$E$1117,$E106,Versuchsdaten!$J$2:$J$1117,1)=1,SUMIFS(Versuchsdaten!$F$2:$F$1117,Versuchsdaten!$A$2:$A$1117,$A106,Versuchsdaten!$B$2:$B$1117,$B106,Versuchsdaten!$C$2:$C$1117,"Sprint_30m",Versuchsdaten!$E$2:$E$1117,$E106,Versuchsdaten!$J$2:$J$1117,1),""))</f>
        <v/>
      </c>
      <c r="N106" s="22">
        <f>IF(LEFT(C106,7)&lt;&gt;"Sprint_",0,IF(IF(ISNUMBER(K106),IF(K106&lt;=0,1,IF(5/K106&gt;10,1,0)),0)+IF(ISNUMBER(L106),IF(ISNUMBER(K106),IF(L106-K106&lt;=0,1,IF(5/(L106-K106)&gt;10,1,0)),IF(L106&lt;=0,1,IF(10/L106&gt;10,1,0))),0)+IF(ISNUMBER(M106),IF(ISNUMBER(L106),IF(M106-L106&lt;=0,1,IF(20/(M106-L106)&gt;10,1,0)),IF(ISNUMBER(K106),IF(M106-K106&lt;=0,1,IF(25/(M106-K106)&gt;10,1,0)),IF(M106&lt;=0,1,IF(30/M106&gt;10,1,0)))),0)&gt;0,1,0))</f>
        <v/>
      </c>
      <c r="O106" s="22">
        <f>IF(AND(J106=1,N106=0),1,0)</f>
        <v/>
      </c>
      <c r="P106" s="22">
        <f>INDEX(Personendaten!$J$2:$J$32,MATCH(A106,Personendaten!$A$2:$A$32,0))</f>
        <v/>
      </c>
      <c r="Q106" s="22">
        <f>IF(O106=1,"",IF(AND(B106="post",P106="nicht angetreten"),"NANG",IF(N106=1,"AUSL",IFERROR(VLOOKUP(H106,Vokabular!$A$2:$B$8,2,FALSE),"UNBEKANNT"))))</f>
        <v/>
      </c>
    </row>
    <row r="107">
      <c r="A107" s="5" t="inlineStr">
        <is>
          <t>BW-07</t>
        </is>
      </c>
      <c r="B107" s="5" t="inlineStr">
        <is>
          <t>prä</t>
        </is>
      </c>
      <c r="C107" s="5" t="inlineStr">
        <is>
          <t>COD_505</t>
        </is>
      </c>
      <c r="D107" s="5" t="inlineStr">
        <is>
          <t>R</t>
        </is>
      </c>
      <c r="E107" s="5" t="n">
        <v>1</v>
      </c>
      <c r="F107" s="5" t="n">
        <v>2.5</v>
      </c>
      <c r="G107" s="5" t="n"/>
      <c r="H107" s="5" t="n"/>
      <c r="I107" s="22">
        <f>INDEX(Personendaten!$C$2:$C$32,MATCH(A107,Personendaten!$A$2:$A$32,0))</f>
        <v/>
      </c>
      <c r="J107" s="22">
        <f>IF(AND(F107&lt;&gt;"",G107=""),1,0)</f>
        <v/>
      </c>
      <c r="K107" s="22">
        <f>IF(LEFT(C107,7)&lt;&gt;"Sprint_","",IF(COUNTIFS(Versuchsdaten!$A$2:$A$1117,$A107,Versuchsdaten!$B$2:$B$1117,$B107,Versuchsdaten!$C$2:$C$1117,"Sprint_5m",Versuchsdaten!$E$2:$E$1117,$E107,Versuchsdaten!$J$2:$J$1117,1)=1,SUMIFS(Versuchsdaten!$F$2:$F$1117,Versuchsdaten!$A$2:$A$1117,$A107,Versuchsdaten!$B$2:$B$1117,$B107,Versuchsdaten!$C$2:$C$1117,"Sprint_5m",Versuchsdaten!$E$2:$E$1117,$E107,Versuchsdaten!$J$2:$J$1117,1),""))</f>
        <v/>
      </c>
      <c r="L107" s="22">
        <f>IF(LEFT(C107,7)&lt;&gt;"Sprint_","",IF(COUNTIFS(Versuchsdaten!$A$2:$A$1117,$A107,Versuchsdaten!$B$2:$B$1117,$B107,Versuchsdaten!$C$2:$C$1117,"Sprint_10m",Versuchsdaten!$E$2:$E$1117,$E107,Versuchsdaten!$J$2:$J$1117,1)=1,SUMIFS(Versuchsdaten!$F$2:$F$1117,Versuchsdaten!$A$2:$A$1117,$A107,Versuchsdaten!$B$2:$B$1117,$B107,Versuchsdaten!$C$2:$C$1117,"Sprint_10m",Versuchsdaten!$E$2:$E$1117,$E107,Versuchsdaten!$J$2:$J$1117,1),""))</f>
        <v/>
      </c>
      <c r="M107" s="22">
        <f>IF(LEFT(C107,7)&lt;&gt;"Sprint_","",IF(COUNTIFS(Versuchsdaten!$A$2:$A$1117,$A107,Versuchsdaten!$B$2:$B$1117,$B107,Versuchsdaten!$C$2:$C$1117,"Sprint_30m",Versuchsdaten!$E$2:$E$1117,$E107,Versuchsdaten!$J$2:$J$1117,1)=1,SUMIFS(Versuchsdaten!$F$2:$F$1117,Versuchsdaten!$A$2:$A$1117,$A107,Versuchsdaten!$B$2:$B$1117,$B107,Versuchsdaten!$C$2:$C$1117,"Sprint_30m",Versuchsdaten!$E$2:$E$1117,$E107,Versuchsdaten!$J$2:$J$1117,1),""))</f>
        <v/>
      </c>
      <c r="N107" s="22">
        <f>IF(LEFT(C107,7)&lt;&gt;"Sprint_",0,IF(IF(ISNUMBER(K107),IF(K107&lt;=0,1,IF(5/K107&gt;10,1,0)),0)+IF(ISNUMBER(L107),IF(ISNUMBER(K107),IF(L107-K107&lt;=0,1,IF(5/(L107-K107)&gt;10,1,0)),IF(L107&lt;=0,1,IF(10/L107&gt;10,1,0))),0)+IF(ISNUMBER(M107),IF(ISNUMBER(L107),IF(M107-L107&lt;=0,1,IF(20/(M107-L107)&gt;10,1,0)),IF(ISNUMBER(K107),IF(M107-K107&lt;=0,1,IF(25/(M107-K107)&gt;10,1,0)),IF(M107&lt;=0,1,IF(30/M107&gt;10,1,0)))),0)&gt;0,1,0))</f>
        <v/>
      </c>
      <c r="O107" s="22">
        <f>IF(AND(J107=1,N107=0),1,0)</f>
        <v/>
      </c>
      <c r="P107" s="22">
        <f>INDEX(Personendaten!$J$2:$J$32,MATCH(A107,Personendaten!$A$2:$A$32,0))</f>
        <v/>
      </c>
      <c r="Q107" s="22">
        <f>IF(O107=1,"",IF(AND(B107="post",P107="nicht angetreten"),"NANG",IF(N107=1,"AUSL",IFERROR(VLOOKUP(H107,Vokabular!$A$2:$B$8,2,FALSE),"UNBEKANNT"))))</f>
        <v/>
      </c>
    </row>
    <row r="108">
      <c r="A108" s="5" t="inlineStr">
        <is>
          <t>BW-07</t>
        </is>
      </c>
      <c r="B108" s="5" t="inlineStr">
        <is>
          <t>prä</t>
        </is>
      </c>
      <c r="C108" s="5" t="inlineStr">
        <is>
          <t>COD_505</t>
        </is>
      </c>
      <c r="D108" s="5" t="inlineStr">
        <is>
          <t>R</t>
        </is>
      </c>
      <c r="E108" s="5" t="n">
        <v>2</v>
      </c>
      <c r="F108" s="5" t="n">
        <v>2.62</v>
      </c>
      <c r="G108" s="5" t="n"/>
      <c r="H108" s="5" t="n"/>
      <c r="I108" s="22">
        <f>INDEX(Personendaten!$C$2:$C$32,MATCH(A108,Personendaten!$A$2:$A$32,0))</f>
        <v/>
      </c>
      <c r="J108" s="22">
        <f>IF(AND(F108&lt;&gt;"",G108=""),1,0)</f>
        <v/>
      </c>
      <c r="K108" s="22">
        <f>IF(LEFT(C108,7)&lt;&gt;"Sprint_","",IF(COUNTIFS(Versuchsdaten!$A$2:$A$1117,$A108,Versuchsdaten!$B$2:$B$1117,$B108,Versuchsdaten!$C$2:$C$1117,"Sprint_5m",Versuchsdaten!$E$2:$E$1117,$E108,Versuchsdaten!$J$2:$J$1117,1)=1,SUMIFS(Versuchsdaten!$F$2:$F$1117,Versuchsdaten!$A$2:$A$1117,$A108,Versuchsdaten!$B$2:$B$1117,$B108,Versuchsdaten!$C$2:$C$1117,"Sprint_5m",Versuchsdaten!$E$2:$E$1117,$E108,Versuchsdaten!$J$2:$J$1117,1),""))</f>
        <v/>
      </c>
      <c r="L108" s="22">
        <f>IF(LEFT(C108,7)&lt;&gt;"Sprint_","",IF(COUNTIFS(Versuchsdaten!$A$2:$A$1117,$A108,Versuchsdaten!$B$2:$B$1117,$B108,Versuchsdaten!$C$2:$C$1117,"Sprint_10m",Versuchsdaten!$E$2:$E$1117,$E108,Versuchsdaten!$J$2:$J$1117,1)=1,SUMIFS(Versuchsdaten!$F$2:$F$1117,Versuchsdaten!$A$2:$A$1117,$A108,Versuchsdaten!$B$2:$B$1117,$B108,Versuchsdaten!$C$2:$C$1117,"Sprint_10m",Versuchsdaten!$E$2:$E$1117,$E108,Versuchsdaten!$J$2:$J$1117,1),""))</f>
        <v/>
      </c>
      <c r="M108" s="22">
        <f>IF(LEFT(C108,7)&lt;&gt;"Sprint_","",IF(COUNTIFS(Versuchsdaten!$A$2:$A$1117,$A108,Versuchsdaten!$B$2:$B$1117,$B108,Versuchsdaten!$C$2:$C$1117,"Sprint_30m",Versuchsdaten!$E$2:$E$1117,$E108,Versuchsdaten!$J$2:$J$1117,1)=1,SUMIFS(Versuchsdaten!$F$2:$F$1117,Versuchsdaten!$A$2:$A$1117,$A108,Versuchsdaten!$B$2:$B$1117,$B108,Versuchsdaten!$C$2:$C$1117,"Sprint_30m",Versuchsdaten!$E$2:$E$1117,$E108,Versuchsdaten!$J$2:$J$1117,1),""))</f>
        <v/>
      </c>
      <c r="N108" s="22">
        <f>IF(LEFT(C108,7)&lt;&gt;"Sprint_",0,IF(IF(ISNUMBER(K108),IF(K108&lt;=0,1,IF(5/K108&gt;10,1,0)),0)+IF(ISNUMBER(L108),IF(ISNUMBER(K108),IF(L108-K108&lt;=0,1,IF(5/(L108-K108)&gt;10,1,0)),IF(L108&lt;=0,1,IF(10/L108&gt;10,1,0))),0)+IF(ISNUMBER(M108),IF(ISNUMBER(L108),IF(M108-L108&lt;=0,1,IF(20/(M108-L108)&gt;10,1,0)),IF(ISNUMBER(K108),IF(M108-K108&lt;=0,1,IF(25/(M108-K108)&gt;10,1,0)),IF(M108&lt;=0,1,IF(30/M108&gt;10,1,0)))),0)&gt;0,1,0))</f>
        <v/>
      </c>
      <c r="O108" s="22">
        <f>IF(AND(J108=1,N108=0),1,0)</f>
        <v/>
      </c>
      <c r="P108" s="22">
        <f>INDEX(Personendaten!$J$2:$J$32,MATCH(A108,Personendaten!$A$2:$A$32,0))</f>
        <v/>
      </c>
      <c r="Q108" s="22">
        <f>IF(O108=1,"",IF(AND(B108="post",P108="nicht angetreten"),"NANG",IF(N108=1,"AUSL",IFERROR(VLOOKUP(H108,Vokabular!$A$2:$B$8,2,FALSE),"UNBEKANNT"))))</f>
        <v/>
      </c>
    </row>
    <row r="109">
      <c r="A109" s="5" t="inlineStr">
        <is>
          <t>BW-07</t>
        </is>
      </c>
      <c r="B109" s="5" t="inlineStr">
        <is>
          <t>prä</t>
        </is>
      </c>
      <c r="C109" s="5" t="inlineStr">
        <is>
          <t>COD_505</t>
        </is>
      </c>
      <c r="D109" s="5" t="inlineStr">
        <is>
          <t>R</t>
        </is>
      </c>
      <c r="E109" s="5" t="n">
        <v>3</v>
      </c>
      <c r="F109" s="5" t="n"/>
      <c r="G109" s="5" t="n"/>
      <c r="H109" s="5" t="inlineStr">
        <is>
          <t>Nur 2 Versuche aus Zeitmangel</t>
        </is>
      </c>
      <c r="I109" s="22">
        <f>INDEX(Personendaten!$C$2:$C$32,MATCH(A109,Personendaten!$A$2:$A$32,0))</f>
        <v/>
      </c>
      <c r="J109" s="22">
        <f>IF(AND(F109&lt;&gt;"",G109=""),1,0)</f>
        <v/>
      </c>
      <c r="K109" s="22">
        <f>IF(LEFT(C109,7)&lt;&gt;"Sprint_","",IF(COUNTIFS(Versuchsdaten!$A$2:$A$1117,$A109,Versuchsdaten!$B$2:$B$1117,$B109,Versuchsdaten!$C$2:$C$1117,"Sprint_5m",Versuchsdaten!$E$2:$E$1117,$E109,Versuchsdaten!$J$2:$J$1117,1)=1,SUMIFS(Versuchsdaten!$F$2:$F$1117,Versuchsdaten!$A$2:$A$1117,$A109,Versuchsdaten!$B$2:$B$1117,$B109,Versuchsdaten!$C$2:$C$1117,"Sprint_5m",Versuchsdaten!$E$2:$E$1117,$E109,Versuchsdaten!$J$2:$J$1117,1),""))</f>
        <v/>
      </c>
      <c r="L109" s="22">
        <f>IF(LEFT(C109,7)&lt;&gt;"Sprint_","",IF(COUNTIFS(Versuchsdaten!$A$2:$A$1117,$A109,Versuchsdaten!$B$2:$B$1117,$B109,Versuchsdaten!$C$2:$C$1117,"Sprint_10m",Versuchsdaten!$E$2:$E$1117,$E109,Versuchsdaten!$J$2:$J$1117,1)=1,SUMIFS(Versuchsdaten!$F$2:$F$1117,Versuchsdaten!$A$2:$A$1117,$A109,Versuchsdaten!$B$2:$B$1117,$B109,Versuchsdaten!$C$2:$C$1117,"Sprint_10m",Versuchsdaten!$E$2:$E$1117,$E109,Versuchsdaten!$J$2:$J$1117,1),""))</f>
        <v/>
      </c>
      <c r="M109" s="22">
        <f>IF(LEFT(C109,7)&lt;&gt;"Sprint_","",IF(COUNTIFS(Versuchsdaten!$A$2:$A$1117,$A109,Versuchsdaten!$B$2:$B$1117,$B109,Versuchsdaten!$C$2:$C$1117,"Sprint_30m",Versuchsdaten!$E$2:$E$1117,$E109,Versuchsdaten!$J$2:$J$1117,1)=1,SUMIFS(Versuchsdaten!$F$2:$F$1117,Versuchsdaten!$A$2:$A$1117,$A109,Versuchsdaten!$B$2:$B$1117,$B109,Versuchsdaten!$C$2:$C$1117,"Sprint_30m",Versuchsdaten!$E$2:$E$1117,$E109,Versuchsdaten!$J$2:$J$1117,1),""))</f>
        <v/>
      </c>
      <c r="N109" s="22">
        <f>IF(LEFT(C109,7)&lt;&gt;"Sprint_",0,IF(IF(ISNUMBER(K109),IF(K109&lt;=0,1,IF(5/K109&gt;10,1,0)),0)+IF(ISNUMBER(L109),IF(ISNUMBER(K109),IF(L109-K109&lt;=0,1,IF(5/(L109-K109)&gt;10,1,0)),IF(L109&lt;=0,1,IF(10/L109&gt;10,1,0))),0)+IF(ISNUMBER(M109),IF(ISNUMBER(L109),IF(M109-L109&lt;=0,1,IF(20/(M109-L109)&gt;10,1,0)),IF(ISNUMBER(K109),IF(M109-K109&lt;=0,1,IF(25/(M109-K109)&gt;10,1,0)),IF(M109&lt;=0,1,IF(30/M109&gt;10,1,0)))),0)&gt;0,1,0))</f>
        <v/>
      </c>
      <c r="O109" s="22">
        <f>IF(AND(J109=1,N109=0),1,0)</f>
        <v/>
      </c>
      <c r="P109" s="22">
        <f>INDEX(Personendaten!$J$2:$J$32,MATCH(A109,Personendaten!$A$2:$A$32,0))</f>
        <v/>
      </c>
      <c r="Q109" s="22">
        <f>IF(O109=1,"",IF(AND(B109="post",P109="nicht angetreten"),"NANG",IF(N109=1,"AUSL",IFERROR(VLOOKUP(H109,Vokabular!$A$2:$B$8,2,FALSE),"UNBEKANNT"))))</f>
        <v/>
      </c>
    </row>
    <row r="110">
      <c r="A110" s="5" t="inlineStr">
        <is>
          <t>BW-08</t>
        </is>
      </c>
      <c r="B110" s="5" t="inlineStr">
        <is>
          <t>prä</t>
        </is>
      </c>
      <c r="C110" s="5" t="inlineStr">
        <is>
          <t>Sprint_5m</t>
        </is>
      </c>
      <c r="D110" s="5" t="inlineStr">
        <is>
          <t>–</t>
        </is>
      </c>
      <c r="E110" s="5" t="n">
        <v>1</v>
      </c>
      <c r="F110" s="5" t="n">
        <v>1.13</v>
      </c>
      <c r="G110" s="5" t="n"/>
      <c r="H110" s="5" t="n"/>
      <c r="I110" s="22">
        <f>INDEX(Personendaten!$C$2:$C$32,MATCH(A110,Personendaten!$A$2:$A$32,0))</f>
        <v/>
      </c>
      <c r="J110" s="22">
        <f>IF(AND(F110&lt;&gt;"",G110=""),1,0)</f>
        <v/>
      </c>
      <c r="K110" s="22">
        <f>IF(LEFT(C110,7)&lt;&gt;"Sprint_","",IF(COUNTIFS(Versuchsdaten!$A$2:$A$1117,$A110,Versuchsdaten!$B$2:$B$1117,$B110,Versuchsdaten!$C$2:$C$1117,"Sprint_5m",Versuchsdaten!$E$2:$E$1117,$E110,Versuchsdaten!$J$2:$J$1117,1)=1,SUMIFS(Versuchsdaten!$F$2:$F$1117,Versuchsdaten!$A$2:$A$1117,$A110,Versuchsdaten!$B$2:$B$1117,$B110,Versuchsdaten!$C$2:$C$1117,"Sprint_5m",Versuchsdaten!$E$2:$E$1117,$E110,Versuchsdaten!$J$2:$J$1117,1),""))</f>
        <v/>
      </c>
      <c r="L110" s="22">
        <f>IF(LEFT(C110,7)&lt;&gt;"Sprint_","",IF(COUNTIFS(Versuchsdaten!$A$2:$A$1117,$A110,Versuchsdaten!$B$2:$B$1117,$B110,Versuchsdaten!$C$2:$C$1117,"Sprint_10m",Versuchsdaten!$E$2:$E$1117,$E110,Versuchsdaten!$J$2:$J$1117,1)=1,SUMIFS(Versuchsdaten!$F$2:$F$1117,Versuchsdaten!$A$2:$A$1117,$A110,Versuchsdaten!$B$2:$B$1117,$B110,Versuchsdaten!$C$2:$C$1117,"Sprint_10m",Versuchsdaten!$E$2:$E$1117,$E110,Versuchsdaten!$J$2:$J$1117,1),""))</f>
        <v/>
      </c>
      <c r="M110" s="22">
        <f>IF(LEFT(C110,7)&lt;&gt;"Sprint_","",IF(COUNTIFS(Versuchsdaten!$A$2:$A$1117,$A110,Versuchsdaten!$B$2:$B$1117,$B110,Versuchsdaten!$C$2:$C$1117,"Sprint_30m",Versuchsdaten!$E$2:$E$1117,$E110,Versuchsdaten!$J$2:$J$1117,1)=1,SUMIFS(Versuchsdaten!$F$2:$F$1117,Versuchsdaten!$A$2:$A$1117,$A110,Versuchsdaten!$B$2:$B$1117,$B110,Versuchsdaten!$C$2:$C$1117,"Sprint_30m",Versuchsdaten!$E$2:$E$1117,$E110,Versuchsdaten!$J$2:$J$1117,1),""))</f>
        <v/>
      </c>
      <c r="N110" s="22">
        <f>IF(LEFT(C110,7)&lt;&gt;"Sprint_",0,IF(IF(ISNUMBER(K110),IF(K110&lt;=0,1,IF(5/K110&gt;10,1,0)),0)+IF(ISNUMBER(L110),IF(ISNUMBER(K110),IF(L110-K110&lt;=0,1,IF(5/(L110-K110)&gt;10,1,0)),IF(L110&lt;=0,1,IF(10/L110&gt;10,1,0))),0)+IF(ISNUMBER(M110),IF(ISNUMBER(L110),IF(M110-L110&lt;=0,1,IF(20/(M110-L110)&gt;10,1,0)),IF(ISNUMBER(K110),IF(M110-K110&lt;=0,1,IF(25/(M110-K110)&gt;10,1,0)),IF(M110&lt;=0,1,IF(30/M110&gt;10,1,0)))),0)&gt;0,1,0))</f>
        <v/>
      </c>
      <c r="O110" s="22">
        <f>IF(AND(J110=1,N110=0),1,0)</f>
        <v/>
      </c>
      <c r="P110" s="22">
        <f>INDEX(Personendaten!$J$2:$J$32,MATCH(A110,Personendaten!$A$2:$A$32,0))</f>
        <v/>
      </c>
      <c r="Q110" s="22">
        <f>IF(O110=1,"",IF(AND(B110="post",P110="nicht angetreten"),"NANG",IF(N110=1,"AUSL",IFERROR(VLOOKUP(H110,Vokabular!$A$2:$B$8,2,FALSE),"UNBEKANNT"))))</f>
        <v/>
      </c>
    </row>
    <row r="111">
      <c r="A111" s="5" t="inlineStr">
        <is>
          <t>BW-08</t>
        </is>
      </c>
      <c r="B111" s="5" t="inlineStr">
        <is>
          <t>prä</t>
        </is>
      </c>
      <c r="C111" s="5" t="inlineStr">
        <is>
          <t>Sprint_5m</t>
        </is>
      </c>
      <c r="D111" s="5" t="inlineStr">
        <is>
          <t>–</t>
        </is>
      </c>
      <c r="E111" s="5" t="n">
        <v>2</v>
      </c>
      <c r="F111" s="5" t="n">
        <v>1.09</v>
      </c>
      <c r="G111" s="5" t="n"/>
      <c r="H111" s="5" t="n"/>
      <c r="I111" s="22">
        <f>INDEX(Personendaten!$C$2:$C$32,MATCH(A111,Personendaten!$A$2:$A$32,0))</f>
        <v/>
      </c>
      <c r="J111" s="22">
        <f>IF(AND(F111&lt;&gt;"",G111=""),1,0)</f>
        <v/>
      </c>
      <c r="K111" s="22">
        <f>IF(LEFT(C111,7)&lt;&gt;"Sprint_","",IF(COUNTIFS(Versuchsdaten!$A$2:$A$1117,$A111,Versuchsdaten!$B$2:$B$1117,$B111,Versuchsdaten!$C$2:$C$1117,"Sprint_5m",Versuchsdaten!$E$2:$E$1117,$E111,Versuchsdaten!$J$2:$J$1117,1)=1,SUMIFS(Versuchsdaten!$F$2:$F$1117,Versuchsdaten!$A$2:$A$1117,$A111,Versuchsdaten!$B$2:$B$1117,$B111,Versuchsdaten!$C$2:$C$1117,"Sprint_5m",Versuchsdaten!$E$2:$E$1117,$E111,Versuchsdaten!$J$2:$J$1117,1),""))</f>
        <v/>
      </c>
      <c r="L111" s="22">
        <f>IF(LEFT(C111,7)&lt;&gt;"Sprint_","",IF(COUNTIFS(Versuchsdaten!$A$2:$A$1117,$A111,Versuchsdaten!$B$2:$B$1117,$B111,Versuchsdaten!$C$2:$C$1117,"Sprint_10m",Versuchsdaten!$E$2:$E$1117,$E111,Versuchsdaten!$J$2:$J$1117,1)=1,SUMIFS(Versuchsdaten!$F$2:$F$1117,Versuchsdaten!$A$2:$A$1117,$A111,Versuchsdaten!$B$2:$B$1117,$B111,Versuchsdaten!$C$2:$C$1117,"Sprint_10m",Versuchsdaten!$E$2:$E$1117,$E111,Versuchsdaten!$J$2:$J$1117,1),""))</f>
        <v/>
      </c>
      <c r="M111" s="22">
        <f>IF(LEFT(C111,7)&lt;&gt;"Sprint_","",IF(COUNTIFS(Versuchsdaten!$A$2:$A$1117,$A111,Versuchsdaten!$B$2:$B$1117,$B111,Versuchsdaten!$C$2:$C$1117,"Sprint_30m",Versuchsdaten!$E$2:$E$1117,$E111,Versuchsdaten!$J$2:$J$1117,1)=1,SUMIFS(Versuchsdaten!$F$2:$F$1117,Versuchsdaten!$A$2:$A$1117,$A111,Versuchsdaten!$B$2:$B$1117,$B111,Versuchsdaten!$C$2:$C$1117,"Sprint_30m",Versuchsdaten!$E$2:$E$1117,$E111,Versuchsdaten!$J$2:$J$1117,1),""))</f>
        <v/>
      </c>
      <c r="N111" s="22">
        <f>IF(LEFT(C111,7)&lt;&gt;"Sprint_",0,IF(IF(ISNUMBER(K111),IF(K111&lt;=0,1,IF(5/K111&gt;10,1,0)),0)+IF(ISNUMBER(L111),IF(ISNUMBER(K111),IF(L111-K111&lt;=0,1,IF(5/(L111-K111)&gt;10,1,0)),IF(L111&lt;=0,1,IF(10/L111&gt;10,1,0))),0)+IF(ISNUMBER(M111),IF(ISNUMBER(L111),IF(M111-L111&lt;=0,1,IF(20/(M111-L111)&gt;10,1,0)),IF(ISNUMBER(K111),IF(M111-K111&lt;=0,1,IF(25/(M111-K111)&gt;10,1,0)),IF(M111&lt;=0,1,IF(30/M111&gt;10,1,0)))),0)&gt;0,1,0))</f>
        <v/>
      </c>
      <c r="O111" s="22">
        <f>IF(AND(J111=1,N111=0),1,0)</f>
        <v/>
      </c>
      <c r="P111" s="22">
        <f>INDEX(Personendaten!$J$2:$J$32,MATCH(A111,Personendaten!$A$2:$A$32,0))</f>
        <v/>
      </c>
      <c r="Q111" s="22">
        <f>IF(O111=1,"",IF(AND(B111="post",P111="nicht angetreten"),"NANG",IF(N111=1,"AUSL",IFERROR(VLOOKUP(H111,Vokabular!$A$2:$B$8,2,FALSE),"UNBEKANNT"))))</f>
        <v/>
      </c>
    </row>
    <row r="112">
      <c r="A112" s="5" t="inlineStr">
        <is>
          <t>BW-08</t>
        </is>
      </c>
      <c r="B112" s="5" t="inlineStr">
        <is>
          <t>prä</t>
        </is>
      </c>
      <c r="C112" s="5" t="inlineStr">
        <is>
          <t>Sprint_5m</t>
        </is>
      </c>
      <c r="D112" s="5" t="inlineStr">
        <is>
          <t>–</t>
        </is>
      </c>
      <c r="E112" s="5" t="n">
        <v>3</v>
      </c>
      <c r="F112" s="5" t="n"/>
      <c r="G112" s="5" t="n"/>
      <c r="H112" s="5" t="inlineStr">
        <is>
          <t>Nur 2 Versuche aus Zeitmangel</t>
        </is>
      </c>
      <c r="I112" s="22">
        <f>INDEX(Personendaten!$C$2:$C$32,MATCH(A112,Personendaten!$A$2:$A$32,0))</f>
        <v/>
      </c>
      <c r="J112" s="22">
        <f>IF(AND(F112&lt;&gt;"",G112=""),1,0)</f>
        <v/>
      </c>
      <c r="K112" s="22">
        <f>IF(LEFT(C112,7)&lt;&gt;"Sprint_","",IF(COUNTIFS(Versuchsdaten!$A$2:$A$1117,$A112,Versuchsdaten!$B$2:$B$1117,$B112,Versuchsdaten!$C$2:$C$1117,"Sprint_5m",Versuchsdaten!$E$2:$E$1117,$E112,Versuchsdaten!$J$2:$J$1117,1)=1,SUMIFS(Versuchsdaten!$F$2:$F$1117,Versuchsdaten!$A$2:$A$1117,$A112,Versuchsdaten!$B$2:$B$1117,$B112,Versuchsdaten!$C$2:$C$1117,"Sprint_5m",Versuchsdaten!$E$2:$E$1117,$E112,Versuchsdaten!$J$2:$J$1117,1),""))</f>
        <v/>
      </c>
      <c r="L112" s="22">
        <f>IF(LEFT(C112,7)&lt;&gt;"Sprint_","",IF(COUNTIFS(Versuchsdaten!$A$2:$A$1117,$A112,Versuchsdaten!$B$2:$B$1117,$B112,Versuchsdaten!$C$2:$C$1117,"Sprint_10m",Versuchsdaten!$E$2:$E$1117,$E112,Versuchsdaten!$J$2:$J$1117,1)=1,SUMIFS(Versuchsdaten!$F$2:$F$1117,Versuchsdaten!$A$2:$A$1117,$A112,Versuchsdaten!$B$2:$B$1117,$B112,Versuchsdaten!$C$2:$C$1117,"Sprint_10m",Versuchsdaten!$E$2:$E$1117,$E112,Versuchsdaten!$J$2:$J$1117,1),""))</f>
        <v/>
      </c>
      <c r="M112" s="22">
        <f>IF(LEFT(C112,7)&lt;&gt;"Sprint_","",IF(COUNTIFS(Versuchsdaten!$A$2:$A$1117,$A112,Versuchsdaten!$B$2:$B$1117,$B112,Versuchsdaten!$C$2:$C$1117,"Sprint_30m",Versuchsdaten!$E$2:$E$1117,$E112,Versuchsdaten!$J$2:$J$1117,1)=1,SUMIFS(Versuchsdaten!$F$2:$F$1117,Versuchsdaten!$A$2:$A$1117,$A112,Versuchsdaten!$B$2:$B$1117,$B112,Versuchsdaten!$C$2:$C$1117,"Sprint_30m",Versuchsdaten!$E$2:$E$1117,$E112,Versuchsdaten!$J$2:$J$1117,1),""))</f>
        <v/>
      </c>
      <c r="N112" s="22">
        <f>IF(LEFT(C112,7)&lt;&gt;"Sprint_",0,IF(IF(ISNUMBER(K112),IF(K112&lt;=0,1,IF(5/K112&gt;10,1,0)),0)+IF(ISNUMBER(L112),IF(ISNUMBER(K112),IF(L112-K112&lt;=0,1,IF(5/(L112-K112)&gt;10,1,0)),IF(L112&lt;=0,1,IF(10/L112&gt;10,1,0))),0)+IF(ISNUMBER(M112),IF(ISNUMBER(L112),IF(M112-L112&lt;=0,1,IF(20/(M112-L112)&gt;10,1,0)),IF(ISNUMBER(K112),IF(M112-K112&lt;=0,1,IF(25/(M112-K112)&gt;10,1,0)),IF(M112&lt;=0,1,IF(30/M112&gt;10,1,0)))),0)&gt;0,1,0))</f>
        <v/>
      </c>
      <c r="O112" s="22">
        <f>IF(AND(J112=1,N112=0),1,0)</f>
        <v/>
      </c>
      <c r="P112" s="22">
        <f>INDEX(Personendaten!$J$2:$J$32,MATCH(A112,Personendaten!$A$2:$A$32,0))</f>
        <v/>
      </c>
      <c r="Q112" s="22">
        <f>IF(O112=1,"",IF(AND(B112="post",P112="nicht angetreten"),"NANG",IF(N112=1,"AUSL",IFERROR(VLOOKUP(H112,Vokabular!$A$2:$B$8,2,FALSE),"UNBEKANNT"))))</f>
        <v/>
      </c>
    </row>
    <row r="113">
      <c r="A113" s="5" t="inlineStr">
        <is>
          <t>BW-08</t>
        </is>
      </c>
      <c r="B113" s="5" t="inlineStr">
        <is>
          <t>prä</t>
        </is>
      </c>
      <c r="C113" s="5" t="inlineStr">
        <is>
          <t>Sprint_10m</t>
        </is>
      </c>
      <c r="D113" s="5" t="inlineStr">
        <is>
          <t>–</t>
        </is>
      </c>
      <c r="E113" s="5" t="n">
        <v>1</v>
      </c>
      <c r="F113" s="5" t="n">
        <v>1.89</v>
      </c>
      <c r="G113" s="5" t="n"/>
      <c r="H113" s="5" t="n"/>
      <c r="I113" s="22">
        <f>INDEX(Personendaten!$C$2:$C$32,MATCH(A113,Personendaten!$A$2:$A$32,0))</f>
        <v/>
      </c>
      <c r="J113" s="22">
        <f>IF(AND(F113&lt;&gt;"",G113=""),1,0)</f>
        <v/>
      </c>
      <c r="K113" s="22">
        <f>IF(LEFT(C113,7)&lt;&gt;"Sprint_","",IF(COUNTIFS(Versuchsdaten!$A$2:$A$1117,$A113,Versuchsdaten!$B$2:$B$1117,$B113,Versuchsdaten!$C$2:$C$1117,"Sprint_5m",Versuchsdaten!$E$2:$E$1117,$E113,Versuchsdaten!$J$2:$J$1117,1)=1,SUMIFS(Versuchsdaten!$F$2:$F$1117,Versuchsdaten!$A$2:$A$1117,$A113,Versuchsdaten!$B$2:$B$1117,$B113,Versuchsdaten!$C$2:$C$1117,"Sprint_5m",Versuchsdaten!$E$2:$E$1117,$E113,Versuchsdaten!$J$2:$J$1117,1),""))</f>
        <v/>
      </c>
      <c r="L113" s="22">
        <f>IF(LEFT(C113,7)&lt;&gt;"Sprint_","",IF(COUNTIFS(Versuchsdaten!$A$2:$A$1117,$A113,Versuchsdaten!$B$2:$B$1117,$B113,Versuchsdaten!$C$2:$C$1117,"Sprint_10m",Versuchsdaten!$E$2:$E$1117,$E113,Versuchsdaten!$J$2:$J$1117,1)=1,SUMIFS(Versuchsdaten!$F$2:$F$1117,Versuchsdaten!$A$2:$A$1117,$A113,Versuchsdaten!$B$2:$B$1117,$B113,Versuchsdaten!$C$2:$C$1117,"Sprint_10m",Versuchsdaten!$E$2:$E$1117,$E113,Versuchsdaten!$J$2:$J$1117,1),""))</f>
        <v/>
      </c>
      <c r="M113" s="22">
        <f>IF(LEFT(C113,7)&lt;&gt;"Sprint_","",IF(COUNTIFS(Versuchsdaten!$A$2:$A$1117,$A113,Versuchsdaten!$B$2:$B$1117,$B113,Versuchsdaten!$C$2:$C$1117,"Sprint_30m",Versuchsdaten!$E$2:$E$1117,$E113,Versuchsdaten!$J$2:$J$1117,1)=1,SUMIFS(Versuchsdaten!$F$2:$F$1117,Versuchsdaten!$A$2:$A$1117,$A113,Versuchsdaten!$B$2:$B$1117,$B113,Versuchsdaten!$C$2:$C$1117,"Sprint_30m",Versuchsdaten!$E$2:$E$1117,$E113,Versuchsdaten!$J$2:$J$1117,1),""))</f>
        <v/>
      </c>
      <c r="N113" s="22">
        <f>IF(LEFT(C113,7)&lt;&gt;"Sprint_",0,IF(IF(ISNUMBER(K113),IF(K113&lt;=0,1,IF(5/K113&gt;10,1,0)),0)+IF(ISNUMBER(L113),IF(ISNUMBER(K113),IF(L113-K113&lt;=0,1,IF(5/(L113-K113)&gt;10,1,0)),IF(L113&lt;=0,1,IF(10/L113&gt;10,1,0))),0)+IF(ISNUMBER(M113),IF(ISNUMBER(L113),IF(M113-L113&lt;=0,1,IF(20/(M113-L113)&gt;10,1,0)),IF(ISNUMBER(K113),IF(M113-K113&lt;=0,1,IF(25/(M113-K113)&gt;10,1,0)),IF(M113&lt;=0,1,IF(30/M113&gt;10,1,0)))),0)&gt;0,1,0))</f>
        <v/>
      </c>
      <c r="O113" s="22">
        <f>IF(AND(J113=1,N113=0),1,0)</f>
        <v/>
      </c>
      <c r="P113" s="22">
        <f>INDEX(Personendaten!$J$2:$J$32,MATCH(A113,Personendaten!$A$2:$A$32,0))</f>
        <v/>
      </c>
      <c r="Q113" s="22">
        <f>IF(O113=1,"",IF(AND(B113="post",P113="nicht angetreten"),"NANG",IF(N113=1,"AUSL",IFERROR(VLOOKUP(H113,Vokabular!$A$2:$B$8,2,FALSE),"UNBEKANNT"))))</f>
        <v/>
      </c>
    </row>
    <row r="114">
      <c r="A114" s="5" t="inlineStr">
        <is>
          <t>BW-08</t>
        </is>
      </c>
      <c r="B114" s="5" t="inlineStr">
        <is>
          <t>prä</t>
        </is>
      </c>
      <c r="C114" s="5" t="inlineStr">
        <is>
          <t>Sprint_10m</t>
        </is>
      </c>
      <c r="D114" s="5" t="inlineStr">
        <is>
          <t>–</t>
        </is>
      </c>
      <c r="E114" s="5" t="n">
        <v>2</v>
      </c>
      <c r="F114" s="5" t="n">
        <v>1.87</v>
      </c>
      <c r="G114" s="5" t="n"/>
      <c r="H114" s="5" t="n"/>
      <c r="I114" s="22">
        <f>INDEX(Personendaten!$C$2:$C$32,MATCH(A114,Personendaten!$A$2:$A$32,0))</f>
        <v/>
      </c>
      <c r="J114" s="22">
        <f>IF(AND(F114&lt;&gt;"",G114=""),1,0)</f>
        <v/>
      </c>
      <c r="K114" s="22">
        <f>IF(LEFT(C114,7)&lt;&gt;"Sprint_","",IF(COUNTIFS(Versuchsdaten!$A$2:$A$1117,$A114,Versuchsdaten!$B$2:$B$1117,$B114,Versuchsdaten!$C$2:$C$1117,"Sprint_5m",Versuchsdaten!$E$2:$E$1117,$E114,Versuchsdaten!$J$2:$J$1117,1)=1,SUMIFS(Versuchsdaten!$F$2:$F$1117,Versuchsdaten!$A$2:$A$1117,$A114,Versuchsdaten!$B$2:$B$1117,$B114,Versuchsdaten!$C$2:$C$1117,"Sprint_5m",Versuchsdaten!$E$2:$E$1117,$E114,Versuchsdaten!$J$2:$J$1117,1),""))</f>
        <v/>
      </c>
      <c r="L114" s="22">
        <f>IF(LEFT(C114,7)&lt;&gt;"Sprint_","",IF(COUNTIFS(Versuchsdaten!$A$2:$A$1117,$A114,Versuchsdaten!$B$2:$B$1117,$B114,Versuchsdaten!$C$2:$C$1117,"Sprint_10m",Versuchsdaten!$E$2:$E$1117,$E114,Versuchsdaten!$J$2:$J$1117,1)=1,SUMIFS(Versuchsdaten!$F$2:$F$1117,Versuchsdaten!$A$2:$A$1117,$A114,Versuchsdaten!$B$2:$B$1117,$B114,Versuchsdaten!$C$2:$C$1117,"Sprint_10m",Versuchsdaten!$E$2:$E$1117,$E114,Versuchsdaten!$J$2:$J$1117,1),""))</f>
        <v/>
      </c>
      <c r="M114" s="22">
        <f>IF(LEFT(C114,7)&lt;&gt;"Sprint_","",IF(COUNTIFS(Versuchsdaten!$A$2:$A$1117,$A114,Versuchsdaten!$B$2:$B$1117,$B114,Versuchsdaten!$C$2:$C$1117,"Sprint_30m",Versuchsdaten!$E$2:$E$1117,$E114,Versuchsdaten!$J$2:$J$1117,1)=1,SUMIFS(Versuchsdaten!$F$2:$F$1117,Versuchsdaten!$A$2:$A$1117,$A114,Versuchsdaten!$B$2:$B$1117,$B114,Versuchsdaten!$C$2:$C$1117,"Sprint_30m",Versuchsdaten!$E$2:$E$1117,$E114,Versuchsdaten!$J$2:$J$1117,1),""))</f>
        <v/>
      </c>
      <c r="N114" s="22">
        <f>IF(LEFT(C114,7)&lt;&gt;"Sprint_",0,IF(IF(ISNUMBER(K114),IF(K114&lt;=0,1,IF(5/K114&gt;10,1,0)),0)+IF(ISNUMBER(L114),IF(ISNUMBER(K114),IF(L114-K114&lt;=0,1,IF(5/(L114-K114)&gt;10,1,0)),IF(L114&lt;=0,1,IF(10/L114&gt;10,1,0))),0)+IF(ISNUMBER(M114),IF(ISNUMBER(L114),IF(M114-L114&lt;=0,1,IF(20/(M114-L114)&gt;10,1,0)),IF(ISNUMBER(K114),IF(M114-K114&lt;=0,1,IF(25/(M114-K114)&gt;10,1,0)),IF(M114&lt;=0,1,IF(30/M114&gt;10,1,0)))),0)&gt;0,1,0))</f>
        <v/>
      </c>
      <c r="O114" s="22">
        <f>IF(AND(J114=1,N114=0),1,0)</f>
        <v/>
      </c>
      <c r="P114" s="22">
        <f>INDEX(Personendaten!$J$2:$J$32,MATCH(A114,Personendaten!$A$2:$A$32,0))</f>
        <v/>
      </c>
      <c r="Q114" s="22">
        <f>IF(O114=1,"",IF(AND(B114="post",P114="nicht angetreten"),"NANG",IF(N114=1,"AUSL",IFERROR(VLOOKUP(H114,Vokabular!$A$2:$B$8,2,FALSE),"UNBEKANNT"))))</f>
        <v/>
      </c>
    </row>
    <row r="115">
      <c r="A115" s="5" t="inlineStr">
        <is>
          <t>BW-08</t>
        </is>
      </c>
      <c r="B115" s="5" t="inlineStr">
        <is>
          <t>prä</t>
        </is>
      </c>
      <c r="C115" s="5" t="inlineStr">
        <is>
          <t>Sprint_10m</t>
        </is>
      </c>
      <c r="D115" s="5" t="inlineStr">
        <is>
          <t>–</t>
        </is>
      </c>
      <c r="E115" s="5" t="n">
        <v>3</v>
      </c>
      <c r="F115" s="5" t="n"/>
      <c r="G115" s="5" t="n"/>
      <c r="H115" s="5" t="inlineStr">
        <is>
          <t>Nur 2 Versuche aus Zeitmangel</t>
        </is>
      </c>
      <c r="I115" s="22">
        <f>INDEX(Personendaten!$C$2:$C$32,MATCH(A115,Personendaten!$A$2:$A$32,0))</f>
        <v/>
      </c>
      <c r="J115" s="22">
        <f>IF(AND(F115&lt;&gt;"",G115=""),1,0)</f>
        <v/>
      </c>
      <c r="K115" s="22">
        <f>IF(LEFT(C115,7)&lt;&gt;"Sprint_","",IF(COUNTIFS(Versuchsdaten!$A$2:$A$1117,$A115,Versuchsdaten!$B$2:$B$1117,$B115,Versuchsdaten!$C$2:$C$1117,"Sprint_5m",Versuchsdaten!$E$2:$E$1117,$E115,Versuchsdaten!$J$2:$J$1117,1)=1,SUMIFS(Versuchsdaten!$F$2:$F$1117,Versuchsdaten!$A$2:$A$1117,$A115,Versuchsdaten!$B$2:$B$1117,$B115,Versuchsdaten!$C$2:$C$1117,"Sprint_5m",Versuchsdaten!$E$2:$E$1117,$E115,Versuchsdaten!$J$2:$J$1117,1),""))</f>
        <v/>
      </c>
      <c r="L115" s="22">
        <f>IF(LEFT(C115,7)&lt;&gt;"Sprint_","",IF(COUNTIFS(Versuchsdaten!$A$2:$A$1117,$A115,Versuchsdaten!$B$2:$B$1117,$B115,Versuchsdaten!$C$2:$C$1117,"Sprint_10m",Versuchsdaten!$E$2:$E$1117,$E115,Versuchsdaten!$J$2:$J$1117,1)=1,SUMIFS(Versuchsdaten!$F$2:$F$1117,Versuchsdaten!$A$2:$A$1117,$A115,Versuchsdaten!$B$2:$B$1117,$B115,Versuchsdaten!$C$2:$C$1117,"Sprint_10m",Versuchsdaten!$E$2:$E$1117,$E115,Versuchsdaten!$J$2:$J$1117,1),""))</f>
        <v/>
      </c>
      <c r="M115" s="22">
        <f>IF(LEFT(C115,7)&lt;&gt;"Sprint_","",IF(COUNTIFS(Versuchsdaten!$A$2:$A$1117,$A115,Versuchsdaten!$B$2:$B$1117,$B115,Versuchsdaten!$C$2:$C$1117,"Sprint_30m",Versuchsdaten!$E$2:$E$1117,$E115,Versuchsdaten!$J$2:$J$1117,1)=1,SUMIFS(Versuchsdaten!$F$2:$F$1117,Versuchsdaten!$A$2:$A$1117,$A115,Versuchsdaten!$B$2:$B$1117,$B115,Versuchsdaten!$C$2:$C$1117,"Sprint_30m",Versuchsdaten!$E$2:$E$1117,$E115,Versuchsdaten!$J$2:$J$1117,1),""))</f>
        <v/>
      </c>
      <c r="N115" s="22">
        <f>IF(LEFT(C115,7)&lt;&gt;"Sprint_",0,IF(IF(ISNUMBER(K115),IF(K115&lt;=0,1,IF(5/K115&gt;10,1,0)),0)+IF(ISNUMBER(L115),IF(ISNUMBER(K115),IF(L115-K115&lt;=0,1,IF(5/(L115-K115)&gt;10,1,0)),IF(L115&lt;=0,1,IF(10/L115&gt;10,1,0))),0)+IF(ISNUMBER(M115),IF(ISNUMBER(L115),IF(M115-L115&lt;=0,1,IF(20/(M115-L115)&gt;10,1,0)),IF(ISNUMBER(K115),IF(M115-K115&lt;=0,1,IF(25/(M115-K115)&gt;10,1,0)),IF(M115&lt;=0,1,IF(30/M115&gt;10,1,0)))),0)&gt;0,1,0))</f>
        <v/>
      </c>
      <c r="O115" s="22">
        <f>IF(AND(J115=1,N115=0),1,0)</f>
        <v/>
      </c>
      <c r="P115" s="22">
        <f>INDEX(Personendaten!$J$2:$J$32,MATCH(A115,Personendaten!$A$2:$A$32,0))</f>
        <v/>
      </c>
      <c r="Q115" s="22">
        <f>IF(O115=1,"",IF(AND(B115="post",P115="nicht angetreten"),"NANG",IF(N115=1,"AUSL",IFERROR(VLOOKUP(H115,Vokabular!$A$2:$B$8,2,FALSE),"UNBEKANNT"))))</f>
        <v/>
      </c>
    </row>
    <row r="116">
      <c r="A116" s="5" t="inlineStr">
        <is>
          <t>BW-08</t>
        </is>
      </c>
      <c r="B116" s="5" t="inlineStr">
        <is>
          <t>prä</t>
        </is>
      </c>
      <c r="C116" s="5" t="inlineStr">
        <is>
          <t>Sprint_30m</t>
        </is>
      </c>
      <c r="D116" s="5" t="inlineStr">
        <is>
          <t>–</t>
        </is>
      </c>
      <c r="E116" s="5" t="n">
        <v>1</v>
      </c>
      <c r="F116" s="5" t="n">
        <v>4.47</v>
      </c>
      <c r="G116" s="5" t="n"/>
      <c r="H116" s="5" t="n"/>
      <c r="I116" s="22">
        <f>INDEX(Personendaten!$C$2:$C$32,MATCH(A116,Personendaten!$A$2:$A$32,0))</f>
        <v/>
      </c>
      <c r="J116" s="22">
        <f>IF(AND(F116&lt;&gt;"",G116=""),1,0)</f>
        <v/>
      </c>
      <c r="K116" s="22">
        <f>IF(LEFT(C116,7)&lt;&gt;"Sprint_","",IF(COUNTIFS(Versuchsdaten!$A$2:$A$1117,$A116,Versuchsdaten!$B$2:$B$1117,$B116,Versuchsdaten!$C$2:$C$1117,"Sprint_5m",Versuchsdaten!$E$2:$E$1117,$E116,Versuchsdaten!$J$2:$J$1117,1)=1,SUMIFS(Versuchsdaten!$F$2:$F$1117,Versuchsdaten!$A$2:$A$1117,$A116,Versuchsdaten!$B$2:$B$1117,$B116,Versuchsdaten!$C$2:$C$1117,"Sprint_5m",Versuchsdaten!$E$2:$E$1117,$E116,Versuchsdaten!$J$2:$J$1117,1),""))</f>
        <v/>
      </c>
      <c r="L116" s="22">
        <f>IF(LEFT(C116,7)&lt;&gt;"Sprint_","",IF(COUNTIFS(Versuchsdaten!$A$2:$A$1117,$A116,Versuchsdaten!$B$2:$B$1117,$B116,Versuchsdaten!$C$2:$C$1117,"Sprint_10m",Versuchsdaten!$E$2:$E$1117,$E116,Versuchsdaten!$J$2:$J$1117,1)=1,SUMIFS(Versuchsdaten!$F$2:$F$1117,Versuchsdaten!$A$2:$A$1117,$A116,Versuchsdaten!$B$2:$B$1117,$B116,Versuchsdaten!$C$2:$C$1117,"Sprint_10m",Versuchsdaten!$E$2:$E$1117,$E116,Versuchsdaten!$J$2:$J$1117,1),""))</f>
        <v/>
      </c>
      <c r="M116" s="22">
        <f>IF(LEFT(C116,7)&lt;&gt;"Sprint_","",IF(COUNTIFS(Versuchsdaten!$A$2:$A$1117,$A116,Versuchsdaten!$B$2:$B$1117,$B116,Versuchsdaten!$C$2:$C$1117,"Sprint_30m",Versuchsdaten!$E$2:$E$1117,$E116,Versuchsdaten!$J$2:$J$1117,1)=1,SUMIFS(Versuchsdaten!$F$2:$F$1117,Versuchsdaten!$A$2:$A$1117,$A116,Versuchsdaten!$B$2:$B$1117,$B116,Versuchsdaten!$C$2:$C$1117,"Sprint_30m",Versuchsdaten!$E$2:$E$1117,$E116,Versuchsdaten!$J$2:$J$1117,1),""))</f>
        <v/>
      </c>
      <c r="N116" s="22">
        <f>IF(LEFT(C116,7)&lt;&gt;"Sprint_",0,IF(IF(ISNUMBER(K116),IF(K116&lt;=0,1,IF(5/K116&gt;10,1,0)),0)+IF(ISNUMBER(L116),IF(ISNUMBER(K116),IF(L116-K116&lt;=0,1,IF(5/(L116-K116)&gt;10,1,0)),IF(L116&lt;=0,1,IF(10/L116&gt;10,1,0))),0)+IF(ISNUMBER(M116),IF(ISNUMBER(L116),IF(M116-L116&lt;=0,1,IF(20/(M116-L116)&gt;10,1,0)),IF(ISNUMBER(K116),IF(M116-K116&lt;=0,1,IF(25/(M116-K116)&gt;10,1,0)),IF(M116&lt;=0,1,IF(30/M116&gt;10,1,0)))),0)&gt;0,1,0))</f>
        <v/>
      </c>
      <c r="O116" s="22">
        <f>IF(AND(J116=1,N116=0),1,0)</f>
        <v/>
      </c>
      <c r="P116" s="22">
        <f>INDEX(Personendaten!$J$2:$J$32,MATCH(A116,Personendaten!$A$2:$A$32,0))</f>
        <v/>
      </c>
      <c r="Q116" s="22">
        <f>IF(O116=1,"",IF(AND(B116="post",P116="nicht angetreten"),"NANG",IF(N116=1,"AUSL",IFERROR(VLOOKUP(H116,Vokabular!$A$2:$B$8,2,FALSE),"UNBEKANNT"))))</f>
        <v/>
      </c>
    </row>
    <row r="117">
      <c r="A117" s="5" t="inlineStr">
        <is>
          <t>BW-08</t>
        </is>
      </c>
      <c r="B117" s="5" t="inlineStr">
        <is>
          <t>prä</t>
        </is>
      </c>
      <c r="C117" s="5" t="inlineStr">
        <is>
          <t>Sprint_30m</t>
        </is>
      </c>
      <c r="D117" s="5" t="inlineStr">
        <is>
          <t>–</t>
        </is>
      </c>
      <c r="E117" s="5" t="n">
        <v>2</v>
      </c>
      <c r="F117" s="5" t="n">
        <v>4.45</v>
      </c>
      <c r="G117" s="5" t="n"/>
      <c r="H117" s="5" t="n"/>
      <c r="I117" s="22">
        <f>INDEX(Personendaten!$C$2:$C$32,MATCH(A117,Personendaten!$A$2:$A$32,0))</f>
        <v/>
      </c>
      <c r="J117" s="22">
        <f>IF(AND(F117&lt;&gt;"",G117=""),1,0)</f>
        <v/>
      </c>
      <c r="K117" s="22">
        <f>IF(LEFT(C117,7)&lt;&gt;"Sprint_","",IF(COUNTIFS(Versuchsdaten!$A$2:$A$1117,$A117,Versuchsdaten!$B$2:$B$1117,$B117,Versuchsdaten!$C$2:$C$1117,"Sprint_5m",Versuchsdaten!$E$2:$E$1117,$E117,Versuchsdaten!$J$2:$J$1117,1)=1,SUMIFS(Versuchsdaten!$F$2:$F$1117,Versuchsdaten!$A$2:$A$1117,$A117,Versuchsdaten!$B$2:$B$1117,$B117,Versuchsdaten!$C$2:$C$1117,"Sprint_5m",Versuchsdaten!$E$2:$E$1117,$E117,Versuchsdaten!$J$2:$J$1117,1),""))</f>
        <v/>
      </c>
      <c r="L117" s="22">
        <f>IF(LEFT(C117,7)&lt;&gt;"Sprint_","",IF(COUNTIFS(Versuchsdaten!$A$2:$A$1117,$A117,Versuchsdaten!$B$2:$B$1117,$B117,Versuchsdaten!$C$2:$C$1117,"Sprint_10m",Versuchsdaten!$E$2:$E$1117,$E117,Versuchsdaten!$J$2:$J$1117,1)=1,SUMIFS(Versuchsdaten!$F$2:$F$1117,Versuchsdaten!$A$2:$A$1117,$A117,Versuchsdaten!$B$2:$B$1117,$B117,Versuchsdaten!$C$2:$C$1117,"Sprint_10m",Versuchsdaten!$E$2:$E$1117,$E117,Versuchsdaten!$J$2:$J$1117,1),""))</f>
        <v/>
      </c>
      <c r="M117" s="22">
        <f>IF(LEFT(C117,7)&lt;&gt;"Sprint_","",IF(COUNTIFS(Versuchsdaten!$A$2:$A$1117,$A117,Versuchsdaten!$B$2:$B$1117,$B117,Versuchsdaten!$C$2:$C$1117,"Sprint_30m",Versuchsdaten!$E$2:$E$1117,$E117,Versuchsdaten!$J$2:$J$1117,1)=1,SUMIFS(Versuchsdaten!$F$2:$F$1117,Versuchsdaten!$A$2:$A$1117,$A117,Versuchsdaten!$B$2:$B$1117,$B117,Versuchsdaten!$C$2:$C$1117,"Sprint_30m",Versuchsdaten!$E$2:$E$1117,$E117,Versuchsdaten!$J$2:$J$1117,1),""))</f>
        <v/>
      </c>
      <c r="N117" s="22">
        <f>IF(LEFT(C117,7)&lt;&gt;"Sprint_",0,IF(IF(ISNUMBER(K117),IF(K117&lt;=0,1,IF(5/K117&gt;10,1,0)),0)+IF(ISNUMBER(L117),IF(ISNUMBER(K117),IF(L117-K117&lt;=0,1,IF(5/(L117-K117)&gt;10,1,0)),IF(L117&lt;=0,1,IF(10/L117&gt;10,1,0))),0)+IF(ISNUMBER(M117),IF(ISNUMBER(L117),IF(M117-L117&lt;=0,1,IF(20/(M117-L117)&gt;10,1,0)),IF(ISNUMBER(K117),IF(M117-K117&lt;=0,1,IF(25/(M117-K117)&gt;10,1,0)),IF(M117&lt;=0,1,IF(30/M117&gt;10,1,0)))),0)&gt;0,1,0))</f>
        <v/>
      </c>
      <c r="O117" s="22">
        <f>IF(AND(J117=1,N117=0),1,0)</f>
        <v/>
      </c>
      <c r="P117" s="22">
        <f>INDEX(Personendaten!$J$2:$J$32,MATCH(A117,Personendaten!$A$2:$A$32,0))</f>
        <v/>
      </c>
      <c r="Q117" s="22">
        <f>IF(O117=1,"",IF(AND(B117="post",P117="nicht angetreten"),"NANG",IF(N117=1,"AUSL",IFERROR(VLOOKUP(H117,Vokabular!$A$2:$B$8,2,FALSE),"UNBEKANNT"))))</f>
        <v/>
      </c>
    </row>
    <row r="118">
      <c r="A118" s="5" t="inlineStr">
        <is>
          <t>BW-08</t>
        </is>
      </c>
      <c r="B118" s="5" t="inlineStr">
        <is>
          <t>prä</t>
        </is>
      </c>
      <c r="C118" s="5" t="inlineStr">
        <is>
          <t>Sprint_30m</t>
        </is>
      </c>
      <c r="D118" s="5" t="inlineStr">
        <is>
          <t>–</t>
        </is>
      </c>
      <c r="E118" s="5" t="n">
        <v>3</v>
      </c>
      <c r="F118" s="5" t="n"/>
      <c r="G118" s="5" t="n"/>
      <c r="H118" s="5" t="inlineStr">
        <is>
          <t>Nur 2 Versuche aus Zeitmangel</t>
        </is>
      </c>
      <c r="I118" s="22">
        <f>INDEX(Personendaten!$C$2:$C$32,MATCH(A118,Personendaten!$A$2:$A$32,0))</f>
        <v/>
      </c>
      <c r="J118" s="22">
        <f>IF(AND(F118&lt;&gt;"",G118=""),1,0)</f>
        <v/>
      </c>
      <c r="K118" s="22">
        <f>IF(LEFT(C118,7)&lt;&gt;"Sprint_","",IF(COUNTIFS(Versuchsdaten!$A$2:$A$1117,$A118,Versuchsdaten!$B$2:$B$1117,$B118,Versuchsdaten!$C$2:$C$1117,"Sprint_5m",Versuchsdaten!$E$2:$E$1117,$E118,Versuchsdaten!$J$2:$J$1117,1)=1,SUMIFS(Versuchsdaten!$F$2:$F$1117,Versuchsdaten!$A$2:$A$1117,$A118,Versuchsdaten!$B$2:$B$1117,$B118,Versuchsdaten!$C$2:$C$1117,"Sprint_5m",Versuchsdaten!$E$2:$E$1117,$E118,Versuchsdaten!$J$2:$J$1117,1),""))</f>
        <v/>
      </c>
      <c r="L118" s="22">
        <f>IF(LEFT(C118,7)&lt;&gt;"Sprint_","",IF(COUNTIFS(Versuchsdaten!$A$2:$A$1117,$A118,Versuchsdaten!$B$2:$B$1117,$B118,Versuchsdaten!$C$2:$C$1117,"Sprint_10m",Versuchsdaten!$E$2:$E$1117,$E118,Versuchsdaten!$J$2:$J$1117,1)=1,SUMIFS(Versuchsdaten!$F$2:$F$1117,Versuchsdaten!$A$2:$A$1117,$A118,Versuchsdaten!$B$2:$B$1117,$B118,Versuchsdaten!$C$2:$C$1117,"Sprint_10m",Versuchsdaten!$E$2:$E$1117,$E118,Versuchsdaten!$J$2:$J$1117,1),""))</f>
        <v/>
      </c>
      <c r="M118" s="22">
        <f>IF(LEFT(C118,7)&lt;&gt;"Sprint_","",IF(COUNTIFS(Versuchsdaten!$A$2:$A$1117,$A118,Versuchsdaten!$B$2:$B$1117,$B118,Versuchsdaten!$C$2:$C$1117,"Sprint_30m",Versuchsdaten!$E$2:$E$1117,$E118,Versuchsdaten!$J$2:$J$1117,1)=1,SUMIFS(Versuchsdaten!$F$2:$F$1117,Versuchsdaten!$A$2:$A$1117,$A118,Versuchsdaten!$B$2:$B$1117,$B118,Versuchsdaten!$C$2:$C$1117,"Sprint_30m",Versuchsdaten!$E$2:$E$1117,$E118,Versuchsdaten!$J$2:$J$1117,1),""))</f>
        <v/>
      </c>
      <c r="N118" s="22">
        <f>IF(LEFT(C118,7)&lt;&gt;"Sprint_",0,IF(IF(ISNUMBER(K118),IF(K118&lt;=0,1,IF(5/K118&gt;10,1,0)),0)+IF(ISNUMBER(L118),IF(ISNUMBER(K118),IF(L118-K118&lt;=0,1,IF(5/(L118-K118)&gt;10,1,0)),IF(L118&lt;=0,1,IF(10/L118&gt;10,1,0))),0)+IF(ISNUMBER(M118),IF(ISNUMBER(L118),IF(M118-L118&lt;=0,1,IF(20/(M118-L118)&gt;10,1,0)),IF(ISNUMBER(K118),IF(M118-K118&lt;=0,1,IF(25/(M118-K118)&gt;10,1,0)),IF(M118&lt;=0,1,IF(30/M118&gt;10,1,0)))),0)&gt;0,1,0))</f>
        <v/>
      </c>
      <c r="O118" s="22">
        <f>IF(AND(J118=1,N118=0),1,0)</f>
        <v/>
      </c>
      <c r="P118" s="22">
        <f>INDEX(Personendaten!$J$2:$J$32,MATCH(A118,Personendaten!$A$2:$A$32,0))</f>
        <v/>
      </c>
      <c r="Q118" s="22">
        <f>IF(O118=1,"",IF(AND(B118="post",P118="nicht angetreten"),"NANG",IF(N118=1,"AUSL",IFERROR(VLOOKUP(H118,Vokabular!$A$2:$B$8,2,FALSE),"UNBEKANNT"))))</f>
        <v/>
      </c>
    </row>
    <row r="119">
      <c r="A119" s="5" t="inlineStr">
        <is>
          <t>BW-08</t>
        </is>
      </c>
      <c r="B119" s="5" t="inlineStr">
        <is>
          <t>prä</t>
        </is>
      </c>
      <c r="C119" s="5" t="inlineStr">
        <is>
          <t>Standweitsprung</t>
        </is>
      </c>
      <c r="D119" s="5" t="inlineStr">
        <is>
          <t>–</t>
        </is>
      </c>
      <c r="E119" s="5" t="n">
        <v>1</v>
      </c>
      <c r="F119" s="5" t="n">
        <v>230</v>
      </c>
      <c r="G119" s="5" t="n"/>
      <c r="H119" s="5" t="n"/>
      <c r="I119" s="22">
        <f>INDEX(Personendaten!$C$2:$C$32,MATCH(A119,Personendaten!$A$2:$A$32,0))</f>
        <v/>
      </c>
      <c r="J119" s="22">
        <f>IF(AND(F119&lt;&gt;"",G119=""),1,0)</f>
        <v/>
      </c>
      <c r="K119" s="22">
        <f>IF(LEFT(C119,7)&lt;&gt;"Sprint_","",IF(COUNTIFS(Versuchsdaten!$A$2:$A$1117,$A119,Versuchsdaten!$B$2:$B$1117,$B119,Versuchsdaten!$C$2:$C$1117,"Sprint_5m",Versuchsdaten!$E$2:$E$1117,$E119,Versuchsdaten!$J$2:$J$1117,1)=1,SUMIFS(Versuchsdaten!$F$2:$F$1117,Versuchsdaten!$A$2:$A$1117,$A119,Versuchsdaten!$B$2:$B$1117,$B119,Versuchsdaten!$C$2:$C$1117,"Sprint_5m",Versuchsdaten!$E$2:$E$1117,$E119,Versuchsdaten!$J$2:$J$1117,1),""))</f>
        <v/>
      </c>
      <c r="L119" s="22">
        <f>IF(LEFT(C119,7)&lt;&gt;"Sprint_","",IF(COUNTIFS(Versuchsdaten!$A$2:$A$1117,$A119,Versuchsdaten!$B$2:$B$1117,$B119,Versuchsdaten!$C$2:$C$1117,"Sprint_10m",Versuchsdaten!$E$2:$E$1117,$E119,Versuchsdaten!$J$2:$J$1117,1)=1,SUMIFS(Versuchsdaten!$F$2:$F$1117,Versuchsdaten!$A$2:$A$1117,$A119,Versuchsdaten!$B$2:$B$1117,$B119,Versuchsdaten!$C$2:$C$1117,"Sprint_10m",Versuchsdaten!$E$2:$E$1117,$E119,Versuchsdaten!$J$2:$J$1117,1),""))</f>
        <v/>
      </c>
      <c r="M119" s="22">
        <f>IF(LEFT(C119,7)&lt;&gt;"Sprint_","",IF(COUNTIFS(Versuchsdaten!$A$2:$A$1117,$A119,Versuchsdaten!$B$2:$B$1117,$B119,Versuchsdaten!$C$2:$C$1117,"Sprint_30m",Versuchsdaten!$E$2:$E$1117,$E119,Versuchsdaten!$J$2:$J$1117,1)=1,SUMIFS(Versuchsdaten!$F$2:$F$1117,Versuchsdaten!$A$2:$A$1117,$A119,Versuchsdaten!$B$2:$B$1117,$B119,Versuchsdaten!$C$2:$C$1117,"Sprint_30m",Versuchsdaten!$E$2:$E$1117,$E119,Versuchsdaten!$J$2:$J$1117,1),""))</f>
        <v/>
      </c>
      <c r="N119" s="22">
        <f>IF(LEFT(C119,7)&lt;&gt;"Sprint_",0,IF(IF(ISNUMBER(K119),IF(K119&lt;=0,1,IF(5/K119&gt;10,1,0)),0)+IF(ISNUMBER(L119),IF(ISNUMBER(K119),IF(L119-K119&lt;=0,1,IF(5/(L119-K119)&gt;10,1,0)),IF(L119&lt;=0,1,IF(10/L119&gt;10,1,0))),0)+IF(ISNUMBER(M119),IF(ISNUMBER(L119),IF(M119-L119&lt;=0,1,IF(20/(M119-L119)&gt;10,1,0)),IF(ISNUMBER(K119),IF(M119-K119&lt;=0,1,IF(25/(M119-K119)&gt;10,1,0)),IF(M119&lt;=0,1,IF(30/M119&gt;10,1,0)))),0)&gt;0,1,0))</f>
        <v/>
      </c>
      <c r="O119" s="22">
        <f>IF(AND(J119=1,N119=0),1,0)</f>
        <v/>
      </c>
      <c r="P119" s="22">
        <f>INDEX(Personendaten!$J$2:$J$32,MATCH(A119,Personendaten!$A$2:$A$32,0))</f>
        <v/>
      </c>
      <c r="Q119" s="22">
        <f>IF(O119=1,"",IF(AND(B119="post",P119="nicht angetreten"),"NANG",IF(N119=1,"AUSL",IFERROR(VLOOKUP(H119,Vokabular!$A$2:$B$8,2,FALSE),"UNBEKANNT"))))</f>
        <v/>
      </c>
    </row>
    <row r="120">
      <c r="A120" s="5" t="inlineStr">
        <is>
          <t>BW-08</t>
        </is>
      </c>
      <c r="B120" s="5" t="inlineStr">
        <is>
          <t>prä</t>
        </is>
      </c>
      <c r="C120" s="5" t="inlineStr">
        <is>
          <t>Standweitsprung</t>
        </is>
      </c>
      <c r="D120" s="5" t="inlineStr">
        <is>
          <t>–</t>
        </is>
      </c>
      <c r="E120" s="5" t="n">
        <v>2</v>
      </c>
      <c r="F120" s="5" t="n">
        <v>246</v>
      </c>
      <c r="G120" s="5" t="n"/>
      <c r="H120" s="5" t="n"/>
      <c r="I120" s="22">
        <f>INDEX(Personendaten!$C$2:$C$32,MATCH(A120,Personendaten!$A$2:$A$32,0))</f>
        <v/>
      </c>
      <c r="J120" s="22">
        <f>IF(AND(F120&lt;&gt;"",G120=""),1,0)</f>
        <v/>
      </c>
      <c r="K120" s="22">
        <f>IF(LEFT(C120,7)&lt;&gt;"Sprint_","",IF(COUNTIFS(Versuchsdaten!$A$2:$A$1117,$A120,Versuchsdaten!$B$2:$B$1117,$B120,Versuchsdaten!$C$2:$C$1117,"Sprint_5m",Versuchsdaten!$E$2:$E$1117,$E120,Versuchsdaten!$J$2:$J$1117,1)=1,SUMIFS(Versuchsdaten!$F$2:$F$1117,Versuchsdaten!$A$2:$A$1117,$A120,Versuchsdaten!$B$2:$B$1117,$B120,Versuchsdaten!$C$2:$C$1117,"Sprint_5m",Versuchsdaten!$E$2:$E$1117,$E120,Versuchsdaten!$J$2:$J$1117,1),""))</f>
        <v/>
      </c>
      <c r="L120" s="22">
        <f>IF(LEFT(C120,7)&lt;&gt;"Sprint_","",IF(COUNTIFS(Versuchsdaten!$A$2:$A$1117,$A120,Versuchsdaten!$B$2:$B$1117,$B120,Versuchsdaten!$C$2:$C$1117,"Sprint_10m",Versuchsdaten!$E$2:$E$1117,$E120,Versuchsdaten!$J$2:$J$1117,1)=1,SUMIFS(Versuchsdaten!$F$2:$F$1117,Versuchsdaten!$A$2:$A$1117,$A120,Versuchsdaten!$B$2:$B$1117,$B120,Versuchsdaten!$C$2:$C$1117,"Sprint_10m",Versuchsdaten!$E$2:$E$1117,$E120,Versuchsdaten!$J$2:$J$1117,1),""))</f>
        <v/>
      </c>
      <c r="M120" s="22">
        <f>IF(LEFT(C120,7)&lt;&gt;"Sprint_","",IF(COUNTIFS(Versuchsdaten!$A$2:$A$1117,$A120,Versuchsdaten!$B$2:$B$1117,$B120,Versuchsdaten!$C$2:$C$1117,"Sprint_30m",Versuchsdaten!$E$2:$E$1117,$E120,Versuchsdaten!$J$2:$J$1117,1)=1,SUMIFS(Versuchsdaten!$F$2:$F$1117,Versuchsdaten!$A$2:$A$1117,$A120,Versuchsdaten!$B$2:$B$1117,$B120,Versuchsdaten!$C$2:$C$1117,"Sprint_30m",Versuchsdaten!$E$2:$E$1117,$E120,Versuchsdaten!$J$2:$J$1117,1),""))</f>
        <v/>
      </c>
      <c r="N120" s="22">
        <f>IF(LEFT(C120,7)&lt;&gt;"Sprint_",0,IF(IF(ISNUMBER(K120),IF(K120&lt;=0,1,IF(5/K120&gt;10,1,0)),0)+IF(ISNUMBER(L120),IF(ISNUMBER(K120),IF(L120-K120&lt;=0,1,IF(5/(L120-K120)&gt;10,1,0)),IF(L120&lt;=0,1,IF(10/L120&gt;10,1,0))),0)+IF(ISNUMBER(M120),IF(ISNUMBER(L120),IF(M120-L120&lt;=0,1,IF(20/(M120-L120)&gt;10,1,0)),IF(ISNUMBER(K120),IF(M120-K120&lt;=0,1,IF(25/(M120-K120)&gt;10,1,0)),IF(M120&lt;=0,1,IF(30/M120&gt;10,1,0)))),0)&gt;0,1,0))</f>
        <v/>
      </c>
      <c r="O120" s="22">
        <f>IF(AND(J120=1,N120=0),1,0)</f>
        <v/>
      </c>
      <c r="P120" s="22">
        <f>INDEX(Personendaten!$J$2:$J$32,MATCH(A120,Personendaten!$A$2:$A$32,0))</f>
        <v/>
      </c>
      <c r="Q120" s="22">
        <f>IF(O120=1,"",IF(AND(B120="post",P120="nicht angetreten"),"NANG",IF(N120=1,"AUSL",IFERROR(VLOOKUP(H120,Vokabular!$A$2:$B$8,2,FALSE),"UNBEKANNT"))))</f>
        <v/>
      </c>
    </row>
    <row r="121">
      <c r="A121" s="5" t="inlineStr">
        <is>
          <t>BW-08</t>
        </is>
      </c>
      <c r="B121" s="5" t="inlineStr">
        <is>
          <t>prä</t>
        </is>
      </c>
      <c r="C121" s="5" t="inlineStr">
        <is>
          <t>Standweitsprung</t>
        </is>
      </c>
      <c r="D121" s="5" t="inlineStr">
        <is>
          <t>–</t>
        </is>
      </c>
      <c r="E121" s="5" t="n">
        <v>3</v>
      </c>
      <c r="F121" s="5" t="n"/>
      <c r="G121" s="5" t="n"/>
      <c r="H121" s="5" t="inlineStr">
        <is>
          <t>Nur 2 Versuche aus Zeitmangel</t>
        </is>
      </c>
      <c r="I121" s="22">
        <f>INDEX(Personendaten!$C$2:$C$32,MATCH(A121,Personendaten!$A$2:$A$32,0))</f>
        <v/>
      </c>
      <c r="J121" s="22">
        <f>IF(AND(F121&lt;&gt;"",G121=""),1,0)</f>
        <v/>
      </c>
      <c r="K121" s="22">
        <f>IF(LEFT(C121,7)&lt;&gt;"Sprint_","",IF(COUNTIFS(Versuchsdaten!$A$2:$A$1117,$A121,Versuchsdaten!$B$2:$B$1117,$B121,Versuchsdaten!$C$2:$C$1117,"Sprint_5m",Versuchsdaten!$E$2:$E$1117,$E121,Versuchsdaten!$J$2:$J$1117,1)=1,SUMIFS(Versuchsdaten!$F$2:$F$1117,Versuchsdaten!$A$2:$A$1117,$A121,Versuchsdaten!$B$2:$B$1117,$B121,Versuchsdaten!$C$2:$C$1117,"Sprint_5m",Versuchsdaten!$E$2:$E$1117,$E121,Versuchsdaten!$J$2:$J$1117,1),""))</f>
        <v/>
      </c>
      <c r="L121" s="22">
        <f>IF(LEFT(C121,7)&lt;&gt;"Sprint_","",IF(COUNTIFS(Versuchsdaten!$A$2:$A$1117,$A121,Versuchsdaten!$B$2:$B$1117,$B121,Versuchsdaten!$C$2:$C$1117,"Sprint_10m",Versuchsdaten!$E$2:$E$1117,$E121,Versuchsdaten!$J$2:$J$1117,1)=1,SUMIFS(Versuchsdaten!$F$2:$F$1117,Versuchsdaten!$A$2:$A$1117,$A121,Versuchsdaten!$B$2:$B$1117,$B121,Versuchsdaten!$C$2:$C$1117,"Sprint_10m",Versuchsdaten!$E$2:$E$1117,$E121,Versuchsdaten!$J$2:$J$1117,1),""))</f>
        <v/>
      </c>
      <c r="M121" s="22">
        <f>IF(LEFT(C121,7)&lt;&gt;"Sprint_","",IF(COUNTIFS(Versuchsdaten!$A$2:$A$1117,$A121,Versuchsdaten!$B$2:$B$1117,$B121,Versuchsdaten!$C$2:$C$1117,"Sprint_30m",Versuchsdaten!$E$2:$E$1117,$E121,Versuchsdaten!$J$2:$J$1117,1)=1,SUMIFS(Versuchsdaten!$F$2:$F$1117,Versuchsdaten!$A$2:$A$1117,$A121,Versuchsdaten!$B$2:$B$1117,$B121,Versuchsdaten!$C$2:$C$1117,"Sprint_30m",Versuchsdaten!$E$2:$E$1117,$E121,Versuchsdaten!$J$2:$J$1117,1),""))</f>
        <v/>
      </c>
      <c r="N121" s="22">
        <f>IF(LEFT(C121,7)&lt;&gt;"Sprint_",0,IF(IF(ISNUMBER(K121),IF(K121&lt;=0,1,IF(5/K121&gt;10,1,0)),0)+IF(ISNUMBER(L121),IF(ISNUMBER(K121),IF(L121-K121&lt;=0,1,IF(5/(L121-K121)&gt;10,1,0)),IF(L121&lt;=0,1,IF(10/L121&gt;10,1,0))),0)+IF(ISNUMBER(M121),IF(ISNUMBER(L121),IF(M121-L121&lt;=0,1,IF(20/(M121-L121)&gt;10,1,0)),IF(ISNUMBER(K121),IF(M121-K121&lt;=0,1,IF(25/(M121-K121)&gt;10,1,0)),IF(M121&lt;=0,1,IF(30/M121&gt;10,1,0)))),0)&gt;0,1,0))</f>
        <v/>
      </c>
      <c r="O121" s="22">
        <f>IF(AND(J121=1,N121=0),1,0)</f>
        <v/>
      </c>
      <c r="P121" s="22">
        <f>INDEX(Personendaten!$J$2:$J$32,MATCH(A121,Personendaten!$A$2:$A$32,0))</f>
        <v/>
      </c>
      <c r="Q121" s="22">
        <f>IF(O121=1,"",IF(AND(B121="post",P121="nicht angetreten"),"NANG",IF(N121=1,"AUSL",IFERROR(VLOOKUP(H121,Vokabular!$A$2:$B$8,2,FALSE),"UNBEKANNT"))))</f>
        <v/>
      </c>
    </row>
    <row r="122">
      <c r="A122" s="5" t="inlineStr">
        <is>
          <t>BW-08</t>
        </is>
      </c>
      <c r="B122" s="5" t="inlineStr">
        <is>
          <t>prä</t>
        </is>
      </c>
      <c r="C122" s="5" t="inlineStr">
        <is>
          <t>COD_505</t>
        </is>
      </c>
      <c r="D122" s="5" t="inlineStr">
        <is>
          <t>L</t>
        </is>
      </c>
      <c r="E122" s="5" t="n">
        <v>1</v>
      </c>
      <c r="F122" s="5" t="n">
        <v>2.42</v>
      </c>
      <c r="G122" s="5" t="n"/>
      <c r="H122" s="5" t="n"/>
      <c r="I122" s="22">
        <f>INDEX(Personendaten!$C$2:$C$32,MATCH(A122,Personendaten!$A$2:$A$32,0))</f>
        <v/>
      </c>
      <c r="J122" s="22">
        <f>IF(AND(F122&lt;&gt;"",G122=""),1,0)</f>
        <v/>
      </c>
      <c r="K122" s="22">
        <f>IF(LEFT(C122,7)&lt;&gt;"Sprint_","",IF(COUNTIFS(Versuchsdaten!$A$2:$A$1117,$A122,Versuchsdaten!$B$2:$B$1117,$B122,Versuchsdaten!$C$2:$C$1117,"Sprint_5m",Versuchsdaten!$E$2:$E$1117,$E122,Versuchsdaten!$J$2:$J$1117,1)=1,SUMIFS(Versuchsdaten!$F$2:$F$1117,Versuchsdaten!$A$2:$A$1117,$A122,Versuchsdaten!$B$2:$B$1117,$B122,Versuchsdaten!$C$2:$C$1117,"Sprint_5m",Versuchsdaten!$E$2:$E$1117,$E122,Versuchsdaten!$J$2:$J$1117,1),""))</f>
        <v/>
      </c>
      <c r="L122" s="22">
        <f>IF(LEFT(C122,7)&lt;&gt;"Sprint_","",IF(COUNTIFS(Versuchsdaten!$A$2:$A$1117,$A122,Versuchsdaten!$B$2:$B$1117,$B122,Versuchsdaten!$C$2:$C$1117,"Sprint_10m",Versuchsdaten!$E$2:$E$1117,$E122,Versuchsdaten!$J$2:$J$1117,1)=1,SUMIFS(Versuchsdaten!$F$2:$F$1117,Versuchsdaten!$A$2:$A$1117,$A122,Versuchsdaten!$B$2:$B$1117,$B122,Versuchsdaten!$C$2:$C$1117,"Sprint_10m",Versuchsdaten!$E$2:$E$1117,$E122,Versuchsdaten!$J$2:$J$1117,1),""))</f>
        <v/>
      </c>
      <c r="M122" s="22">
        <f>IF(LEFT(C122,7)&lt;&gt;"Sprint_","",IF(COUNTIFS(Versuchsdaten!$A$2:$A$1117,$A122,Versuchsdaten!$B$2:$B$1117,$B122,Versuchsdaten!$C$2:$C$1117,"Sprint_30m",Versuchsdaten!$E$2:$E$1117,$E122,Versuchsdaten!$J$2:$J$1117,1)=1,SUMIFS(Versuchsdaten!$F$2:$F$1117,Versuchsdaten!$A$2:$A$1117,$A122,Versuchsdaten!$B$2:$B$1117,$B122,Versuchsdaten!$C$2:$C$1117,"Sprint_30m",Versuchsdaten!$E$2:$E$1117,$E122,Versuchsdaten!$J$2:$J$1117,1),""))</f>
        <v/>
      </c>
      <c r="N122" s="22">
        <f>IF(LEFT(C122,7)&lt;&gt;"Sprint_",0,IF(IF(ISNUMBER(K122),IF(K122&lt;=0,1,IF(5/K122&gt;10,1,0)),0)+IF(ISNUMBER(L122),IF(ISNUMBER(K122),IF(L122-K122&lt;=0,1,IF(5/(L122-K122)&gt;10,1,0)),IF(L122&lt;=0,1,IF(10/L122&gt;10,1,0))),0)+IF(ISNUMBER(M122),IF(ISNUMBER(L122),IF(M122-L122&lt;=0,1,IF(20/(M122-L122)&gt;10,1,0)),IF(ISNUMBER(K122),IF(M122-K122&lt;=0,1,IF(25/(M122-K122)&gt;10,1,0)),IF(M122&lt;=0,1,IF(30/M122&gt;10,1,0)))),0)&gt;0,1,0))</f>
        <v/>
      </c>
      <c r="O122" s="22">
        <f>IF(AND(J122=1,N122=0),1,0)</f>
        <v/>
      </c>
      <c r="P122" s="22">
        <f>INDEX(Personendaten!$J$2:$J$32,MATCH(A122,Personendaten!$A$2:$A$32,0))</f>
        <v/>
      </c>
      <c r="Q122" s="22">
        <f>IF(O122=1,"",IF(AND(B122="post",P122="nicht angetreten"),"NANG",IF(N122=1,"AUSL",IFERROR(VLOOKUP(H122,Vokabular!$A$2:$B$8,2,FALSE),"UNBEKANNT"))))</f>
        <v/>
      </c>
    </row>
    <row r="123">
      <c r="A123" s="5" t="inlineStr">
        <is>
          <t>BW-08</t>
        </is>
      </c>
      <c r="B123" s="5" t="inlineStr">
        <is>
          <t>prä</t>
        </is>
      </c>
      <c r="C123" s="5" t="inlineStr">
        <is>
          <t>COD_505</t>
        </is>
      </c>
      <c r="D123" s="5" t="inlineStr">
        <is>
          <t>L</t>
        </is>
      </c>
      <c r="E123" s="5" t="n">
        <v>2</v>
      </c>
      <c r="F123" s="5" t="n"/>
      <c r="G123" s="5" t="inlineStr">
        <is>
          <t>x</t>
        </is>
      </c>
      <c r="H123" s="5" t="inlineStr">
        <is>
          <t>Linie nicht getroffen</t>
        </is>
      </c>
      <c r="I123" s="22">
        <f>INDEX(Personendaten!$C$2:$C$32,MATCH(A123,Personendaten!$A$2:$A$32,0))</f>
        <v/>
      </c>
      <c r="J123" s="22">
        <f>IF(AND(F123&lt;&gt;"",G123=""),1,0)</f>
        <v/>
      </c>
      <c r="K123" s="22">
        <f>IF(LEFT(C123,7)&lt;&gt;"Sprint_","",IF(COUNTIFS(Versuchsdaten!$A$2:$A$1117,$A123,Versuchsdaten!$B$2:$B$1117,$B123,Versuchsdaten!$C$2:$C$1117,"Sprint_5m",Versuchsdaten!$E$2:$E$1117,$E123,Versuchsdaten!$J$2:$J$1117,1)=1,SUMIFS(Versuchsdaten!$F$2:$F$1117,Versuchsdaten!$A$2:$A$1117,$A123,Versuchsdaten!$B$2:$B$1117,$B123,Versuchsdaten!$C$2:$C$1117,"Sprint_5m",Versuchsdaten!$E$2:$E$1117,$E123,Versuchsdaten!$J$2:$J$1117,1),""))</f>
        <v/>
      </c>
      <c r="L123" s="22">
        <f>IF(LEFT(C123,7)&lt;&gt;"Sprint_","",IF(COUNTIFS(Versuchsdaten!$A$2:$A$1117,$A123,Versuchsdaten!$B$2:$B$1117,$B123,Versuchsdaten!$C$2:$C$1117,"Sprint_10m",Versuchsdaten!$E$2:$E$1117,$E123,Versuchsdaten!$J$2:$J$1117,1)=1,SUMIFS(Versuchsdaten!$F$2:$F$1117,Versuchsdaten!$A$2:$A$1117,$A123,Versuchsdaten!$B$2:$B$1117,$B123,Versuchsdaten!$C$2:$C$1117,"Sprint_10m",Versuchsdaten!$E$2:$E$1117,$E123,Versuchsdaten!$J$2:$J$1117,1),""))</f>
        <v/>
      </c>
      <c r="M123" s="22">
        <f>IF(LEFT(C123,7)&lt;&gt;"Sprint_","",IF(COUNTIFS(Versuchsdaten!$A$2:$A$1117,$A123,Versuchsdaten!$B$2:$B$1117,$B123,Versuchsdaten!$C$2:$C$1117,"Sprint_30m",Versuchsdaten!$E$2:$E$1117,$E123,Versuchsdaten!$J$2:$J$1117,1)=1,SUMIFS(Versuchsdaten!$F$2:$F$1117,Versuchsdaten!$A$2:$A$1117,$A123,Versuchsdaten!$B$2:$B$1117,$B123,Versuchsdaten!$C$2:$C$1117,"Sprint_30m",Versuchsdaten!$E$2:$E$1117,$E123,Versuchsdaten!$J$2:$J$1117,1),""))</f>
        <v/>
      </c>
      <c r="N123" s="22">
        <f>IF(LEFT(C123,7)&lt;&gt;"Sprint_",0,IF(IF(ISNUMBER(K123),IF(K123&lt;=0,1,IF(5/K123&gt;10,1,0)),0)+IF(ISNUMBER(L123),IF(ISNUMBER(K123),IF(L123-K123&lt;=0,1,IF(5/(L123-K123)&gt;10,1,0)),IF(L123&lt;=0,1,IF(10/L123&gt;10,1,0))),0)+IF(ISNUMBER(M123),IF(ISNUMBER(L123),IF(M123-L123&lt;=0,1,IF(20/(M123-L123)&gt;10,1,0)),IF(ISNUMBER(K123),IF(M123-K123&lt;=0,1,IF(25/(M123-K123)&gt;10,1,0)),IF(M123&lt;=0,1,IF(30/M123&gt;10,1,0)))),0)&gt;0,1,0))</f>
        <v/>
      </c>
      <c r="O123" s="22">
        <f>IF(AND(J123=1,N123=0),1,0)</f>
        <v/>
      </c>
      <c r="P123" s="22">
        <f>INDEX(Personendaten!$J$2:$J$32,MATCH(A123,Personendaten!$A$2:$A$32,0))</f>
        <v/>
      </c>
      <c r="Q123" s="22">
        <f>IF(O123=1,"",IF(AND(B123="post",P123="nicht angetreten"),"NANG",IF(N123=1,"AUSL",IFERROR(VLOOKUP(H123,Vokabular!$A$2:$B$8,2,FALSE),"UNBEKANNT"))))</f>
        <v/>
      </c>
    </row>
    <row r="124">
      <c r="A124" s="5" t="inlineStr">
        <is>
          <t>BW-08</t>
        </is>
      </c>
      <c r="B124" s="5" t="inlineStr">
        <is>
          <t>prä</t>
        </is>
      </c>
      <c r="C124" s="5" t="inlineStr">
        <is>
          <t>COD_505</t>
        </is>
      </c>
      <c r="D124" s="5" t="inlineStr">
        <is>
          <t>L</t>
        </is>
      </c>
      <c r="E124" s="5" t="n">
        <v>3</v>
      </c>
      <c r="F124" s="5" t="n"/>
      <c r="G124" s="5" t="n"/>
      <c r="H124" s="5" t="inlineStr">
        <is>
          <t>Nur 2 Versuche aus Zeitmangel</t>
        </is>
      </c>
      <c r="I124" s="22">
        <f>INDEX(Personendaten!$C$2:$C$32,MATCH(A124,Personendaten!$A$2:$A$32,0))</f>
        <v/>
      </c>
      <c r="J124" s="22">
        <f>IF(AND(F124&lt;&gt;"",G124=""),1,0)</f>
        <v/>
      </c>
      <c r="K124" s="22">
        <f>IF(LEFT(C124,7)&lt;&gt;"Sprint_","",IF(COUNTIFS(Versuchsdaten!$A$2:$A$1117,$A124,Versuchsdaten!$B$2:$B$1117,$B124,Versuchsdaten!$C$2:$C$1117,"Sprint_5m",Versuchsdaten!$E$2:$E$1117,$E124,Versuchsdaten!$J$2:$J$1117,1)=1,SUMIFS(Versuchsdaten!$F$2:$F$1117,Versuchsdaten!$A$2:$A$1117,$A124,Versuchsdaten!$B$2:$B$1117,$B124,Versuchsdaten!$C$2:$C$1117,"Sprint_5m",Versuchsdaten!$E$2:$E$1117,$E124,Versuchsdaten!$J$2:$J$1117,1),""))</f>
        <v/>
      </c>
      <c r="L124" s="22">
        <f>IF(LEFT(C124,7)&lt;&gt;"Sprint_","",IF(COUNTIFS(Versuchsdaten!$A$2:$A$1117,$A124,Versuchsdaten!$B$2:$B$1117,$B124,Versuchsdaten!$C$2:$C$1117,"Sprint_10m",Versuchsdaten!$E$2:$E$1117,$E124,Versuchsdaten!$J$2:$J$1117,1)=1,SUMIFS(Versuchsdaten!$F$2:$F$1117,Versuchsdaten!$A$2:$A$1117,$A124,Versuchsdaten!$B$2:$B$1117,$B124,Versuchsdaten!$C$2:$C$1117,"Sprint_10m",Versuchsdaten!$E$2:$E$1117,$E124,Versuchsdaten!$J$2:$J$1117,1),""))</f>
        <v/>
      </c>
      <c r="M124" s="22">
        <f>IF(LEFT(C124,7)&lt;&gt;"Sprint_","",IF(COUNTIFS(Versuchsdaten!$A$2:$A$1117,$A124,Versuchsdaten!$B$2:$B$1117,$B124,Versuchsdaten!$C$2:$C$1117,"Sprint_30m",Versuchsdaten!$E$2:$E$1117,$E124,Versuchsdaten!$J$2:$J$1117,1)=1,SUMIFS(Versuchsdaten!$F$2:$F$1117,Versuchsdaten!$A$2:$A$1117,$A124,Versuchsdaten!$B$2:$B$1117,$B124,Versuchsdaten!$C$2:$C$1117,"Sprint_30m",Versuchsdaten!$E$2:$E$1117,$E124,Versuchsdaten!$J$2:$J$1117,1),""))</f>
        <v/>
      </c>
      <c r="N124" s="22">
        <f>IF(LEFT(C124,7)&lt;&gt;"Sprint_",0,IF(IF(ISNUMBER(K124),IF(K124&lt;=0,1,IF(5/K124&gt;10,1,0)),0)+IF(ISNUMBER(L124),IF(ISNUMBER(K124),IF(L124-K124&lt;=0,1,IF(5/(L124-K124)&gt;10,1,0)),IF(L124&lt;=0,1,IF(10/L124&gt;10,1,0))),0)+IF(ISNUMBER(M124),IF(ISNUMBER(L124),IF(M124-L124&lt;=0,1,IF(20/(M124-L124)&gt;10,1,0)),IF(ISNUMBER(K124),IF(M124-K124&lt;=0,1,IF(25/(M124-K124)&gt;10,1,0)),IF(M124&lt;=0,1,IF(30/M124&gt;10,1,0)))),0)&gt;0,1,0))</f>
        <v/>
      </c>
      <c r="O124" s="22">
        <f>IF(AND(J124=1,N124=0),1,0)</f>
        <v/>
      </c>
      <c r="P124" s="22">
        <f>INDEX(Personendaten!$J$2:$J$32,MATCH(A124,Personendaten!$A$2:$A$32,0))</f>
        <v/>
      </c>
      <c r="Q124" s="22">
        <f>IF(O124=1,"",IF(AND(B124="post",P124="nicht angetreten"),"NANG",IF(N124=1,"AUSL",IFERROR(VLOOKUP(H124,Vokabular!$A$2:$B$8,2,FALSE),"UNBEKANNT"))))</f>
        <v/>
      </c>
    </row>
    <row r="125">
      <c r="A125" s="5" t="inlineStr">
        <is>
          <t>BW-08</t>
        </is>
      </c>
      <c r="B125" s="5" t="inlineStr">
        <is>
          <t>prä</t>
        </is>
      </c>
      <c r="C125" s="5" t="inlineStr">
        <is>
          <t>COD_505</t>
        </is>
      </c>
      <c r="D125" s="5" t="inlineStr">
        <is>
          <t>R</t>
        </is>
      </c>
      <c r="E125" s="5" t="n">
        <v>1</v>
      </c>
      <c r="F125" s="5" t="n"/>
      <c r="G125" s="5" t="inlineStr">
        <is>
          <t>x</t>
        </is>
      </c>
      <c r="H125" s="5" t="inlineStr">
        <is>
          <t>Linie nicht getroffen</t>
        </is>
      </c>
      <c r="I125" s="22">
        <f>INDEX(Personendaten!$C$2:$C$32,MATCH(A125,Personendaten!$A$2:$A$32,0))</f>
        <v/>
      </c>
      <c r="J125" s="22">
        <f>IF(AND(F125&lt;&gt;"",G125=""),1,0)</f>
        <v/>
      </c>
      <c r="K125" s="22">
        <f>IF(LEFT(C125,7)&lt;&gt;"Sprint_","",IF(COUNTIFS(Versuchsdaten!$A$2:$A$1117,$A125,Versuchsdaten!$B$2:$B$1117,$B125,Versuchsdaten!$C$2:$C$1117,"Sprint_5m",Versuchsdaten!$E$2:$E$1117,$E125,Versuchsdaten!$J$2:$J$1117,1)=1,SUMIFS(Versuchsdaten!$F$2:$F$1117,Versuchsdaten!$A$2:$A$1117,$A125,Versuchsdaten!$B$2:$B$1117,$B125,Versuchsdaten!$C$2:$C$1117,"Sprint_5m",Versuchsdaten!$E$2:$E$1117,$E125,Versuchsdaten!$J$2:$J$1117,1),""))</f>
        <v/>
      </c>
      <c r="L125" s="22">
        <f>IF(LEFT(C125,7)&lt;&gt;"Sprint_","",IF(COUNTIFS(Versuchsdaten!$A$2:$A$1117,$A125,Versuchsdaten!$B$2:$B$1117,$B125,Versuchsdaten!$C$2:$C$1117,"Sprint_10m",Versuchsdaten!$E$2:$E$1117,$E125,Versuchsdaten!$J$2:$J$1117,1)=1,SUMIFS(Versuchsdaten!$F$2:$F$1117,Versuchsdaten!$A$2:$A$1117,$A125,Versuchsdaten!$B$2:$B$1117,$B125,Versuchsdaten!$C$2:$C$1117,"Sprint_10m",Versuchsdaten!$E$2:$E$1117,$E125,Versuchsdaten!$J$2:$J$1117,1),""))</f>
        <v/>
      </c>
      <c r="M125" s="22">
        <f>IF(LEFT(C125,7)&lt;&gt;"Sprint_","",IF(COUNTIFS(Versuchsdaten!$A$2:$A$1117,$A125,Versuchsdaten!$B$2:$B$1117,$B125,Versuchsdaten!$C$2:$C$1117,"Sprint_30m",Versuchsdaten!$E$2:$E$1117,$E125,Versuchsdaten!$J$2:$J$1117,1)=1,SUMIFS(Versuchsdaten!$F$2:$F$1117,Versuchsdaten!$A$2:$A$1117,$A125,Versuchsdaten!$B$2:$B$1117,$B125,Versuchsdaten!$C$2:$C$1117,"Sprint_30m",Versuchsdaten!$E$2:$E$1117,$E125,Versuchsdaten!$J$2:$J$1117,1),""))</f>
        <v/>
      </c>
      <c r="N125" s="22">
        <f>IF(LEFT(C125,7)&lt;&gt;"Sprint_",0,IF(IF(ISNUMBER(K125),IF(K125&lt;=0,1,IF(5/K125&gt;10,1,0)),0)+IF(ISNUMBER(L125),IF(ISNUMBER(K125),IF(L125-K125&lt;=0,1,IF(5/(L125-K125)&gt;10,1,0)),IF(L125&lt;=0,1,IF(10/L125&gt;10,1,0))),0)+IF(ISNUMBER(M125),IF(ISNUMBER(L125),IF(M125-L125&lt;=0,1,IF(20/(M125-L125)&gt;10,1,0)),IF(ISNUMBER(K125),IF(M125-K125&lt;=0,1,IF(25/(M125-K125)&gt;10,1,0)),IF(M125&lt;=0,1,IF(30/M125&gt;10,1,0)))),0)&gt;0,1,0))</f>
        <v/>
      </c>
      <c r="O125" s="22">
        <f>IF(AND(J125=1,N125=0),1,0)</f>
        <v/>
      </c>
      <c r="P125" s="22">
        <f>INDEX(Personendaten!$J$2:$J$32,MATCH(A125,Personendaten!$A$2:$A$32,0))</f>
        <v/>
      </c>
      <c r="Q125" s="22">
        <f>IF(O125=1,"",IF(AND(B125="post",P125="nicht angetreten"),"NANG",IF(N125=1,"AUSL",IFERROR(VLOOKUP(H125,Vokabular!$A$2:$B$8,2,FALSE),"UNBEKANNT"))))</f>
        <v/>
      </c>
    </row>
    <row r="126">
      <c r="A126" s="5" t="inlineStr">
        <is>
          <t>BW-08</t>
        </is>
      </c>
      <c r="B126" s="5" t="inlineStr">
        <is>
          <t>prä</t>
        </is>
      </c>
      <c r="C126" s="5" t="inlineStr">
        <is>
          <t>COD_505</t>
        </is>
      </c>
      <c r="D126" s="5" t="inlineStr">
        <is>
          <t>R</t>
        </is>
      </c>
      <c r="E126" s="5" t="n">
        <v>2</v>
      </c>
      <c r="F126" s="5" t="n">
        <v>2.41</v>
      </c>
      <c r="G126" s="5" t="n"/>
      <c r="H126" s="5" t="n"/>
      <c r="I126" s="22">
        <f>INDEX(Personendaten!$C$2:$C$32,MATCH(A126,Personendaten!$A$2:$A$32,0))</f>
        <v/>
      </c>
      <c r="J126" s="22">
        <f>IF(AND(F126&lt;&gt;"",G126=""),1,0)</f>
        <v/>
      </c>
      <c r="K126" s="22">
        <f>IF(LEFT(C126,7)&lt;&gt;"Sprint_","",IF(COUNTIFS(Versuchsdaten!$A$2:$A$1117,$A126,Versuchsdaten!$B$2:$B$1117,$B126,Versuchsdaten!$C$2:$C$1117,"Sprint_5m",Versuchsdaten!$E$2:$E$1117,$E126,Versuchsdaten!$J$2:$J$1117,1)=1,SUMIFS(Versuchsdaten!$F$2:$F$1117,Versuchsdaten!$A$2:$A$1117,$A126,Versuchsdaten!$B$2:$B$1117,$B126,Versuchsdaten!$C$2:$C$1117,"Sprint_5m",Versuchsdaten!$E$2:$E$1117,$E126,Versuchsdaten!$J$2:$J$1117,1),""))</f>
        <v/>
      </c>
      <c r="L126" s="22">
        <f>IF(LEFT(C126,7)&lt;&gt;"Sprint_","",IF(COUNTIFS(Versuchsdaten!$A$2:$A$1117,$A126,Versuchsdaten!$B$2:$B$1117,$B126,Versuchsdaten!$C$2:$C$1117,"Sprint_10m",Versuchsdaten!$E$2:$E$1117,$E126,Versuchsdaten!$J$2:$J$1117,1)=1,SUMIFS(Versuchsdaten!$F$2:$F$1117,Versuchsdaten!$A$2:$A$1117,$A126,Versuchsdaten!$B$2:$B$1117,$B126,Versuchsdaten!$C$2:$C$1117,"Sprint_10m",Versuchsdaten!$E$2:$E$1117,$E126,Versuchsdaten!$J$2:$J$1117,1),""))</f>
        <v/>
      </c>
      <c r="M126" s="22">
        <f>IF(LEFT(C126,7)&lt;&gt;"Sprint_","",IF(COUNTIFS(Versuchsdaten!$A$2:$A$1117,$A126,Versuchsdaten!$B$2:$B$1117,$B126,Versuchsdaten!$C$2:$C$1117,"Sprint_30m",Versuchsdaten!$E$2:$E$1117,$E126,Versuchsdaten!$J$2:$J$1117,1)=1,SUMIFS(Versuchsdaten!$F$2:$F$1117,Versuchsdaten!$A$2:$A$1117,$A126,Versuchsdaten!$B$2:$B$1117,$B126,Versuchsdaten!$C$2:$C$1117,"Sprint_30m",Versuchsdaten!$E$2:$E$1117,$E126,Versuchsdaten!$J$2:$J$1117,1),""))</f>
        <v/>
      </c>
      <c r="N126" s="22">
        <f>IF(LEFT(C126,7)&lt;&gt;"Sprint_",0,IF(IF(ISNUMBER(K126),IF(K126&lt;=0,1,IF(5/K126&gt;10,1,0)),0)+IF(ISNUMBER(L126),IF(ISNUMBER(K126),IF(L126-K126&lt;=0,1,IF(5/(L126-K126)&gt;10,1,0)),IF(L126&lt;=0,1,IF(10/L126&gt;10,1,0))),0)+IF(ISNUMBER(M126),IF(ISNUMBER(L126),IF(M126-L126&lt;=0,1,IF(20/(M126-L126)&gt;10,1,0)),IF(ISNUMBER(K126),IF(M126-K126&lt;=0,1,IF(25/(M126-K126)&gt;10,1,0)),IF(M126&lt;=0,1,IF(30/M126&gt;10,1,0)))),0)&gt;0,1,0))</f>
        <v/>
      </c>
      <c r="O126" s="22">
        <f>IF(AND(J126=1,N126=0),1,0)</f>
        <v/>
      </c>
      <c r="P126" s="22">
        <f>INDEX(Personendaten!$J$2:$J$32,MATCH(A126,Personendaten!$A$2:$A$32,0))</f>
        <v/>
      </c>
      <c r="Q126" s="22">
        <f>IF(O126=1,"",IF(AND(B126="post",P126="nicht angetreten"),"NANG",IF(N126=1,"AUSL",IFERROR(VLOOKUP(H126,Vokabular!$A$2:$B$8,2,FALSE),"UNBEKANNT"))))</f>
        <v/>
      </c>
    </row>
    <row r="127">
      <c r="A127" s="5" t="inlineStr">
        <is>
          <t>BW-08</t>
        </is>
      </c>
      <c r="B127" s="5" t="inlineStr">
        <is>
          <t>prä</t>
        </is>
      </c>
      <c r="C127" s="5" t="inlineStr">
        <is>
          <t>COD_505</t>
        </is>
      </c>
      <c r="D127" s="5" t="inlineStr">
        <is>
          <t>R</t>
        </is>
      </c>
      <c r="E127" s="5" t="n">
        <v>3</v>
      </c>
      <c r="F127" s="5" t="n"/>
      <c r="G127" s="5" t="n"/>
      <c r="H127" s="5" t="inlineStr">
        <is>
          <t>Nur 2 Versuche aus Zeitmangel</t>
        </is>
      </c>
      <c r="I127" s="22">
        <f>INDEX(Personendaten!$C$2:$C$32,MATCH(A127,Personendaten!$A$2:$A$32,0))</f>
        <v/>
      </c>
      <c r="J127" s="22">
        <f>IF(AND(F127&lt;&gt;"",G127=""),1,0)</f>
        <v/>
      </c>
      <c r="K127" s="22">
        <f>IF(LEFT(C127,7)&lt;&gt;"Sprint_","",IF(COUNTIFS(Versuchsdaten!$A$2:$A$1117,$A127,Versuchsdaten!$B$2:$B$1117,$B127,Versuchsdaten!$C$2:$C$1117,"Sprint_5m",Versuchsdaten!$E$2:$E$1117,$E127,Versuchsdaten!$J$2:$J$1117,1)=1,SUMIFS(Versuchsdaten!$F$2:$F$1117,Versuchsdaten!$A$2:$A$1117,$A127,Versuchsdaten!$B$2:$B$1117,$B127,Versuchsdaten!$C$2:$C$1117,"Sprint_5m",Versuchsdaten!$E$2:$E$1117,$E127,Versuchsdaten!$J$2:$J$1117,1),""))</f>
        <v/>
      </c>
      <c r="L127" s="22">
        <f>IF(LEFT(C127,7)&lt;&gt;"Sprint_","",IF(COUNTIFS(Versuchsdaten!$A$2:$A$1117,$A127,Versuchsdaten!$B$2:$B$1117,$B127,Versuchsdaten!$C$2:$C$1117,"Sprint_10m",Versuchsdaten!$E$2:$E$1117,$E127,Versuchsdaten!$J$2:$J$1117,1)=1,SUMIFS(Versuchsdaten!$F$2:$F$1117,Versuchsdaten!$A$2:$A$1117,$A127,Versuchsdaten!$B$2:$B$1117,$B127,Versuchsdaten!$C$2:$C$1117,"Sprint_10m",Versuchsdaten!$E$2:$E$1117,$E127,Versuchsdaten!$J$2:$J$1117,1),""))</f>
        <v/>
      </c>
      <c r="M127" s="22">
        <f>IF(LEFT(C127,7)&lt;&gt;"Sprint_","",IF(COUNTIFS(Versuchsdaten!$A$2:$A$1117,$A127,Versuchsdaten!$B$2:$B$1117,$B127,Versuchsdaten!$C$2:$C$1117,"Sprint_30m",Versuchsdaten!$E$2:$E$1117,$E127,Versuchsdaten!$J$2:$J$1117,1)=1,SUMIFS(Versuchsdaten!$F$2:$F$1117,Versuchsdaten!$A$2:$A$1117,$A127,Versuchsdaten!$B$2:$B$1117,$B127,Versuchsdaten!$C$2:$C$1117,"Sprint_30m",Versuchsdaten!$E$2:$E$1117,$E127,Versuchsdaten!$J$2:$J$1117,1),""))</f>
        <v/>
      </c>
      <c r="N127" s="22">
        <f>IF(LEFT(C127,7)&lt;&gt;"Sprint_",0,IF(IF(ISNUMBER(K127),IF(K127&lt;=0,1,IF(5/K127&gt;10,1,0)),0)+IF(ISNUMBER(L127),IF(ISNUMBER(K127),IF(L127-K127&lt;=0,1,IF(5/(L127-K127)&gt;10,1,0)),IF(L127&lt;=0,1,IF(10/L127&gt;10,1,0))),0)+IF(ISNUMBER(M127),IF(ISNUMBER(L127),IF(M127-L127&lt;=0,1,IF(20/(M127-L127)&gt;10,1,0)),IF(ISNUMBER(K127),IF(M127-K127&lt;=0,1,IF(25/(M127-K127)&gt;10,1,0)),IF(M127&lt;=0,1,IF(30/M127&gt;10,1,0)))),0)&gt;0,1,0))</f>
        <v/>
      </c>
      <c r="O127" s="22">
        <f>IF(AND(J127=1,N127=0),1,0)</f>
        <v/>
      </c>
      <c r="P127" s="22">
        <f>INDEX(Personendaten!$J$2:$J$32,MATCH(A127,Personendaten!$A$2:$A$32,0))</f>
        <v/>
      </c>
      <c r="Q127" s="22">
        <f>IF(O127=1,"",IF(AND(B127="post",P127="nicht angetreten"),"NANG",IF(N127=1,"AUSL",IFERROR(VLOOKUP(H127,Vokabular!$A$2:$B$8,2,FALSE),"UNBEKANNT"))))</f>
        <v/>
      </c>
    </row>
    <row r="128">
      <c r="A128" s="5" t="inlineStr">
        <is>
          <t>BW-09</t>
        </is>
      </c>
      <c r="B128" s="5" t="inlineStr">
        <is>
          <t>prä</t>
        </is>
      </c>
      <c r="C128" s="5" t="inlineStr">
        <is>
          <t>Sprint_5m</t>
        </is>
      </c>
      <c r="D128" s="5" t="inlineStr">
        <is>
          <t>–</t>
        </is>
      </c>
      <c r="E128" s="5" t="n">
        <v>1</v>
      </c>
      <c r="F128" s="5" t="n">
        <v>1.15</v>
      </c>
      <c r="G128" s="5" t="n"/>
      <c r="H128" s="5" t="n"/>
      <c r="I128" s="22">
        <f>INDEX(Personendaten!$C$2:$C$32,MATCH(A128,Personendaten!$A$2:$A$32,0))</f>
        <v/>
      </c>
      <c r="J128" s="22">
        <f>IF(AND(F128&lt;&gt;"",G128=""),1,0)</f>
        <v/>
      </c>
      <c r="K128" s="22">
        <f>IF(LEFT(C128,7)&lt;&gt;"Sprint_","",IF(COUNTIFS(Versuchsdaten!$A$2:$A$1117,$A128,Versuchsdaten!$B$2:$B$1117,$B128,Versuchsdaten!$C$2:$C$1117,"Sprint_5m",Versuchsdaten!$E$2:$E$1117,$E128,Versuchsdaten!$J$2:$J$1117,1)=1,SUMIFS(Versuchsdaten!$F$2:$F$1117,Versuchsdaten!$A$2:$A$1117,$A128,Versuchsdaten!$B$2:$B$1117,$B128,Versuchsdaten!$C$2:$C$1117,"Sprint_5m",Versuchsdaten!$E$2:$E$1117,$E128,Versuchsdaten!$J$2:$J$1117,1),""))</f>
        <v/>
      </c>
      <c r="L128" s="22">
        <f>IF(LEFT(C128,7)&lt;&gt;"Sprint_","",IF(COUNTIFS(Versuchsdaten!$A$2:$A$1117,$A128,Versuchsdaten!$B$2:$B$1117,$B128,Versuchsdaten!$C$2:$C$1117,"Sprint_10m",Versuchsdaten!$E$2:$E$1117,$E128,Versuchsdaten!$J$2:$J$1117,1)=1,SUMIFS(Versuchsdaten!$F$2:$F$1117,Versuchsdaten!$A$2:$A$1117,$A128,Versuchsdaten!$B$2:$B$1117,$B128,Versuchsdaten!$C$2:$C$1117,"Sprint_10m",Versuchsdaten!$E$2:$E$1117,$E128,Versuchsdaten!$J$2:$J$1117,1),""))</f>
        <v/>
      </c>
      <c r="M128" s="22">
        <f>IF(LEFT(C128,7)&lt;&gt;"Sprint_","",IF(COUNTIFS(Versuchsdaten!$A$2:$A$1117,$A128,Versuchsdaten!$B$2:$B$1117,$B128,Versuchsdaten!$C$2:$C$1117,"Sprint_30m",Versuchsdaten!$E$2:$E$1117,$E128,Versuchsdaten!$J$2:$J$1117,1)=1,SUMIFS(Versuchsdaten!$F$2:$F$1117,Versuchsdaten!$A$2:$A$1117,$A128,Versuchsdaten!$B$2:$B$1117,$B128,Versuchsdaten!$C$2:$C$1117,"Sprint_30m",Versuchsdaten!$E$2:$E$1117,$E128,Versuchsdaten!$J$2:$J$1117,1),""))</f>
        <v/>
      </c>
      <c r="N128" s="22">
        <f>IF(LEFT(C128,7)&lt;&gt;"Sprint_",0,IF(IF(ISNUMBER(K128),IF(K128&lt;=0,1,IF(5/K128&gt;10,1,0)),0)+IF(ISNUMBER(L128),IF(ISNUMBER(K128),IF(L128-K128&lt;=0,1,IF(5/(L128-K128)&gt;10,1,0)),IF(L128&lt;=0,1,IF(10/L128&gt;10,1,0))),0)+IF(ISNUMBER(M128),IF(ISNUMBER(L128),IF(M128-L128&lt;=0,1,IF(20/(M128-L128)&gt;10,1,0)),IF(ISNUMBER(K128),IF(M128-K128&lt;=0,1,IF(25/(M128-K128)&gt;10,1,0)),IF(M128&lt;=0,1,IF(30/M128&gt;10,1,0)))),0)&gt;0,1,0))</f>
        <v/>
      </c>
      <c r="O128" s="22">
        <f>IF(AND(J128=1,N128=0),1,0)</f>
        <v/>
      </c>
      <c r="P128" s="22">
        <f>INDEX(Personendaten!$J$2:$J$32,MATCH(A128,Personendaten!$A$2:$A$32,0))</f>
        <v/>
      </c>
      <c r="Q128" s="22">
        <f>IF(O128=1,"",IF(AND(B128="post",P128="nicht angetreten"),"NANG",IF(N128=1,"AUSL",IFERROR(VLOOKUP(H128,Vokabular!$A$2:$B$8,2,FALSE),"UNBEKANNT"))))</f>
        <v/>
      </c>
    </row>
    <row r="129">
      <c r="A129" s="5" t="inlineStr">
        <is>
          <t>BW-09</t>
        </is>
      </c>
      <c r="B129" s="5" t="inlineStr">
        <is>
          <t>prä</t>
        </is>
      </c>
      <c r="C129" s="5" t="inlineStr">
        <is>
          <t>Sprint_5m</t>
        </is>
      </c>
      <c r="D129" s="5" t="inlineStr">
        <is>
          <t>–</t>
        </is>
      </c>
      <c r="E129" s="5" t="n">
        <v>2</v>
      </c>
      <c r="F129" s="5" t="n">
        <v>1.12</v>
      </c>
      <c r="G129" s="5" t="n"/>
      <c r="H129" s="5" t="n"/>
      <c r="I129" s="22">
        <f>INDEX(Personendaten!$C$2:$C$32,MATCH(A129,Personendaten!$A$2:$A$32,0))</f>
        <v/>
      </c>
      <c r="J129" s="22">
        <f>IF(AND(F129&lt;&gt;"",G129=""),1,0)</f>
        <v/>
      </c>
      <c r="K129" s="22">
        <f>IF(LEFT(C129,7)&lt;&gt;"Sprint_","",IF(COUNTIFS(Versuchsdaten!$A$2:$A$1117,$A129,Versuchsdaten!$B$2:$B$1117,$B129,Versuchsdaten!$C$2:$C$1117,"Sprint_5m",Versuchsdaten!$E$2:$E$1117,$E129,Versuchsdaten!$J$2:$J$1117,1)=1,SUMIFS(Versuchsdaten!$F$2:$F$1117,Versuchsdaten!$A$2:$A$1117,$A129,Versuchsdaten!$B$2:$B$1117,$B129,Versuchsdaten!$C$2:$C$1117,"Sprint_5m",Versuchsdaten!$E$2:$E$1117,$E129,Versuchsdaten!$J$2:$J$1117,1),""))</f>
        <v/>
      </c>
      <c r="L129" s="22">
        <f>IF(LEFT(C129,7)&lt;&gt;"Sprint_","",IF(COUNTIFS(Versuchsdaten!$A$2:$A$1117,$A129,Versuchsdaten!$B$2:$B$1117,$B129,Versuchsdaten!$C$2:$C$1117,"Sprint_10m",Versuchsdaten!$E$2:$E$1117,$E129,Versuchsdaten!$J$2:$J$1117,1)=1,SUMIFS(Versuchsdaten!$F$2:$F$1117,Versuchsdaten!$A$2:$A$1117,$A129,Versuchsdaten!$B$2:$B$1117,$B129,Versuchsdaten!$C$2:$C$1117,"Sprint_10m",Versuchsdaten!$E$2:$E$1117,$E129,Versuchsdaten!$J$2:$J$1117,1),""))</f>
        <v/>
      </c>
      <c r="M129" s="22">
        <f>IF(LEFT(C129,7)&lt;&gt;"Sprint_","",IF(COUNTIFS(Versuchsdaten!$A$2:$A$1117,$A129,Versuchsdaten!$B$2:$B$1117,$B129,Versuchsdaten!$C$2:$C$1117,"Sprint_30m",Versuchsdaten!$E$2:$E$1117,$E129,Versuchsdaten!$J$2:$J$1117,1)=1,SUMIFS(Versuchsdaten!$F$2:$F$1117,Versuchsdaten!$A$2:$A$1117,$A129,Versuchsdaten!$B$2:$B$1117,$B129,Versuchsdaten!$C$2:$C$1117,"Sprint_30m",Versuchsdaten!$E$2:$E$1117,$E129,Versuchsdaten!$J$2:$J$1117,1),""))</f>
        <v/>
      </c>
      <c r="N129" s="22">
        <f>IF(LEFT(C129,7)&lt;&gt;"Sprint_",0,IF(IF(ISNUMBER(K129),IF(K129&lt;=0,1,IF(5/K129&gt;10,1,0)),0)+IF(ISNUMBER(L129),IF(ISNUMBER(K129),IF(L129-K129&lt;=0,1,IF(5/(L129-K129)&gt;10,1,0)),IF(L129&lt;=0,1,IF(10/L129&gt;10,1,0))),0)+IF(ISNUMBER(M129),IF(ISNUMBER(L129),IF(M129-L129&lt;=0,1,IF(20/(M129-L129)&gt;10,1,0)),IF(ISNUMBER(K129),IF(M129-K129&lt;=0,1,IF(25/(M129-K129)&gt;10,1,0)),IF(M129&lt;=0,1,IF(30/M129&gt;10,1,0)))),0)&gt;0,1,0))</f>
        <v/>
      </c>
      <c r="O129" s="22">
        <f>IF(AND(J129=1,N129=0),1,0)</f>
        <v/>
      </c>
      <c r="P129" s="22">
        <f>INDEX(Personendaten!$J$2:$J$32,MATCH(A129,Personendaten!$A$2:$A$32,0))</f>
        <v/>
      </c>
      <c r="Q129" s="22">
        <f>IF(O129=1,"",IF(AND(B129="post",P129="nicht angetreten"),"NANG",IF(N129=1,"AUSL",IFERROR(VLOOKUP(H129,Vokabular!$A$2:$B$8,2,FALSE),"UNBEKANNT"))))</f>
        <v/>
      </c>
    </row>
    <row r="130">
      <c r="A130" s="5" t="inlineStr">
        <is>
          <t>BW-09</t>
        </is>
      </c>
      <c r="B130" s="5" t="inlineStr">
        <is>
          <t>prä</t>
        </is>
      </c>
      <c r="C130" s="5" t="inlineStr">
        <is>
          <t>Sprint_5m</t>
        </is>
      </c>
      <c r="D130" s="5" t="inlineStr">
        <is>
          <t>–</t>
        </is>
      </c>
      <c r="E130" s="5" t="n">
        <v>3</v>
      </c>
      <c r="F130" s="5" t="n"/>
      <c r="G130" s="5" t="n"/>
      <c r="H130" s="5" t="inlineStr">
        <is>
          <t>Nur 2 Versuche aus Zeitmangel</t>
        </is>
      </c>
      <c r="I130" s="22">
        <f>INDEX(Personendaten!$C$2:$C$32,MATCH(A130,Personendaten!$A$2:$A$32,0))</f>
        <v/>
      </c>
      <c r="J130" s="22">
        <f>IF(AND(F130&lt;&gt;"",G130=""),1,0)</f>
        <v/>
      </c>
      <c r="K130" s="22">
        <f>IF(LEFT(C130,7)&lt;&gt;"Sprint_","",IF(COUNTIFS(Versuchsdaten!$A$2:$A$1117,$A130,Versuchsdaten!$B$2:$B$1117,$B130,Versuchsdaten!$C$2:$C$1117,"Sprint_5m",Versuchsdaten!$E$2:$E$1117,$E130,Versuchsdaten!$J$2:$J$1117,1)=1,SUMIFS(Versuchsdaten!$F$2:$F$1117,Versuchsdaten!$A$2:$A$1117,$A130,Versuchsdaten!$B$2:$B$1117,$B130,Versuchsdaten!$C$2:$C$1117,"Sprint_5m",Versuchsdaten!$E$2:$E$1117,$E130,Versuchsdaten!$J$2:$J$1117,1),""))</f>
        <v/>
      </c>
      <c r="L130" s="22">
        <f>IF(LEFT(C130,7)&lt;&gt;"Sprint_","",IF(COUNTIFS(Versuchsdaten!$A$2:$A$1117,$A130,Versuchsdaten!$B$2:$B$1117,$B130,Versuchsdaten!$C$2:$C$1117,"Sprint_10m",Versuchsdaten!$E$2:$E$1117,$E130,Versuchsdaten!$J$2:$J$1117,1)=1,SUMIFS(Versuchsdaten!$F$2:$F$1117,Versuchsdaten!$A$2:$A$1117,$A130,Versuchsdaten!$B$2:$B$1117,$B130,Versuchsdaten!$C$2:$C$1117,"Sprint_10m",Versuchsdaten!$E$2:$E$1117,$E130,Versuchsdaten!$J$2:$J$1117,1),""))</f>
        <v/>
      </c>
      <c r="M130" s="22">
        <f>IF(LEFT(C130,7)&lt;&gt;"Sprint_","",IF(COUNTIFS(Versuchsdaten!$A$2:$A$1117,$A130,Versuchsdaten!$B$2:$B$1117,$B130,Versuchsdaten!$C$2:$C$1117,"Sprint_30m",Versuchsdaten!$E$2:$E$1117,$E130,Versuchsdaten!$J$2:$J$1117,1)=1,SUMIFS(Versuchsdaten!$F$2:$F$1117,Versuchsdaten!$A$2:$A$1117,$A130,Versuchsdaten!$B$2:$B$1117,$B130,Versuchsdaten!$C$2:$C$1117,"Sprint_30m",Versuchsdaten!$E$2:$E$1117,$E130,Versuchsdaten!$J$2:$J$1117,1),""))</f>
        <v/>
      </c>
      <c r="N130" s="22">
        <f>IF(LEFT(C130,7)&lt;&gt;"Sprint_",0,IF(IF(ISNUMBER(K130),IF(K130&lt;=0,1,IF(5/K130&gt;10,1,0)),0)+IF(ISNUMBER(L130),IF(ISNUMBER(K130),IF(L130-K130&lt;=0,1,IF(5/(L130-K130)&gt;10,1,0)),IF(L130&lt;=0,1,IF(10/L130&gt;10,1,0))),0)+IF(ISNUMBER(M130),IF(ISNUMBER(L130),IF(M130-L130&lt;=0,1,IF(20/(M130-L130)&gt;10,1,0)),IF(ISNUMBER(K130),IF(M130-K130&lt;=0,1,IF(25/(M130-K130)&gt;10,1,0)),IF(M130&lt;=0,1,IF(30/M130&gt;10,1,0)))),0)&gt;0,1,0))</f>
        <v/>
      </c>
      <c r="O130" s="22">
        <f>IF(AND(J130=1,N130=0),1,0)</f>
        <v/>
      </c>
      <c r="P130" s="22">
        <f>INDEX(Personendaten!$J$2:$J$32,MATCH(A130,Personendaten!$A$2:$A$32,0))</f>
        <v/>
      </c>
      <c r="Q130" s="22">
        <f>IF(O130=1,"",IF(AND(B130="post",P130="nicht angetreten"),"NANG",IF(N130=1,"AUSL",IFERROR(VLOOKUP(H130,Vokabular!$A$2:$B$8,2,FALSE),"UNBEKANNT"))))</f>
        <v/>
      </c>
    </row>
    <row r="131">
      <c r="A131" s="5" t="inlineStr">
        <is>
          <t>BW-09</t>
        </is>
      </c>
      <c r="B131" s="5" t="inlineStr">
        <is>
          <t>prä</t>
        </is>
      </c>
      <c r="C131" s="5" t="inlineStr">
        <is>
          <t>Sprint_10m</t>
        </is>
      </c>
      <c r="D131" s="5" t="inlineStr">
        <is>
          <t>–</t>
        </is>
      </c>
      <c r="E131" s="5" t="n">
        <v>1</v>
      </c>
      <c r="F131" s="5" t="n">
        <v>1.95</v>
      </c>
      <c r="G131" s="5" t="n"/>
      <c r="H131" s="5" t="n"/>
      <c r="I131" s="22">
        <f>INDEX(Personendaten!$C$2:$C$32,MATCH(A131,Personendaten!$A$2:$A$32,0))</f>
        <v/>
      </c>
      <c r="J131" s="22">
        <f>IF(AND(F131&lt;&gt;"",G131=""),1,0)</f>
        <v/>
      </c>
      <c r="K131" s="22">
        <f>IF(LEFT(C131,7)&lt;&gt;"Sprint_","",IF(COUNTIFS(Versuchsdaten!$A$2:$A$1117,$A131,Versuchsdaten!$B$2:$B$1117,$B131,Versuchsdaten!$C$2:$C$1117,"Sprint_5m",Versuchsdaten!$E$2:$E$1117,$E131,Versuchsdaten!$J$2:$J$1117,1)=1,SUMIFS(Versuchsdaten!$F$2:$F$1117,Versuchsdaten!$A$2:$A$1117,$A131,Versuchsdaten!$B$2:$B$1117,$B131,Versuchsdaten!$C$2:$C$1117,"Sprint_5m",Versuchsdaten!$E$2:$E$1117,$E131,Versuchsdaten!$J$2:$J$1117,1),""))</f>
        <v/>
      </c>
      <c r="L131" s="22">
        <f>IF(LEFT(C131,7)&lt;&gt;"Sprint_","",IF(COUNTIFS(Versuchsdaten!$A$2:$A$1117,$A131,Versuchsdaten!$B$2:$B$1117,$B131,Versuchsdaten!$C$2:$C$1117,"Sprint_10m",Versuchsdaten!$E$2:$E$1117,$E131,Versuchsdaten!$J$2:$J$1117,1)=1,SUMIFS(Versuchsdaten!$F$2:$F$1117,Versuchsdaten!$A$2:$A$1117,$A131,Versuchsdaten!$B$2:$B$1117,$B131,Versuchsdaten!$C$2:$C$1117,"Sprint_10m",Versuchsdaten!$E$2:$E$1117,$E131,Versuchsdaten!$J$2:$J$1117,1),""))</f>
        <v/>
      </c>
      <c r="M131" s="22">
        <f>IF(LEFT(C131,7)&lt;&gt;"Sprint_","",IF(COUNTIFS(Versuchsdaten!$A$2:$A$1117,$A131,Versuchsdaten!$B$2:$B$1117,$B131,Versuchsdaten!$C$2:$C$1117,"Sprint_30m",Versuchsdaten!$E$2:$E$1117,$E131,Versuchsdaten!$J$2:$J$1117,1)=1,SUMIFS(Versuchsdaten!$F$2:$F$1117,Versuchsdaten!$A$2:$A$1117,$A131,Versuchsdaten!$B$2:$B$1117,$B131,Versuchsdaten!$C$2:$C$1117,"Sprint_30m",Versuchsdaten!$E$2:$E$1117,$E131,Versuchsdaten!$J$2:$J$1117,1),""))</f>
        <v/>
      </c>
      <c r="N131" s="22">
        <f>IF(LEFT(C131,7)&lt;&gt;"Sprint_",0,IF(IF(ISNUMBER(K131),IF(K131&lt;=0,1,IF(5/K131&gt;10,1,0)),0)+IF(ISNUMBER(L131),IF(ISNUMBER(K131),IF(L131-K131&lt;=0,1,IF(5/(L131-K131)&gt;10,1,0)),IF(L131&lt;=0,1,IF(10/L131&gt;10,1,0))),0)+IF(ISNUMBER(M131),IF(ISNUMBER(L131),IF(M131-L131&lt;=0,1,IF(20/(M131-L131)&gt;10,1,0)),IF(ISNUMBER(K131),IF(M131-K131&lt;=0,1,IF(25/(M131-K131)&gt;10,1,0)),IF(M131&lt;=0,1,IF(30/M131&gt;10,1,0)))),0)&gt;0,1,0))</f>
        <v/>
      </c>
      <c r="O131" s="22">
        <f>IF(AND(J131=1,N131=0),1,0)</f>
        <v/>
      </c>
      <c r="P131" s="22">
        <f>INDEX(Personendaten!$J$2:$J$32,MATCH(A131,Personendaten!$A$2:$A$32,0))</f>
        <v/>
      </c>
      <c r="Q131" s="22">
        <f>IF(O131=1,"",IF(AND(B131="post",P131="nicht angetreten"),"NANG",IF(N131=1,"AUSL",IFERROR(VLOOKUP(H131,Vokabular!$A$2:$B$8,2,FALSE),"UNBEKANNT"))))</f>
        <v/>
      </c>
    </row>
    <row r="132">
      <c r="A132" s="5" t="inlineStr">
        <is>
          <t>BW-09</t>
        </is>
      </c>
      <c r="B132" s="5" t="inlineStr">
        <is>
          <t>prä</t>
        </is>
      </c>
      <c r="C132" s="5" t="inlineStr">
        <is>
          <t>Sprint_10m</t>
        </is>
      </c>
      <c r="D132" s="5" t="inlineStr">
        <is>
          <t>–</t>
        </is>
      </c>
      <c r="E132" s="5" t="n">
        <v>2</v>
      </c>
      <c r="F132" s="5" t="n">
        <v>1.93</v>
      </c>
      <c r="G132" s="5" t="n"/>
      <c r="H132" s="5" t="n"/>
      <c r="I132" s="22">
        <f>INDEX(Personendaten!$C$2:$C$32,MATCH(A132,Personendaten!$A$2:$A$32,0))</f>
        <v/>
      </c>
      <c r="J132" s="22">
        <f>IF(AND(F132&lt;&gt;"",G132=""),1,0)</f>
        <v/>
      </c>
      <c r="K132" s="22">
        <f>IF(LEFT(C132,7)&lt;&gt;"Sprint_","",IF(COUNTIFS(Versuchsdaten!$A$2:$A$1117,$A132,Versuchsdaten!$B$2:$B$1117,$B132,Versuchsdaten!$C$2:$C$1117,"Sprint_5m",Versuchsdaten!$E$2:$E$1117,$E132,Versuchsdaten!$J$2:$J$1117,1)=1,SUMIFS(Versuchsdaten!$F$2:$F$1117,Versuchsdaten!$A$2:$A$1117,$A132,Versuchsdaten!$B$2:$B$1117,$B132,Versuchsdaten!$C$2:$C$1117,"Sprint_5m",Versuchsdaten!$E$2:$E$1117,$E132,Versuchsdaten!$J$2:$J$1117,1),""))</f>
        <v/>
      </c>
      <c r="L132" s="22">
        <f>IF(LEFT(C132,7)&lt;&gt;"Sprint_","",IF(COUNTIFS(Versuchsdaten!$A$2:$A$1117,$A132,Versuchsdaten!$B$2:$B$1117,$B132,Versuchsdaten!$C$2:$C$1117,"Sprint_10m",Versuchsdaten!$E$2:$E$1117,$E132,Versuchsdaten!$J$2:$J$1117,1)=1,SUMIFS(Versuchsdaten!$F$2:$F$1117,Versuchsdaten!$A$2:$A$1117,$A132,Versuchsdaten!$B$2:$B$1117,$B132,Versuchsdaten!$C$2:$C$1117,"Sprint_10m",Versuchsdaten!$E$2:$E$1117,$E132,Versuchsdaten!$J$2:$J$1117,1),""))</f>
        <v/>
      </c>
      <c r="M132" s="22">
        <f>IF(LEFT(C132,7)&lt;&gt;"Sprint_","",IF(COUNTIFS(Versuchsdaten!$A$2:$A$1117,$A132,Versuchsdaten!$B$2:$B$1117,$B132,Versuchsdaten!$C$2:$C$1117,"Sprint_30m",Versuchsdaten!$E$2:$E$1117,$E132,Versuchsdaten!$J$2:$J$1117,1)=1,SUMIFS(Versuchsdaten!$F$2:$F$1117,Versuchsdaten!$A$2:$A$1117,$A132,Versuchsdaten!$B$2:$B$1117,$B132,Versuchsdaten!$C$2:$C$1117,"Sprint_30m",Versuchsdaten!$E$2:$E$1117,$E132,Versuchsdaten!$J$2:$J$1117,1),""))</f>
        <v/>
      </c>
      <c r="N132" s="22">
        <f>IF(LEFT(C132,7)&lt;&gt;"Sprint_",0,IF(IF(ISNUMBER(K132),IF(K132&lt;=0,1,IF(5/K132&gt;10,1,0)),0)+IF(ISNUMBER(L132),IF(ISNUMBER(K132),IF(L132-K132&lt;=0,1,IF(5/(L132-K132)&gt;10,1,0)),IF(L132&lt;=0,1,IF(10/L132&gt;10,1,0))),0)+IF(ISNUMBER(M132),IF(ISNUMBER(L132),IF(M132-L132&lt;=0,1,IF(20/(M132-L132)&gt;10,1,0)),IF(ISNUMBER(K132),IF(M132-K132&lt;=0,1,IF(25/(M132-K132)&gt;10,1,0)),IF(M132&lt;=0,1,IF(30/M132&gt;10,1,0)))),0)&gt;0,1,0))</f>
        <v/>
      </c>
      <c r="O132" s="22">
        <f>IF(AND(J132=1,N132=0),1,0)</f>
        <v/>
      </c>
      <c r="P132" s="22">
        <f>INDEX(Personendaten!$J$2:$J$32,MATCH(A132,Personendaten!$A$2:$A$32,0))</f>
        <v/>
      </c>
      <c r="Q132" s="22">
        <f>IF(O132=1,"",IF(AND(B132="post",P132="nicht angetreten"),"NANG",IF(N132=1,"AUSL",IFERROR(VLOOKUP(H132,Vokabular!$A$2:$B$8,2,FALSE),"UNBEKANNT"))))</f>
        <v/>
      </c>
    </row>
    <row r="133">
      <c r="A133" s="5" t="inlineStr">
        <is>
          <t>BW-09</t>
        </is>
      </c>
      <c r="B133" s="5" t="inlineStr">
        <is>
          <t>prä</t>
        </is>
      </c>
      <c r="C133" s="5" t="inlineStr">
        <is>
          <t>Sprint_10m</t>
        </is>
      </c>
      <c r="D133" s="5" t="inlineStr">
        <is>
          <t>–</t>
        </is>
      </c>
      <c r="E133" s="5" t="n">
        <v>3</v>
      </c>
      <c r="F133" s="5" t="n"/>
      <c r="G133" s="5" t="n"/>
      <c r="H133" s="5" t="inlineStr">
        <is>
          <t>Nur 2 Versuche aus Zeitmangel</t>
        </is>
      </c>
      <c r="I133" s="22">
        <f>INDEX(Personendaten!$C$2:$C$32,MATCH(A133,Personendaten!$A$2:$A$32,0))</f>
        <v/>
      </c>
      <c r="J133" s="22">
        <f>IF(AND(F133&lt;&gt;"",G133=""),1,0)</f>
        <v/>
      </c>
      <c r="K133" s="22">
        <f>IF(LEFT(C133,7)&lt;&gt;"Sprint_","",IF(COUNTIFS(Versuchsdaten!$A$2:$A$1117,$A133,Versuchsdaten!$B$2:$B$1117,$B133,Versuchsdaten!$C$2:$C$1117,"Sprint_5m",Versuchsdaten!$E$2:$E$1117,$E133,Versuchsdaten!$J$2:$J$1117,1)=1,SUMIFS(Versuchsdaten!$F$2:$F$1117,Versuchsdaten!$A$2:$A$1117,$A133,Versuchsdaten!$B$2:$B$1117,$B133,Versuchsdaten!$C$2:$C$1117,"Sprint_5m",Versuchsdaten!$E$2:$E$1117,$E133,Versuchsdaten!$J$2:$J$1117,1),""))</f>
        <v/>
      </c>
      <c r="L133" s="22">
        <f>IF(LEFT(C133,7)&lt;&gt;"Sprint_","",IF(COUNTIFS(Versuchsdaten!$A$2:$A$1117,$A133,Versuchsdaten!$B$2:$B$1117,$B133,Versuchsdaten!$C$2:$C$1117,"Sprint_10m",Versuchsdaten!$E$2:$E$1117,$E133,Versuchsdaten!$J$2:$J$1117,1)=1,SUMIFS(Versuchsdaten!$F$2:$F$1117,Versuchsdaten!$A$2:$A$1117,$A133,Versuchsdaten!$B$2:$B$1117,$B133,Versuchsdaten!$C$2:$C$1117,"Sprint_10m",Versuchsdaten!$E$2:$E$1117,$E133,Versuchsdaten!$J$2:$J$1117,1),""))</f>
        <v/>
      </c>
      <c r="M133" s="22">
        <f>IF(LEFT(C133,7)&lt;&gt;"Sprint_","",IF(COUNTIFS(Versuchsdaten!$A$2:$A$1117,$A133,Versuchsdaten!$B$2:$B$1117,$B133,Versuchsdaten!$C$2:$C$1117,"Sprint_30m",Versuchsdaten!$E$2:$E$1117,$E133,Versuchsdaten!$J$2:$J$1117,1)=1,SUMIFS(Versuchsdaten!$F$2:$F$1117,Versuchsdaten!$A$2:$A$1117,$A133,Versuchsdaten!$B$2:$B$1117,$B133,Versuchsdaten!$C$2:$C$1117,"Sprint_30m",Versuchsdaten!$E$2:$E$1117,$E133,Versuchsdaten!$J$2:$J$1117,1),""))</f>
        <v/>
      </c>
      <c r="N133" s="22">
        <f>IF(LEFT(C133,7)&lt;&gt;"Sprint_",0,IF(IF(ISNUMBER(K133),IF(K133&lt;=0,1,IF(5/K133&gt;10,1,0)),0)+IF(ISNUMBER(L133),IF(ISNUMBER(K133),IF(L133-K133&lt;=0,1,IF(5/(L133-K133)&gt;10,1,0)),IF(L133&lt;=0,1,IF(10/L133&gt;10,1,0))),0)+IF(ISNUMBER(M133),IF(ISNUMBER(L133),IF(M133-L133&lt;=0,1,IF(20/(M133-L133)&gt;10,1,0)),IF(ISNUMBER(K133),IF(M133-K133&lt;=0,1,IF(25/(M133-K133)&gt;10,1,0)),IF(M133&lt;=0,1,IF(30/M133&gt;10,1,0)))),0)&gt;0,1,0))</f>
        <v/>
      </c>
      <c r="O133" s="22">
        <f>IF(AND(J133=1,N133=0),1,0)</f>
        <v/>
      </c>
      <c r="P133" s="22">
        <f>INDEX(Personendaten!$J$2:$J$32,MATCH(A133,Personendaten!$A$2:$A$32,0))</f>
        <v/>
      </c>
      <c r="Q133" s="22">
        <f>IF(O133=1,"",IF(AND(B133="post",P133="nicht angetreten"),"NANG",IF(N133=1,"AUSL",IFERROR(VLOOKUP(H133,Vokabular!$A$2:$B$8,2,FALSE),"UNBEKANNT"))))</f>
        <v/>
      </c>
    </row>
    <row r="134">
      <c r="A134" s="5" t="inlineStr">
        <is>
          <t>BW-09</t>
        </is>
      </c>
      <c r="B134" s="5" t="inlineStr">
        <is>
          <t>prä</t>
        </is>
      </c>
      <c r="C134" s="5" t="inlineStr">
        <is>
          <t>Sprint_30m</t>
        </is>
      </c>
      <c r="D134" s="5" t="inlineStr">
        <is>
          <t>–</t>
        </is>
      </c>
      <c r="E134" s="5" t="n">
        <v>1</v>
      </c>
      <c r="F134" s="5" t="n">
        <v>4.82</v>
      </c>
      <c r="G134" s="5" t="n"/>
      <c r="H134" s="5" t="n"/>
      <c r="I134" s="22">
        <f>INDEX(Personendaten!$C$2:$C$32,MATCH(A134,Personendaten!$A$2:$A$32,0))</f>
        <v/>
      </c>
      <c r="J134" s="22">
        <f>IF(AND(F134&lt;&gt;"",G134=""),1,0)</f>
        <v/>
      </c>
      <c r="K134" s="22">
        <f>IF(LEFT(C134,7)&lt;&gt;"Sprint_","",IF(COUNTIFS(Versuchsdaten!$A$2:$A$1117,$A134,Versuchsdaten!$B$2:$B$1117,$B134,Versuchsdaten!$C$2:$C$1117,"Sprint_5m",Versuchsdaten!$E$2:$E$1117,$E134,Versuchsdaten!$J$2:$J$1117,1)=1,SUMIFS(Versuchsdaten!$F$2:$F$1117,Versuchsdaten!$A$2:$A$1117,$A134,Versuchsdaten!$B$2:$B$1117,$B134,Versuchsdaten!$C$2:$C$1117,"Sprint_5m",Versuchsdaten!$E$2:$E$1117,$E134,Versuchsdaten!$J$2:$J$1117,1),""))</f>
        <v/>
      </c>
      <c r="L134" s="22">
        <f>IF(LEFT(C134,7)&lt;&gt;"Sprint_","",IF(COUNTIFS(Versuchsdaten!$A$2:$A$1117,$A134,Versuchsdaten!$B$2:$B$1117,$B134,Versuchsdaten!$C$2:$C$1117,"Sprint_10m",Versuchsdaten!$E$2:$E$1117,$E134,Versuchsdaten!$J$2:$J$1117,1)=1,SUMIFS(Versuchsdaten!$F$2:$F$1117,Versuchsdaten!$A$2:$A$1117,$A134,Versuchsdaten!$B$2:$B$1117,$B134,Versuchsdaten!$C$2:$C$1117,"Sprint_10m",Versuchsdaten!$E$2:$E$1117,$E134,Versuchsdaten!$J$2:$J$1117,1),""))</f>
        <v/>
      </c>
      <c r="M134" s="22">
        <f>IF(LEFT(C134,7)&lt;&gt;"Sprint_","",IF(COUNTIFS(Versuchsdaten!$A$2:$A$1117,$A134,Versuchsdaten!$B$2:$B$1117,$B134,Versuchsdaten!$C$2:$C$1117,"Sprint_30m",Versuchsdaten!$E$2:$E$1117,$E134,Versuchsdaten!$J$2:$J$1117,1)=1,SUMIFS(Versuchsdaten!$F$2:$F$1117,Versuchsdaten!$A$2:$A$1117,$A134,Versuchsdaten!$B$2:$B$1117,$B134,Versuchsdaten!$C$2:$C$1117,"Sprint_30m",Versuchsdaten!$E$2:$E$1117,$E134,Versuchsdaten!$J$2:$J$1117,1),""))</f>
        <v/>
      </c>
      <c r="N134" s="22">
        <f>IF(LEFT(C134,7)&lt;&gt;"Sprint_",0,IF(IF(ISNUMBER(K134),IF(K134&lt;=0,1,IF(5/K134&gt;10,1,0)),0)+IF(ISNUMBER(L134),IF(ISNUMBER(K134),IF(L134-K134&lt;=0,1,IF(5/(L134-K134)&gt;10,1,0)),IF(L134&lt;=0,1,IF(10/L134&gt;10,1,0))),0)+IF(ISNUMBER(M134),IF(ISNUMBER(L134),IF(M134-L134&lt;=0,1,IF(20/(M134-L134)&gt;10,1,0)),IF(ISNUMBER(K134),IF(M134-K134&lt;=0,1,IF(25/(M134-K134)&gt;10,1,0)),IF(M134&lt;=0,1,IF(30/M134&gt;10,1,0)))),0)&gt;0,1,0))</f>
        <v/>
      </c>
      <c r="O134" s="22">
        <f>IF(AND(J134=1,N134=0),1,0)</f>
        <v/>
      </c>
      <c r="P134" s="22">
        <f>INDEX(Personendaten!$J$2:$J$32,MATCH(A134,Personendaten!$A$2:$A$32,0))</f>
        <v/>
      </c>
      <c r="Q134" s="22">
        <f>IF(O134=1,"",IF(AND(B134="post",P134="nicht angetreten"),"NANG",IF(N134=1,"AUSL",IFERROR(VLOOKUP(H134,Vokabular!$A$2:$B$8,2,FALSE),"UNBEKANNT"))))</f>
        <v/>
      </c>
    </row>
    <row r="135">
      <c r="A135" s="5" t="inlineStr">
        <is>
          <t>BW-09</t>
        </is>
      </c>
      <c r="B135" s="5" t="inlineStr">
        <is>
          <t>prä</t>
        </is>
      </c>
      <c r="C135" s="5" t="inlineStr">
        <is>
          <t>Sprint_30m</t>
        </is>
      </c>
      <c r="D135" s="5" t="inlineStr">
        <is>
          <t>–</t>
        </is>
      </c>
      <c r="E135" s="5" t="n">
        <v>2</v>
      </c>
      <c r="F135" s="5" t="n">
        <v>4.82</v>
      </c>
      <c r="G135" s="5" t="n"/>
      <c r="H135" s="5" t="n"/>
      <c r="I135" s="22">
        <f>INDEX(Personendaten!$C$2:$C$32,MATCH(A135,Personendaten!$A$2:$A$32,0))</f>
        <v/>
      </c>
      <c r="J135" s="22">
        <f>IF(AND(F135&lt;&gt;"",G135=""),1,0)</f>
        <v/>
      </c>
      <c r="K135" s="22">
        <f>IF(LEFT(C135,7)&lt;&gt;"Sprint_","",IF(COUNTIFS(Versuchsdaten!$A$2:$A$1117,$A135,Versuchsdaten!$B$2:$B$1117,$B135,Versuchsdaten!$C$2:$C$1117,"Sprint_5m",Versuchsdaten!$E$2:$E$1117,$E135,Versuchsdaten!$J$2:$J$1117,1)=1,SUMIFS(Versuchsdaten!$F$2:$F$1117,Versuchsdaten!$A$2:$A$1117,$A135,Versuchsdaten!$B$2:$B$1117,$B135,Versuchsdaten!$C$2:$C$1117,"Sprint_5m",Versuchsdaten!$E$2:$E$1117,$E135,Versuchsdaten!$J$2:$J$1117,1),""))</f>
        <v/>
      </c>
      <c r="L135" s="22">
        <f>IF(LEFT(C135,7)&lt;&gt;"Sprint_","",IF(COUNTIFS(Versuchsdaten!$A$2:$A$1117,$A135,Versuchsdaten!$B$2:$B$1117,$B135,Versuchsdaten!$C$2:$C$1117,"Sprint_10m",Versuchsdaten!$E$2:$E$1117,$E135,Versuchsdaten!$J$2:$J$1117,1)=1,SUMIFS(Versuchsdaten!$F$2:$F$1117,Versuchsdaten!$A$2:$A$1117,$A135,Versuchsdaten!$B$2:$B$1117,$B135,Versuchsdaten!$C$2:$C$1117,"Sprint_10m",Versuchsdaten!$E$2:$E$1117,$E135,Versuchsdaten!$J$2:$J$1117,1),""))</f>
        <v/>
      </c>
      <c r="M135" s="22">
        <f>IF(LEFT(C135,7)&lt;&gt;"Sprint_","",IF(COUNTIFS(Versuchsdaten!$A$2:$A$1117,$A135,Versuchsdaten!$B$2:$B$1117,$B135,Versuchsdaten!$C$2:$C$1117,"Sprint_30m",Versuchsdaten!$E$2:$E$1117,$E135,Versuchsdaten!$J$2:$J$1117,1)=1,SUMIFS(Versuchsdaten!$F$2:$F$1117,Versuchsdaten!$A$2:$A$1117,$A135,Versuchsdaten!$B$2:$B$1117,$B135,Versuchsdaten!$C$2:$C$1117,"Sprint_30m",Versuchsdaten!$E$2:$E$1117,$E135,Versuchsdaten!$J$2:$J$1117,1),""))</f>
        <v/>
      </c>
      <c r="N135" s="22">
        <f>IF(LEFT(C135,7)&lt;&gt;"Sprint_",0,IF(IF(ISNUMBER(K135),IF(K135&lt;=0,1,IF(5/K135&gt;10,1,0)),0)+IF(ISNUMBER(L135),IF(ISNUMBER(K135),IF(L135-K135&lt;=0,1,IF(5/(L135-K135)&gt;10,1,0)),IF(L135&lt;=0,1,IF(10/L135&gt;10,1,0))),0)+IF(ISNUMBER(M135),IF(ISNUMBER(L135),IF(M135-L135&lt;=0,1,IF(20/(M135-L135)&gt;10,1,0)),IF(ISNUMBER(K135),IF(M135-K135&lt;=0,1,IF(25/(M135-K135)&gt;10,1,0)),IF(M135&lt;=0,1,IF(30/M135&gt;10,1,0)))),0)&gt;0,1,0))</f>
        <v/>
      </c>
      <c r="O135" s="22">
        <f>IF(AND(J135=1,N135=0),1,0)</f>
        <v/>
      </c>
      <c r="P135" s="22">
        <f>INDEX(Personendaten!$J$2:$J$32,MATCH(A135,Personendaten!$A$2:$A$32,0))</f>
        <v/>
      </c>
      <c r="Q135" s="22">
        <f>IF(O135=1,"",IF(AND(B135="post",P135="nicht angetreten"),"NANG",IF(N135=1,"AUSL",IFERROR(VLOOKUP(H135,Vokabular!$A$2:$B$8,2,FALSE),"UNBEKANNT"))))</f>
        <v/>
      </c>
    </row>
    <row r="136">
      <c r="A136" s="5" t="inlineStr">
        <is>
          <t>BW-09</t>
        </is>
      </c>
      <c r="B136" s="5" t="inlineStr">
        <is>
          <t>prä</t>
        </is>
      </c>
      <c r="C136" s="5" t="inlineStr">
        <is>
          <t>Sprint_30m</t>
        </is>
      </c>
      <c r="D136" s="5" t="inlineStr">
        <is>
          <t>–</t>
        </is>
      </c>
      <c r="E136" s="5" t="n">
        <v>3</v>
      </c>
      <c r="F136" s="5" t="n"/>
      <c r="G136" s="5" t="n"/>
      <c r="H136" s="5" t="inlineStr">
        <is>
          <t>Nur 2 Versuche aus Zeitmangel</t>
        </is>
      </c>
      <c r="I136" s="22">
        <f>INDEX(Personendaten!$C$2:$C$32,MATCH(A136,Personendaten!$A$2:$A$32,0))</f>
        <v/>
      </c>
      <c r="J136" s="22">
        <f>IF(AND(F136&lt;&gt;"",G136=""),1,0)</f>
        <v/>
      </c>
      <c r="K136" s="22">
        <f>IF(LEFT(C136,7)&lt;&gt;"Sprint_","",IF(COUNTIFS(Versuchsdaten!$A$2:$A$1117,$A136,Versuchsdaten!$B$2:$B$1117,$B136,Versuchsdaten!$C$2:$C$1117,"Sprint_5m",Versuchsdaten!$E$2:$E$1117,$E136,Versuchsdaten!$J$2:$J$1117,1)=1,SUMIFS(Versuchsdaten!$F$2:$F$1117,Versuchsdaten!$A$2:$A$1117,$A136,Versuchsdaten!$B$2:$B$1117,$B136,Versuchsdaten!$C$2:$C$1117,"Sprint_5m",Versuchsdaten!$E$2:$E$1117,$E136,Versuchsdaten!$J$2:$J$1117,1),""))</f>
        <v/>
      </c>
      <c r="L136" s="22">
        <f>IF(LEFT(C136,7)&lt;&gt;"Sprint_","",IF(COUNTIFS(Versuchsdaten!$A$2:$A$1117,$A136,Versuchsdaten!$B$2:$B$1117,$B136,Versuchsdaten!$C$2:$C$1117,"Sprint_10m",Versuchsdaten!$E$2:$E$1117,$E136,Versuchsdaten!$J$2:$J$1117,1)=1,SUMIFS(Versuchsdaten!$F$2:$F$1117,Versuchsdaten!$A$2:$A$1117,$A136,Versuchsdaten!$B$2:$B$1117,$B136,Versuchsdaten!$C$2:$C$1117,"Sprint_10m",Versuchsdaten!$E$2:$E$1117,$E136,Versuchsdaten!$J$2:$J$1117,1),""))</f>
        <v/>
      </c>
      <c r="M136" s="22">
        <f>IF(LEFT(C136,7)&lt;&gt;"Sprint_","",IF(COUNTIFS(Versuchsdaten!$A$2:$A$1117,$A136,Versuchsdaten!$B$2:$B$1117,$B136,Versuchsdaten!$C$2:$C$1117,"Sprint_30m",Versuchsdaten!$E$2:$E$1117,$E136,Versuchsdaten!$J$2:$J$1117,1)=1,SUMIFS(Versuchsdaten!$F$2:$F$1117,Versuchsdaten!$A$2:$A$1117,$A136,Versuchsdaten!$B$2:$B$1117,$B136,Versuchsdaten!$C$2:$C$1117,"Sprint_30m",Versuchsdaten!$E$2:$E$1117,$E136,Versuchsdaten!$J$2:$J$1117,1),""))</f>
        <v/>
      </c>
      <c r="N136" s="22">
        <f>IF(LEFT(C136,7)&lt;&gt;"Sprint_",0,IF(IF(ISNUMBER(K136),IF(K136&lt;=0,1,IF(5/K136&gt;10,1,0)),0)+IF(ISNUMBER(L136),IF(ISNUMBER(K136),IF(L136-K136&lt;=0,1,IF(5/(L136-K136)&gt;10,1,0)),IF(L136&lt;=0,1,IF(10/L136&gt;10,1,0))),0)+IF(ISNUMBER(M136),IF(ISNUMBER(L136),IF(M136-L136&lt;=0,1,IF(20/(M136-L136)&gt;10,1,0)),IF(ISNUMBER(K136),IF(M136-K136&lt;=0,1,IF(25/(M136-K136)&gt;10,1,0)),IF(M136&lt;=0,1,IF(30/M136&gt;10,1,0)))),0)&gt;0,1,0))</f>
        <v/>
      </c>
      <c r="O136" s="22">
        <f>IF(AND(J136=1,N136=0),1,0)</f>
        <v/>
      </c>
      <c r="P136" s="22">
        <f>INDEX(Personendaten!$J$2:$J$32,MATCH(A136,Personendaten!$A$2:$A$32,0))</f>
        <v/>
      </c>
      <c r="Q136" s="22">
        <f>IF(O136=1,"",IF(AND(B136="post",P136="nicht angetreten"),"NANG",IF(N136=1,"AUSL",IFERROR(VLOOKUP(H136,Vokabular!$A$2:$B$8,2,FALSE),"UNBEKANNT"))))</f>
        <v/>
      </c>
    </row>
    <row r="137">
      <c r="A137" s="5" t="inlineStr">
        <is>
          <t>BW-09</t>
        </is>
      </c>
      <c r="B137" s="5" t="inlineStr">
        <is>
          <t>prä</t>
        </is>
      </c>
      <c r="C137" s="5" t="inlineStr">
        <is>
          <t>Standweitsprung</t>
        </is>
      </c>
      <c r="D137" s="5" t="inlineStr">
        <is>
          <t>–</t>
        </is>
      </c>
      <c r="E137" s="5" t="n">
        <v>1</v>
      </c>
      <c r="F137" s="5" t="n">
        <v>237</v>
      </c>
      <c r="G137" s="5" t="n"/>
      <c r="H137" s="5" t="n"/>
      <c r="I137" s="22">
        <f>INDEX(Personendaten!$C$2:$C$32,MATCH(A137,Personendaten!$A$2:$A$32,0))</f>
        <v/>
      </c>
      <c r="J137" s="22">
        <f>IF(AND(F137&lt;&gt;"",G137=""),1,0)</f>
        <v/>
      </c>
      <c r="K137" s="22">
        <f>IF(LEFT(C137,7)&lt;&gt;"Sprint_","",IF(COUNTIFS(Versuchsdaten!$A$2:$A$1117,$A137,Versuchsdaten!$B$2:$B$1117,$B137,Versuchsdaten!$C$2:$C$1117,"Sprint_5m",Versuchsdaten!$E$2:$E$1117,$E137,Versuchsdaten!$J$2:$J$1117,1)=1,SUMIFS(Versuchsdaten!$F$2:$F$1117,Versuchsdaten!$A$2:$A$1117,$A137,Versuchsdaten!$B$2:$B$1117,$B137,Versuchsdaten!$C$2:$C$1117,"Sprint_5m",Versuchsdaten!$E$2:$E$1117,$E137,Versuchsdaten!$J$2:$J$1117,1),""))</f>
        <v/>
      </c>
      <c r="L137" s="22">
        <f>IF(LEFT(C137,7)&lt;&gt;"Sprint_","",IF(COUNTIFS(Versuchsdaten!$A$2:$A$1117,$A137,Versuchsdaten!$B$2:$B$1117,$B137,Versuchsdaten!$C$2:$C$1117,"Sprint_10m",Versuchsdaten!$E$2:$E$1117,$E137,Versuchsdaten!$J$2:$J$1117,1)=1,SUMIFS(Versuchsdaten!$F$2:$F$1117,Versuchsdaten!$A$2:$A$1117,$A137,Versuchsdaten!$B$2:$B$1117,$B137,Versuchsdaten!$C$2:$C$1117,"Sprint_10m",Versuchsdaten!$E$2:$E$1117,$E137,Versuchsdaten!$J$2:$J$1117,1),""))</f>
        <v/>
      </c>
      <c r="M137" s="22">
        <f>IF(LEFT(C137,7)&lt;&gt;"Sprint_","",IF(COUNTIFS(Versuchsdaten!$A$2:$A$1117,$A137,Versuchsdaten!$B$2:$B$1117,$B137,Versuchsdaten!$C$2:$C$1117,"Sprint_30m",Versuchsdaten!$E$2:$E$1117,$E137,Versuchsdaten!$J$2:$J$1117,1)=1,SUMIFS(Versuchsdaten!$F$2:$F$1117,Versuchsdaten!$A$2:$A$1117,$A137,Versuchsdaten!$B$2:$B$1117,$B137,Versuchsdaten!$C$2:$C$1117,"Sprint_30m",Versuchsdaten!$E$2:$E$1117,$E137,Versuchsdaten!$J$2:$J$1117,1),""))</f>
        <v/>
      </c>
      <c r="N137" s="22">
        <f>IF(LEFT(C137,7)&lt;&gt;"Sprint_",0,IF(IF(ISNUMBER(K137),IF(K137&lt;=0,1,IF(5/K137&gt;10,1,0)),0)+IF(ISNUMBER(L137),IF(ISNUMBER(K137),IF(L137-K137&lt;=0,1,IF(5/(L137-K137)&gt;10,1,0)),IF(L137&lt;=0,1,IF(10/L137&gt;10,1,0))),0)+IF(ISNUMBER(M137),IF(ISNUMBER(L137),IF(M137-L137&lt;=0,1,IF(20/(M137-L137)&gt;10,1,0)),IF(ISNUMBER(K137),IF(M137-K137&lt;=0,1,IF(25/(M137-K137)&gt;10,1,0)),IF(M137&lt;=0,1,IF(30/M137&gt;10,1,0)))),0)&gt;0,1,0))</f>
        <v/>
      </c>
      <c r="O137" s="22">
        <f>IF(AND(J137=1,N137=0),1,0)</f>
        <v/>
      </c>
      <c r="P137" s="22">
        <f>INDEX(Personendaten!$J$2:$J$32,MATCH(A137,Personendaten!$A$2:$A$32,0))</f>
        <v/>
      </c>
      <c r="Q137" s="22">
        <f>IF(O137=1,"",IF(AND(B137="post",P137="nicht angetreten"),"NANG",IF(N137=1,"AUSL",IFERROR(VLOOKUP(H137,Vokabular!$A$2:$B$8,2,FALSE),"UNBEKANNT"))))</f>
        <v/>
      </c>
    </row>
    <row r="138">
      <c r="A138" s="5" t="inlineStr">
        <is>
          <t>BW-09</t>
        </is>
      </c>
      <c r="B138" s="5" t="inlineStr">
        <is>
          <t>prä</t>
        </is>
      </c>
      <c r="C138" s="5" t="inlineStr">
        <is>
          <t>Standweitsprung</t>
        </is>
      </c>
      <c r="D138" s="5" t="inlineStr">
        <is>
          <t>–</t>
        </is>
      </c>
      <c r="E138" s="5" t="n">
        <v>2</v>
      </c>
      <c r="F138" s="5" t="n">
        <v>237</v>
      </c>
      <c r="G138" s="5" t="n"/>
      <c r="H138" s="5" t="n"/>
      <c r="I138" s="22">
        <f>INDEX(Personendaten!$C$2:$C$32,MATCH(A138,Personendaten!$A$2:$A$32,0))</f>
        <v/>
      </c>
      <c r="J138" s="22">
        <f>IF(AND(F138&lt;&gt;"",G138=""),1,0)</f>
        <v/>
      </c>
      <c r="K138" s="22">
        <f>IF(LEFT(C138,7)&lt;&gt;"Sprint_","",IF(COUNTIFS(Versuchsdaten!$A$2:$A$1117,$A138,Versuchsdaten!$B$2:$B$1117,$B138,Versuchsdaten!$C$2:$C$1117,"Sprint_5m",Versuchsdaten!$E$2:$E$1117,$E138,Versuchsdaten!$J$2:$J$1117,1)=1,SUMIFS(Versuchsdaten!$F$2:$F$1117,Versuchsdaten!$A$2:$A$1117,$A138,Versuchsdaten!$B$2:$B$1117,$B138,Versuchsdaten!$C$2:$C$1117,"Sprint_5m",Versuchsdaten!$E$2:$E$1117,$E138,Versuchsdaten!$J$2:$J$1117,1),""))</f>
        <v/>
      </c>
      <c r="L138" s="22">
        <f>IF(LEFT(C138,7)&lt;&gt;"Sprint_","",IF(COUNTIFS(Versuchsdaten!$A$2:$A$1117,$A138,Versuchsdaten!$B$2:$B$1117,$B138,Versuchsdaten!$C$2:$C$1117,"Sprint_10m",Versuchsdaten!$E$2:$E$1117,$E138,Versuchsdaten!$J$2:$J$1117,1)=1,SUMIFS(Versuchsdaten!$F$2:$F$1117,Versuchsdaten!$A$2:$A$1117,$A138,Versuchsdaten!$B$2:$B$1117,$B138,Versuchsdaten!$C$2:$C$1117,"Sprint_10m",Versuchsdaten!$E$2:$E$1117,$E138,Versuchsdaten!$J$2:$J$1117,1),""))</f>
        <v/>
      </c>
      <c r="M138" s="22">
        <f>IF(LEFT(C138,7)&lt;&gt;"Sprint_","",IF(COUNTIFS(Versuchsdaten!$A$2:$A$1117,$A138,Versuchsdaten!$B$2:$B$1117,$B138,Versuchsdaten!$C$2:$C$1117,"Sprint_30m",Versuchsdaten!$E$2:$E$1117,$E138,Versuchsdaten!$J$2:$J$1117,1)=1,SUMIFS(Versuchsdaten!$F$2:$F$1117,Versuchsdaten!$A$2:$A$1117,$A138,Versuchsdaten!$B$2:$B$1117,$B138,Versuchsdaten!$C$2:$C$1117,"Sprint_30m",Versuchsdaten!$E$2:$E$1117,$E138,Versuchsdaten!$J$2:$J$1117,1),""))</f>
        <v/>
      </c>
      <c r="N138" s="22">
        <f>IF(LEFT(C138,7)&lt;&gt;"Sprint_",0,IF(IF(ISNUMBER(K138),IF(K138&lt;=0,1,IF(5/K138&gt;10,1,0)),0)+IF(ISNUMBER(L138),IF(ISNUMBER(K138),IF(L138-K138&lt;=0,1,IF(5/(L138-K138)&gt;10,1,0)),IF(L138&lt;=0,1,IF(10/L138&gt;10,1,0))),0)+IF(ISNUMBER(M138),IF(ISNUMBER(L138),IF(M138-L138&lt;=0,1,IF(20/(M138-L138)&gt;10,1,0)),IF(ISNUMBER(K138),IF(M138-K138&lt;=0,1,IF(25/(M138-K138)&gt;10,1,0)),IF(M138&lt;=0,1,IF(30/M138&gt;10,1,0)))),0)&gt;0,1,0))</f>
        <v/>
      </c>
      <c r="O138" s="22">
        <f>IF(AND(J138=1,N138=0),1,0)</f>
        <v/>
      </c>
      <c r="P138" s="22">
        <f>INDEX(Personendaten!$J$2:$J$32,MATCH(A138,Personendaten!$A$2:$A$32,0))</f>
        <v/>
      </c>
      <c r="Q138" s="22">
        <f>IF(O138=1,"",IF(AND(B138="post",P138="nicht angetreten"),"NANG",IF(N138=1,"AUSL",IFERROR(VLOOKUP(H138,Vokabular!$A$2:$B$8,2,FALSE),"UNBEKANNT"))))</f>
        <v/>
      </c>
    </row>
    <row r="139">
      <c r="A139" s="5" t="inlineStr">
        <is>
          <t>BW-09</t>
        </is>
      </c>
      <c r="B139" s="5" t="inlineStr">
        <is>
          <t>prä</t>
        </is>
      </c>
      <c r="C139" s="5" t="inlineStr">
        <is>
          <t>Standweitsprung</t>
        </is>
      </c>
      <c r="D139" s="5" t="inlineStr">
        <is>
          <t>–</t>
        </is>
      </c>
      <c r="E139" s="5" t="n">
        <v>3</v>
      </c>
      <c r="F139" s="5" t="n"/>
      <c r="G139" s="5" t="n"/>
      <c r="H139" s="5" t="inlineStr">
        <is>
          <t>Nur 2 Versuche aus Zeitmangel</t>
        </is>
      </c>
      <c r="I139" s="22">
        <f>INDEX(Personendaten!$C$2:$C$32,MATCH(A139,Personendaten!$A$2:$A$32,0))</f>
        <v/>
      </c>
      <c r="J139" s="22">
        <f>IF(AND(F139&lt;&gt;"",G139=""),1,0)</f>
        <v/>
      </c>
      <c r="K139" s="22">
        <f>IF(LEFT(C139,7)&lt;&gt;"Sprint_","",IF(COUNTIFS(Versuchsdaten!$A$2:$A$1117,$A139,Versuchsdaten!$B$2:$B$1117,$B139,Versuchsdaten!$C$2:$C$1117,"Sprint_5m",Versuchsdaten!$E$2:$E$1117,$E139,Versuchsdaten!$J$2:$J$1117,1)=1,SUMIFS(Versuchsdaten!$F$2:$F$1117,Versuchsdaten!$A$2:$A$1117,$A139,Versuchsdaten!$B$2:$B$1117,$B139,Versuchsdaten!$C$2:$C$1117,"Sprint_5m",Versuchsdaten!$E$2:$E$1117,$E139,Versuchsdaten!$J$2:$J$1117,1),""))</f>
        <v/>
      </c>
      <c r="L139" s="22">
        <f>IF(LEFT(C139,7)&lt;&gt;"Sprint_","",IF(COUNTIFS(Versuchsdaten!$A$2:$A$1117,$A139,Versuchsdaten!$B$2:$B$1117,$B139,Versuchsdaten!$C$2:$C$1117,"Sprint_10m",Versuchsdaten!$E$2:$E$1117,$E139,Versuchsdaten!$J$2:$J$1117,1)=1,SUMIFS(Versuchsdaten!$F$2:$F$1117,Versuchsdaten!$A$2:$A$1117,$A139,Versuchsdaten!$B$2:$B$1117,$B139,Versuchsdaten!$C$2:$C$1117,"Sprint_10m",Versuchsdaten!$E$2:$E$1117,$E139,Versuchsdaten!$J$2:$J$1117,1),""))</f>
        <v/>
      </c>
      <c r="M139" s="22">
        <f>IF(LEFT(C139,7)&lt;&gt;"Sprint_","",IF(COUNTIFS(Versuchsdaten!$A$2:$A$1117,$A139,Versuchsdaten!$B$2:$B$1117,$B139,Versuchsdaten!$C$2:$C$1117,"Sprint_30m",Versuchsdaten!$E$2:$E$1117,$E139,Versuchsdaten!$J$2:$J$1117,1)=1,SUMIFS(Versuchsdaten!$F$2:$F$1117,Versuchsdaten!$A$2:$A$1117,$A139,Versuchsdaten!$B$2:$B$1117,$B139,Versuchsdaten!$C$2:$C$1117,"Sprint_30m",Versuchsdaten!$E$2:$E$1117,$E139,Versuchsdaten!$J$2:$J$1117,1),""))</f>
        <v/>
      </c>
      <c r="N139" s="22">
        <f>IF(LEFT(C139,7)&lt;&gt;"Sprint_",0,IF(IF(ISNUMBER(K139),IF(K139&lt;=0,1,IF(5/K139&gt;10,1,0)),0)+IF(ISNUMBER(L139),IF(ISNUMBER(K139),IF(L139-K139&lt;=0,1,IF(5/(L139-K139)&gt;10,1,0)),IF(L139&lt;=0,1,IF(10/L139&gt;10,1,0))),0)+IF(ISNUMBER(M139),IF(ISNUMBER(L139),IF(M139-L139&lt;=0,1,IF(20/(M139-L139)&gt;10,1,0)),IF(ISNUMBER(K139),IF(M139-K139&lt;=0,1,IF(25/(M139-K139)&gt;10,1,0)),IF(M139&lt;=0,1,IF(30/M139&gt;10,1,0)))),0)&gt;0,1,0))</f>
        <v/>
      </c>
      <c r="O139" s="22">
        <f>IF(AND(J139=1,N139=0),1,0)</f>
        <v/>
      </c>
      <c r="P139" s="22">
        <f>INDEX(Personendaten!$J$2:$J$32,MATCH(A139,Personendaten!$A$2:$A$32,0))</f>
        <v/>
      </c>
      <c r="Q139" s="22">
        <f>IF(O139=1,"",IF(AND(B139="post",P139="nicht angetreten"),"NANG",IF(N139=1,"AUSL",IFERROR(VLOOKUP(H139,Vokabular!$A$2:$B$8,2,FALSE),"UNBEKANNT"))))</f>
        <v/>
      </c>
    </row>
    <row r="140">
      <c r="A140" s="5" t="inlineStr">
        <is>
          <t>BW-09</t>
        </is>
      </c>
      <c r="B140" s="5" t="inlineStr">
        <is>
          <t>prä</t>
        </is>
      </c>
      <c r="C140" s="5" t="inlineStr">
        <is>
          <t>COD_505</t>
        </is>
      </c>
      <c r="D140" s="5" t="inlineStr">
        <is>
          <t>L</t>
        </is>
      </c>
      <c r="E140" s="5" t="n">
        <v>1</v>
      </c>
      <c r="F140" s="5" t="n">
        <v>2.53</v>
      </c>
      <c r="G140" s="5" t="n"/>
      <c r="H140" s="5" t="n"/>
      <c r="I140" s="22">
        <f>INDEX(Personendaten!$C$2:$C$32,MATCH(A140,Personendaten!$A$2:$A$32,0))</f>
        <v/>
      </c>
      <c r="J140" s="22">
        <f>IF(AND(F140&lt;&gt;"",G140=""),1,0)</f>
        <v/>
      </c>
      <c r="K140" s="22">
        <f>IF(LEFT(C140,7)&lt;&gt;"Sprint_","",IF(COUNTIFS(Versuchsdaten!$A$2:$A$1117,$A140,Versuchsdaten!$B$2:$B$1117,$B140,Versuchsdaten!$C$2:$C$1117,"Sprint_5m",Versuchsdaten!$E$2:$E$1117,$E140,Versuchsdaten!$J$2:$J$1117,1)=1,SUMIFS(Versuchsdaten!$F$2:$F$1117,Versuchsdaten!$A$2:$A$1117,$A140,Versuchsdaten!$B$2:$B$1117,$B140,Versuchsdaten!$C$2:$C$1117,"Sprint_5m",Versuchsdaten!$E$2:$E$1117,$E140,Versuchsdaten!$J$2:$J$1117,1),""))</f>
        <v/>
      </c>
      <c r="L140" s="22">
        <f>IF(LEFT(C140,7)&lt;&gt;"Sprint_","",IF(COUNTIFS(Versuchsdaten!$A$2:$A$1117,$A140,Versuchsdaten!$B$2:$B$1117,$B140,Versuchsdaten!$C$2:$C$1117,"Sprint_10m",Versuchsdaten!$E$2:$E$1117,$E140,Versuchsdaten!$J$2:$J$1117,1)=1,SUMIFS(Versuchsdaten!$F$2:$F$1117,Versuchsdaten!$A$2:$A$1117,$A140,Versuchsdaten!$B$2:$B$1117,$B140,Versuchsdaten!$C$2:$C$1117,"Sprint_10m",Versuchsdaten!$E$2:$E$1117,$E140,Versuchsdaten!$J$2:$J$1117,1),""))</f>
        <v/>
      </c>
      <c r="M140" s="22">
        <f>IF(LEFT(C140,7)&lt;&gt;"Sprint_","",IF(COUNTIFS(Versuchsdaten!$A$2:$A$1117,$A140,Versuchsdaten!$B$2:$B$1117,$B140,Versuchsdaten!$C$2:$C$1117,"Sprint_30m",Versuchsdaten!$E$2:$E$1117,$E140,Versuchsdaten!$J$2:$J$1117,1)=1,SUMIFS(Versuchsdaten!$F$2:$F$1117,Versuchsdaten!$A$2:$A$1117,$A140,Versuchsdaten!$B$2:$B$1117,$B140,Versuchsdaten!$C$2:$C$1117,"Sprint_30m",Versuchsdaten!$E$2:$E$1117,$E140,Versuchsdaten!$J$2:$J$1117,1),""))</f>
        <v/>
      </c>
      <c r="N140" s="22">
        <f>IF(LEFT(C140,7)&lt;&gt;"Sprint_",0,IF(IF(ISNUMBER(K140),IF(K140&lt;=0,1,IF(5/K140&gt;10,1,0)),0)+IF(ISNUMBER(L140),IF(ISNUMBER(K140),IF(L140-K140&lt;=0,1,IF(5/(L140-K140)&gt;10,1,0)),IF(L140&lt;=0,1,IF(10/L140&gt;10,1,0))),0)+IF(ISNUMBER(M140),IF(ISNUMBER(L140),IF(M140-L140&lt;=0,1,IF(20/(M140-L140)&gt;10,1,0)),IF(ISNUMBER(K140),IF(M140-K140&lt;=0,1,IF(25/(M140-K140)&gt;10,1,0)),IF(M140&lt;=0,1,IF(30/M140&gt;10,1,0)))),0)&gt;0,1,0))</f>
        <v/>
      </c>
      <c r="O140" s="22">
        <f>IF(AND(J140=1,N140=0),1,0)</f>
        <v/>
      </c>
      <c r="P140" s="22">
        <f>INDEX(Personendaten!$J$2:$J$32,MATCH(A140,Personendaten!$A$2:$A$32,0))</f>
        <v/>
      </c>
      <c r="Q140" s="22">
        <f>IF(O140=1,"",IF(AND(B140="post",P140="nicht angetreten"),"NANG",IF(N140=1,"AUSL",IFERROR(VLOOKUP(H140,Vokabular!$A$2:$B$8,2,FALSE),"UNBEKANNT"))))</f>
        <v/>
      </c>
    </row>
    <row r="141">
      <c r="A141" s="5" t="inlineStr">
        <is>
          <t>BW-09</t>
        </is>
      </c>
      <c r="B141" s="5" t="inlineStr">
        <is>
          <t>prä</t>
        </is>
      </c>
      <c r="C141" s="5" t="inlineStr">
        <is>
          <t>COD_505</t>
        </is>
      </c>
      <c r="D141" s="5" t="inlineStr">
        <is>
          <t>L</t>
        </is>
      </c>
      <c r="E141" s="5" t="n">
        <v>2</v>
      </c>
      <c r="F141" s="5" t="n">
        <v>2.49</v>
      </c>
      <c r="G141" s="5" t="n"/>
      <c r="H141" s="5" t="n"/>
      <c r="I141" s="22">
        <f>INDEX(Personendaten!$C$2:$C$32,MATCH(A141,Personendaten!$A$2:$A$32,0))</f>
        <v/>
      </c>
      <c r="J141" s="22">
        <f>IF(AND(F141&lt;&gt;"",G141=""),1,0)</f>
        <v/>
      </c>
      <c r="K141" s="22">
        <f>IF(LEFT(C141,7)&lt;&gt;"Sprint_","",IF(COUNTIFS(Versuchsdaten!$A$2:$A$1117,$A141,Versuchsdaten!$B$2:$B$1117,$B141,Versuchsdaten!$C$2:$C$1117,"Sprint_5m",Versuchsdaten!$E$2:$E$1117,$E141,Versuchsdaten!$J$2:$J$1117,1)=1,SUMIFS(Versuchsdaten!$F$2:$F$1117,Versuchsdaten!$A$2:$A$1117,$A141,Versuchsdaten!$B$2:$B$1117,$B141,Versuchsdaten!$C$2:$C$1117,"Sprint_5m",Versuchsdaten!$E$2:$E$1117,$E141,Versuchsdaten!$J$2:$J$1117,1),""))</f>
        <v/>
      </c>
      <c r="L141" s="22">
        <f>IF(LEFT(C141,7)&lt;&gt;"Sprint_","",IF(COUNTIFS(Versuchsdaten!$A$2:$A$1117,$A141,Versuchsdaten!$B$2:$B$1117,$B141,Versuchsdaten!$C$2:$C$1117,"Sprint_10m",Versuchsdaten!$E$2:$E$1117,$E141,Versuchsdaten!$J$2:$J$1117,1)=1,SUMIFS(Versuchsdaten!$F$2:$F$1117,Versuchsdaten!$A$2:$A$1117,$A141,Versuchsdaten!$B$2:$B$1117,$B141,Versuchsdaten!$C$2:$C$1117,"Sprint_10m",Versuchsdaten!$E$2:$E$1117,$E141,Versuchsdaten!$J$2:$J$1117,1),""))</f>
        <v/>
      </c>
      <c r="M141" s="22">
        <f>IF(LEFT(C141,7)&lt;&gt;"Sprint_","",IF(COUNTIFS(Versuchsdaten!$A$2:$A$1117,$A141,Versuchsdaten!$B$2:$B$1117,$B141,Versuchsdaten!$C$2:$C$1117,"Sprint_30m",Versuchsdaten!$E$2:$E$1117,$E141,Versuchsdaten!$J$2:$J$1117,1)=1,SUMIFS(Versuchsdaten!$F$2:$F$1117,Versuchsdaten!$A$2:$A$1117,$A141,Versuchsdaten!$B$2:$B$1117,$B141,Versuchsdaten!$C$2:$C$1117,"Sprint_30m",Versuchsdaten!$E$2:$E$1117,$E141,Versuchsdaten!$J$2:$J$1117,1),""))</f>
        <v/>
      </c>
      <c r="N141" s="22">
        <f>IF(LEFT(C141,7)&lt;&gt;"Sprint_",0,IF(IF(ISNUMBER(K141),IF(K141&lt;=0,1,IF(5/K141&gt;10,1,0)),0)+IF(ISNUMBER(L141),IF(ISNUMBER(K141),IF(L141-K141&lt;=0,1,IF(5/(L141-K141)&gt;10,1,0)),IF(L141&lt;=0,1,IF(10/L141&gt;10,1,0))),0)+IF(ISNUMBER(M141),IF(ISNUMBER(L141),IF(M141-L141&lt;=0,1,IF(20/(M141-L141)&gt;10,1,0)),IF(ISNUMBER(K141),IF(M141-K141&lt;=0,1,IF(25/(M141-K141)&gt;10,1,0)),IF(M141&lt;=0,1,IF(30/M141&gt;10,1,0)))),0)&gt;0,1,0))</f>
        <v/>
      </c>
      <c r="O141" s="22">
        <f>IF(AND(J141=1,N141=0),1,0)</f>
        <v/>
      </c>
      <c r="P141" s="22">
        <f>INDEX(Personendaten!$J$2:$J$32,MATCH(A141,Personendaten!$A$2:$A$32,0))</f>
        <v/>
      </c>
      <c r="Q141" s="22">
        <f>IF(O141=1,"",IF(AND(B141="post",P141="nicht angetreten"),"NANG",IF(N141=1,"AUSL",IFERROR(VLOOKUP(H141,Vokabular!$A$2:$B$8,2,FALSE),"UNBEKANNT"))))</f>
        <v/>
      </c>
    </row>
    <row r="142">
      <c r="A142" s="5" t="inlineStr">
        <is>
          <t>BW-09</t>
        </is>
      </c>
      <c r="B142" s="5" t="inlineStr">
        <is>
          <t>prä</t>
        </is>
      </c>
      <c r="C142" s="5" t="inlineStr">
        <is>
          <t>COD_505</t>
        </is>
      </c>
      <c r="D142" s="5" t="inlineStr">
        <is>
          <t>L</t>
        </is>
      </c>
      <c r="E142" s="5" t="n">
        <v>3</v>
      </c>
      <c r="F142" s="5" t="n"/>
      <c r="G142" s="5" t="n"/>
      <c r="H142" s="5" t="inlineStr">
        <is>
          <t>Nur 2 Versuche aus Zeitmangel</t>
        </is>
      </c>
      <c r="I142" s="22">
        <f>INDEX(Personendaten!$C$2:$C$32,MATCH(A142,Personendaten!$A$2:$A$32,0))</f>
        <v/>
      </c>
      <c r="J142" s="22">
        <f>IF(AND(F142&lt;&gt;"",G142=""),1,0)</f>
        <v/>
      </c>
      <c r="K142" s="22">
        <f>IF(LEFT(C142,7)&lt;&gt;"Sprint_","",IF(COUNTIFS(Versuchsdaten!$A$2:$A$1117,$A142,Versuchsdaten!$B$2:$B$1117,$B142,Versuchsdaten!$C$2:$C$1117,"Sprint_5m",Versuchsdaten!$E$2:$E$1117,$E142,Versuchsdaten!$J$2:$J$1117,1)=1,SUMIFS(Versuchsdaten!$F$2:$F$1117,Versuchsdaten!$A$2:$A$1117,$A142,Versuchsdaten!$B$2:$B$1117,$B142,Versuchsdaten!$C$2:$C$1117,"Sprint_5m",Versuchsdaten!$E$2:$E$1117,$E142,Versuchsdaten!$J$2:$J$1117,1),""))</f>
        <v/>
      </c>
      <c r="L142" s="22">
        <f>IF(LEFT(C142,7)&lt;&gt;"Sprint_","",IF(COUNTIFS(Versuchsdaten!$A$2:$A$1117,$A142,Versuchsdaten!$B$2:$B$1117,$B142,Versuchsdaten!$C$2:$C$1117,"Sprint_10m",Versuchsdaten!$E$2:$E$1117,$E142,Versuchsdaten!$J$2:$J$1117,1)=1,SUMIFS(Versuchsdaten!$F$2:$F$1117,Versuchsdaten!$A$2:$A$1117,$A142,Versuchsdaten!$B$2:$B$1117,$B142,Versuchsdaten!$C$2:$C$1117,"Sprint_10m",Versuchsdaten!$E$2:$E$1117,$E142,Versuchsdaten!$J$2:$J$1117,1),""))</f>
        <v/>
      </c>
      <c r="M142" s="22">
        <f>IF(LEFT(C142,7)&lt;&gt;"Sprint_","",IF(COUNTIFS(Versuchsdaten!$A$2:$A$1117,$A142,Versuchsdaten!$B$2:$B$1117,$B142,Versuchsdaten!$C$2:$C$1117,"Sprint_30m",Versuchsdaten!$E$2:$E$1117,$E142,Versuchsdaten!$J$2:$J$1117,1)=1,SUMIFS(Versuchsdaten!$F$2:$F$1117,Versuchsdaten!$A$2:$A$1117,$A142,Versuchsdaten!$B$2:$B$1117,$B142,Versuchsdaten!$C$2:$C$1117,"Sprint_30m",Versuchsdaten!$E$2:$E$1117,$E142,Versuchsdaten!$J$2:$J$1117,1),""))</f>
        <v/>
      </c>
      <c r="N142" s="22">
        <f>IF(LEFT(C142,7)&lt;&gt;"Sprint_",0,IF(IF(ISNUMBER(K142),IF(K142&lt;=0,1,IF(5/K142&gt;10,1,0)),0)+IF(ISNUMBER(L142),IF(ISNUMBER(K142),IF(L142-K142&lt;=0,1,IF(5/(L142-K142)&gt;10,1,0)),IF(L142&lt;=0,1,IF(10/L142&gt;10,1,0))),0)+IF(ISNUMBER(M142),IF(ISNUMBER(L142),IF(M142-L142&lt;=0,1,IF(20/(M142-L142)&gt;10,1,0)),IF(ISNUMBER(K142),IF(M142-K142&lt;=0,1,IF(25/(M142-K142)&gt;10,1,0)),IF(M142&lt;=0,1,IF(30/M142&gt;10,1,0)))),0)&gt;0,1,0))</f>
        <v/>
      </c>
      <c r="O142" s="22">
        <f>IF(AND(J142=1,N142=0),1,0)</f>
        <v/>
      </c>
      <c r="P142" s="22">
        <f>INDEX(Personendaten!$J$2:$J$32,MATCH(A142,Personendaten!$A$2:$A$32,0))</f>
        <v/>
      </c>
      <c r="Q142" s="22">
        <f>IF(O142=1,"",IF(AND(B142="post",P142="nicht angetreten"),"NANG",IF(N142=1,"AUSL",IFERROR(VLOOKUP(H142,Vokabular!$A$2:$B$8,2,FALSE),"UNBEKANNT"))))</f>
        <v/>
      </c>
    </row>
    <row r="143">
      <c r="A143" s="5" t="inlineStr">
        <is>
          <t>BW-09</t>
        </is>
      </c>
      <c r="B143" s="5" t="inlineStr">
        <is>
          <t>prä</t>
        </is>
      </c>
      <c r="C143" s="5" t="inlineStr">
        <is>
          <t>COD_505</t>
        </is>
      </c>
      <c r="D143" s="5" t="inlineStr">
        <is>
          <t>R</t>
        </is>
      </c>
      <c r="E143" s="5" t="n">
        <v>1</v>
      </c>
      <c r="F143" s="5" t="n">
        <v>2.57</v>
      </c>
      <c r="G143" s="5" t="n"/>
      <c r="H143" s="5" t="n"/>
      <c r="I143" s="22">
        <f>INDEX(Personendaten!$C$2:$C$32,MATCH(A143,Personendaten!$A$2:$A$32,0))</f>
        <v/>
      </c>
      <c r="J143" s="22">
        <f>IF(AND(F143&lt;&gt;"",G143=""),1,0)</f>
        <v/>
      </c>
      <c r="K143" s="22">
        <f>IF(LEFT(C143,7)&lt;&gt;"Sprint_","",IF(COUNTIFS(Versuchsdaten!$A$2:$A$1117,$A143,Versuchsdaten!$B$2:$B$1117,$B143,Versuchsdaten!$C$2:$C$1117,"Sprint_5m",Versuchsdaten!$E$2:$E$1117,$E143,Versuchsdaten!$J$2:$J$1117,1)=1,SUMIFS(Versuchsdaten!$F$2:$F$1117,Versuchsdaten!$A$2:$A$1117,$A143,Versuchsdaten!$B$2:$B$1117,$B143,Versuchsdaten!$C$2:$C$1117,"Sprint_5m",Versuchsdaten!$E$2:$E$1117,$E143,Versuchsdaten!$J$2:$J$1117,1),""))</f>
        <v/>
      </c>
      <c r="L143" s="22">
        <f>IF(LEFT(C143,7)&lt;&gt;"Sprint_","",IF(COUNTIFS(Versuchsdaten!$A$2:$A$1117,$A143,Versuchsdaten!$B$2:$B$1117,$B143,Versuchsdaten!$C$2:$C$1117,"Sprint_10m",Versuchsdaten!$E$2:$E$1117,$E143,Versuchsdaten!$J$2:$J$1117,1)=1,SUMIFS(Versuchsdaten!$F$2:$F$1117,Versuchsdaten!$A$2:$A$1117,$A143,Versuchsdaten!$B$2:$B$1117,$B143,Versuchsdaten!$C$2:$C$1117,"Sprint_10m",Versuchsdaten!$E$2:$E$1117,$E143,Versuchsdaten!$J$2:$J$1117,1),""))</f>
        <v/>
      </c>
      <c r="M143" s="22">
        <f>IF(LEFT(C143,7)&lt;&gt;"Sprint_","",IF(COUNTIFS(Versuchsdaten!$A$2:$A$1117,$A143,Versuchsdaten!$B$2:$B$1117,$B143,Versuchsdaten!$C$2:$C$1117,"Sprint_30m",Versuchsdaten!$E$2:$E$1117,$E143,Versuchsdaten!$J$2:$J$1117,1)=1,SUMIFS(Versuchsdaten!$F$2:$F$1117,Versuchsdaten!$A$2:$A$1117,$A143,Versuchsdaten!$B$2:$B$1117,$B143,Versuchsdaten!$C$2:$C$1117,"Sprint_30m",Versuchsdaten!$E$2:$E$1117,$E143,Versuchsdaten!$J$2:$J$1117,1),""))</f>
        <v/>
      </c>
      <c r="N143" s="22">
        <f>IF(LEFT(C143,7)&lt;&gt;"Sprint_",0,IF(IF(ISNUMBER(K143),IF(K143&lt;=0,1,IF(5/K143&gt;10,1,0)),0)+IF(ISNUMBER(L143),IF(ISNUMBER(K143),IF(L143-K143&lt;=0,1,IF(5/(L143-K143)&gt;10,1,0)),IF(L143&lt;=0,1,IF(10/L143&gt;10,1,0))),0)+IF(ISNUMBER(M143),IF(ISNUMBER(L143),IF(M143-L143&lt;=0,1,IF(20/(M143-L143)&gt;10,1,0)),IF(ISNUMBER(K143),IF(M143-K143&lt;=0,1,IF(25/(M143-K143)&gt;10,1,0)),IF(M143&lt;=0,1,IF(30/M143&gt;10,1,0)))),0)&gt;0,1,0))</f>
        <v/>
      </c>
      <c r="O143" s="22">
        <f>IF(AND(J143=1,N143=0),1,0)</f>
        <v/>
      </c>
      <c r="P143" s="22">
        <f>INDEX(Personendaten!$J$2:$J$32,MATCH(A143,Personendaten!$A$2:$A$32,0))</f>
        <v/>
      </c>
      <c r="Q143" s="22">
        <f>IF(O143=1,"",IF(AND(B143="post",P143="nicht angetreten"),"NANG",IF(N143=1,"AUSL",IFERROR(VLOOKUP(H143,Vokabular!$A$2:$B$8,2,FALSE),"UNBEKANNT"))))</f>
        <v/>
      </c>
    </row>
    <row r="144">
      <c r="A144" s="5" t="inlineStr">
        <is>
          <t>BW-09</t>
        </is>
      </c>
      <c r="B144" s="5" t="inlineStr">
        <is>
          <t>prä</t>
        </is>
      </c>
      <c r="C144" s="5" t="inlineStr">
        <is>
          <t>COD_505</t>
        </is>
      </c>
      <c r="D144" s="5" t="inlineStr">
        <is>
          <t>R</t>
        </is>
      </c>
      <c r="E144" s="5" t="n">
        <v>2</v>
      </c>
      <c r="F144" s="5" t="n"/>
      <c r="G144" s="5" t="inlineStr">
        <is>
          <t>x</t>
        </is>
      </c>
      <c r="H144" s="5" t="inlineStr">
        <is>
          <t>Linie nicht getroffen</t>
        </is>
      </c>
      <c r="I144" s="22">
        <f>INDEX(Personendaten!$C$2:$C$32,MATCH(A144,Personendaten!$A$2:$A$32,0))</f>
        <v/>
      </c>
      <c r="J144" s="22">
        <f>IF(AND(F144&lt;&gt;"",G144=""),1,0)</f>
        <v/>
      </c>
      <c r="K144" s="22">
        <f>IF(LEFT(C144,7)&lt;&gt;"Sprint_","",IF(COUNTIFS(Versuchsdaten!$A$2:$A$1117,$A144,Versuchsdaten!$B$2:$B$1117,$B144,Versuchsdaten!$C$2:$C$1117,"Sprint_5m",Versuchsdaten!$E$2:$E$1117,$E144,Versuchsdaten!$J$2:$J$1117,1)=1,SUMIFS(Versuchsdaten!$F$2:$F$1117,Versuchsdaten!$A$2:$A$1117,$A144,Versuchsdaten!$B$2:$B$1117,$B144,Versuchsdaten!$C$2:$C$1117,"Sprint_5m",Versuchsdaten!$E$2:$E$1117,$E144,Versuchsdaten!$J$2:$J$1117,1),""))</f>
        <v/>
      </c>
      <c r="L144" s="22">
        <f>IF(LEFT(C144,7)&lt;&gt;"Sprint_","",IF(COUNTIFS(Versuchsdaten!$A$2:$A$1117,$A144,Versuchsdaten!$B$2:$B$1117,$B144,Versuchsdaten!$C$2:$C$1117,"Sprint_10m",Versuchsdaten!$E$2:$E$1117,$E144,Versuchsdaten!$J$2:$J$1117,1)=1,SUMIFS(Versuchsdaten!$F$2:$F$1117,Versuchsdaten!$A$2:$A$1117,$A144,Versuchsdaten!$B$2:$B$1117,$B144,Versuchsdaten!$C$2:$C$1117,"Sprint_10m",Versuchsdaten!$E$2:$E$1117,$E144,Versuchsdaten!$J$2:$J$1117,1),""))</f>
        <v/>
      </c>
      <c r="M144" s="22">
        <f>IF(LEFT(C144,7)&lt;&gt;"Sprint_","",IF(COUNTIFS(Versuchsdaten!$A$2:$A$1117,$A144,Versuchsdaten!$B$2:$B$1117,$B144,Versuchsdaten!$C$2:$C$1117,"Sprint_30m",Versuchsdaten!$E$2:$E$1117,$E144,Versuchsdaten!$J$2:$J$1117,1)=1,SUMIFS(Versuchsdaten!$F$2:$F$1117,Versuchsdaten!$A$2:$A$1117,$A144,Versuchsdaten!$B$2:$B$1117,$B144,Versuchsdaten!$C$2:$C$1117,"Sprint_30m",Versuchsdaten!$E$2:$E$1117,$E144,Versuchsdaten!$J$2:$J$1117,1),""))</f>
        <v/>
      </c>
      <c r="N144" s="22">
        <f>IF(LEFT(C144,7)&lt;&gt;"Sprint_",0,IF(IF(ISNUMBER(K144),IF(K144&lt;=0,1,IF(5/K144&gt;10,1,0)),0)+IF(ISNUMBER(L144),IF(ISNUMBER(K144),IF(L144-K144&lt;=0,1,IF(5/(L144-K144)&gt;10,1,0)),IF(L144&lt;=0,1,IF(10/L144&gt;10,1,0))),0)+IF(ISNUMBER(M144),IF(ISNUMBER(L144),IF(M144-L144&lt;=0,1,IF(20/(M144-L144)&gt;10,1,0)),IF(ISNUMBER(K144),IF(M144-K144&lt;=0,1,IF(25/(M144-K144)&gt;10,1,0)),IF(M144&lt;=0,1,IF(30/M144&gt;10,1,0)))),0)&gt;0,1,0))</f>
        <v/>
      </c>
      <c r="O144" s="22">
        <f>IF(AND(J144=1,N144=0),1,0)</f>
        <v/>
      </c>
      <c r="P144" s="22">
        <f>INDEX(Personendaten!$J$2:$J$32,MATCH(A144,Personendaten!$A$2:$A$32,0))</f>
        <v/>
      </c>
      <c r="Q144" s="22">
        <f>IF(O144=1,"",IF(AND(B144="post",P144="nicht angetreten"),"NANG",IF(N144=1,"AUSL",IFERROR(VLOOKUP(H144,Vokabular!$A$2:$B$8,2,FALSE),"UNBEKANNT"))))</f>
        <v/>
      </c>
    </row>
    <row r="145">
      <c r="A145" s="5" t="inlineStr">
        <is>
          <t>BW-09</t>
        </is>
      </c>
      <c r="B145" s="5" t="inlineStr">
        <is>
          <t>prä</t>
        </is>
      </c>
      <c r="C145" s="5" t="inlineStr">
        <is>
          <t>COD_505</t>
        </is>
      </c>
      <c r="D145" s="5" t="inlineStr">
        <is>
          <t>R</t>
        </is>
      </c>
      <c r="E145" s="5" t="n">
        <v>3</v>
      </c>
      <c r="F145" s="5" t="n"/>
      <c r="G145" s="5" t="n"/>
      <c r="H145" s="5" t="inlineStr">
        <is>
          <t>Nur 2 Versuche aus Zeitmangel</t>
        </is>
      </c>
      <c r="I145" s="22">
        <f>INDEX(Personendaten!$C$2:$C$32,MATCH(A145,Personendaten!$A$2:$A$32,0))</f>
        <v/>
      </c>
      <c r="J145" s="22">
        <f>IF(AND(F145&lt;&gt;"",G145=""),1,0)</f>
        <v/>
      </c>
      <c r="K145" s="22">
        <f>IF(LEFT(C145,7)&lt;&gt;"Sprint_","",IF(COUNTIFS(Versuchsdaten!$A$2:$A$1117,$A145,Versuchsdaten!$B$2:$B$1117,$B145,Versuchsdaten!$C$2:$C$1117,"Sprint_5m",Versuchsdaten!$E$2:$E$1117,$E145,Versuchsdaten!$J$2:$J$1117,1)=1,SUMIFS(Versuchsdaten!$F$2:$F$1117,Versuchsdaten!$A$2:$A$1117,$A145,Versuchsdaten!$B$2:$B$1117,$B145,Versuchsdaten!$C$2:$C$1117,"Sprint_5m",Versuchsdaten!$E$2:$E$1117,$E145,Versuchsdaten!$J$2:$J$1117,1),""))</f>
        <v/>
      </c>
      <c r="L145" s="22">
        <f>IF(LEFT(C145,7)&lt;&gt;"Sprint_","",IF(COUNTIFS(Versuchsdaten!$A$2:$A$1117,$A145,Versuchsdaten!$B$2:$B$1117,$B145,Versuchsdaten!$C$2:$C$1117,"Sprint_10m",Versuchsdaten!$E$2:$E$1117,$E145,Versuchsdaten!$J$2:$J$1117,1)=1,SUMIFS(Versuchsdaten!$F$2:$F$1117,Versuchsdaten!$A$2:$A$1117,$A145,Versuchsdaten!$B$2:$B$1117,$B145,Versuchsdaten!$C$2:$C$1117,"Sprint_10m",Versuchsdaten!$E$2:$E$1117,$E145,Versuchsdaten!$J$2:$J$1117,1),""))</f>
        <v/>
      </c>
      <c r="M145" s="22">
        <f>IF(LEFT(C145,7)&lt;&gt;"Sprint_","",IF(COUNTIFS(Versuchsdaten!$A$2:$A$1117,$A145,Versuchsdaten!$B$2:$B$1117,$B145,Versuchsdaten!$C$2:$C$1117,"Sprint_30m",Versuchsdaten!$E$2:$E$1117,$E145,Versuchsdaten!$J$2:$J$1117,1)=1,SUMIFS(Versuchsdaten!$F$2:$F$1117,Versuchsdaten!$A$2:$A$1117,$A145,Versuchsdaten!$B$2:$B$1117,$B145,Versuchsdaten!$C$2:$C$1117,"Sprint_30m",Versuchsdaten!$E$2:$E$1117,$E145,Versuchsdaten!$J$2:$J$1117,1),""))</f>
        <v/>
      </c>
      <c r="N145" s="22">
        <f>IF(LEFT(C145,7)&lt;&gt;"Sprint_",0,IF(IF(ISNUMBER(K145),IF(K145&lt;=0,1,IF(5/K145&gt;10,1,0)),0)+IF(ISNUMBER(L145),IF(ISNUMBER(K145),IF(L145-K145&lt;=0,1,IF(5/(L145-K145)&gt;10,1,0)),IF(L145&lt;=0,1,IF(10/L145&gt;10,1,0))),0)+IF(ISNUMBER(M145),IF(ISNUMBER(L145),IF(M145-L145&lt;=0,1,IF(20/(M145-L145)&gt;10,1,0)),IF(ISNUMBER(K145),IF(M145-K145&lt;=0,1,IF(25/(M145-K145)&gt;10,1,0)),IF(M145&lt;=0,1,IF(30/M145&gt;10,1,0)))),0)&gt;0,1,0))</f>
        <v/>
      </c>
      <c r="O145" s="22">
        <f>IF(AND(J145=1,N145=0),1,0)</f>
        <v/>
      </c>
      <c r="P145" s="22">
        <f>INDEX(Personendaten!$J$2:$J$32,MATCH(A145,Personendaten!$A$2:$A$32,0))</f>
        <v/>
      </c>
      <c r="Q145" s="22">
        <f>IF(O145=1,"",IF(AND(B145="post",P145="nicht angetreten"),"NANG",IF(N145=1,"AUSL",IFERROR(VLOOKUP(H145,Vokabular!$A$2:$B$8,2,FALSE),"UNBEKANNT"))))</f>
        <v/>
      </c>
    </row>
    <row r="146">
      <c r="A146" s="5" t="inlineStr">
        <is>
          <t>BW-10</t>
        </is>
      </c>
      <c r="B146" s="5" t="inlineStr">
        <is>
          <t>prä</t>
        </is>
      </c>
      <c r="C146" s="5" t="inlineStr">
        <is>
          <t>Sprint_5m</t>
        </is>
      </c>
      <c r="D146" s="5" t="inlineStr">
        <is>
          <t>–</t>
        </is>
      </c>
      <c r="E146" s="5" t="n">
        <v>1</v>
      </c>
      <c r="F146" s="5" t="n">
        <v>1.16</v>
      </c>
      <c r="G146" s="5" t="n"/>
      <c r="H146" s="5" t="n"/>
      <c r="I146" s="22">
        <f>INDEX(Personendaten!$C$2:$C$32,MATCH(A146,Personendaten!$A$2:$A$32,0))</f>
        <v/>
      </c>
      <c r="J146" s="22">
        <f>IF(AND(F146&lt;&gt;"",G146=""),1,0)</f>
        <v/>
      </c>
      <c r="K146" s="22">
        <f>IF(LEFT(C146,7)&lt;&gt;"Sprint_","",IF(COUNTIFS(Versuchsdaten!$A$2:$A$1117,$A146,Versuchsdaten!$B$2:$B$1117,$B146,Versuchsdaten!$C$2:$C$1117,"Sprint_5m",Versuchsdaten!$E$2:$E$1117,$E146,Versuchsdaten!$J$2:$J$1117,1)=1,SUMIFS(Versuchsdaten!$F$2:$F$1117,Versuchsdaten!$A$2:$A$1117,$A146,Versuchsdaten!$B$2:$B$1117,$B146,Versuchsdaten!$C$2:$C$1117,"Sprint_5m",Versuchsdaten!$E$2:$E$1117,$E146,Versuchsdaten!$J$2:$J$1117,1),""))</f>
        <v/>
      </c>
      <c r="L146" s="22">
        <f>IF(LEFT(C146,7)&lt;&gt;"Sprint_","",IF(COUNTIFS(Versuchsdaten!$A$2:$A$1117,$A146,Versuchsdaten!$B$2:$B$1117,$B146,Versuchsdaten!$C$2:$C$1117,"Sprint_10m",Versuchsdaten!$E$2:$E$1117,$E146,Versuchsdaten!$J$2:$J$1117,1)=1,SUMIFS(Versuchsdaten!$F$2:$F$1117,Versuchsdaten!$A$2:$A$1117,$A146,Versuchsdaten!$B$2:$B$1117,$B146,Versuchsdaten!$C$2:$C$1117,"Sprint_10m",Versuchsdaten!$E$2:$E$1117,$E146,Versuchsdaten!$J$2:$J$1117,1),""))</f>
        <v/>
      </c>
      <c r="M146" s="22">
        <f>IF(LEFT(C146,7)&lt;&gt;"Sprint_","",IF(COUNTIFS(Versuchsdaten!$A$2:$A$1117,$A146,Versuchsdaten!$B$2:$B$1117,$B146,Versuchsdaten!$C$2:$C$1117,"Sprint_30m",Versuchsdaten!$E$2:$E$1117,$E146,Versuchsdaten!$J$2:$J$1117,1)=1,SUMIFS(Versuchsdaten!$F$2:$F$1117,Versuchsdaten!$A$2:$A$1117,$A146,Versuchsdaten!$B$2:$B$1117,$B146,Versuchsdaten!$C$2:$C$1117,"Sprint_30m",Versuchsdaten!$E$2:$E$1117,$E146,Versuchsdaten!$J$2:$J$1117,1),""))</f>
        <v/>
      </c>
      <c r="N146" s="22">
        <f>IF(LEFT(C146,7)&lt;&gt;"Sprint_",0,IF(IF(ISNUMBER(K146),IF(K146&lt;=0,1,IF(5/K146&gt;10,1,0)),0)+IF(ISNUMBER(L146),IF(ISNUMBER(K146),IF(L146-K146&lt;=0,1,IF(5/(L146-K146)&gt;10,1,0)),IF(L146&lt;=0,1,IF(10/L146&gt;10,1,0))),0)+IF(ISNUMBER(M146),IF(ISNUMBER(L146),IF(M146-L146&lt;=0,1,IF(20/(M146-L146)&gt;10,1,0)),IF(ISNUMBER(K146),IF(M146-K146&lt;=0,1,IF(25/(M146-K146)&gt;10,1,0)),IF(M146&lt;=0,1,IF(30/M146&gt;10,1,0)))),0)&gt;0,1,0))</f>
        <v/>
      </c>
      <c r="O146" s="22">
        <f>IF(AND(J146=1,N146=0),1,0)</f>
        <v/>
      </c>
      <c r="P146" s="22">
        <f>INDEX(Personendaten!$J$2:$J$32,MATCH(A146,Personendaten!$A$2:$A$32,0))</f>
        <v/>
      </c>
      <c r="Q146" s="22">
        <f>IF(O146=1,"",IF(AND(B146="post",P146="nicht angetreten"),"NANG",IF(N146=1,"AUSL",IFERROR(VLOOKUP(H146,Vokabular!$A$2:$B$8,2,FALSE),"UNBEKANNT"))))</f>
        <v/>
      </c>
    </row>
    <row r="147">
      <c r="A147" s="5" t="inlineStr">
        <is>
          <t>BW-10</t>
        </is>
      </c>
      <c r="B147" s="5" t="inlineStr">
        <is>
          <t>prä</t>
        </is>
      </c>
      <c r="C147" s="5" t="inlineStr">
        <is>
          <t>Sprint_5m</t>
        </is>
      </c>
      <c r="D147" s="5" t="inlineStr">
        <is>
          <t>–</t>
        </is>
      </c>
      <c r="E147" s="5" t="n">
        <v>2</v>
      </c>
      <c r="F147" s="5" t="n">
        <v>1.12</v>
      </c>
      <c r="G147" s="5" t="n"/>
      <c r="H147" s="5" t="n"/>
      <c r="I147" s="22">
        <f>INDEX(Personendaten!$C$2:$C$32,MATCH(A147,Personendaten!$A$2:$A$32,0))</f>
        <v/>
      </c>
      <c r="J147" s="22">
        <f>IF(AND(F147&lt;&gt;"",G147=""),1,0)</f>
        <v/>
      </c>
      <c r="K147" s="22">
        <f>IF(LEFT(C147,7)&lt;&gt;"Sprint_","",IF(COUNTIFS(Versuchsdaten!$A$2:$A$1117,$A147,Versuchsdaten!$B$2:$B$1117,$B147,Versuchsdaten!$C$2:$C$1117,"Sprint_5m",Versuchsdaten!$E$2:$E$1117,$E147,Versuchsdaten!$J$2:$J$1117,1)=1,SUMIFS(Versuchsdaten!$F$2:$F$1117,Versuchsdaten!$A$2:$A$1117,$A147,Versuchsdaten!$B$2:$B$1117,$B147,Versuchsdaten!$C$2:$C$1117,"Sprint_5m",Versuchsdaten!$E$2:$E$1117,$E147,Versuchsdaten!$J$2:$J$1117,1),""))</f>
        <v/>
      </c>
      <c r="L147" s="22">
        <f>IF(LEFT(C147,7)&lt;&gt;"Sprint_","",IF(COUNTIFS(Versuchsdaten!$A$2:$A$1117,$A147,Versuchsdaten!$B$2:$B$1117,$B147,Versuchsdaten!$C$2:$C$1117,"Sprint_10m",Versuchsdaten!$E$2:$E$1117,$E147,Versuchsdaten!$J$2:$J$1117,1)=1,SUMIFS(Versuchsdaten!$F$2:$F$1117,Versuchsdaten!$A$2:$A$1117,$A147,Versuchsdaten!$B$2:$B$1117,$B147,Versuchsdaten!$C$2:$C$1117,"Sprint_10m",Versuchsdaten!$E$2:$E$1117,$E147,Versuchsdaten!$J$2:$J$1117,1),""))</f>
        <v/>
      </c>
      <c r="M147" s="22">
        <f>IF(LEFT(C147,7)&lt;&gt;"Sprint_","",IF(COUNTIFS(Versuchsdaten!$A$2:$A$1117,$A147,Versuchsdaten!$B$2:$B$1117,$B147,Versuchsdaten!$C$2:$C$1117,"Sprint_30m",Versuchsdaten!$E$2:$E$1117,$E147,Versuchsdaten!$J$2:$J$1117,1)=1,SUMIFS(Versuchsdaten!$F$2:$F$1117,Versuchsdaten!$A$2:$A$1117,$A147,Versuchsdaten!$B$2:$B$1117,$B147,Versuchsdaten!$C$2:$C$1117,"Sprint_30m",Versuchsdaten!$E$2:$E$1117,$E147,Versuchsdaten!$J$2:$J$1117,1),""))</f>
        <v/>
      </c>
      <c r="N147" s="22">
        <f>IF(LEFT(C147,7)&lt;&gt;"Sprint_",0,IF(IF(ISNUMBER(K147),IF(K147&lt;=0,1,IF(5/K147&gt;10,1,0)),0)+IF(ISNUMBER(L147),IF(ISNUMBER(K147),IF(L147-K147&lt;=0,1,IF(5/(L147-K147)&gt;10,1,0)),IF(L147&lt;=0,1,IF(10/L147&gt;10,1,0))),0)+IF(ISNUMBER(M147),IF(ISNUMBER(L147),IF(M147-L147&lt;=0,1,IF(20/(M147-L147)&gt;10,1,0)),IF(ISNUMBER(K147),IF(M147-K147&lt;=0,1,IF(25/(M147-K147)&gt;10,1,0)),IF(M147&lt;=0,1,IF(30/M147&gt;10,1,0)))),0)&gt;0,1,0))</f>
        <v/>
      </c>
      <c r="O147" s="22">
        <f>IF(AND(J147=1,N147=0),1,0)</f>
        <v/>
      </c>
      <c r="P147" s="22">
        <f>INDEX(Personendaten!$J$2:$J$32,MATCH(A147,Personendaten!$A$2:$A$32,0))</f>
        <v/>
      </c>
      <c r="Q147" s="22">
        <f>IF(O147=1,"",IF(AND(B147="post",P147="nicht angetreten"),"NANG",IF(N147=1,"AUSL",IFERROR(VLOOKUP(H147,Vokabular!$A$2:$B$8,2,FALSE),"UNBEKANNT"))))</f>
        <v/>
      </c>
    </row>
    <row r="148">
      <c r="A148" s="5" t="inlineStr">
        <is>
          <t>BW-10</t>
        </is>
      </c>
      <c r="B148" s="5" t="inlineStr">
        <is>
          <t>prä</t>
        </is>
      </c>
      <c r="C148" s="5" t="inlineStr">
        <is>
          <t>Sprint_5m</t>
        </is>
      </c>
      <c r="D148" s="5" t="inlineStr">
        <is>
          <t>–</t>
        </is>
      </c>
      <c r="E148" s="5" t="n">
        <v>3</v>
      </c>
      <c r="F148" s="5" t="n"/>
      <c r="G148" s="5" t="n"/>
      <c r="H148" s="5" t="inlineStr">
        <is>
          <t>Nur 2 Versuche aus Zeitmangel</t>
        </is>
      </c>
      <c r="I148" s="22">
        <f>INDEX(Personendaten!$C$2:$C$32,MATCH(A148,Personendaten!$A$2:$A$32,0))</f>
        <v/>
      </c>
      <c r="J148" s="22">
        <f>IF(AND(F148&lt;&gt;"",G148=""),1,0)</f>
        <v/>
      </c>
      <c r="K148" s="22">
        <f>IF(LEFT(C148,7)&lt;&gt;"Sprint_","",IF(COUNTIFS(Versuchsdaten!$A$2:$A$1117,$A148,Versuchsdaten!$B$2:$B$1117,$B148,Versuchsdaten!$C$2:$C$1117,"Sprint_5m",Versuchsdaten!$E$2:$E$1117,$E148,Versuchsdaten!$J$2:$J$1117,1)=1,SUMIFS(Versuchsdaten!$F$2:$F$1117,Versuchsdaten!$A$2:$A$1117,$A148,Versuchsdaten!$B$2:$B$1117,$B148,Versuchsdaten!$C$2:$C$1117,"Sprint_5m",Versuchsdaten!$E$2:$E$1117,$E148,Versuchsdaten!$J$2:$J$1117,1),""))</f>
        <v/>
      </c>
      <c r="L148" s="22">
        <f>IF(LEFT(C148,7)&lt;&gt;"Sprint_","",IF(COUNTIFS(Versuchsdaten!$A$2:$A$1117,$A148,Versuchsdaten!$B$2:$B$1117,$B148,Versuchsdaten!$C$2:$C$1117,"Sprint_10m",Versuchsdaten!$E$2:$E$1117,$E148,Versuchsdaten!$J$2:$J$1117,1)=1,SUMIFS(Versuchsdaten!$F$2:$F$1117,Versuchsdaten!$A$2:$A$1117,$A148,Versuchsdaten!$B$2:$B$1117,$B148,Versuchsdaten!$C$2:$C$1117,"Sprint_10m",Versuchsdaten!$E$2:$E$1117,$E148,Versuchsdaten!$J$2:$J$1117,1),""))</f>
        <v/>
      </c>
      <c r="M148" s="22">
        <f>IF(LEFT(C148,7)&lt;&gt;"Sprint_","",IF(COUNTIFS(Versuchsdaten!$A$2:$A$1117,$A148,Versuchsdaten!$B$2:$B$1117,$B148,Versuchsdaten!$C$2:$C$1117,"Sprint_30m",Versuchsdaten!$E$2:$E$1117,$E148,Versuchsdaten!$J$2:$J$1117,1)=1,SUMIFS(Versuchsdaten!$F$2:$F$1117,Versuchsdaten!$A$2:$A$1117,$A148,Versuchsdaten!$B$2:$B$1117,$B148,Versuchsdaten!$C$2:$C$1117,"Sprint_30m",Versuchsdaten!$E$2:$E$1117,$E148,Versuchsdaten!$J$2:$J$1117,1),""))</f>
        <v/>
      </c>
      <c r="N148" s="22">
        <f>IF(LEFT(C148,7)&lt;&gt;"Sprint_",0,IF(IF(ISNUMBER(K148),IF(K148&lt;=0,1,IF(5/K148&gt;10,1,0)),0)+IF(ISNUMBER(L148),IF(ISNUMBER(K148),IF(L148-K148&lt;=0,1,IF(5/(L148-K148)&gt;10,1,0)),IF(L148&lt;=0,1,IF(10/L148&gt;10,1,0))),0)+IF(ISNUMBER(M148),IF(ISNUMBER(L148),IF(M148-L148&lt;=0,1,IF(20/(M148-L148)&gt;10,1,0)),IF(ISNUMBER(K148),IF(M148-K148&lt;=0,1,IF(25/(M148-K148)&gt;10,1,0)),IF(M148&lt;=0,1,IF(30/M148&gt;10,1,0)))),0)&gt;0,1,0))</f>
        <v/>
      </c>
      <c r="O148" s="22">
        <f>IF(AND(J148=1,N148=0),1,0)</f>
        <v/>
      </c>
      <c r="P148" s="22">
        <f>INDEX(Personendaten!$J$2:$J$32,MATCH(A148,Personendaten!$A$2:$A$32,0))</f>
        <v/>
      </c>
      <c r="Q148" s="22">
        <f>IF(O148=1,"",IF(AND(B148="post",P148="nicht angetreten"),"NANG",IF(N148=1,"AUSL",IFERROR(VLOOKUP(H148,Vokabular!$A$2:$B$8,2,FALSE),"UNBEKANNT"))))</f>
        <v/>
      </c>
    </row>
    <row r="149">
      <c r="A149" s="5" t="inlineStr">
        <is>
          <t>BW-10</t>
        </is>
      </c>
      <c r="B149" s="5" t="inlineStr">
        <is>
          <t>prä</t>
        </is>
      </c>
      <c r="C149" s="5" t="inlineStr">
        <is>
          <t>Sprint_10m</t>
        </is>
      </c>
      <c r="D149" s="5" t="inlineStr">
        <is>
          <t>–</t>
        </is>
      </c>
      <c r="E149" s="5" t="n">
        <v>1</v>
      </c>
      <c r="F149" s="5" t="n">
        <v>1.91</v>
      </c>
      <c r="G149" s="5" t="n"/>
      <c r="H149" s="5" t="n"/>
      <c r="I149" s="22">
        <f>INDEX(Personendaten!$C$2:$C$32,MATCH(A149,Personendaten!$A$2:$A$32,0))</f>
        <v/>
      </c>
      <c r="J149" s="22">
        <f>IF(AND(F149&lt;&gt;"",G149=""),1,0)</f>
        <v/>
      </c>
      <c r="K149" s="22">
        <f>IF(LEFT(C149,7)&lt;&gt;"Sprint_","",IF(COUNTIFS(Versuchsdaten!$A$2:$A$1117,$A149,Versuchsdaten!$B$2:$B$1117,$B149,Versuchsdaten!$C$2:$C$1117,"Sprint_5m",Versuchsdaten!$E$2:$E$1117,$E149,Versuchsdaten!$J$2:$J$1117,1)=1,SUMIFS(Versuchsdaten!$F$2:$F$1117,Versuchsdaten!$A$2:$A$1117,$A149,Versuchsdaten!$B$2:$B$1117,$B149,Versuchsdaten!$C$2:$C$1117,"Sprint_5m",Versuchsdaten!$E$2:$E$1117,$E149,Versuchsdaten!$J$2:$J$1117,1),""))</f>
        <v/>
      </c>
      <c r="L149" s="22">
        <f>IF(LEFT(C149,7)&lt;&gt;"Sprint_","",IF(COUNTIFS(Versuchsdaten!$A$2:$A$1117,$A149,Versuchsdaten!$B$2:$B$1117,$B149,Versuchsdaten!$C$2:$C$1117,"Sprint_10m",Versuchsdaten!$E$2:$E$1117,$E149,Versuchsdaten!$J$2:$J$1117,1)=1,SUMIFS(Versuchsdaten!$F$2:$F$1117,Versuchsdaten!$A$2:$A$1117,$A149,Versuchsdaten!$B$2:$B$1117,$B149,Versuchsdaten!$C$2:$C$1117,"Sprint_10m",Versuchsdaten!$E$2:$E$1117,$E149,Versuchsdaten!$J$2:$J$1117,1),""))</f>
        <v/>
      </c>
      <c r="M149" s="22">
        <f>IF(LEFT(C149,7)&lt;&gt;"Sprint_","",IF(COUNTIFS(Versuchsdaten!$A$2:$A$1117,$A149,Versuchsdaten!$B$2:$B$1117,$B149,Versuchsdaten!$C$2:$C$1117,"Sprint_30m",Versuchsdaten!$E$2:$E$1117,$E149,Versuchsdaten!$J$2:$J$1117,1)=1,SUMIFS(Versuchsdaten!$F$2:$F$1117,Versuchsdaten!$A$2:$A$1117,$A149,Versuchsdaten!$B$2:$B$1117,$B149,Versuchsdaten!$C$2:$C$1117,"Sprint_30m",Versuchsdaten!$E$2:$E$1117,$E149,Versuchsdaten!$J$2:$J$1117,1),""))</f>
        <v/>
      </c>
      <c r="N149" s="22">
        <f>IF(LEFT(C149,7)&lt;&gt;"Sprint_",0,IF(IF(ISNUMBER(K149),IF(K149&lt;=0,1,IF(5/K149&gt;10,1,0)),0)+IF(ISNUMBER(L149),IF(ISNUMBER(K149),IF(L149-K149&lt;=0,1,IF(5/(L149-K149)&gt;10,1,0)),IF(L149&lt;=0,1,IF(10/L149&gt;10,1,0))),0)+IF(ISNUMBER(M149),IF(ISNUMBER(L149),IF(M149-L149&lt;=0,1,IF(20/(M149-L149)&gt;10,1,0)),IF(ISNUMBER(K149),IF(M149-K149&lt;=0,1,IF(25/(M149-K149)&gt;10,1,0)),IF(M149&lt;=0,1,IF(30/M149&gt;10,1,0)))),0)&gt;0,1,0))</f>
        <v/>
      </c>
      <c r="O149" s="22">
        <f>IF(AND(J149=1,N149=0),1,0)</f>
        <v/>
      </c>
      <c r="P149" s="22">
        <f>INDEX(Personendaten!$J$2:$J$32,MATCH(A149,Personendaten!$A$2:$A$32,0))</f>
        <v/>
      </c>
      <c r="Q149" s="22">
        <f>IF(O149=1,"",IF(AND(B149="post",P149="nicht angetreten"),"NANG",IF(N149=1,"AUSL",IFERROR(VLOOKUP(H149,Vokabular!$A$2:$B$8,2,FALSE),"UNBEKANNT"))))</f>
        <v/>
      </c>
    </row>
    <row r="150">
      <c r="A150" s="5" t="inlineStr">
        <is>
          <t>BW-10</t>
        </is>
      </c>
      <c r="B150" s="5" t="inlineStr">
        <is>
          <t>prä</t>
        </is>
      </c>
      <c r="C150" s="5" t="inlineStr">
        <is>
          <t>Sprint_10m</t>
        </is>
      </c>
      <c r="D150" s="5" t="inlineStr">
        <is>
          <t>–</t>
        </is>
      </c>
      <c r="E150" s="5" t="n">
        <v>2</v>
      </c>
      <c r="F150" s="5" t="n">
        <v>1.85</v>
      </c>
      <c r="G150" s="5" t="n"/>
      <c r="H150" s="5" t="n"/>
      <c r="I150" s="22">
        <f>INDEX(Personendaten!$C$2:$C$32,MATCH(A150,Personendaten!$A$2:$A$32,0))</f>
        <v/>
      </c>
      <c r="J150" s="22">
        <f>IF(AND(F150&lt;&gt;"",G150=""),1,0)</f>
        <v/>
      </c>
      <c r="K150" s="22">
        <f>IF(LEFT(C150,7)&lt;&gt;"Sprint_","",IF(COUNTIFS(Versuchsdaten!$A$2:$A$1117,$A150,Versuchsdaten!$B$2:$B$1117,$B150,Versuchsdaten!$C$2:$C$1117,"Sprint_5m",Versuchsdaten!$E$2:$E$1117,$E150,Versuchsdaten!$J$2:$J$1117,1)=1,SUMIFS(Versuchsdaten!$F$2:$F$1117,Versuchsdaten!$A$2:$A$1117,$A150,Versuchsdaten!$B$2:$B$1117,$B150,Versuchsdaten!$C$2:$C$1117,"Sprint_5m",Versuchsdaten!$E$2:$E$1117,$E150,Versuchsdaten!$J$2:$J$1117,1),""))</f>
        <v/>
      </c>
      <c r="L150" s="22">
        <f>IF(LEFT(C150,7)&lt;&gt;"Sprint_","",IF(COUNTIFS(Versuchsdaten!$A$2:$A$1117,$A150,Versuchsdaten!$B$2:$B$1117,$B150,Versuchsdaten!$C$2:$C$1117,"Sprint_10m",Versuchsdaten!$E$2:$E$1117,$E150,Versuchsdaten!$J$2:$J$1117,1)=1,SUMIFS(Versuchsdaten!$F$2:$F$1117,Versuchsdaten!$A$2:$A$1117,$A150,Versuchsdaten!$B$2:$B$1117,$B150,Versuchsdaten!$C$2:$C$1117,"Sprint_10m",Versuchsdaten!$E$2:$E$1117,$E150,Versuchsdaten!$J$2:$J$1117,1),""))</f>
        <v/>
      </c>
      <c r="M150" s="22">
        <f>IF(LEFT(C150,7)&lt;&gt;"Sprint_","",IF(COUNTIFS(Versuchsdaten!$A$2:$A$1117,$A150,Versuchsdaten!$B$2:$B$1117,$B150,Versuchsdaten!$C$2:$C$1117,"Sprint_30m",Versuchsdaten!$E$2:$E$1117,$E150,Versuchsdaten!$J$2:$J$1117,1)=1,SUMIFS(Versuchsdaten!$F$2:$F$1117,Versuchsdaten!$A$2:$A$1117,$A150,Versuchsdaten!$B$2:$B$1117,$B150,Versuchsdaten!$C$2:$C$1117,"Sprint_30m",Versuchsdaten!$E$2:$E$1117,$E150,Versuchsdaten!$J$2:$J$1117,1),""))</f>
        <v/>
      </c>
      <c r="N150" s="22">
        <f>IF(LEFT(C150,7)&lt;&gt;"Sprint_",0,IF(IF(ISNUMBER(K150),IF(K150&lt;=0,1,IF(5/K150&gt;10,1,0)),0)+IF(ISNUMBER(L150),IF(ISNUMBER(K150),IF(L150-K150&lt;=0,1,IF(5/(L150-K150)&gt;10,1,0)),IF(L150&lt;=0,1,IF(10/L150&gt;10,1,0))),0)+IF(ISNUMBER(M150),IF(ISNUMBER(L150),IF(M150-L150&lt;=0,1,IF(20/(M150-L150)&gt;10,1,0)),IF(ISNUMBER(K150),IF(M150-K150&lt;=0,1,IF(25/(M150-K150)&gt;10,1,0)),IF(M150&lt;=0,1,IF(30/M150&gt;10,1,0)))),0)&gt;0,1,0))</f>
        <v/>
      </c>
      <c r="O150" s="22">
        <f>IF(AND(J150=1,N150=0),1,0)</f>
        <v/>
      </c>
      <c r="P150" s="22">
        <f>INDEX(Personendaten!$J$2:$J$32,MATCH(A150,Personendaten!$A$2:$A$32,0))</f>
        <v/>
      </c>
      <c r="Q150" s="22">
        <f>IF(O150=1,"",IF(AND(B150="post",P150="nicht angetreten"),"NANG",IF(N150=1,"AUSL",IFERROR(VLOOKUP(H150,Vokabular!$A$2:$B$8,2,FALSE),"UNBEKANNT"))))</f>
        <v/>
      </c>
    </row>
    <row r="151">
      <c r="A151" s="5" t="inlineStr">
        <is>
          <t>BW-10</t>
        </is>
      </c>
      <c r="B151" s="5" t="inlineStr">
        <is>
          <t>prä</t>
        </is>
      </c>
      <c r="C151" s="5" t="inlineStr">
        <is>
          <t>Sprint_10m</t>
        </is>
      </c>
      <c r="D151" s="5" t="inlineStr">
        <is>
          <t>–</t>
        </is>
      </c>
      <c r="E151" s="5" t="n">
        <v>3</v>
      </c>
      <c r="F151" s="5" t="n"/>
      <c r="G151" s="5" t="n"/>
      <c r="H151" s="5" t="inlineStr">
        <is>
          <t>Nur 2 Versuche aus Zeitmangel</t>
        </is>
      </c>
      <c r="I151" s="22">
        <f>INDEX(Personendaten!$C$2:$C$32,MATCH(A151,Personendaten!$A$2:$A$32,0))</f>
        <v/>
      </c>
      <c r="J151" s="22">
        <f>IF(AND(F151&lt;&gt;"",G151=""),1,0)</f>
        <v/>
      </c>
      <c r="K151" s="22">
        <f>IF(LEFT(C151,7)&lt;&gt;"Sprint_","",IF(COUNTIFS(Versuchsdaten!$A$2:$A$1117,$A151,Versuchsdaten!$B$2:$B$1117,$B151,Versuchsdaten!$C$2:$C$1117,"Sprint_5m",Versuchsdaten!$E$2:$E$1117,$E151,Versuchsdaten!$J$2:$J$1117,1)=1,SUMIFS(Versuchsdaten!$F$2:$F$1117,Versuchsdaten!$A$2:$A$1117,$A151,Versuchsdaten!$B$2:$B$1117,$B151,Versuchsdaten!$C$2:$C$1117,"Sprint_5m",Versuchsdaten!$E$2:$E$1117,$E151,Versuchsdaten!$J$2:$J$1117,1),""))</f>
        <v/>
      </c>
      <c r="L151" s="22">
        <f>IF(LEFT(C151,7)&lt;&gt;"Sprint_","",IF(COUNTIFS(Versuchsdaten!$A$2:$A$1117,$A151,Versuchsdaten!$B$2:$B$1117,$B151,Versuchsdaten!$C$2:$C$1117,"Sprint_10m",Versuchsdaten!$E$2:$E$1117,$E151,Versuchsdaten!$J$2:$J$1117,1)=1,SUMIFS(Versuchsdaten!$F$2:$F$1117,Versuchsdaten!$A$2:$A$1117,$A151,Versuchsdaten!$B$2:$B$1117,$B151,Versuchsdaten!$C$2:$C$1117,"Sprint_10m",Versuchsdaten!$E$2:$E$1117,$E151,Versuchsdaten!$J$2:$J$1117,1),""))</f>
        <v/>
      </c>
      <c r="M151" s="22">
        <f>IF(LEFT(C151,7)&lt;&gt;"Sprint_","",IF(COUNTIFS(Versuchsdaten!$A$2:$A$1117,$A151,Versuchsdaten!$B$2:$B$1117,$B151,Versuchsdaten!$C$2:$C$1117,"Sprint_30m",Versuchsdaten!$E$2:$E$1117,$E151,Versuchsdaten!$J$2:$J$1117,1)=1,SUMIFS(Versuchsdaten!$F$2:$F$1117,Versuchsdaten!$A$2:$A$1117,$A151,Versuchsdaten!$B$2:$B$1117,$B151,Versuchsdaten!$C$2:$C$1117,"Sprint_30m",Versuchsdaten!$E$2:$E$1117,$E151,Versuchsdaten!$J$2:$J$1117,1),""))</f>
        <v/>
      </c>
      <c r="N151" s="22">
        <f>IF(LEFT(C151,7)&lt;&gt;"Sprint_",0,IF(IF(ISNUMBER(K151),IF(K151&lt;=0,1,IF(5/K151&gt;10,1,0)),0)+IF(ISNUMBER(L151),IF(ISNUMBER(K151),IF(L151-K151&lt;=0,1,IF(5/(L151-K151)&gt;10,1,0)),IF(L151&lt;=0,1,IF(10/L151&gt;10,1,0))),0)+IF(ISNUMBER(M151),IF(ISNUMBER(L151),IF(M151-L151&lt;=0,1,IF(20/(M151-L151)&gt;10,1,0)),IF(ISNUMBER(K151),IF(M151-K151&lt;=0,1,IF(25/(M151-K151)&gt;10,1,0)),IF(M151&lt;=0,1,IF(30/M151&gt;10,1,0)))),0)&gt;0,1,0))</f>
        <v/>
      </c>
      <c r="O151" s="22">
        <f>IF(AND(J151=1,N151=0),1,0)</f>
        <v/>
      </c>
      <c r="P151" s="22">
        <f>INDEX(Personendaten!$J$2:$J$32,MATCH(A151,Personendaten!$A$2:$A$32,0))</f>
        <v/>
      </c>
      <c r="Q151" s="22">
        <f>IF(O151=1,"",IF(AND(B151="post",P151="nicht angetreten"),"NANG",IF(N151=1,"AUSL",IFERROR(VLOOKUP(H151,Vokabular!$A$2:$B$8,2,FALSE),"UNBEKANNT"))))</f>
        <v/>
      </c>
    </row>
    <row r="152">
      <c r="A152" s="5" t="inlineStr">
        <is>
          <t>BW-10</t>
        </is>
      </c>
      <c r="B152" s="5" t="inlineStr">
        <is>
          <t>prä</t>
        </is>
      </c>
      <c r="C152" s="5" t="inlineStr">
        <is>
          <t>Sprint_30m</t>
        </is>
      </c>
      <c r="D152" s="5" t="inlineStr">
        <is>
          <t>–</t>
        </is>
      </c>
      <c r="E152" s="5" t="n">
        <v>1</v>
      </c>
      <c r="F152" s="5" t="n">
        <v>4.7</v>
      </c>
      <c r="G152" s="5" t="n"/>
      <c r="H152" s="5" t="n"/>
      <c r="I152" s="22">
        <f>INDEX(Personendaten!$C$2:$C$32,MATCH(A152,Personendaten!$A$2:$A$32,0))</f>
        <v/>
      </c>
      <c r="J152" s="22">
        <f>IF(AND(F152&lt;&gt;"",G152=""),1,0)</f>
        <v/>
      </c>
      <c r="K152" s="22">
        <f>IF(LEFT(C152,7)&lt;&gt;"Sprint_","",IF(COUNTIFS(Versuchsdaten!$A$2:$A$1117,$A152,Versuchsdaten!$B$2:$B$1117,$B152,Versuchsdaten!$C$2:$C$1117,"Sprint_5m",Versuchsdaten!$E$2:$E$1117,$E152,Versuchsdaten!$J$2:$J$1117,1)=1,SUMIFS(Versuchsdaten!$F$2:$F$1117,Versuchsdaten!$A$2:$A$1117,$A152,Versuchsdaten!$B$2:$B$1117,$B152,Versuchsdaten!$C$2:$C$1117,"Sprint_5m",Versuchsdaten!$E$2:$E$1117,$E152,Versuchsdaten!$J$2:$J$1117,1),""))</f>
        <v/>
      </c>
      <c r="L152" s="22">
        <f>IF(LEFT(C152,7)&lt;&gt;"Sprint_","",IF(COUNTIFS(Versuchsdaten!$A$2:$A$1117,$A152,Versuchsdaten!$B$2:$B$1117,$B152,Versuchsdaten!$C$2:$C$1117,"Sprint_10m",Versuchsdaten!$E$2:$E$1117,$E152,Versuchsdaten!$J$2:$J$1117,1)=1,SUMIFS(Versuchsdaten!$F$2:$F$1117,Versuchsdaten!$A$2:$A$1117,$A152,Versuchsdaten!$B$2:$B$1117,$B152,Versuchsdaten!$C$2:$C$1117,"Sprint_10m",Versuchsdaten!$E$2:$E$1117,$E152,Versuchsdaten!$J$2:$J$1117,1),""))</f>
        <v/>
      </c>
      <c r="M152" s="22">
        <f>IF(LEFT(C152,7)&lt;&gt;"Sprint_","",IF(COUNTIFS(Versuchsdaten!$A$2:$A$1117,$A152,Versuchsdaten!$B$2:$B$1117,$B152,Versuchsdaten!$C$2:$C$1117,"Sprint_30m",Versuchsdaten!$E$2:$E$1117,$E152,Versuchsdaten!$J$2:$J$1117,1)=1,SUMIFS(Versuchsdaten!$F$2:$F$1117,Versuchsdaten!$A$2:$A$1117,$A152,Versuchsdaten!$B$2:$B$1117,$B152,Versuchsdaten!$C$2:$C$1117,"Sprint_30m",Versuchsdaten!$E$2:$E$1117,$E152,Versuchsdaten!$J$2:$J$1117,1),""))</f>
        <v/>
      </c>
      <c r="N152" s="22">
        <f>IF(LEFT(C152,7)&lt;&gt;"Sprint_",0,IF(IF(ISNUMBER(K152),IF(K152&lt;=0,1,IF(5/K152&gt;10,1,0)),0)+IF(ISNUMBER(L152),IF(ISNUMBER(K152),IF(L152-K152&lt;=0,1,IF(5/(L152-K152)&gt;10,1,0)),IF(L152&lt;=0,1,IF(10/L152&gt;10,1,0))),0)+IF(ISNUMBER(M152),IF(ISNUMBER(L152),IF(M152-L152&lt;=0,1,IF(20/(M152-L152)&gt;10,1,0)),IF(ISNUMBER(K152),IF(M152-K152&lt;=0,1,IF(25/(M152-K152)&gt;10,1,0)),IF(M152&lt;=0,1,IF(30/M152&gt;10,1,0)))),0)&gt;0,1,0))</f>
        <v/>
      </c>
      <c r="O152" s="22">
        <f>IF(AND(J152=1,N152=0),1,0)</f>
        <v/>
      </c>
      <c r="P152" s="22">
        <f>INDEX(Personendaten!$J$2:$J$32,MATCH(A152,Personendaten!$A$2:$A$32,0))</f>
        <v/>
      </c>
      <c r="Q152" s="22">
        <f>IF(O152=1,"",IF(AND(B152="post",P152="nicht angetreten"),"NANG",IF(N152=1,"AUSL",IFERROR(VLOOKUP(H152,Vokabular!$A$2:$B$8,2,FALSE),"UNBEKANNT"))))</f>
        <v/>
      </c>
    </row>
    <row r="153">
      <c r="A153" s="5" t="inlineStr">
        <is>
          <t>BW-10</t>
        </is>
      </c>
      <c r="B153" s="5" t="inlineStr">
        <is>
          <t>prä</t>
        </is>
      </c>
      <c r="C153" s="5" t="inlineStr">
        <is>
          <t>Sprint_30m</t>
        </is>
      </c>
      <c r="D153" s="5" t="inlineStr">
        <is>
          <t>–</t>
        </is>
      </c>
      <c r="E153" s="5" t="n">
        <v>2</v>
      </c>
      <c r="F153" s="5" t="n">
        <v>4.55</v>
      </c>
      <c r="G153" s="5" t="n"/>
      <c r="H153" s="5" t="n"/>
      <c r="I153" s="22">
        <f>INDEX(Personendaten!$C$2:$C$32,MATCH(A153,Personendaten!$A$2:$A$32,0))</f>
        <v/>
      </c>
      <c r="J153" s="22">
        <f>IF(AND(F153&lt;&gt;"",G153=""),1,0)</f>
        <v/>
      </c>
      <c r="K153" s="22">
        <f>IF(LEFT(C153,7)&lt;&gt;"Sprint_","",IF(COUNTIFS(Versuchsdaten!$A$2:$A$1117,$A153,Versuchsdaten!$B$2:$B$1117,$B153,Versuchsdaten!$C$2:$C$1117,"Sprint_5m",Versuchsdaten!$E$2:$E$1117,$E153,Versuchsdaten!$J$2:$J$1117,1)=1,SUMIFS(Versuchsdaten!$F$2:$F$1117,Versuchsdaten!$A$2:$A$1117,$A153,Versuchsdaten!$B$2:$B$1117,$B153,Versuchsdaten!$C$2:$C$1117,"Sprint_5m",Versuchsdaten!$E$2:$E$1117,$E153,Versuchsdaten!$J$2:$J$1117,1),""))</f>
        <v/>
      </c>
      <c r="L153" s="22">
        <f>IF(LEFT(C153,7)&lt;&gt;"Sprint_","",IF(COUNTIFS(Versuchsdaten!$A$2:$A$1117,$A153,Versuchsdaten!$B$2:$B$1117,$B153,Versuchsdaten!$C$2:$C$1117,"Sprint_10m",Versuchsdaten!$E$2:$E$1117,$E153,Versuchsdaten!$J$2:$J$1117,1)=1,SUMIFS(Versuchsdaten!$F$2:$F$1117,Versuchsdaten!$A$2:$A$1117,$A153,Versuchsdaten!$B$2:$B$1117,$B153,Versuchsdaten!$C$2:$C$1117,"Sprint_10m",Versuchsdaten!$E$2:$E$1117,$E153,Versuchsdaten!$J$2:$J$1117,1),""))</f>
        <v/>
      </c>
      <c r="M153" s="22">
        <f>IF(LEFT(C153,7)&lt;&gt;"Sprint_","",IF(COUNTIFS(Versuchsdaten!$A$2:$A$1117,$A153,Versuchsdaten!$B$2:$B$1117,$B153,Versuchsdaten!$C$2:$C$1117,"Sprint_30m",Versuchsdaten!$E$2:$E$1117,$E153,Versuchsdaten!$J$2:$J$1117,1)=1,SUMIFS(Versuchsdaten!$F$2:$F$1117,Versuchsdaten!$A$2:$A$1117,$A153,Versuchsdaten!$B$2:$B$1117,$B153,Versuchsdaten!$C$2:$C$1117,"Sprint_30m",Versuchsdaten!$E$2:$E$1117,$E153,Versuchsdaten!$J$2:$J$1117,1),""))</f>
        <v/>
      </c>
      <c r="N153" s="22">
        <f>IF(LEFT(C153,7)&lt;&gt;"Sprint_",0,IF(IF(ISNUMBER(K153),IF(K153&lt;=0,1,IF(5/K153&gt;10,1,0)),0)+IF(ISNUMBER(L153),IF(ISNUMBER(K153),IF(L153-K153&lt;=0,1,IF(5/(L153-K153)&gt;10,1,0)),IF(L153&lt;=0,1,IF(10/L153&gt;10,1,0))),0)+IF(ISNUMBER(M153),IF(ISNUMBER(L153),IF(M153-L153&lt;=0,1,IF(20/(M153-L153)&gt;10,1,0)),IF(ISNUMBER(K153),IF(M153-K153&lt;=0,1,IF(25/(M153-K153)&gt;10,1,0)),IF(M153&lt;=0,1,IF(30/M153&gt;10,1,0)))),0)&gt;0,1,0))</f>
        <v/>
      </c>
      <c r="O153" s="22">
        <f>IF(AND(J153=1,N153=0),1,0)</f>
        <v/>
      </c>
      <c r="P153" s="22">
        <f>INDEX(Personendaten!$J$2:$J$32,MATCH(A153,Personendaten!$A$2:$A$32,0))</f>
        <v/>
      </c>
      <c r="Q153" s="22">
        <f>IF(O153=1,"",IF(AND(B153="post",P153="nicht angetreten"),"NANG",IF(N153=1,"AUSL",IFERROR(VLOOKUP(H153,Vokabular!$A$2:$B$8,2,FALSE),"UNBEKANNT"))))</f>
        <v/>
      </c>
    </row>
    <row r="154">
      <c r="A154" s="5" t="inlineStr">
        <is>
          <t>BW-10</t>
        </is>
      </c>
      <c r="B154" s="5" t="inlineStr">
        <is>
          <t>prä</t>
        </is>
      </c>
      <c r="C154" s="5" t="inlineStr">
        <is>
          <t>Sprint_30m</t>
        </is>
      </c>
      <c r="D154" s="5" t="inlineStr">
        <is>
          <t>–</t>
        </is>
      </c>
      <c r="E154" s="5" t="n">
        <v>3</v>
      </c>
      <c r="F154" s="5" t="n"/>
      <c r="G154" s="5" t="n"/>
      <c r="H154" s="5" t="inlineStr">
        <is>
          <t>Nur 2 Versuche aus Zeitmangel</t>
        </is>
      </c>
      <c r="I154" s="22">
        <f>INDEX(Personendaten!$C$2:$C$32,MATCH(A154,Personendaten!$A$2:$A$32,0))</f>
        <v/>
      </c>
      <c r="J154" s="22">
        <f>IF(AND(F154&lt;&gt;"",G154=""),1,0)</f>
        <v/>
      </c>
      <c r="K154" s="22">
        <f>IF(LEFT(C154,7)&lt;&gt;"Sprint_","",IF(COUNTIFS(Versuchsdaten!$A$2:$A$1117,$A154,Versuchsdaten!$B$2:$B$1117,$B154,Versuchsdaten!$C$2:$C$1117,"Sprint_5m",Versuchsdaten!$E$2:$E$1117,$E154,Versuchsdaten!$J$2:$J$1117,1)=1,SUMIFS(Versuchsdaten!$F$2:$F$1117,Versuchsdaten!$A$2:$A$1117,$A154,Versuchsdaten!$B$2:$B$1117,$B154,Versuchsdaten!$C$2:$C$1117,"Sprint_5m",Versuchsdaten!$E$2:$E$1117,$E154,Versuchsdaten!$J$2:$J$1117,1),""))</f>
        <v/>
      </c>
      <c r="L154" s="22">
        <f>IF(LEFT(C154,7)&lt;&gt;"Sprint_","",IF(COUNTIFS(Versuchsdaten!$A$2:$A$1117,$A154,Versuchsdaten!$B$2:$B$1117,$B154,Versuchsdaten!$C$2:$C$1117,"Sprint_10m",Versuchsdaten!$E$2:$E$1117,$E154,Versuchsdaten!$J$2:$J$1117,1)=1,SUMIFS(Versuchsdaten!$F$2:$F$1117,Versuchsdaten!$A$2:$A$1117,$A154,Versuchsdaten!$B$2:$B$1117,$B154,Versuchsdaten!$C$2:$C$1117,"Sprint_10m",Versuchsdaten!$E$2:$E$1117,$E154,Versuchsdaten!$J$2:$J$1117,1),""))</f>
        <v/>
      </c>
      <c r="M154" s="22">
        <f>IF(LEFT(C154,7)&lt;&gt;"Sprint_","",IF(COUNTIFS(Versuchsdaten!$A$2:$A$1117,$A154,Versuchsdaten!$B$2:$B$1117,$B154,Versuchsdaten!$C$2:$C$1117,"Sprint_30m",Versuchsdaten!$E$2:$E$1117,$E154,Versuchsdaten!$J$2:$J$1117,1)=1,SUMIFS(Versuchsdaten!$F$2:$F$1117,Versuchsdaten!$A$2:$A$1117,$A154,Versuchsdaten!$B$2:$B$1117,$B154,Versuchsdaten!$C$2:$C$1117,"Sprint_30m",Versuchsdaten!$E$2:$E$1117,$E154,Versuchsdaten!$J$2:$J$1117,1),""))</f>
        <v/>
      </c>
      <c r="N154" s="22">
        <f>IF(LEFT(C154,7)&lt;&gt;"Sprint_",0,IF(IF(ISNUMBER(K154),IF(K154&lt;=0,1,IF(5/K154&gt;10,1,0)),0)+IF(ISNUMBER(L154),IF(ISNUMBER(K154),IF(L154-K154&lt;=0,1,IF(5/(L154-K154)&gt;10,1,0)),IF(L154&lt;=0,1,IF(10/L154&gt;10,1,0))),0)+IF(ISNUMBER(M154),IF(ISNUMBER(L154),IF(M154-L154&lt;=0,1,IF(20/(M154-L154)&gt;10,1,0)),IF(ISNUMBER(K154),IF(M154-K154&lt;=0,1,IF(25/(M154-K154)&gt;10,1,0)),IF(M154&lt;=0,1,IF(30/M154&gt;10,1,0)))),0)&gt;0,1,0))</f>
        <v/>
      </c>
      <c r="O154" s="22">
        <f>IF(AND(J154=1,N154=0),1,0)</f>
        <v/>
      </c>
      <c r="P154" s="22">
        <f>INDEX(Personendaten!$J$2:$J$32,MATCH(A154,Personendaten!$A$2:$A$32,0))</f>
        <v/>
      </c>
      <c r="Q154" s="22">
        <f>IF(O154=1,"",IF(AND(B154="post",P154="nicht angetreten"),"NANG",IF(N154=1,"AUSL",IFERROR(VLOOKUP(H154,Vokabular!$A$2:$B$8,2,FALSE),"UNBEKANNT"))))</f>
        <v/>
      </c>
    </row>
    <row r="155">
      <c r="A155" s="5" t="inlineStr">
        <is>
          <t>BW-10</t>
        </is>
      </c>
      <c r="B155" s="5" t="inlineStr">
        <is>
          <t>prä</t>
        </is>
      </c>
      <c r="C155" s="5" t="inlineStr">
        <is>
          <t>Standweitsprung</t>
        </is>
      </c>
      <c r="D155" s="5" t="inlineStr">
        <is>
          <t>–</t>
        </is>
      </c>
      <c r="E155" s="5" t="n">
        <v>1</v>
      </c>
      <c r="F155" s="5" t="n">
        <v>195</v>
      </c>
      <c r="G155" s="5" t="n"/>
      <c r="H155" s="5" t="n"/>
      <c r="I155" s="22">
        <f>INDEX(Personendaten!$C$2:$C$32,MATCH(A155,Personendaten!$A$2:$A$32,0))</f>
        <v/>
      </c>
      <c r="J155" s="22">
        <f>IF(AND(F155&lt;&gt;"",G155=""),1,0)</f>
        <v/>
      </c>
      <c r="K155" s="22">
        <f>IF(LEFT(C155,7)&lt;&gt;"Sprint_","",IF(COUNTIFS(Versuchsdaten!$A$2:$A$1117,$A155,Versuchsdaten!$B$2:$B$1117,$B155,Versuchsdaten!$C$2:$C$1117,"Sprint_5m",Versuchsdaten!$E$2:$E$1117,$E155,Versuchsdaten!$J$2:$J$1117,1)=1,SUMIFS(Versuchsdaten!$F$2:$F$1117,Versuchsdaten!$A$2:$A$1117,$A155,Versuchsdaten!$B$2:$B$1117,$B155,Versuchsdaten!$C$2:$C$1117,"Sprint_5m",Versuchsdaten!$E$2:$E$1117,$E155,Versuchsdaten!$J$2:$J$1117,1),""))</f>
        <v/>
      </c>
      <c r="L155" s="22">
        <f>IF(LEFT(C155,7)&lt;&gt;"Sprint_","",IF(COUNTIFS(Versuchsdaten!$A$2:$A$1117,$A155,Versuchsdaten!$B$2:$B$1117,$B155,Versuchsdaten!$C$2:$C$1117,"Sprint_10m",Versuchsdaten!$E$2:$E$1117,$E155,Versuchsdaten!$J$2:$J$1117,1)=1,SUMIFS(Versuchsdaten!$F$2:$F$1117,Versuchsdaten!$A$2:$A$1117,$A155,Versuchsdaten!$B$2:$B$1117,$B155,Versuchsdaten!$C$2:$C$1117,"Sprint_10m",Versuchsdaten!$E$2:$E$1117,$E155,Versuchsdaten!$J$2:$J$1117,1),""))</f>
        <v/>
      </c>
      <c r="M155" s="22">
        <f>IF(LEFT(C155,7)&lt;&gt;"Sprint_","",IF(COUNTIFS(Versuchsdaten!$A$2:$A$1117,$A155,Versuchsdaten!$B$2:$B$1117,$B155,Versuchsdaten!$C$2:$C$1117,"Sprint_30m",Versuchsdaten!$E$2:$E$1117,$E155,Versuchsdaten!$J$2:$J$1117,1)=1,SUMIFS(Versuchsdaten!$F$2:$F$1117,Versuchsdaten!$A$2:$A$1117,$A155,Versuchsdaten!$B$2:$B$1117,$B155,Versuchsdaten!$C$2:$C$1117,"Sprint_30m",Versuchsdaten!$E$2:$E$1117,$E155,Versuchsdaten!$J$2:$J$1117,1),""))</f>
        <v/>
      </c>
      <c r="N155" s="22">
        <f>IF(LEFT(C155,7)&lt;&gt;"Sprint_",0,IF(IF(ISNUMBER(K155),IF(K155&lt;=0,1,IF(5/K155&gt;10,1,0)),0)+IF(ISNUMBER(L155),IF(ISNUMBER(K155),IF(L155-K155&lt;=0,1,IF(5/(L155-K155)&gt;10,1,0)),IF(L155&lt;=0,1,IF(10/L155&gt;10,1,0))),0)+IF(ISNUMBER(M155),IF(ISNUMBER(L155),IF(M155-L155&lt;=0,1,IF(20/(M155-L155)&gt;10,1,0)),IF(ISNUMBER(K155),IF(M155-K155&lt;=0,1,IF(25/(M155-K155)&gt;10,1,0)),IF(M155&lt;=0,1,IF(30/M155&gt;10,1,0)))),0)&gt;0,1,0))</f>
        <v/>
      </c>
      <c r="O155" s="22">
        <f>IF(AND(J155=1,N155=0),1,0)</f>
        <v/>
      </c>
      <c r="P155" s="22">
        <f>INDEX(Personendaten!$J$2:$J$32,MATCH(A155,Personendaten!$A$2:$A$32,0))</f>
        <v/>
      </c>
      <c r="Q155" s="22">
        <f>IF(O155=1,"",IF(AND(B155="post",P155="nicht angetreten"),"NANG",IF(N155=1,"AUSL",IFERROR(VLOOKUP(H155,Vokabular!$A$2:$B$8,2,FALSE),"UNBEKANNT"))))</f>
        <v/>
      </c>
    </row>
    <row r="156">
      <c r="A156" s="5" t="inlineStr">
        <is>
          <t>BW-10</t>
        </is>
      </c>
      <c r="B156" s="5" t="inlineStr">
        <is>
          <t>prä</t>
        </is>
      </c>
      <c r="C156" s="5" t="inlineStr">
        <is>
          <t>Standweitsprung</t>
        </is>
      </c>
      <c r="D156" s="5" t="inlineStr">
        <is>
          <t>–</t>
        </is>
      </c>
      <c r="E156" s="5" t="n">
        <v>2</v>
      </c>
      <c r="F156" s="5" t="n">
        <v>207</v>
      </c>
      <c r="G156" s="5" t="n"/>
      <c r="H156" s="5" t="n"/>
      <c r="I156" s="22">
        <f>INDEX(Personendaten!$C$2:$C$32,MATCH(A156,Personendaten!$A$2:$A$32,0))</f>
        <v/>
      </c>
      <c r="J156" s="22">
        <f>IF(AND(F156&lt;&gt;"",G156=""),1,0)</f>
        <v/>
      </c>
      <c r="K156" s="22">
        <f>IF(LEFT(C156,7)&lt;&gt;"Sprint_","",IF(COUNTIFS(Versuchsdaten!$A$2:$A$1117,$A156,Versuchsdaten!$B$2:$B$1117,$B156,Versuchsdaten!$C$2:$C$1117,"Sprint_5m",Versuchsdaten!$E$2:$E$1117,$E156,Versuchsdaten!$J$2:$J$1117,1)=1,SUMIFS(Versuchsdaten!$F$2:$F$1117,Versuchsdaten!$A$2:$A$1117,$A156,Versuchsdaten!$B$2:$B$1117,$B156,Versuchsdaten!$C$2:$C$1117,"Sprint_5m",Versuchsdaten!$E$2:$E$1117,$E156,Versuchsdaten!$J$2:$J$1117,1),""))</f>
        <v/>
      </c>
      <c r="L156" s="22">
        <f>IF(LEFT(C156,7)&lt;&gt;"Sprint_","",IF(COUNTIFS(Versuchsdaten!$A$2:$A$1117,$A156,Versuchsdaten!$B$2:$B$1117,$B156,Versuchsdaten!$C$2:$C$1117,"Sprint_10m",Versuchsdaten!$E$2:$E$1117,$E156,Versuchsdaten!$J$2:$J$1117,1)=1,SUMIFS(Versuchsdaten!$F$2:$F$1117,Versuchsdaten!$A$2:$A$1117,$A156,Versuchsdaten!$B$2:$B$1117,$B156,Versuchsdaten!$C$2:$C$1117,"Sprint_10m",Versuchsdaten!$E$2:$E$1117,$E156,Versuchsdaten!$J$2:$J$1117,1),""))</f>
        <v/>
      </c>
      <c r="M156" s="22">
        <f>IF(LEFT(C156,7)&lt;&gt;"Sprint_","",IF(COUNTIFS(Versuchsdaten!$A$2:$A$1117,$A156,Versuchsdaten!$B$2:$B$1117,$B156,Versuchsdaten!$C$2:$C$1117,"Sprint_30m",Versuchsdaten!$E$2:$E$1117,$E156,Versuchsdaten!$J$2:$J$1117,1)=1,SUMIFS(Versuchsdaten!$F$2:$F$1117,Versuchsdaten!$A$2:$A$1117,$A156,Versuchsdaten!$B$2:$B$1117,$B156,Versuchsdaten!$C$2:$C$1117,"Sprint_30m",Versuchsdaten!$E$2:$E$1117,$E156,Versuchsdaten!$J$2:$J$1117,1),""))</f>
        <v/>
      </c>
      <c r="N156" s="22">
        <f>IF(LEFT(C156,7)&lt;&gt;"Sprint_",0,IF(IF(ISNUMBER(K156),IF(K156&lt;=0,1,IF(5/K156&gt;10,1,0)),0)+IF(ISNUMBER(L156),IF(ISNUMBER(K156),IF(L156-K156&lt;=0,1,IF(5/(L156-K156)&gt;10,1,0)),IF(L156&lt;=0,1,IF(10/L156&gt;10,1,0))),0)+IF(ISNUMBER(M156),IF(ISNUMBER(L156),IF(M156-L156&lt;=0,1,IF(20/(M156-L156)&gt;10,1,0)),IF(ISNUMBER(K156),IF(M156-K156&lt;=0,1,IF(25/(M156-K156)&gt;10,1,0)),IF(M156&lt;=0,1,IF(30/M156&gt;10,1,0)))),0)&gt;0,1,0))</f>
        <v/>
      </c>
      <c r="O156" s="22">
        <f>IF(AND(J156=1,N156=0),1,0)</f>
        <v/>
      </c>
      <c r="P156" s="22">
        <f>INDEX(Personendaten!$J$2:$J$32,MATCH(A156,Personendaten!$A$2:$A$32,0))</f>
        <v/>
      </c>
      <c r="Q156" s="22">
        <f>IF(O156=1,"",IF(AND(B156="post",P156="nicht angetreten"),"NANG",IF(N156=1,"AUSL",IFERROR(VLOOKUP(H156,Vokabular!$A$2:$B$8,2,FALSE),"UNBEKANNT"))))</f>
        <v/>
      </c>
    </row>
    <row r="157">
      <c r="A157" s="5" t="inlineStr">
        <is>
          <t>BW-10</t>
        </is>
      </c>
      <c r="B157" s="5" t="inlineStr">
        <is>
          <t>prä</t>
        </is>
      </c>
      <c r="C157" s="5" t="inlineStr">
        <is>
          <t>Standweitsprung</t>
        </is>
      </c>
      <c r="D157" s="5" t="inlineStr">
        <is>
          <t>–</t>
        </is>
      </c>
      <c r="E157" s="5" t="n">
        <v>3</v>
      </c>
      <c r="F157" s="5" t="n"/>
      <c r="G157" s="5" t="n"/>
      <c r="H157" s="5" t="inlineStr">
        <is>
          <t>Nur 2 Versuche aus Zeitmangel</t>
        </is>
      </c>
      <c r="I157" s="22">
        <f>INDEX(Personendaten!$C$2:$C$32,MATCH(A157,Personendaten!$A$2:$A$32,0))</f>
        <v/>
      </c>
      <c r="J157" s="22">
        <f>IF(AND(F157&lt;&gt;"",G157=""),1,0)</f>
        <v/>
      </c>
      <c r="K157" s="22">
        <f>IF(LEFT(C157,7)&lt;&gt;"Sprint_","",IF(COUNTIFS(Versuchsdaten!$A$2:$A$1117,$A157,Versuchsdaten!$B$2:$B$1117,$B157,Versuchsdaten!$C$2:$C$1117,"Sprint_5m",Versuchsdaten!$E$2:$E$1117,$E157,Versuchsdaten!$J$2:$J$1117,1)=1,SUMIFS(Versuchsdaten!$F$2:$F$1117,Versuchsdaten!$A$2:$A$1117,$A157,Versuchsdaten!$B$2:$B$1117,$B157,Versuchsdaten!$C$2:$C$1117,"Sprint_5m",Versuchsdaten!$E$2:$E$1117,$E157,Versuchsdaten!$J$2:$J$1117,1),""))</f>
        <v/>
      </c>
      <c r="L157" s="22">
        <f>IF(LEFT(C157,7)&lt;&gt;"Sprint_","",IF(COUNTIFS(Versuchsdaten!$A$2:$A$1117,$A157,Versuchsdaten!$B$2:$B$1117,$B157,Versuchsdaten!$C$2:$C$1117,"Sprint_10m",Versuchsdaten!$E$2:$E$1117,$E157,Versuchsdaten!$J$2:$J$1117,1)=1,SUMIFS(Versuchsdaten!$F$2:$F$1117,Versuchsdaten!$A$2:$A$1117,$A157,Versuchsdaten!$B$2:$B$1117,$B157,Versuchsdaten!$C$2:$C$1117,"Sprint_10m",Versuchsdaten!$E$2:$E$1117,$E157,Versuchsdaten!$J$2:$J$1117,1),""))</f>
        <v/>
      </c>
      <c r="M157" s="22">
        <f>IF(LEFT(C157,7)&lt;&gt;"Sprint_","",IF(COUNTIFS(Versuchsdaten!$A$2:$A$1117,$A157,Versuchsdaten!$B$2:$B$1117,$B157,Versuchsdaten!$C$2:$C$1117,"Sprint_30m",Versuchsdaten!$E$2:$E$1117,$E157,Versuchsdaten!$J$2:$J$1117,1)=1,SUMIFS(Versuchsdaten!$F$2:$F$1117,Versuchsdaten!$A$2:$A$1117,$A157,Versuchsdaten!$B$2:$B$1117,$B157,Versuchsdaten!$C$2:$C$1117,"Sprint_30m",Versuchsdaten!$E$2:$E$1117,$E157,Versuchsdaten!$J$2:$J$1117,1),""))</f>
        <v/>
      </c>
      <c r="N157" s="22">
        <f>IF(LEFT(C157,7)&lt;&gt;"Sprint_",0,IF(IF(ISNUMBER(K157),IF(K157&lt;=0,1,IF(5/K157&gt;10,1,0)),0)+IF(ISNUMBER(L157),IF(ISNUMBER(K157),IF(L157-K157&lt;=0,1,IF(5/(L157-K157)&gt;10,1,0)),IF(L157&lt;=0,1,IF(10/L157&gt;10,1,0))),0)+IF(ISNUMBER(M157),IF(ISNUMBER(L157),IF(M157-L157&lt;=0,1,IF(20/(M157-L157)&gt;10,1,0)),IF(ISNUMBER(K157),IF(M157-K157&lt;=0,1,IF(25/(M157-K157)&gt;10,1,0)),IF(M157&lt;=0,1,IF(30/M157&gt;10,1,0)))),0)&gt;0,1,0))</f>
        <v/>
      </c>
      <c r="O157" s="22">
        <f>IF(AND(J157=1,N157=0),1,0)</f>
        <v/>
      </c>
      <c r="P157" s="22">
        <f>INDEX(Personendaten!$J$2:$J$32,MATCH(A157,Personendaten!$A$2:$A$32,0))</f>
        <v/>
      </c>
      <c r="Q157" s="22">
        <f>IF(O157=1,"",IF(AND(B157="post",P157="nicht angetreten"),"NANG",IF(N157=1,"AUSL",IFERROR(VLOOKUP(H157,Vokabular!$A$2:$B$8,2,FALSE),"UNBEKANNT"))))</f>
        <v/>
      </c>
    </row>
    <row r="158">
      <c r="A158" s="5" t="inlineStr">
        <is>
          <t>BW-10</t>
        </is>
      </c>
      <c r="B158" s="5" t="inlineStr">
        <is>
          <t>prä</t>
        </is>
      </c>
      <c r="C158" s="5" t="inlineStr">
        <is>
          <t>COD_505</t>
        </is>
      </c>
      <c r="D158" s="5" t="inlineStr">
        <is>
          <t>L</t>
        </is>
      </c>
      <c r="E158" s="5" t="n">
        <v>1</v>
      </c>
      <c r="F158" s="5" t="n">
        <v>2.49</v>
      </c>
      <c r="G158" s="5" t="n"/>
      <c r="H158" s="5" t="n"/>
      <c r="I158" s="22">
        <f>INDEX(Personendaten!$C$2:$C$32,MATCH(A158,Personendaten!$A$2:$A$32,0))</f>
        <v/>
      </c>
      <c r="J158" s="22">
        <f>IF(AND(F158&lt;&gt;"",G158=""),1,0)</f>
        <v/>
      </c>
      <c r="K158" s="22">
        <f>IF(LEFT(C158,7)&lt;&gt;"Sprint_","",IF(COUNTIFS(Versuchsdaten!$A$2:$A$1117,$A158,Versuchsdaten!$B$2:$B$1117,$B158,Versuchsdaten!$C$2:$C$1117,"Sprint_5m",Versuchsdaten!$E$2:$E$1117,$E158,Versuchsdaten!$J$2:$J$1117,1)=1,SUMIFS(Versuchsdaten!$F$2:$F$1117,Versuchsdaten!$A$2:$A$1117,$A158,Versuchsdaten!$B$2:$B$1117,$B158,Versuchsdaten!$C$2:$C$1117,"Sprint_5m",Versuchsdaten!$E$2:$E$1117,$E158,Versuchsdaten!$J$2:$J$1117,1),""))</f>
        <v/>
      </c>
      <c r="L158" s="22">
        <f>IF(LEFT(C158,7)&lt;&gt;"Sprint_","",IF(COUNTIFS(Versuchsdaten!$A$2:$A$1117,$A158,Versuchsdaten!$B$2:$B$1117,$B158,Versuchsdaten!$C$2:$C$1117,"Sprint_10m",Versuchsdaten!$E$2:$E$1117,$E158,Versuchsdaten!$J$2:$J$1117,1)=1,SUMIFS(Versuchsdaten!$F$2:$F$1117,Versuchsdaten!$A$2:$A$1117,$A158,Versuchsdaten!$B$2:$B$1117,$B158,Versuchsdaten!$C$2:$C$1117,"Sprint_10m",Versuchsdaten!$E$2:$E$1117,$E158,Versuchsdaten!$J$2:$J$1117,1),""))</f>
        <v/>
      </c>
      <c r="M158" s="22">
        <f>IF(LEFT(C158,7)&lt;&gt;"Sprint_","",IF(COUNTIFS(Versuchsdaten!$A$2:$A$1117,$A158,Versuchsdaten!$B$2:$B$1117,$B158,Versuchsdaten!$C$2:$C$1117,"Sprint_30m",Versuchsdaten!$E$2:$E$1117,$E158,Versuchsdaten!$J$2:$J$1117,1)=1,SUMIFS(Versuchsdaten!$F$2:$F$1117,Versuchsdaten!$A$2:$A$1117,$A158,Versuchsdaten!$B$2:$B$1117,$B158,Versuchsdaten!$C$2:$C$1117,"Sprint_30m",Versuchsdaten!$E$2:$E$1117,$E158,Versuchsdaten!$J$2:$J$1117,1),""))</f>
        <v/>
      </c>
      <c r="N158" s="22">
        <f>IF(LEFT(C158,7)&lt;&gt;"Sprint_",0,IF(IF(ISNUMBER(K158),IF(K158&lt;=0,1,IF(5/K158&gt;10,1,0)),0)+IF(ISNUMBER(L158),IF(ISNUMBER(K158),IF(L158-K158&lt;=0,1,IF(5/(L158-K158)&gt;10,1,0)),IF(L158&lt;=0,1,IF(10/L158&gt;10,1,0))),0)+IF(ISNUMBER(M158),IF(ISNUMBER(L158),IF(M158-L158&lt;=0,1,IF(20/(M158-L158)&gt;10,1,0)),IF(ISNUMBER(K158),IF(M158-K158&lt;=0,1,IF(25/(M158-K158)&gt;10,1,0)),IF(M158&lt;=0,1,IF(30/M158&gt;10,1,0)))),0)&gt;0,1,0))</f>
        <v/>
      </c>
      <c r="O158" s="22">
        <f>IF(AND(J158=1,N158=0),1,0)</f>
        <v/>
      </c>
      <c r="P158" s="22">
        <f>INDEX(Personendaten!$J$2:$J$32,MATCH(A158,Personendaten!$A$2:$A$32,0))</f>
        <v/>
      </c>
      <c r="Q158" s="22">
        <f>IF(O158=1,"",IF(AND(B158="post",P158="nicht angetreten"),"NANG",IF(N158=1,"AUSL",IFERROR(VLOOKUP(H158,Vokabular!$A$2:$B$8,2,FALSE),"UNBEKANNT"))))</f>
        <v/>
      </c>
    </row>
    <row r="159">
      <c r="A159" s="5" t="inlineStr">
        <is>
          <t>BW-10</t>
        </is>
      </c>
      <c r="B159" s="5" t="inlineStr">
        <is>
          <t>prä</t>
        </is>
      </c>
      <c r="C159" s="5" t="inlineStr">
        <is>
          <t>COD_505</t>
        </is>
      </c>
      <c r="D159" s="5" t="inlineStr">
        <is>
          <t>L</t>
        </is>
      </c>
      <c r="E159" s="5" t="n">
        <v>2</v>
      </c>
      <c r="F159" s="5" t="n">
        <v>2.61</v>
      </c>
      <c r="G159" s="5" t="n"/>
      <c r="H159" s="5" t="n"/>
      <c r="I159" s="22">
        <f>INDEX(Personendaten!$C$2:$C$32,MATCH(A159,Personendaten!$A$2:$A$32,0))</f>
        <v/>
      </c>
      <c r="J159" s="22">
        <f>IF(AND(F159&lt;&gt;"",G159=""),1,0)</f>
        <v/>
      </c>
      <c r="K159" s="22">
        <f>IF(LEFT(C159,7)&lt;&gt;"Sprint_","",IF(COUNTIFS(Versuchsdaten!$A$2:$A$1117,$A159,Versuchsdaten!$B$2:$B$1117,$B159,Versuchsdaten!$C$2:$C$1117,"Sprint_5m",Versuchsdaten!$E$2:$E$1117,$E159,Versuchsdaten!$J$2:$J$1117,1)=1,SUMIFS(Versuchsdaten!$F$2:$F$1117,Versuchsdaten!$A$2:$A$1117,$A159,Versuchsdaten!$B$2:$B$1117,$B159,Versuchsdaten!$C$2:$C$1117,"Sprint_5m",Versuchsdaten!$E$2:$E$1117,$E159,Versuchsdaten!$J$2:$J$1117,1),""))</f>
        <v/>
      </c>
      <c r="L159" s="22">
        <f>IF(LEFT(C159,7)&lt;&gt;"Sprint_","",IF(COUNTIFS(Versuchsdaten!$A$2:$A$1117,$A159,Versuchsdaten!$B$2:$B$1117,$B159,Versuchsdaten!$C$2:$C$1117,"Sprint_10m",Versuchsdaten!$E$2:$E$1117,$E159,Versuchsdaten!$J$2:$J$1117,1)=1,SUMIFS(Versuchsdaten!$F$2:$F$1117,Versuchsdaten!$A$2:$A$1117,$A159,Versuchsdaten!$B$2:$B$1117,$B159,Versuchsdaten!$C$2:$C$1117,"Sprint_10m",Versuchsdaten!$E$2:$E$1117,$E159,Versuchsdaten!$J$2:$J$1117,1),""))</f>
        <v/>
      </c>
      <c r="M159" s="22">
        <f>IF(LEFT(C159,7)&lt;&gt;"Sprint_","",IF(COUNTIFS(Versuchsdaten!$A$2:$A$1117,$A159,Versuchsdaten!$B$2:$B$1117,$B159,Versuchsdaten!$C$2:$C$1117,"Sprint_30m",Versuchsdaten!$E$2:$E$1117,$E159,Versuchsdaten!$J$2:$J$1117,1)=1,SUMIFS(Versuchsdaten!$F$2:$F$1117,Versuchsdaten!$A$2:$A$1117,$A159,Versuchsdaten!$B$2:$B$1117,$B159,Versuchsdaten!$C$2:$C$1117,"Sprint_30m",Versuchsdaten!$E$2:$E$1117,$E159,Versuchsdaten!$J$2:$J$1117,1),""))</f>
        <v/>
      </c>
      <c r="N159" s="22">
        <f>IF(LEFT(C159,7)&lt;&gt;"Sprint_",0,IF(IF(ISNUMBER(K159),IF(K159&lt;=0,1,IF(5/K159&gt;10,1,0)),0)+IF(ISNUMBER(L159),IF(ISNUMBER(K159),IF(L159-K159&lt;=0,1,IF(5/(L159-K159)&gt;10,1,0)),IF(L159&lt;=0,1,IF(10/L159&gt;10,1,0))),0)+IF(ISNUMBER(M159),IF(ISNUMBER(L159),IF(M159-L159&lt;=0,1,IF(20/(M159-L159)&gt;10,1,0)),IF(ISNUMBER(K159),IF(M159-K159&lt;=0,1,IF(25/(M159-K159)&gt;10,1,0)),IF(M159&lt;=0,1,IF(30/M159&gt;10,1,0)))),0)&gt;0,1,0))</f>
        <v/>
      </c>
      <c r="O159" s="22">
        <f>IF(AND(J159=1,N159=0),1,0)</f>
        <v/>
      </c>
      <c r="P159" s="22">
        <f>INDEX(Personendaten!$J$2:$J$32,MATCH(A159,Personendaten!$A$2:$A$32,0))</f>
        <v/>
      </c>
      <c r="Q159" s="22">
        <f>IF(O159=1,"",IF(AND(B159="post",P159="nicht angetreten"),"NANG",IF(N159=1,"AUSL",IFERROR(VLOOKUP(H159,Vokabular!$A$2:$B$8,2,FALSE),"UNBEKANNT"))))</f>
        <v/>
      </c>
    </row>
    <row r="160">
      <c r="A160" s="5" t="inlineStr">
        <is>
          <t>BW-10</t>
        </is>
      </c>
      <c r="B160" s="5" t="inlineStr">
        <is>
          <t>prä</t>
        </is>
      </c>
      <c r="C160" s="5" t="inlineStr">
        <is>
          <t>COD_505</t>
        </is>
      </c>
      <c r="D160" s="5" t="inlineStr">
        <is>
          <t>L</t>
        </is>
      </c>
      <c r="E160" s="5" t="n">
        <v>3</v>
      </c>
      <c r="F160" s="5" t="n"/>
      <c r="G160" s="5" t="n"/>
      <c r="H160" s="5" t="inlineStr">
        <is>
          <t>Nur 2 Versuche aus Zeitmangel</t>
        </is>
      </c>
      <c r="I160" s="22">
        <f>INDEX(Personendaten!$C$2:$C$32,MATCH(A160,Personendaten!$A$2:$A$32,0))</f>
        <v/>
      </c>
      <c r="J160" s="22">
        <f>IF(AND(F160&lt;&gt;"",G160=""),1,0)</f>
        <v/>
      </c>
      <c r="K160" s="22">
        <f>IF(LEFT(C160,7)&lt;&gt;"Sprint_","",IF(COUNTIFS(Versuchsdaten!$A$2:$A$1117,$A160,Versuchsdaten!$B$2:$B$1117,$B160,Versuchsdaten!$C$2:$C$1117,"Sprint_5m",Versuchsdaten!$E$2:$E$1117,$E160,Versuchsdaten!$J$2:$J$1117,1)=1,SUMIFS(Versuchsdaten!$F$2:$F$1117,Versuchsdaten!$A$2:$A$1117,$A160,Versuchsdaten!$B$2:$B$1117,$B160,Versuchsdaten!$C$2:$C$1117,"Sprint_5m",Versuchsdaten!$E$2:$E$1117,$E160,Versuchsdaten!$J$2:$J$1117,1),""))</f>
        <v/>
      </c>
      <c r="L160" s="22">
        <f>IF(LEFT(C160,7)&lt;&gt;"Sprint_","",IF(COUNTIFS(Versuchsdaten!$A$2:$A$1117,$A160,Versuchsdaten!$B$2:$B$1117,$B160,Versuchsdaten!$C$2:$C$1117,"Sprint_10m",Versuchsdaten!$E$2:$E$1117,$E160,Versuchsdaten!$J$2:$J$1117,1)=1,SUMIFS(Versuchsdaten!$F$2:$F$1117,Versuchsdaten!$A$2:$A$1117,$A160,Versuchsdaten!$B$2:$B$1117,$B160,Versuchsdaten!$C$2:$C$1117,"Sprint_10m",Versuchsdaten!$E$2:$E$1117,$E160,Versuchsdaten!$J$2:$J$1117,1),""))</f>
        <v/>
      </c>
      <c r="M160" s="22">
        <f>IF(LEFT(C160,7)&lt;&gt;"Sprint_","",IF(COUNTIFS(Versuchsdaten!$A$2:$A$1117,$A160,Versuchsdaten!$B$2:$B$1117,$B160,Versuchsdaten!$C$2:$C$1117,"Sprint_30m",Versuchsdaten!$E$2:$E$1117,$E160,Versuchsdaten!$J$2:$J$1117,1)=1,SUMIFS(Versuchsdaten!$F$2:$F$1117,Versuchsdaten!$A$2:$A$1117,$A160,Versuchsdaten!$B$2:$B$1117,$B160,Versuchsdaten!$C$2:$C$1117,"Sprint_30m",Versuchsdaten!$E$2:$E$1117,$E160,Versuchsdaten!$J$2:$J$1117,1),""))</f>
        <v/>
      </c>
      <c r="N160" s="22">
        <f>IF(LEFT(C160,7)&lt;&gt;"Sprint_",0,IF(IF(ISNUMBER(K160),IF(K160&lt;=0,1,IF(5/K160&gt;10,1,0)),0)+IF(ISNUMBER(L160),IF(ISNUMBER(K160),IF(L160-K160&lt;=0,1,IF(5/(L160-K160)&gt;10,1,0)),IF(L160&lt;=0,1,IF(10/L160&gt;10,1,0))),0)+IF(ISNUMBER(M160),IF(ISNUMBER(L160),IF(M160-L160&lt;=0,1,IF(20/(M160-L160)&gt;10,1,0)),IF(ISNUMBER(K160),IF(M160-K160&lt;=0,1,IF(25/(M160-K160)&gt;10,1,0)),IF(M160&lt;=0,1,IF(30/M160&gt;10,1,0)))),0)&gt;0,1,0))</f>
        <v/>
      </c>
      <c r="O160" s="22">
        <f>IF(AND(J160=1,N160=0),1,0)</f>
        <v/>
      </c>
      <c r="P160" s="22">
        <f>INDEX(Personendaten!$J$2:$J$32,MATCH(A160,Personendaten!$A$2:$A$32,0))</f>
        <v/>
      </c>
      <c r="Q160" s="22">
        <f>IF(O160=1,"",IF(AND(B160="post",P160="nicht angetreten"),"NANG",IF(N160=1,"AUSL",IFERROR(VLOOKUP(H160,Vokabular!$A$2:$B$8,2,FALSE),"UNBEKANNT"))))</f>
        <v/>
      </c>
    </row>
    <row r="161">
      <c r="A161" s="5" t="inlineStr">
        <is>
          <t>BW-10</t>
        </is>
      </c>
      <c r="B161" s="5" t="inlineStr">
        <is>
          <t>prä</t>
        </is>
      </c>
      <c r="C161" s="5" t="inlineStr">
        <is>
          <t>COD_505</t>
        </is>
      </c>
      <c r="D161" s="5" t="inlineStr">
        <is>
          <t>R</t>
        </is>
      </c>
      <c r="E161" s="5" t="n">
        <v>1</v>
      </c>
      <c r="F161" s="5" t="n">
        <v>2.6</v>
      </c>
      <c r="G161" s="5" t="n"/>
      <c r="H161" s="5" t="n"/>
      <c r="I161" s="22">
        <f>INDEX(Personendaten!$C$2:$C$32,MATCH(A161,Personendaten!$A$2:$A$32,0))</f>
        <v/>
      </c>
      <c r="J161" s="22">
        <f>IF(AND(F161&lt;&gt;"",G161=""),1,0)</f>
        <v/>
      </c>
      <c r="K161" s="22">
        <f>IF(LEFT(C161,7)&lt;&gt;"Sprint_","",IF(COUNTIFS(Versuchsdaten!$A$2:$A$1117,$A161,Versuchsdaten!$B$2:$B$1117,$B161,Versuchsdaten!$C$2:$C$1117,"Sprint_5m",Versuchsdaten!$E$2:$E$1117,$E161,Versuchsdaten!$J$2:$J$1117,1)=1,SUMIFS(Versuchsdaten!$F$2:$F$1117,Versuchsdaten!$A$2:$A$1117,$A161,Versuchsdaten!$B$2:$B$1117,$B161,Versuchsdaten!$C$2:$C$1117,"Sprint_5m",Versuchsdaten!$E$2:$E$1117,$E161,Versuchsdaten!$J$2:$J$1117,1),""))</f>
        <v/>
      </c>
      <c r="L161" s="22">
        <f>IF(LEFT(C161,7)&lt;&gt;"Sprint_","",IF(COUNTIFS(Versuchsdaten!$A$2:$A$1117,$A161,Versuchsdaten!$B$2:$B$1117,$B161,Versuchsdaten!$C$2:$C$1117,"Sprint_10m",Versuchsdaten!$E$2:$E$1117,$E161,Versuchsdaten!$J$2:$J$1117,1)=1,SUMIFS(Versuchsdaten!$F$2:$F$1117,Versuchsdaten!$A$2:$A$1117,$A161,Versuchsdaten!$B$2:$B$1117,$B161,Versuchsdaten!$C$2:$C$1117,"Sprint_10m",Versuchsdaten!$E$2:$E$1117,$E161,Versuchsdaten!$J$2:$J$1117,1),""))</f>
        <v/>
      </c>
      <c r="M161" s="22">
        <f>IF(LEFT(C161,7)&lt;&gt;"Sprint_","",IF(COUNTIFS(Versuchsdaten!$A$2:$A$1117,$A161,Versuchsdaten!$B$2:$B$1117,$B161,Versuchsdaten!$C$2:$C$1117,"Sprint_30m",Versuchsdaten!$E$2:$E$1117,$E161,Versuchsdaten!$J$2:$J$1117,1)=1,SUMIFS(Versuchsdaten!$F$2:$F$1117,Versuchsdaten!$A$2:$A$1117,$A161,Versuchsdaten!$B$2:$B$1117,$B161,Versuchsdaten!$C$2:$C$1117,"Sprint_30m",Versuchsdaten!$E$2:$E$1117,$E161,Versuchsdaten!$J$2:$J$1117,1),""))</f>
        <v/>
      </c>
      <c r="N161" s="22">
        <f>IF(LEFT(C161,7)&lt;&gt;"Sprint_",0,IF(IF(ISNUMBER(K161),IF(K161&lt;=0,1,IF(5/K161&gt;10,1,0)),0)+IF(ISNUMBER(L161),IF(ISNUMBER(K161),IF(L161-K161&lt;=0,1,IF(5/(L161-K161)&gt;10,1,0)),IF(L161&lt;=0,1,IF(10/L161&gt;10,1,0))),0)+IF(ISNUMBER(M161),IF(ISNUMBER(L161),IF(M161-L161&lt;=0,1,IF(20/(M161-L161)&gt;10,1,0)),IF(ISNUMBER(K161),IF(M161-K161&lt;=0,1,IF(25/(M161-K161)&gt;10,1,0)),IF(M161&lt;=0,1,IF(30/M161&gt;10,1,0)))),0)&gt;0,1,0))</f>
        <v/>
      </c>
      <c r="O161" s="22">
        <f>IF(AND(J161=1,N161=0),1,0)</f>
        <v/>
      </c>
      <c r="P161" s="22">
        <f>INDEX(Personendaten!$J$2:$J$32,MATCH(A161,Personendaten!$A$2:$A$32,0))</f>
        <v/>
      </c>
      <c r="Q161" s="22">
        <f>IF(O161=1,"",IF(AND(B161="post",P161="nicht angetreten"),"NANG",IF(N161=1,"AUSL",IFERROR(VLOOKUP(H161,Vokabular!$A$2:$B$8,2,FALSE),"UNBEKANNT"))))</f>
        <v/>
      </c>
    </row>
    <row r="162">
      <c r="A162" s="5" t="inlineStr">
        <is>
          <t>BW-10</t>
        </is>
      </c>
      <c r="B162" s="5" t="inlineStr">
        <is>
          <t>prä</t>
        </is>
      </c>
      <c r="C162" s="5" t="inlineStr">
        <is>
          <t>COD_505</t>
        </is>
      </c>
      <c r="D162" s="5" t="inlineStr">
        <is>
          <t>R</t>
        </is>
      </c>
      <c r="E162" s="5" t="n">
        <v>2</v>
      </c>
      <c r="F162" s="5" t="n">
        <v>2.52</v>
      </c>
      <c r="G162" s="5" t="n"/>
      <c r="H162" s="5" t="n"/>
      <c r="I162" s="22">
        <f>INDEX(Personendaten!$C$2:$C$32,MATCH(A162,Personendaten!$A$2:$A$32,0))</f>
        <v/>
      </c>
      <c r="J162" s="22">
        <f>IF(AND(F162&lt;&gt;"",G162=""),1,0)</f>
        <v/>
      </c>
      <c r="K162" s="22">
        <f>IF(LEFT(C162,7)&lt;&gt;"Sprint_","",IF(COUNTIFS(Versuchsdaten!$A$2:$A$1117,$A162,Versuchsdaten!$B$2:$B$1117,$B162,Versuchsdaten!$C$2:$C$1117,"Sprint_5m",Versuchsdaten!$E$2:$E$1117,$E162,Versuchsdaten!$J$2:$J$1117,1)=1,SUMIFS(Versuchsdaten!$F$2:$F$1117,Versuchsdaten!$A$2:$A$1117,$A162,Versuchsdaten!$B$2:$B$1117,$B162,Versuchsdaten!$C$2:$C$1117,"Sprint_5m",Versuchsdaten!$E$2:$E$1117,$E162,Versuchsdaten!$J$2:$J$1117,1),""))</f>
        <v/>
      </c>
      <c r="L162" s="22">
        <f>IF(LEFT(C162,7)&lt;&gt;"Sprint_","",IF(COUNTIFS(Versuchsdaten!$A$2:$A$1117,$A162,Versuchsdaten!$B$2:$B$1117,$B162,Versuchsdaten!$C$2:$C$1117,"Sprint_10m",Versuchsdaten!$E$2:$E$1117,$E162,Versuchsdaten!$J$2:$J$1117,1)=1,SUMIFS(Versuchsdaten!$F$2:$F$1117,Versuchsdaten!$A$2:$A$1117,$A162,Versuchsdaten!$B$2:$B$1117,$B162,Versuchsdaten!$C$2:$C$1117,"Sprint_10m",Versuchsdaten!$E$2:$E$1117,$E162,Versuchsdaten!$J$2:$J$1117,1),""))</f>
        <v/>
      </c>
      <c r="M162" s="22">
        <f>IF(LEFT(C162,7)&lt;&gt;"Sprint_","",IF(COUNTIFS(Versuchsdaten!$A$2:$A$1117,$A162,Versuchsdaten!$B$2:$B$1117,$B162,Versuchsdaten!$C$2:$C$1117,"Sprint_30m",Versuchsdaten!$E$2:$E$1117,$E162,Versuchsdaten!$J$2:$J$1117,1)=1,SUMIFS(Versuchsdaten!$F$2:$F$1117,Versuchsdaten!$A$2:$A$1117,$A162,Versuchsdaten!$B$2:$B$1117,$B162,Versuchsdaten!$C$2:$C$1117,"Sprint_30m",Versuchsdaten!$E$2:$E$1117,$E162,Versuchsdaten!$J$2:$J$1117,1),""))</f>
        <v/>
      </c>
      <c r="N162" s="22">
        <f>IF(LEFT(C162,7)&lt;&gt;"Sprint_",0,IF(IF(ISNUMBER(K162),IF(K162&lt;=0,1,IF(5/K162&gt;10,1,0)),0)+IF(ISNUMBER(L162),IF(ISNUMBER(K162),IF(L162-K162&lt;=0,1,IF(5/(L162-K162)&gt;10,1,0)),IF(L162&lt;=0,1,IF(10/L162&gt;10,1,0))),0)+IF(ISNUMBER(M162),IF(ISNUMBER(L162),IF(M162-L162&lt;=0,1,IF(20/(M162-L162)&gt;10,1,0)),IF(ISNUMBER(K162),IF(M162-K162&lt;=0,1,IF(25/(M162-K162)&gt;10,1,0)),IF(M162&lt;=0,1,IF(30/M162&gt;10,1,0)))),0)&gt;0,1,0))</f>
        <v/>
      </c>
      <c r="O162" s="22">
        <f>IF(AND(J162=1,N162=0),1,0)</f>
        <v/>
      </c>
      <c r="P162" s="22">
        <f>INDEX(Personendaten!$J$2:$J$32,MATCH(A162,Personendaten!$A$2:$A$32,0))</f>
        <v/>
      </c>
      <c r="Q162" s="22">
        <f>IF(O162=1,"",IF(AND(B162="post",P162="nicht angetreten"),"NANG",IF(N162=1,"AUSL",IFERROR(VLOOKUP(H162,Vokabular!$A$2:$B$8,2,FALSE),"UNBEKANNT"))))</f>
        <v/>
      </c>
    </row>
    <row r="163">
      <c r="A163" s="5" t="inlineStr">
        <is>
          <t>BW-10</t>
        </is>
      </c>
      <c r="B163" s="5" t="inlineStr">
        <is>
          <t>prä</t>
        </is>
      </c>
      <c r="C163" s="5" t="inlineStr">
        <is>
          <t>COD_505</t>
        </is>
      </c>
      <c r="D163" s="5" t="inlineStr">
        <is>
          <t>R</t>
        </is>
      </c>
      <c r="E163" s="5" t="n">
        <v>3</v>
      </c>
      <c r="F163" s="5" t="n"/>
      <c r="G163" s="5" t="n"/>
      <c r="H163" s="5" t="inlineStr">
        <is>
          <t>Nur 2 Versuche aus Zeitmangel</t>
        </is>
      </c>
      <c r="I163" s="22">
        <f>INDEX(Personendaten!$C$2:$C$32,MATCH(A163,Personendaten!$A$2:$A$32,0))</f>
        <v/>
      </c>
      <c r="J163" s="22">
        <f>IF(AND(F163&lt;&gt;"",G163=""),1,0)</f>
        <v/>
      </c>
      <c r="K163" s="22">
        <f>IF(LEFT(C163,7)&lt;&gt;"Sprint_","",IF(COUNTIFS(Versuchsdaten!$A$2:$A$1117,$A163,Versuchsdaten!$B$2:$B$1117,$B163,Versuchsdaten!$C$2:$C$1117,"Sprint_5m",Versuchsdaten!$E$2:$E$1117,$E163,Versuchsdaten!$J$2:$J$1117,1)=1,SUMIFS(Versuchsdaten!$F$2:$F$1117,Versuchsdaten!$A$2:$A$1117,$A163,Versuchsdaten!$B$2:$B$1117,$B163,Versuchsdaten!$C$2:$C$1117,"Sprint_5m",Versuchsdaten!$E$2:$E$1117,$E163,Versuchsdaten!$J$2:$J$1117,1),""))</f>
        <v/>
      </c>
      <c r="L163" s="22">
        <f>IF(LEFT(C163,7)&lt;&gt;"Sprint_","",IF(COUNTIFS(Versuchsdaten!$A$2:$A$1117,$A163,Versuchsdaten!$B$2:$B$1117,$B163,Versuchsdaten!$C$2:$C$1117,"Sprint_10m",Versuchsdaten!$E$2:$E$1117,$E163,Versuchsdaten!$J$2:$J$1117,1)=1,SUMIFS(Versuchsdaten!$F$2:$F$1117,Versuchsdaten!$A$2:$A$1117,$A163,Versuchsdaten!$B$2:$B$1117,$B163,Versuchsdaten!$C$2:$C$1117,"Sprint_10m",Versuchsdaten!$E$2:$E$1117,$E163,Versuchsdaten!$J$2:$J$1117,1),""))</f>
        <v/>
      </c>
      <c r="M163" s="22">
        <f>IF(LEFT(C163,7)&lt;&gt;"Sprint_","",IF(COUNTIFS(Versuchsdaten!$A$2:$A$1117,$A163,Versuchsdaten!$B$2:$B$1117,$B163,Versuchsdaten!$C$2:$C$1117,"Sprint_30m",Versuchsdaten!$E$2:$E$1117,$E163,Versuchsdaten!$J$2:$J$1117,1)=1,SUMIFS(Versuchsdaten!$F$2:$F$1117,Versuchsdaten!$A$2:$A$1117,$A163,Versuchsdaten!$B$2:$B$1117,$B163,Versuchsdaten!$C$2:$C$1117,"Sprint_30m",Versuchsdaten!$E$2:$E$1117,$E163,Versuchsdaten!$J$2:$J$1117,1),""))</f>
        <v/>
      </c>
      <c r="N163" s="22">
        <f>IF(LEFT(C163,7)&lt;&gt;"Sprint_",0,IF(IF(ISNUMBER(K163),IF(K163&lt;=0,1,IF(5/K163&gt;10,1,0)),0)+IF(ISNUMBER(L163),IF(ISNUMBER(K163),IF(L163-K163&lt;=0,1,IF(5/(L163-K163)&gt;10,1,0)),IF(L163&lt;=0,1,IF(10/L163&gt;10,1,0))),0)+IF(ISNUMBER(M163),IF(ISNUMBER(L163),IF(M163-L163&lt;=0,1,IF(20/(M163-L163)&gt;10,1,0)),IF(ISNUMBER(K163),IF(M163-K163&lt;=0,1,IF(25/(M163-K163)&gt;10,1,0)),IF(M163&lt;=0,1,IF(30/M163&gt;10,1,0)))),0)&gt;0,1,0))</f>
        <v/>
      </c>
      <c r="O163" s="22">
        <f>IF(AND(J163=1,N163=0),1,0)</f>
        <v/>
      </c>
      <c r="P163" s="22">
        <f>INDEX(Personendaten!$J$2:$J$32,MATCH(A163,Personendaten!$A$2:$A$32,0))</f>
        <v/>
      </c>
      <c r="Q163" s="22">
        <f>IF(O163=1,"",IF(AND(B163="post",P163="nicht angetreten"),"NANG",IF(N163=1,"AUSL",IFERROR(VLOOKUP(H163,Vokabular!$A$2:$B$8,2,FALSE),"UNBEKANNT"))))</f>
        <v/>
      </c>
    </row>
    <row r="164">
      <c r="A164" s="5" t="inlineStr">
        <is>
          <t>BW-11</t>
        </is>
      </c>
      <c r="B164" s="5" t="inlineStr">
        <is>
          <t>prä</t>
        </is>
      </c>
      <c r="C164" s="5" t="inlineStr">
        <is>
          <t>Sprint_5m</t>
        </is>
      </c>
      <c r="D164" s="5" t="inlineStr">
        <is>
          <t>–</t>
        </is>
      </c>
      <c r="E164" s="5" t="n">
        <v>1</v>
      </c>
      <c r="F164" s="5" t="n">
        <v>1.21</v>
      </c>
      <c r="G164" s="5" t="n"/>
      <c r="H164" s="5" t="n"/>
      <c r="I164" s="22">
        <f>INDEX(Personendaten!$C$2:$C$32,MATCH(A164,Personendaten!$A$2:$A$32,0))</f>
        <v/>
      </c>
      <c r="J164" s="22">
        <f>IF(AND(F164&lt;&gt;"",G164=""),1,0)</f>
        <v/>
      </c>
      <c r="K164" s="22">
        <f>IF(LEFT(C164,7)&lt;&gt;"Sprint_","",IF(COUNTIFS(Versuchsdaten!$A$2:$A$1117,$A164,Versuchsdaten!$B$2:$B$1117,$B164,Versuchsdaten!$C$2:$C$1117,"Sprint_5m",Versuchsdaten!$E$2:$E$1117,$E164,Versuchsdaten!$J$2:$J$1117,1)=1,SUMIFS(Versuchsdaten!$F$2:$F$1117,Versuchsdaten!$A$2:$A$1117,$A164,Versuchsdaten!$B$2:$B$1117,$B164,Versuchsdaten!$C$2:$C$1117,"Sprint_5m",Versuchsdaten!$E$2:$E$1117,$E164,Versuchsdaten!$J$2:$J$1117,1),""))</f>
        <v/>
      </c>
      <c r="L164" s="22">
        <f>IF(LEFT(C164,7)&lt;&gt;"Sprint_","",IF(COUNTIFS(Versuchsdaten!$A$2:$A$1117,$A164,Versuchsdaten!$B$2:$B$1117,$B164,Versuchsdaten!$C$2:$C$1117,"Sprint_10m",Versuchsdaten!$E$2:$E$1117,$E164,Versuchsdaten!$J$2:$J$1117,1)=1,SUMIFS(Versuchsdaten!$F$2:$F$1117,Versuchsdaten!$A$2:$A$1117,$A164,Versuchsdaten!$B$2:$B$1117,$B164,Versuchsdaten!$C$2:$C$1117,"Sprint_10m",Versuchsdaten!$E$2:$E$1117,$E164,Versuchsdaten!$J$2:$J$1117,1),""))</f>
        <v/>
      </c>
      <c r="M164" s="22">
        <f>IF(LEFT(C164,7)&lt;&gt;"Sprint_","",IF(COUNTIFS(Versuchsdaten!$A$2:$A$1117,$A164,Versuchsdaten!$B$2:$B$1117,$B164,Versuchsdaten!$C$2:$C$1117,"Sprint_30m",Versuchsdaten!$E$2:$E$1117,$E164,Versuchsdaten!$J$2:$J$1117,1)=1,SUMIFS(Versuchsdaten!$F$2:$F$1117,Versuchsdaten!$A$2:$A$1117,$A164,Versuchsdaten!$B$2:$B$1117,$B164,Versuchsdaten!$C$2:$C$1117,"Sprint_30m",Versuchsdaten!$E$2:$E$1117,$E164,Versuchsdaten!$J$2:$J$1117,1),""))</f>
        <v/>
      </c>
      <c r="N164" s="22">
        <f>IF(LEFT(C164,7)&lt;&gt;"Sprint_",0,IF(IF(ISNUMBER(K164),IF(K164&lt;=0,1,IF(5/K164&gt;10,1,0)),0)+IF(ISNUMBER(L164),IF(ISNUMBER(K164),IF(L164-K164&lt;=0,1,IF(5/(L164-K164)&gt;10,1,0)),IF(L164&lt;=0,1,IF(10/L164&gt;10,1,0))),0)+IF(ISNUMBER(M164),IF(ISNUMBER(L164),IF(M164-L164&lt;=0,1,IF(20/(M164-L164)&gt;10,1,0)),IF(ISNUMBER(K164),IF(M164-K164&lt;=0,1,IF(25/(M164-K164)&gt;10,1,0)),IF(M164&lt;=0,1,IF(30/M164&gt;10,1,0)))),0)&gt;0,1,0))</f>
        <v/>
      </c>
      <c r="O164" s="22">
        <f>IF(AND(J164=1,N164=0),1,0)</f>
        <v/>
      </c>
      <c r="P164" s="22">
        <f>INDEX(Personendaten!$J$2:$J$32,MATCH(A164,Personendaten!$A$2:$A$32,0))</f>
        <v/>
      </c>
      <c r="Q164" s="22">
        <f>IF(O164=1,"",IF(AND(B164="post",P164="nicht angetreten"),"NANG",IF(N164=1,"AUSL",IFERROR(VLOOKUP(H164,Vokabular!$A$2:$B$8,2,FALSE),"UNBEKANNT"))))</f>
        <v/>
      </c>
    </row>
    <row r="165">
      <c r="A165" s="5" t="inlineStr">
        <is>
          <t>BW-11</t>
        </is>
      </c>
      <c r="B165" s="5" t="inlineStr">
        <is>
          <t>prä</t>
        </is>
      </c>
      <c r="C165" s="5" t="inlineStr">
        <is>
          <t>Sprint_5m</t>
        </is>
      </c>
      <c r="D165" s="5" t="inlineStr">
        <is>
          <t>–</t>
        </is>
      </c>
      <c r="E165" s="5" t="n">
        <v>2</v>
      </c>
      <c r="F165" s="5" t="n">
        <v>1.18</v>
      </c>
      <c r="G165" s="5" t="n"/>
      <c r="H165" s="5" t="n"/>
      <c r="I165" s="22">
        <f>INDEX(Personendaten!$C$2:$C$32,MATCH(A165,Personendaten!$A$2:$A$32,0))</f>
        <v/>
      </c>
      <c r="J165" s="22">
        <f>IF(AND(F165&lt;&gt;"",G165=""),1,0)</f>
        <v/>
      </c>
      <c r="K165" s="22">
        <f>IF(LEFT(C165,7)&lt;&gt;"Sprint_","",IF(COUNTIFS(Versuchsdaten!$A$2:$A$1117,$A165,Versuchsdaten!$B$2:$B$1117,$B165,Versuchsdaten!$C$2:$C$1117,"Sprint_5m",Versuchsdaten!$E$2:$E$1117,$E165,Versuchsdaten!$J$2:$J$1117,1)=1,SUMIFS(Versuchsdaten!$F$2:$F$1117,Versuchsdaten!$A$2:$A$1117,$A165,Versuchsdaten!$B$2:$B$1117,$B165,Versuchsdaten!$C$2:$C$1117,"Sprint_5m",Versuchsdaten!$E$2:$E$1117,$E165,Versuchsdaten!$J$2:$J$1117,1),""))</f>
        <v/>
      </c>
      <c r="L165" s="22">
        <f>IF(LEFT(C165,7)&lt;&gt;"Sprint_","",IF(COUNTIFS(Versuchsdaten!$A$2:$A$1117,$A165,Versuchsdaten!$B$2:$B$1117,$B165,Versuchsdaten!$C$2:$C$1117,"Sprint_10m",Versuchsdaten!$E$2:$E$1117,$E165,Versuchsdaten!$J$2:$J$1117,1)=1,SUMIFS(Versuchsdaten!$F$2:$F$1117,Versuchsdaten!$A$2:$A$1117,$A165,Versuchsdaten!$B$2:$B$1117,$B165,Versuchsdaten!$C$2:$C$1117,"Sprint_10m",Versuchsdaten!$E$2:$E$1117,$E165,Versuchsdaten!$J$2:$J$1117,1),""))</f>
        <v/>
      </c>
      <c r="M165" s="22">
        <f>IF(LEFT(C165,7)&lt;&gt;"Sprint_","",IF(COUNTIFS(Versuchsdaten!$A$2:$A$1117,$A165,Versuchsdaten!$B$2:$B$1117,$B165,Versuchsdaten!$C$2:$C$1117,"Sprint_30m",Versuchsdaten!$E$2:$E$1117,$E165,Versuchsdaten!$J$2:$J$1117,1)=1,SUMIFS(Versuchsdaten!$F$2:$F$1117,Versuchsdaten!$A$2:$A$1117,$A165,Versuchsdaten!$B$2:$B$1117,$B165,Versuchsdaten!$C$2:$C$1117,"Sprint_30m",Versuchsdaten!$E$2:$E$1117,$E165,Versuchsdaten!$J$2:$J$1117,1),""))</f>
        <v/>
      </c>
      <c r="N165" s="22">
        <f>IF(LEFT(C165,7)&lt;&gt;"Sprint_",0,IF(IF(ISNUMBER(K165),IF(K165&lt;=0,1,IF(5/K165&gt;10,1,0)),0)+IF(ISNUMBER(L165),IF(ISNUMBER(K165),IF(L165-K165&lt;=0,1,IF(5/(L165-K165)&gt;10,1,0)),IF(L165&lt;=0,1,IF(10/L165&gt;10,1,0))),0)+IF(ISNUMBER(M165),IF(ISNUMBER(L165),IF(M165-L165&lt;=0,1,IF(20/(M165-L165)&gt;10,1,0)),IF(ISNUMBER(K165),IF(M165-K165&lt;=0,1,IF(25/(M165-K165)&gt;10,1,0)),IF(M165&lt;=0,1,IF(30/M165&gt;10,1,0)))),0)&gt;0,1,0))</f>
        <v/>
      </c>
      <c r="O165" s="22">
        <f>IF(AND(J165=1,N165=0),1,0)</f>
        <v/>
      </c>
      <c r="P165" s="22">
        <f>INDEX(Personendaten!$J$2:$J$32,MATCH(A165,Personendaten!$A$2:$A$32,0))</f>
        <v/>
      </c>
      <c r="Q165" s="22">
        <f>IF(O165=1,"",IF(AND(B165="post",P165="nicht angetreten"),"NANG",IF(N165=1,"AUSL",IFERROR(VLOOKUP(H165,Vokabular!$A$2:$B$8,2,FALSE),"UNBEKANNT"))))</f>
        <v/>
      </c>
    </row>
    <row r="166">
      <c r="A166" s="5" t="inlineStr">
        <is>
          <t>BW-11</t>
        </is>
      </c>
      <c r="B166" s="5" t="inlineStr">
        <is>
          <t>prä</t>
        </is>
      </c>
      <c r="C166" s="5" t="inlineStr">
        <is>
          <t>Sprint_5m</t>
        </is>
      </c>
      <c r="D166" s="5" t="inlineStr">
        <is>
          <t>–</t>
        </is>
      </c>
      <c r="E166" s="5" t="n">
        <v>3</v>
      </c>
      <c r="F166" s="5" t="n"/>
      <c r="G166" s="5" t="n"/>
      <c r="H166" s="5" t="inlineStr">
        <is>
          <t>Nur 2 Versuche aus Zeitmangel</t>
        </is>
      </c>
      <c r="I166" s="22">
        <f>INDEX(Personendaten!$C$2:$C$32,MATCH(A166,Personendaten!$A$2:$A$32,0))</f>
        <v/>
      </c>
      <c r="J166" s="22">
        <f>IF(AND(F166&lt;&gt;"",G166=""),1,0)</f>
        <v/>
      </c>
      <c r="K166" s="22">
        <f>IF(LEFT(C166,7)&lt;&gt;"Sprint_","",IF(COUNTIFS(Versuchsdaten!$A$2:$A$1117,$A166,Versuchsdaten!$B$2:$B$1117,$B166,Versuchsdaten!$C$2:$C$1117,"Sprint_5m",Versuchsdaten!$E$2:$E$1117,$E166,Versuchsdaten!$J$2:$J$1117,1)=1,SUMIFS(Versuchsdaten!$F$2:$F$1117,Versuchsdaten!$A$2:$A$1117,$A166,Versuchsdaten!$B$2:$B$1117,$B166,Versuchsdaten!$C$2:$C$1117,"Sprint_5m",Versuchsdaten!$E$2:$E$1117,$E166,Versuchsdaten!$J$2:$J$1117,1),""))</f>
        <v/>
      </c>
      <c r="L166" s="22">
        <f>IF(LEFT(C166,7)&lt;&gt;"Sprint_","",IF(COUNTIFS(Versuchsdaten!$A$2:$A$1117,$A166,Versuchsdaten!$B$2:$B$1117,$B166,Versuchsdaten!$C$2:$C$1117,"Sprint_10m",Versuchsdaten!$E$2:$E$1117,$E166,Versuchsdaten!$J$2:$J$1117,1)=1,SUMIFS(Versuchsdaten!$F$2:$F$1117,Versuchsdaten!$A$2:$A$1117,$A166,Versuchsdaten!$B$2:$B$1117,$B166,Versuchsdaten!$C$2:$C$1117,"Sprint_10m",Versuchsdaten!$E$2:$E$1117,$E166,Versuchsdaten!$J$2:$J$1117,1),""))</f>
        <v/>
      </c>
      <c r="M166" s="22">
        <f>IF(LEFT(C166,7)&lt;&gt;"Sprint_","",IF(COUNTIFS(Versuchsdaten!$A$2:$A$1117,$A166,Versuchsdaten!$B$2:$B$1117,$B166,Versuchsdaten!$C$2:$C$1117,"Sprint_30m",Versuchsdaten!$E$2:$E$1117,$E166,Versuchsdaten!$J$2:$J$1117,1)=1,SUMIFS(Versuchsdaten!$F$2:$F$1117,Versuchsdaten!$A$2:$A$1117,$A166,Versuchsdaten!$B$2:$B$1117,$B166,Versuchsdaten!$C$2:$C$1117,"Sprint_30m",Versuchsdaten!$E$2:$E$1117,$E166,Versuchsdaten!$J$2:$J$1117,1),""))</f>
        <v/>
      </c>
      <c r="N166" s="22">
        <f>IF(LEFT(C166,7)&lt;&gt;"Sprint_",0,IF(IF(ISNUMBER(K166),IF(K166&lt;=0,1,IF(5/K166&gt;10,1,0)),0)+IF(ISNUMBER(L166),IF(ISNUMBER(K166),IF(L166-K166&lt;=0,1,IF(5/(L166-K166)&gt;10,1,0)),IF(L166&lt;=0,1,IF(10/L166&gt;10,1,0))),0)+IF(ISNUMBER(M166),IF(ISNUMBER(L166),IF(M166-L166&lt;=0,1,IF(20/(M166-L166)&gt;10,1,0)),IF(ISNUMBER(K166),IF(M166-K166&lt;=0,1,IF(25/(M166-K166)&gt;10,1,0)),IF(M166&lt;=0,1,IF(30/M166&gt;10,1,0)))),0)&gt;0,1,0))</f>
        <v/>
      </c>
      <c r="O166" s="22">
        <f>IF(AND(J166=1,N166=0),1,0)</f>
        <v/>
      </c>
      <c r="P166" s="22">
        <f>INDEX(Personendaten!$J$2:$J$32,MATCH(A166,Personendaten!$A$2:$A$32,0))</f>
        <v/>
      </c>
      <c r="Q166" s="22">
        <f>IF(O166=1,"",IF(AND(B166="post",P166="nicht angetreten"),"NANG",IF(N166=1,"AUSL",IFERROR(VLOOKUP(H166,Vokabular!$A$2:$B$8,2,FALSE),"UNBEKANNT"))))</f>
        <v/>
      </c>
    </row>
    <row r="167">
      <c r="A167" s="5" t="inlineStr">
        <is>
          <t>BW-11</t>
        </is>
      </c>
      <c r="B167" s="5" t="inlineStr">
        <is>
          <t>prä</t>
        </is>
      </c>
      <c r="C167" s="5" t="inlineStr">
        <is>
          <t>Sprint_10m</t>
        </is>
      </c>
      <c r="D167" s="5" t="inlineStr">
        <is>
          <t>–</t>
        </is>
      </c>
      <c r="E167" s="5" t="n">
        <v>1</v>
      </c>
      <c r="F167" s="5" t="n">
        <v>2.07</v>
      </c>
      <c r="G167" s="5" t="n"/>
      <c r="H167" s="5" t="n"/>
      <c r="I167" s="22">
        <f>INDEX(Personendaten!$C$2:$C$32,MATCH(A167,Personendaten!$A$2:$A$32,0))</f>
        <v/>
      </c>
      <c r="J167" s="22">
        <f>IF(AND(F167&lt;&gt;"",G167=""),1,0)</f>
        <v/>
      </c>
      <c r="K167" s="22">
        <f>IF(LEFT(C167,7)&lt;&gt;"Sprint_","",IF(COUNTIFS(Versuchsdaten!$A$2:$A$1117,$A167,Versuchsdaten!$B$2:$B$1117,$B167,Versuchsdaten!$C$2:$C$1117,"Sprint_5m",Versuchsdaten!$E$2:$E$1117,$E167,Versuchsdaten!$J$2:$J$1117,1)=1,SUMIFS(Versuchsdaten!$F$2:$F$1117,Versuchsdaten!$A$2:$A$1117,$A167,Versuchsdaten!$B$2:$B$1117,$B167,Versuchsdaten!$C$2:$C$1117,"Sprint_5m",Versuchsdaten!$E$2:$E$1117,$E167,Versuchsdaten!$J$2:$J$1117,1),""))</f>
        <v/>
      </c>
      <c r="L167" s="22">
        <f>IF(LEFT(C167,7)&lt;&gt;"Sprint_","",IF(COUNTIFS(Versuchsdaten!$A$2:$A$1117,$A167,Versuchsdaten!$B$2:$B$1117,$B167,Versuchsdaten!$C$2:$C$1117,"Sprint_10m",Versuchsdaten!$E$2:$E$1117,$E167,Versuchsdaten!$J$2:$J$1117,1)=1,SUMIFS(Versuchsdaten!$F$2:$F$1117,Versuchsdaten!$A$2:$A$1117,$A167,Versuchsdaten!$B$2:$B$1117,$B167,Versuchsdaten!$C$2:$C$1117,"Sprint_10m",Versuchsdaten!$E$2:$E$1117,$E167,Versuchsdaten!$J$2:$J$1117,1),""))</f>
        <v/>
      </c>
      <c r="M167" s="22">
        <f>IF(LEFT(C167,7)&lt;&gt;"Sprint_","",IF(COUNTIFS(Versuchsdaten!$A$2:$A$1117,$A167,Versuchsdaten!$B$2:$B$1117,$B167,Versuchsdaten!$C$2:$C$1117,"Sprint_30m",Versuchsdaten!$E$2:$E$1117,$E167,Versuchsdaten!$J$2:$J$1117,1)=1,SUMIFS(Versuchsdaten!$F$2:$F$1117,Versuchsdaten!$A$2:$A$1117,$A167,Versuchsdaten!$B$2:$B$1117,$B167,Versuchsdaten!$C$2:$C$1117,"Sprint_30m",Versuchsdaten!$E$2:$E$1117,$E167,Versuchsdaten!$J$2:$J$1117,1),""))</f>
        <v/>
      </c>
      <c r="N167" s="22">
        <f>IF(LEFT(C167,7)&lt;&gt;"Sprint_",0,IF(IF(ISNUMBER(K167),IF(K167&lt;=0,1,IF(5/K167&gt;10,1,0)),0)+IF(ISNUMBER(L167),IF(ISNUMBER(K167),IF(L167-K167&lt;=0,1,IF(5/(L167-K167)&gt;10,1,0)),IF(L167&lt;=0,1,IF(10/L167&gt;10,1,0))),0)+IF(ISNUMBER(M167),IF(ISNUMBER(L167),IF(M167-L167&lt;=0,1,IF(20/(M167-L167)&gt;10,1,0)),IF(ISNUMBER(K167),IF(M167-K167&lt;=0,1,IF(25/(M167-K167)&gt;10,1,0)),IF(M167&lt;=0,1,IF(30/M167&gt;10,1,0)))),0)&gt;0,1,0))</f>
        <v/>
      </c>
      <c r="O167" s="22">
        <f>IF(AND(J167=1,N167=0),1,0)</f>
        <v/>
      </c>
      <c r="P167" s="22">
        <f>INDEX(Personendaten!$J$2:$J$32,MATCH(A167,Personendaten!$A$2:$A$32,0))</f>
        <v/>
      </c>
      <c r="Q167" s="22">
        <f>IF(O167=1,"",IF(AND(B167="post",P167="nicht angetreten"),"NANG",IF(N167=1,"AUSL",IFERROR(VLOOKUP(H167,Vokabular!$A$2:$B$8,2,FALSE),"UNBEKANNT"))))</f>
        <v/>
      </c>
    </row>
    <row r="168">
      <c r="A168" s="5" t="inlineStr">
        <is>
          <t>BW-11</t>
        </is>
      </c>
      <c r="B168" s="5" t="inlineStr">
        <is>
          <t>prä</t>
        </is>
      </c>
      <c r="C168" s="5" t="inlineStr">
        <is>
          <t>Sprint_10m</t>
        </is>
      </c>
      <c r="D168" s="5" t="inlineStr">
        <is>
          <t>–</t>
        </is>
      </c>
      <c r="E168" s="5" t="n">
        <v>2</v>
      </c>
      <c r="F168" s="5" t="n">
        <v>2.06</v>
      </c>
      <c r="G168" s="5" t="n"/>
      <c r="H168" s="5" t="n"/>
      <c r="I168" s="22">
        <f>INDEX(Personendaten!$C$2:$C$32,MATCH(A168,Personendaten!$A$2:$A$32,0))</f>
        <v/>
      </c>
      <c r="J168" s="22">
        <f>IF(AND(F168&lt;&gt;"",G168=""),1,0)</f>
        <v/>
      </c>
      <c r="K168" s="22">
        <f>IF(LEFT(C168,7)&lt;&gt;"Sprint_","",IF(COUNTIFS(Versuchsdaten!$A$2:$A$1117,$A168,Versuchsdaten!$B$2:$B$1117,$B168,Versuchsdaten!$C$2:$C$1117,"Sprint_5m",Versuchsdaten!$E$2:$E$1117,$E168,Versuchsdaten!$J$2:$J$1117,1)=1,SUMIFS(Versuchsdaten!$F$2:$F$1117,Versuchsdaten!$A$2:$A$1117,$A168,Versuchsdaten!$B$2:$B$1117,$B168,Versuchsdaten!$C$2:$C$1117,"Sprint_5m",Versuchsdaten!$E$2:$E$1117,$E168,Versuchsdaten!$J$2:$J$1117,1),""))</f>
        <v/>
      </c>
      <c r="L168" s="22">
        <f>IF(LEFT(C168,7)&lt;&gt;"Sprint_","",IF(COUNTIFS(Versuchsdaten!$A$2:$A$1117,$A168,Versuchsdaten!$B$2:$B$1117,$B168,Versuchsdaten!$C$2:$C$1117,"Sprint_10m",Versuchsdaten!$E$2:$E$1117,$E168,Versuchsdaten!$J$2:$J$1117,1)=1,SUMIFS(Versuchsdaten!$F$2:$F$1117,Versuchsdaten!$A$2:$A$1117,$A168,Versuchsdaten!$B$2:$B$1117,$B168,Versuchsdaten!$C$2:$C$1117,"Sprint_10m",Versuchsdaten!$E$2:$E$1117,$E168,Versuchsdaten!$J$2:$J$1117,1),""))</f>
        <v/>
      </c>
      <c r="M168" s="22">
        <f>IF(LEFT(C168,7)&lt;&gt;"Sprint_","",IF(COUNTIFS(Versuchsdaten!$A$2:$A$1117,$A168,Versuchsdaten!$B$2:$B$1117,$B168,Versuchsdaten!$C$2:$C$1117,"Sprint_30m",Versuchsdaten!$E$2:$E$1117,$E168,Versuchsdaten!$J$2:$J$1117,1)=1,SUMIFS(Versuchsdaten!$F$2:$F$1117,Versuchsdaten!$A$2:$A$1117,$A168,Versuchsdaten!$B$2:$B$1117,$B168,Versuchsdaten!$C$2:$C$1117,"Sprint_30m",Versuchsdaten!$E$2:$E$1117,$E168,Versuchsdaten!$J$2:$J$1117,1),""))</f>
        <v/>
      </c>
      <c r="N168" s="22">
        <f>IF(LEFT(C168,7)&lt;&gt;"Sprint_",0,IF(IF(ISNUMBER(K168),IF(K168&lt;=0,1,IF(5/K168&gt;10,1,0)),0)+IF(ISNUMBER(L168),IF(ISNUMBER(K168),IF(L168-K168&lt;=0,1,IF(5/(L168-K168)&gt;10,1,0)),IF(L168&lt;=0,1,IF(10/L168&gt;10,1,0))),0)+IF(ISNUMBER(M168),IF(ISNUMBER(L168),IF(M168-L168&lt;=0,1,IF(20/(M168-L168)&gt;10,1,0)),IF(ISNUMBER(K168),IF(M168-K168&lt;=0,1,IF(25/(M168-K168)&gt;10,1,0)),IF(M168&lt;=0,1,IF(30/M168&gt;10,1,0)))),0)&gt;0,1,0))</f>
        <v/>
      </c>
      <c r="O168" s="22">
        <f>IF(AND(J168=1,N168=0),1,0)</f>
        <v/>
      </c>
      <c r="P168" s="22">
        <f>INDEX(Personendaten!$J$2:$J$32,MATCH(A168,Personendaten!$A$2:$A$32,0))</f>
        <v/>
      </c>
      <c r="Q168" s="22">
        <f>IF(O168=1,"",IF(AND(B168="post",P168="nicht angetreten"),"NANG",IF(N168=1,"AUSL",IFERROR(VLOOKUP(H168,Vokabular!$A$2:$B$8,2,FALSE),"UNBEKANNT"))))</f>
        <v/>
      </c>
    </row>
    <row r="169">
      <c r="A169" s="5" t="inlineStr">
        <is>
          <t>BW-11</t>
        </is>
      </c>
      <c r="B169" s="5" t="inlineStr">
        <is>
          <t>prä</t>
        </is>
      </c>
      <c r="C169" s="5" t="inlineStr">
        <is>
          <t>Sprint_10m</t>
        </is>
      </c>
      <c r="D169" s="5" t="inlineStr">
        <is>
          <t>–</t>
        </is>
      </c>
      <c r="E169" s="5" t="n">
        <v>3</v>
      </c>
      <c r="F169" s="5" t="n"/>
      <c r="G169" s="5" t="n"/>
      <c r="H169" s="5" t="inlineStr">
        <is>
          <t>Nur 2 Versuche aus Zeitmangel</t>
        </is>
      </c>
      <c r="I169" s="22">
        <f>INDEX(Personendaten!$C$2:$C$32,MATCH(A169,Personendaten!$A$2:$A$32,0))</f>
        <v/>
      </c>
      <c r="J169" s="22">
        <f>IF(AND(F169&lt;&gt;"",G169=""),1,0)</f>
        <v/>
      </c>
      <c r="K169" s="22">
        <f>IF(LEFT(C169,7)&lt;&gt;"Sprint_","",IF(COUNTIFS(Versuchsdaten!$A$2:$A$1117,$A169,Versuchsdaten!$B$2:$B$1117,$B169,Versuchsdaten!$C$2:$C$1117,"Sprint_5m",Versuchsdaten!$E$2:$E$1117,$E169,Versuchsdaten!$J$2:$J$1117,1)=1,SUMIFS(Versuchsdaten!$F$2:$F$1117,Versuchsdaten!$A$2:$A$1117,$A169,Versuchsdaten!$B$2:$B$1117,$B169,Versuchsdaten!$C$2:$C$1117,"Sprint_5m",Versuchsdaten!$E$2:$E$1117,$E169,Versuchsdaten!$J$2:$J$1117,1),""))</f>
        <v/>
      </c>
      <c r="L169" s="22">
        <f>IF(LEFT(C169,7)&lt;&gt;"Sprint_","",IF(COUNTIFS(Versuchsdaten!$A$2:$A$1117,$A169,Versuchsdaten!$B$2:$B$1117,$B169,Versuchsdaten!$C$2:$C$1117,"Sprint_10m",Versuchsdaten!$E$2:$E$1117,$E169,Versuchsdaten!$J$2:$J$1117,1)=1,SUMIFS(Versuchsdaten!$F$2:$F$1117,Versuchsdaten!$A$2:$A$1117,$A169,Versuchsdaten!$B$2:$B$1117,$B169,Versuchsdaten!$C$2:$C$1117,"Sprint_10m",Versuchsdaten!$E$2:$E$1117,$E169,Versuchsdaten!$J$2:$J$1117,1),""))</f>
        <v/>
      </c>
      <c r="M169" s="22">
        <f>IF(LEFT(C169,7)&lt;&gt;"Sprint_","",IF(COUNTIFS(Versuchsdaten!$A$2:$A$1117,$A169,Versuchsdaten!$B$2:$B$1117,$B169,Versuchsdaten!$C$2:$C$1117,"Sprint_30m",Versuchsdaten!$E$2:$E$1117,$E169,Versuchsdaten!$J$2:$J$1117,1)=1,SUMIFS(Versuchsdaten!$F$2:$F$1117,Versuchsdaten!$A$2:$A$1117,$A169,Versuchsdaten!$B$2:$B$1117,$B169,Versuchsdaten!$C$2:$C$1117,"Sprint_30m",Versuchsdaten!$E$2:$E$1117,$E169,Versuchsdaten!$J$2:$J$1117,1),""))</f>
        <v/>
      </c>
      <c r="N169" s="22">
        <f>IF(LEFT(C169,7)&lt;&gt;"Sprint_",0,IF(IF(ISNUMBER(K169),IF(K169&lt;=0,1,IF(5/K169&gt;10,1,0)),0)+IF(ISNUMBER(L169),IF(ISNUMBER(K169),IF(L169-K169&lt;=0,1,IF(5/(L169-K169)&gt;10,1,0)),IF(L169&lt;=0,1,IF(10/L169&gt;10,1,0))),0)+IF(ISNUMBER(M169),IF(ISNUMBER(L169),IF(M169-L169&lt;=0,1,IF(20/(M169-L169)&gt;10,1,0)),IF(ISNUMBER(K169),IF(M169-K169&lt;=0,1,IF(25/(M169-K169)&gt;10,1,0)),IF(M169&lt;=0,1,IF(30/M169&gt;10,1,0)))),0)&gt;0,1,0))</f>
        <v/>
      </c>
      <c r="O169" s="22">
        <f>IF(AND(J169=1,N169=0),1,0)</f>
        <v/>
      </c>
      <c r="P169" s="22">
        <f>INDEX(Personendaten!$J$2:$J$32,MATCH(A169,Personendaten!$A$2:$A$32,0))</f>
        <v/>
      </c>
      <c r="Q169" s="22">
        <f>IF(O169=1,"",IF(AND(B169="post",P169="nicht angetreten"),"NANG",IF(N169=1,"AUSL",IFERROR(VLOOKUP(H169,Vokabular!$A$2:$B$8,2,FALSE),"UNBEKANNT"))))</f>
        <v/>
      </c>
    </row>
    <row r="170">
      <c r="A170" s="5" t="inlineStr">
        <is>
          <t>BW-11</t>
        </is>
      </c>
      <c r="B170" s="5" t="inlineStr">
        <is>
          <t>prä</t>
        </is>
      </c>
      <c r="C170" s="5" t="inlineStr">
        <is>
          <t>Sprint_30m</t>
        </is>
      </c>
      <c r="D170" s="5" t="inlineStr">
        <is>
          <t>–</t>
        </is>
      </c>
      <c r="E170" s="5" t="n">
        <v>1</v>
      </c>
      <c r="F170" s="5" t="n">
        <v>4.9</v>
      </c>
      <c r="G170" s="5" t="n"/>
      <c r="H170" s="5" t="n"/>
      <c r="I170" s="22">
        <f>INDEX(Personendaten!$C$2:$C$32,MATCH(A170,Personendaten!$A$2:$A$32,0))</f>
        <v/>
      </c>
      <c r="J170" s="22">
        <f>IF(AND(F170&lt;&gt;"",G170=""),1,0)</f>
        <v/>
      </c>
      <c r="K170" s="22">
        <f>IF(LEFT(C170,7)&lt;&gt;"Sprint_","",IF(COUNTIFS(Versuchsdaten!$A$2:$A$1117,$A170,Versuchsdaten!$B$2:$B$1117,$B170,Versuchsdaten!$C$2:$C$1117,"Sprint_5m",Versuchsdaten!$E$2:$E$1117,$E170,Versuchsdaten!$J$2:$J$1117,1)=1,SUMIFS(Versuchsdaten!$F$2:$F$1117,Versuchsdaten!$A$2:$A$1117,$A170,Versuchsdaten!$B$2:$B$1117,$B170,Versuchsdaten!$C$2:$C$1117,"Sprint_5m",Versuchsdaten!$E$2:$E$1117,$E170,Versuchsdaten!$J$2:$J$1117,1),""))</f>
        <v/>
      </c>
      <c r="L170" s="22">
        <f>IF(LEFT(C170,7)&lt;&gt;"Sprint_","",IF(COUNTIFS(Versuchsdaten!$A$2:$A$1117,$A170,Versuchsdaten!$B$2:$B$1117,$B170,Versuchsdaten!$C$2:$C$1117,"Sprint_10m",Versuchsdaten!$E$2:$E$1117,$E170,Versuchsdaten!$J$2:$J$1117,1)=1,SUMIFS(Versuchsdaten!$F$2:$F$1117,Versuchsdaten!$A$2:$A$1117,$A170,Versuchsdaten!$B$2:$B$1117,$B170,Versuchsdaten!$C$2:$C$1117,"Sprint_10m",Versuchsdaten!$E$2:$E$1117,$E170,Versuchsdaten!$J$2:$J$1117,1),""))</f>
        <v/>
      </c>
      <c r="M170" s="22">
        <f>IF(LEFT(C170,7)&lt;&gt;"Sprint_","",IF(COUNTIFS(Versuchsdaten!$A$2:$A$1117,$A170,Versuchsdaten!$B$2:$B$1117,$B170,Versuchsdaten!$C$2:$C$1117,"Sprint_30m",Versuchsdaten!$E$2:$E$1117,$E170,Versuchsdaten!$J$2:$J$1117,1)=1,SUMIFS(Versuchsdaten!$F$2:$F$1117,Versuchsdaten!$A$2:$A$1117,$A170,Versuchsdaten!$B$2:$B$1117,$B170,Versuchsdaten!$C$2:$C$1117,"Sprint_30m",Versuchsdaten!$E$2:$E$1117,$E170,Versuchsdaten!$J$2:$J$1117,1),""))</f>
        <v/>
      </c>
      <c r="N170" s="22">
        <f>IF(LEFT(C170,7)&lt;&gt;"Sprint_",0,IF(IF(ISNUMBER(K170),IF(K170&lt;=0,1,IF(5/K170&gt;10,1,0)),0)+IF(ISNUMBER(L170),IF(ISNUMBER(K170),IF(L170-K170&lt;=0,1,IF(5/(L170-K170)&gt;10,1,0)),IF(L170&lt;=0,1,IF(10/L170&gt;10,1,0))),0)+IF(ISNUMBER(M170),IF(ISNUMBER(L170),IF(M170-L170&lt;=0,1,IF(20/(M170-L170)&gt;10,1,0)),IF(ISNUMBER(K170),IF(M170-K170&lt;=0,1,IF(25/(M170-K170)&gt;10,1,0)),IF(M170&lt;=0,1,IF(30/M170&gt;10,1,0)))),0)&gt;0,1,0))</f>
        <v/>
      </c>
      <c r="O170" s="22">
        <f>IF(AND(J170=1,N170=0),1,0)</f>
        <v/>
      </c>
      <c r="P170" s="22">
        <f>INDEX(Personendaten!$J$2:$J$32,MATCH(A170,Personendaten!$A$2:$A$32,0))</f>
        <v/>
      </c>
      <c r="Q170" s="22">
        <f>IF(O170=1,"",IF(AND(B170="post",P170="nicht angetreten"),"NANG",IF(N170=1,"AUSL",IFERROR(VLOOKUP(H170,Vokabular!$A$2:$B$8,2,FALSE),"UNBEKANNT"))))</f>
        <v/>
      </c>
    </row>
    <row r="171">
      <c r="A171" s="5" t="inlineStr">
        <is>
          <t>BW-11</t>
        </is>
      </c>
      <c r="B171" s="5" t="inlineStr">
        <is>
          <t>prä</t>
        </is>
      </c>
      <c r="C171" s="5" t="inlineStr">
        <is>
          <t>Sprint_30m</t>
        </is>
      </c>
      <c r="D171" s="5" t="inlineStr">
        <is>
          <t>–</t>
        </is>
      </c>
      <c r="E171" s="5" t="n">
        <v>2</v>
      </c>
      <c r="F171" s="5" t="n">
        <v>4.89</v>
      </c>
      <c r="G171" s="5" t="n"/>
      <c r="H171" s="5" t="n"/>
      <c r="I171" s="22">
        <f>INDEX(Personendaten!$C$2:$C$32,MATCH(A171,Personendaten!$A$2:$A$32,0))</f>
        <v/>
      </c>
      <c r="J171" s="22">
        <f>IF(AND(F171&lt;&gt;"",G171=""),1,0)</f>
        <v/>
      </c>
      <c r="K171" s="22">
        <f>IF(LEFT(C171,7)&lt;&gt;"Sprint_","",IF(COUNTIFS(Versuchsdaten!$A$2:$A$1117,$A171,Versuchsdaten!$B$2:$B$1117,$B171,Versuchsdaten!$C$2:$C$1117,"Sprint_5m",Versuchsdaten!$E$2:$E$1117,$E171,Versuchsdaten!$J$2:$J$1117,1)=1,SUMIFS(Versuchsdaten!$F$2:$F$1117,Versuchsdaten!$A$2:$A$1117,$A171,Versuchsdaten!$B$2:$B$1117,$B171,Versuchsdaten!$C$2:$C$1117,"Sprint_5m",Versuchsdaten!$E$2:$E$1117,$E171,Versuchsdaten!$J$2:$J$1117,1),""))</f>
        <v/>
      </c>
      <c r="L171" s="22">
        <f>IF(LEFT(C171,7)&lt;&gt;"Sprint_","",IF(COUNTIFS(Versuchsdaten!$A$2:$A$1117,$A171,Versuchsdaten!$B$2:$B$1117,$B171,Versuchsdaten!$C$2:$C$1117,"Sprint_10m",Versuchsdaten!$E$2:$E$1117,$E171,Versuchsdaten!$J$2:$J$1117,1)=1,SUMIFS(Versuchsdaten!$F$2:$F$1117,Versuchsdaten!$A$2:$A$1117,$A171,Versuchsdaten!$B$2:$B$1117,$B171,Versuchsdaten!$C$2:$C$1117,"Sprint_10m",Versuchsdaten!$E$2:$E$1117,$E171,Versuchsdaten!$J$2:$J$1117,1),""))</f>
        <v/>
      </c>
      <c r="M171" s="22">
        <f>IF(LEFT(C171,7)&lt;&gt;"Sprint_","",IF(COUNTIFS(Versuchsdaten!$A$2:$A$1117,$A171,Versuchsdaten!$B$2:$B$1117,$B171,Versuchsdaten!$C$2:$C$1117,"Sprint_30m",Versuchsdaten!$E$2:$E$1117,$E171,Versuchsdaten!$J$2:$J$1117,1)=1,SUMIFS(Versuchsdaten!$F$2:$F$1117,Versuchsdaten!$A$2:$A$1117,$A171,Versuchsdaten!$B$2:$B$1117,$B171,Versuchsdaten!$C$2:$C$1117,"Sprint_30m",Versuchsdaten!$E$2:$E$1117,$E171,Versuchsdaten!$J$2:$J$1117,1),""))</f>
        <v/>
      </c>
      <c r="N171" s="22">
        <f>IF(LEFT(C171,7)&lt;&gt;"Sprint_",0,IF(IF(ISNUMBER(K171),IF(K171&lt;=0,1,IF(5/K171&gt;10,1,0)),0)+IF(ISNUMBER(L171),IF(ISNUMBER(K171),IF(L171-K171&lt;=0,1,IF(5/(L171-K171)&gt;10,1,0)),IF(L171&lt;=0,1,IF(10/L171&gt;10,1,0))),0)+IF(ISNUMBER(M171),IF(ISNUMBER(L171),IF(M171-L171&lt;=0,1,IF(20/(M171-L171)&gt;10,1,0)),IF(ISNUMBER(K171),IF(M171-K171&lt;=0,1,IF(25/(M171-K171)&gt;10,1,0)),IF(M171&lt;=0,1,IF(30/M171&gt;10,1,0)))),0)&gt;0,1,0))</f>
        <v/>
      </c>
      <c r="O171" s="22">
        <f>IF(AND(J171=1,N171=0),1,0)</f>
        <v/>
      </c>
      <c r="P171" s="22">
        <f>INDEX(Personendaten!$J$2:$J$32,MATCH(A171,Personendaten!$A$2:$A$32,0))</f>
        <v/>
      </c>
      <c r="Q171" s="22">
        <f>IF(O171=1,"",IF(AND(B171="post",P171="nicht angetreten"),"NANG",IF(N171=1,"AUSL",IFERROR(VLOOKUP(H171,Vokabular!$A$2:$B$8,2,FALSE),"UNBEKANNT"))))</f>
        <v/>
      </c>
    </row>
    <row r="172">
      <c r="A172" s="5" t="inlineStr">
        <is>
          <t>BW-11</t>
        </is>
      </c>
      <c r="B172" s="5" t="inlineStr">
        <is>
          <t>prä</t>
        </is>
      </c>
      <c r="C172" s="5" t="inlineStr">
        <is>
          <t>Sprint_30m</t>
        </is>
      </c>
      <c r="D172" s="5" t="inlineStr">
        <is>
          <t>–</t>
        </is>
      </c>
      <c r="E172" s="5" t="n">
        <v>3</v>
      </c>
      <c r="F172" s="5" t="n"/>
      <c r="G172" s="5" t="n"/>
      <c r="H172" s="5" t="inlineStr">
        <is>
          <t>Nur 2 Versuche aus Zeitmangel</t>
        </is>
      </c>
      <c r="I172" s="22">
        <f>INDEX(Personendaten!$C$2:$C$32,MATCH(A172,Personendaten!$A$2:$A$32,0))</f>
        <v/>
      </c>
      <c r="J172" s="22">
        <f>IF(AND(F172&lt;&gt;"",G172=""),1,0)</f>
        <v/>
      </c>
      <c r="K172" s="22">
        <f>IF(LEFT(C172,7)&lt;&gt;"Sprint_","",IF(COUNTIFS(Versuchsdaten!$A$2:$A$1117,$A172,Versuchsdaten!$B$2:$B$1117,$B172,Versuchsdaten!$C$2:$C$1117,"Sprint_5m",Versuchsdaten!$E$2:$E$1117,$E172,Versuchsdaten!$J$2:$J$1117,1)=1,SUMIFS(Versuchsdaten!$F$2:$F$1117,Versuchsdaten!$A$2:$A$1117,$A172,Versuchsdaten!$B$2:$B$1117,$B172,Versuchsdaten!$C$2:$C$1117,"Sprint_5m",Versuchsdaten!$E$2:$E$1117,$E172,Versuchsdaten!$J$2:$J$1117,1),""))</f>
        <v/>
      </c>
      <c r="L172" s="22">
        <f>IF(LEFT(C172,7)&lt;&gt;"Sprint_","",IF(COUNTIFS(Versuchsdaten!$A$2:$A$1117,$A172,Versuchsdaten!$B$2:$B$1117,$B172,Versuchsdaten!$C$2:$C$1117,"Sprint_10m",Versuchsdaten!$E$2:$E$1117,$E172,Versuchsdaten!$J$2:$J$1117,1)=1,SUMIFS(Versuchsdaten!$F$2:$F$1117,Versuchsdaten!$A$2:$A$1117,$A172,Versuchsdaten!$B$2:$B$1117,$B172,Versuchsdaten!$C$2:$C$1117,"Sprint_10m",Versuchsdaten!$E$2:$E$1117,$E172,Versuchsdaten!$J$2:$J$1117,1),""))</f>
        <v/>
      </c>
      <c r="M172" s="22">
        <f>IF(LEFT(C172,7)&lt;&gt;"Sprint_","",IF(COUNTIFS(Versuchsdaten!$A$2:$A$1117,$A172,Versuchsdaten!$B$2:$B$1117,$B172,Versuchsdaten!$C$2:$C$1117,"Sprint_30m",Versuchsdaten!$E$2:$E$1117,$E172,Versuchsdaten!$J$2:$J$1117,1)=1,SUMIFS(Versuchsdaten!$F$2:$F$1117,Versuchsdaten!$A$2:$A$1117,$A172,Versuchsdaten!$B$2:$B$1117,$B172,Versuchsdaten!$C$2:$C$1117,"Sprint_30m",Versuchsdaten!$E$2:$E$1117,$E172,Versuchsdaten!$J$2:$J$1117,1),""))</f>
        <v/>
      </c>
      <c r="N172" s="22">
        <f>IF(LEFT(C172,7)&lt;&gt;"Sprint_",0,IF(IF(ISNUMBER(K172),IF(K172&lt;=0,1,IF(5/K172&gt;10,1,0)),0)+IF(ISNUMBER(L172),IF(ISNUMBER(K172),IF(L172-K172&lt;=0,1,IF(5/(L172-K172)&gt;10,1,0)),IF(L172&lt;=0,1,IF(10/L172&gt;10,1,0))),0)+IF(ISNUMBER(M172),IF(ISNUMBER(L172),IF(M172-L172&lt;=0,1,IF(20/(M172-L172)&gt;10,1,0)),IF(ISNUMBER(K172),IF(M172-K172&lt;=0,1,IF(25/(M172-K172)&gt;10,1,0)),IF(M172&lt;=0,1,IF(30/M172&gt;10,1,0)))),0)&gt;0,1,0))</f>
        <v/>
      </c>
      <c r="O172" s="22">
        <f>IF(AND(J172=1,N172=0),1,0)</f>
        <v/>
      </c>
      <c r="P172" s="22">
        <f>INDEX(Personendaten!$J$2:$J$32,MATCH(A172,Personendaten!$A$2:$A$32,0))</f>
        <v/>
      </c>
      <c r="Q172" s="22">
        <f>IF(O172=1,"",IF(AND(B172="post",P172="nicht angetreten"),"NANG",IF(N172=1,"AUSL",IFERROR(VLOOKUP(H172,Vokabular!$A$2:$B$8,2,FALSE),"UNBEKANNT"))))</f>
        <v/>
      </c>
    </row>
    <row r="173">
      <c r="A173" s="5" t="inlineStr">
        <is>
          <t>BW-11</t>
        </is>
      </c>
      <c r="B173" s="5" t="inlineStr">
        <is>
          <t>prä</t>
        </is>
      </c>
      <c r="C173" s="5" t="inlineStr">
        <is>
          <t>Standweitsprung</t>
        </is>
      </c>
      <c r="D173" s="5" t="inlineStr">
        <is>
          <t>–</t>
        </is>
      </c>
      <c r="E173" s="5" t="n">
        <v>1</v>
      </c>
      <c r="F173" s="5" t="n">
        <v>211</v>
      </c>
      <c r="G173" s="5" t="n"/>
      <c r="H173" s="5" t="n"/>
      <c r="I173" s="22">
        <f>INDEX(Personendaten!$C$2:$C$32,MATCH(A173,Personendaten!$A$2:$A$32,0))</f>
        <v/>
      </c>
      <c r="J173" s="22">
        <f>IF(AND(F173&lt;&gt;"",G173=""),1,0)</f>
        <v/>
      </c>
      <c r="K173" s="22">
        <f>IF(LEFT(C173,7)&lt;&gt;"Sprint_","",IF(COUNTIFS(Versuchsdaten!$A$2:$A$1117,$A173,Versuchsdaten!$B$2:$B$1117,$B173,Versuchsdaten!$C$2:$C$1117,"Sprint_5m",Versuchsdaten!$E$2:$E$1117,$E173,Versuchsdaten!$J$2:$J$1117,1)=1,SUMIFS(Versuchsdaten!$F$2:$F$1117,Versuchsdaten!$A$2:$A$1117,$A173,Versuchsdaten!$B$2:$B$1117,$B173,Versuchsdaten!$C$2:$C$1117,"Sprint_5m",Versuchsdaten!$E$2:$E$1117,$E173,Versuchsdaten!$J$2:$J$1117,1),""))</f>
        <v/>
      </c>
      <c r="L173" s="22">
        <f>IF(LEFT(C173,7)&lt;&gt;"Sprint_","",IF(COUNTIFS(Versuchsdaten!$A$2:$A$1117,$A173,Versuchsdaten!$B$2:$B$1117,$B173,Versuchsdaten!$C$2:$C$1117,"Sprint_10m",Versuchsdaten!$E$2:$E$1117,$E173,Versuchsdaten!$J$2:$J$1117,1)=1,SUMIFS(Versuchsdaten!$F$2:$F$1117,Versuchsdaten!$A$2:$A$1117,$A173,Versuchsdaten!$B$2:$B$1117,$B173,Versuchsdaten!$C$2:$C$1117,"Sprint_10m",Versuchsdaten!$E$2:$E$1117,$E173,Versuchsdaten!$J$2:$J$1117,1),""))</f>
        <v/>
      </c>
      <c r="M173" s="22">
        <f>IF(LEFT(C173,7)&lt;&gt;"Sprint_","",IF(COUNTIFS(Versuchsdaten!$A$2:$A$1117,$A173,Versuchsdaten!$B$2:$B$1117,$B173,Versuchsdaten!$C$2:$C$1117,"Sprint_30m",Versuchsdaten!$E$2:$E$1117,$E173,Versuchsdaten!$J$2:$J$1117,1)=1,SUMIFS(Versuchsdaten!$F$2:$F$1117,Versuchsdaten!$A$2:$A$1117,$A173,Versuchsdaten!$B$2:$B$1117,$B173,Versuchsdaten!$C$2:$C$1117,"Sprint_30m",Versuchsdaten!$E$2:$E$1117,$E173,Versuchsdaten!$J$2:$J$1117,1),""))</f>
        <v/>
      </c>
      <c r="N173" s="22">
        <f>IF(LEFT(C173,7)&lt;&gt;"Sprint_",0,IF(IF(ISNUMBER(K173),IF(K173&lt;=0,1,IF(5/K173&gt;10,1,0)),0)+IF(ISNUMBER(L173),IF(ISNUMBER(K173),IF(L173-K173&lt;=0,1,IF(5/(L173-K173)&gt;10,1,0)),IF(L173&lt;=0,1,IF(10/L173&gt;10,1,0))),0)+IF(ISNUMBER(M173),IF(ISNUMBER(L173),IF(M173-L173&lt;=0,1,IF(20/(M173-L173)&gt;10,1,0)),IF(ISNUMBER(K173),IF(M173-K173&lt;=0,1,IF(25/(M173-K173)&gt;10,1,0)),IF(M173&lt;=0,1,IF(30/M173&gt;10,1,0)))),0)&gt;0,1,0))</f>
        <v/>
      </c>
      <c r="O173" s="22">
        <f>IF(AND(J173=1,N173=0),1,0)</f>
        <v/>
      </c>
      <c r="P173" s="22">
        <f>INDEX(Personendaten!$J$2:$J$32,MATCH(A173,Personendaten!$A$2:$A$32,0))</f>
        <v/>
      </c>
      <c r="Q173" s="22">
        <f>IF(O173=1,"",IF(AND(B173="post",P173="nicht angetreten"),"NANG",IF(N173=1,"AUSL",IFERROR(VLOOKUP(H173,Vokabular!$A$2:$B$8,2,FALSE),"UNBEKANNT"))))</f>
        <v/>
      </c>
    </row>
    <row r="174">
      <c r="A174" s="5" t="inlineStr">
        <is>
          <t>BW-11</t>
        </is>
      </c>
      <c r="B174" s="5" t="inlineStr">
        <is>
          <t>prä</t>
        </is>
      </c>
      <c r="C174" s="5" t="inlineStr">
        <is>
          <t>Standweitsprung</t>
        </is>
      </c>
      <c r="D174" s="5" t="inlineStr">
        <is>
          <t>–</t>
        </is>
      </c>
      <c r="E174" s="5" t="n">
        <v>2</v>
      </c>
      <c r="F174" s="5" t="n">
        <v>222</v>
      </c>
      <c r="G174" s="5" t="n"/>
      <c r="H174" s="5" t="n"/>
      <c r="I174" s="22">
        <f>INDEX(Personendaten!$C$2:$C$32,MATCH(A174,Personendaten!$A$2:$A$32,0))</f>
        <v/>
      </c>
      <c r="J174" s="22">
        <f>IF(AND(F174&lt;&gt;"",G174=""),1,0)</f>
        <v/>
      </c>
      <c r="K174" s="22">
        <f>IF(LEFT(C174,7)&lt;&gt;"Sprint_","",IF(COUNTIFS(Versuchsdaten!$A$2:$A$1117,$A174,Versuchsdaten!$B$2:$B$1117,$B174,Versuchsdaten!$C$2:$C$1117,"Sprint_5m",Versuchsdaten!$E$2:$E$1117,$E174,Versuchsdaten!$J$2:$J$1117,1)=1,SUMIFS(Versuchsdaten!$F$2:$F$1117,Versuchsdaten!$A$2:$A$1117,$A174,Versuchsdaten!$B$2:$B$1117,$B174,Versuchsdaten!$C$2:$C$1117,"Sprint_5m",Versuchsdaten!$E$2:$E$1117,$E174,Versuchsdaten!$J$2:$J$1117,1),""))</f>
        <v/>
      </c>
      <c r="L174" s="22">
        <f>IF(LEFT(C174,7)&lt;&gt;"Sprint_","",IF(COUNTIFS(Versuchsdaten!$A$2:$A$1117,$A174,Versuchsdaten!$B$2:$B$1117,$B174,Versuchsdaten!$C$2:$C$1117,"Sprint_10m",Versuchsdaten!$E$2:$E$1117,$E174,Versuchsdaten!$J$2:$J$1117,1)=1,SUMIFS(Versuchsdaten!$F$2:$F$1117,Versuchsdaten!$A$2:$A$1117,$A174,Versuchsdaten!$B$2:$B$1117,$B174,Versuchsdaten!$C$2:$C$1117,"Sprint_10m",Versuchsdaten!$E$2:$E$1117,$E174,Versuchsdaten!$J$2:$J$1117,1),""))</f>
        <v/>
      </c>
      <c r="M174" s="22">
        <f>IF(LEFT(C174,7)&lt;&gt;"Sprint_","",IF(COUNTIFS(Versuchsdaten!$A$2:$A$1117,$A174,Versuchsdaten!$B$2:$B$1117,$B174,Versuchsdaten!$C$2:$C$1117,"Sprint_30m",Versuchsdaten!$E$2:$E$1117,$E174,Versuchsdaten!$J$2:$J$1117,1)=1,SUMIFS(Versuchsdaten!$F$2:$F$1117,Versuchsdaten!$A$2:$A$1117,$A174,Versuchsdaten!$B$2:$B$1117,$B174,Versuchsdaten!$C$2:$C$1117,"Sprint_30m",Versuchsdaten!$E$2:$E$1117,$E174,Versuchsdaten!$J$2:$J$1117,1),""))</f>
        <v/>
      </c>
      <c r="N174" s="22">
        <f>IF(LEFT(C174,7)&lt;&gt;"Sprint_",0,IF(IF(ISNUMBER(K174),IF(K174&lt;=0,1,IF(5/K174&gt;10,1,0)),0)+IF(ISNUMBER(L174),IF(ISNUMBER(K174),IF(L174-K174&lt;=0,1,IF(5/(L174-K174)&gt;10,1,0)),IF(L174&lt;=0,1,IF(10/L174&gt;10,1,0))),0)+IF(ISNUMBER(M174),IF(ISNUMBER(L174),IF(M174-L174&lt;=0,1,IF(20/(M174-L174)&gt;10,1,0)),IF(ISNUMBER(K174),IF(M174-K174&lt;=0,1,IF(25/(M174-K174)&gt;10,1,0)),IF(M174&lt;=0,1,IF(30/M174&gt;10,1,0)))),0)&gt;0,1,0))</f>
        <v/>
      </c>
      <c r="O174" s="22">
        <f>IF(AND(J174=1,N174=0),1,0)</f>
        <v/>
      </c>
      <c r="P174" s="22">
        <f>INDEX(Personendaten!$J$2:$J$32,MATCH(A174,Personendaten!$A$2:$A$32,0))</f>
        <v/>
      </c>
      <c r="Q174" s="22">
        <f>IF(O174=1,"",IF(AND(B174="post",P174="nicht angetreten"),"NANG",IF(N174=1,"AUSL",IFERROR(VLOOKUP(H174,Vokabular!$A$2:$B$8,2,FALSE),"UNBEKANNT"))))</f>
        <v/>
      </c>
    </row>
    <row r="175">
      <c r="A175" s="5" t="inlineStr">
        <is>
          <t>BW-11</t>
        </is>
      </c>
      <c r="B175" s="5" t="inlineStr">
        <is>
          <t>prä</t>
        </is>
      </c>
      <c r="C175" s="5" t="inlineStr">
        <is>
          <t>Standweitsprung</t>
        </is>
      </c>
      <c r="D175" s="5" t="inlineStr">
        <is>
          <t>–</t>
        </is>
      </c>
      <c r="E175" s="5" t="n">
        <v>3</v>
      </c>
      <c r="F175" s="5" t="n"/>
      <c r="G175" s="5" t="n"/>
      <c r="H175" s="5" t="inlineStr">
        <is>
          <t>Nur 2 Versuche aus Zeitmangel</t>
        </is>
      </c>
      <c r="I175" s="22">
        <f>INDEX(Personendaten!$C$2:$C$32,MATCH(A175,Personendaten!$A$2:$A$32,0))</f>
        <v/>
      </c>
      <c r="J175" s="22">
        <f>IF(AND(F175&lt;&gt;"",G175=""),1,0)</f>
        <v/>
      </c>
      <c r="K175" s="22">
        <f>IF(LEFT(C175,7)&lt;&gt;"Sprint_","",IF(COUNTIFS(Versuchsdaten!$A$2:$A$1117,$A175,Versuchsdaten!$B$2:$B$1117,$B175,Versuchsdaten!$C$2:$C$1117,"Sprint_5m",Versuchsdaten!$E$2:$E$1117,$E175,Versuchsdaten!$J$2:$J$1117,1)=1,SUMIFS(Versuchsdaten!$F$2:$F$1117,Versuchsdaten!$A$2:$A$1117,$A175,Versuchsdaten!$B$2:$B$1117,$B175,Versuchsdaten!$C$2:$C$1117,"Sprint_5m",Versuchsdaten!$E$2:$E$1117,$E175,Versuchsdaten!$J$2:$J$1117,1),""))</f>
        <v/>
      </c>
      <c r="L175" s="22">
        <f>IF(LEFT(C175,7)&lt;&gt;"Sprint_","",IF(COUNTIFS(Versuchsdaten!$A$2:$A$1117,$A175,Versuchsdaten!$B$2:$B$1117,$B175,Versuchsdaten!$C$2:$C$1117,"Sprint_10m",Versuchsdaten!$E$2:$E$1117,$E175,Versuchsdaten!$J$2:$J$1117,1)=1,SUMIFS(Versuchsdaten!$F$2:$F$1117,Versuchsdaten!$A$2:$A$1117,$A175,Versuchsdaten!$B$2:$B$1117,$B175,Versuchsdaten!$C$2:$C$1117,"Sprint_10m",Versuchsdaten!$E$2:$E$1117,$E175,Versuchsdaten!$J$2:$J$1117,1),""))</f>
        <v/>
      </c>
      <c r="M175" s="22">
        <f>IF(LEFT(C175,7)&lt;&gt;"Sprint_","",IF(COUNTIFS(Versuchsdaten!$A$2:$A$1117,$A175,Versuchsdaten!$B$2:$B$1117,$B175,Versuchsdaten!$C$2:$C$1117,"Sprint_30m",Versuchsdaten!$E$2:$E$1117,$E175,Versuchsdaten!$J$2:$J$1117,1)=1,SUMIFS(Versuchsdaten!$F$2:$F$1117,Versuchsdaten!$A$2:$A$1117,$A175,Versuchsdaten!$B$2:$B$1117,$B175,Versuchsdaten!$C$2:$C$1117,"Sprint_30m",Versuchsdaten!$E$2:$E$1117,$E175,Versuchsdaten!$J$2:$J$1117,1),""))</f>
        <v/>
      </c>
      <c r="N175" s="22">
        <f>IF(LEFT(C175,7)&lt;&gt;"Sprint_",0,IF(IF(ISNUMBER(K175),IF(K175&lt;=0,1,IF(5/K175&gt;10,1,0)),0)+IF(ISNUMBER(L175),IF(ISNUMBER(K175),IF(L175-K175&lt;=0,1,IF(5/(L175-K175)&gt;10,1,0)),IF(L175&lt;=0,1,IF(10/L175&gt;10,1,0))),0)+IF(ISNUMBER(M175),IF(ISNUMBER(L175),IF(M175-L175&lt;=0,1,IF(20/(M175-L175)&gt;10,1,0)),IF(ISNUMBER(K175),IF(M175-K175&lt;=0,1,IF(25/(M175-K175)&gt;10,1,0)),IF(M175&lt;=0,1,IF(30/M175&gt;10,1,0)))),0)&gt;0,1,0))</f>
        <v/>
      </c>
      <c r="O175" s="22">
        <f>IF(AND(J175=1,N175=0),1,0)</f>
        <v/>
      </c>
      <c r="P175" s="22">
        <f>INDEX(Personendaten!$J$2:$J$32,MATCH(A175,Personendaten!$A$2:$A$32,0))</f>
        <v/>
      </c>
      <c r="Q175" s="22">
        <f>IF(O175=1,"",IF(AND(B175="post",P175="nicht angetreten"),"NANG",IF(N175=1,"AUSL",IFERROR(VLOOKUP(H175,Vokabular!$A$2:$B$8,2,FALSE),"UNBEKANNT"))))</f>
        <v/>
      </c>
    </row>
    <row r="176">
      <c r="A176" s="5" t="inlineStr">
        <is>
          <t>BW-11</t>
        </is>
      </c>
      <c r="B176" s="5" t="inlineStr">
        <is>
          <t>prä</t>
        </is>
      </c>
      <c r="C176" s="5" t="inlineStr">
        <is>
          <t>COD_505</t>
        </is>
      </c>
      <c r="D176" s="5" t="inlineStr">
        <is>
          <t>L</t>
        </is>
      </c>
      <c r="E176" s="5" t="n">
        <v>1</v>
      </c>
      <c r="F176" s="5" t="n"/>
      <c r="G176" s="5" t="inlineStr">
        <is>
          <t>x</t>
        </is>
      </c>
      <c r="H176" s="5" t="inlineStr">
        <is>
          <t>Linie nicht getroffen</t>
        </is>
      </c>
      <c r="I176" s="22">
        <f>INDEX(Personendaten!$C$2:$C$32,MATCH(A176,Personendaten!$A$2:$A$32,0))</f>
        <v/>
      </c>
      <c r="J176" s="22">
        <f>IF(AND(F176&lt;&gt;"",G176=""),1,0)</f>
        <v/>
      </c>
      <c r="K176" s="22">
        <f>IF(LEFT(C176,7)&lt;&gt;"Sprint_","",IF(COUNTIFS(Versuchsdaten!$A$2:$A$1117,$A176,Versuchsdaten!$B$2:$B$1117,$B176,Versuchsdaten!$C$2:$C$1117,"Sprint_5m",Versuchsdaten!$E$2:$E$1117,$E176,Versuchsdaten!$J$2:$J$1117,1)=1,SUMIFS(Versuchsdaten!$F$2:$F$1117,Versuchsdaten!$A$2:$A$1117,$A176,Versuchsdaten!$B$2:$B$1117,$B176,Versuchsdaten!$C$2:$C$1117,"Sprint_5m",Versuchsdaten!$E$2:$E$1117,$E176,Versuchsdaten!$J$2:$J$1117,1),""))</f>
        <v/>
      </c>
      <c r="L176" s="22">
        <f>IF(LEFT(C176,7)&lt;&gt;"Sprint_","",IF(COUNTIFS(Versuchsdaten!$A$2:$A$1117,$A176,Versuchsdaten!$B$2:$B$1117,$B176,Versuchsdaten!$C$2:$C$1117,"Sprint_10m",Versuchsdaten!$E$2:$E$1117,$E176,Versuchsdaten!$J$2:$J$1117,1)=1,SUMIFS(Versuchsdaten!$F$2:$F$1117,Versuchsdaten!$A$2:$A$1117,$A176,Versuchsdaten!$B$2:$B$1117,$B176,Versuchsdaten!$C$2:$C$1117,"Sprint_10m",Versuchsdaten!$E$2:$E$1117,$E176,Versuchsdaten!$J$2:$J$1117,1),""))</f>
        <v/>
      </c>
      <c r="M176" s="22">
        <f>IF(LEFT(C176,7)&lt;&gt;"Sprint_","",IF(COUNTIFS(Versuchsdaten!$A$2:$A$1117,$A176,Versuchsdaten!$B$2:$B$1117,$B176,Versuchsdaten!$C$2:$C$1117,"Sprint_30m",Versuchsdaten!$E$2:$E$1117,$E176,Versuchsdaten!$J$2:$J$1117,1)=1,SUMIFS(Versuchsdaten!$F$2:$F$1117,Versuchsdaten!$A$2:$A$1117,$A176,Versuchsdaten!$B$2:$B$1117,$B176,Versuchsdaten!$C$2:$C$1117,"Sprint_30m",Versuchsdaten!$E$2:$E$1117,$E176,Versuchsdaten!$J$2:$J$1117,1),""))</f>
        <v/>
      </c>
      <c r="N176" s="22">
        <f>IF(LEFT(C176,7)&lt;&gt;"Sprint_",0,IF(IF(ISNUMBER(K176),IF(K176&lt;=0,1,IF(5/K176&gt;10,1,0)),0)+IF(ISNUMBER(L176),IF(ISNUMBER(K176),IF(L176-K176&lt;=0,1,IF(5/(L176-K176)&gt;10,1,0)),IF(L176&lt;=0,1,IF(10/L176&gt;10,1,0))),0)+IF(ISNUMBER(M176),IF(ISNUMBER(L176),IF(M176-L176&lt;=0,1,IF(20/(M176-L176)&gt;10,1,0)),IF(ISNUMBER(K176),IF(M176-K176&lt;=0,1,IF(25/(M176-K176)&gt;10,1,0)),IF(M176&lt;=0,1,IF(30/M176&gt;10,1,0)))),0)&gt;0,1,0))</f>
        <v/>
      </c>
      <c r="O176" s="22">
        <f>IF(AND(J176=1,N176=0),1,0)</f>
        <v/>
      </c>
      <c r="P176" s="22">
        <f>INDEX(Personendaten!$J$2:$J$32,MATCH(A176,Personendaten!$A$2:$A$32,0))</f>
        <v/>
      </c>
      <c r="Q176" s="22">
        <f>IF(O176=1,"",IF(AND(B176="post",P176="nicht angetreten"),"NANG",IF(N176=1,"AUSL",IFERROR(VLOOKUP(H176,Vokabular!$A$2:$B$8,2,FALSE),"UNBEKANNT"))))</f>
        <v/>
      </c>
    </row>
    <row r="177">
      <c r="A177" s="5" t="inlineStr">
        <is>
          <t>BW-11</t>
        </is>
      </c>
      <c r="B177" s="5" t="inlineStr">
        <is>
          <t>prä</t>
        </is>
      </c>
      <c r="C177" s="5" t="inlineStr">
        <is>
          <t>COD_505</t>
        </is>
      </c>
      <c r="D177" s="5" t="inlineStr">
        <is>
          <t>L</t>
        </is>
      </c>
      <c r="E177" s="5" t="n">
        <v>2</v>
      </c>
      <c r="F177" s="5" t="n">
        <v>2.69</v>
      </c>
      <c r="G177" s="5" t="n"/>
      <c r="H177" s="5" t="n"/>
      <c r="I177" s="22">
        <f>INDEX(Personendaten!$C$2:$C$32,MATCH(A177,Personendaten!$A$2:$A$32,0))</f>
        <v/>
      </c>
      <c r="J177" s="22">
        <f>IF(AND(F177&lt;&gt;"",G177=""),1,0)</f>
        <v/>
      </c>
      <c r="K177" s="22">
        <f>IF(LEFT(C177,7)&lt;&gt;"Sprint_","",IF(COUNTIFS(Versuchsdaten!$A$2:$A$1117,$A177,Versuchsdaten!$B$2:$B$1117,$B177,Versuchsdaten!$C$2:$C$1117,"Sprint_5m",Versuchsdaten!$E$2:$E$1117,$E177,Versuchsdaten!$J$2:$J$1117,1)=1,SUMIFS(Versuchsdaten!$F$2:$F$1117,Versuchsdaten!$A$2:$A$1117,$A177,Versuchsdaten!$B$2:$B$1117,$B177,Versuchsdaten!$C$2:$C$1117,"Sprint_5m",Versuchsdaten!$E$2:$E$1117,$E177,Versuchsdaten!$J$2:$J$1117,1),""))</f>
        <v/>
      </c>
      <c r="L177" s="22">
        <f>IF(LEFT(C177,7)&lt;&gt;"Sprint_","",IF(COUNTIFS(Versuchsdaten!$A$2:$A$1117,$A177,Versuchsdaten!$B$2:$B$1117,$B177,Versuchsdaten!$C$2:$C$1117,"Sprint_10m",Versuchsdaten!$E$2:$E$1117,$E177,Versuchsdaten!$J$2:$J$1117,1)=1,SUMIFS(Versuchsdaten!$F$2:$F$1117,Versuchsdaten!$A$2:$A$1117,$A177,Versuchsdaten!$B$2:$B$1117,$B177,Versuchsdaten!$C$2:$C$1117,"Sprint_10m",Versuchsdaten!$E$2:$E$1117,$E177,Versuchsdaten!$J$2:$J$1117,1),""))</f>
        <v/>
      </c>
      <c r="M177" s="22">
        <f>IF(LEFT(C177,7)&lt;&gt;"Sprint_","",IF(COUNTIFS(Versuchsdaten!$A$2:$A$1117,$A177,Versuchsdaten!$B$2:$B$1117,$B177,Versuchsdaten!$C$2:$C$1117,"Sprint_30m",Versuchsdaten!$E$2:$E$1117,$E177,Versuchsdaten!$J$2:$J$1117,1)=1,SUMIFS(Versuchsdaten!$F$2:$F$1117,Versuchsdaten!$A$2:$A$1117,$A177,Versuchsdaten!$B$2:$B$1117,$B177,Versuchsdaten!$C$2:$C$1117,"Sprint_30m",Versuchsdaten!$E$2:$E$1117,$E177,Versuchsdaten!$J$2:$J$1117,1),""))</f>
        <v/>
      </c>
      <c r="N177" s="22">
        <f>IF(LEFT(C177,7)&lt;&gt;"Sprint_",0,IF(IF(ISNUMBER(K177),IF(K177&lt;=0,1,IF(5/K177&gt;10,1,0)),0)+IF(ISNUMBER(L177),IF(ISNUMBER(K177),IF(L177-K177&lt;=0,1,IF(5/(L177-K177)&gt;10,1,0)),IF(L177&lt;=0,1,IF(10/L177&gt;10,1,0))),0)+IF(ISNUMBER(M177),IF(ISNUMBER(L177),IF(M177-L177&lt;=0,1,IF(20/(M177-L177)&gt;10,1,0)),IF(ISNUMBER(K177),IF(M177-K177&lt;=0,1,IF(25/(M177-K177)&gt;10,1,0)),IF(M177&lt;=0,1,IF(30/M177&gt;10,1,0)))),0)&gt;0,1,0))</f>
        <v/>
      </c>
      <c r="O177" s="22">
        <f>IF(AND(J177=1,N177=0),1,0)</f>
        <v/>
      </c>
      <c r="P177" s="22">
        <f>INDEX(Personendaten!$J$2:$J$32,MATCH(A177,Personendaten!$A$2:$A$32,0))</f>
        <v/>
      </c>
      <c r="Q177" s="22">
        <f>IF(O177=1,"",IF(AND(B177="post",P177="nicht angetreten"),"NANG",IF(N177=1,"AUSL",IFERROR(VLOOKUP(H177,Vokabular!$A$2:$B$8,2,FALSE),"UNBEKANNT"))))</f>
        <v/>
      </c>
    </row>
    <row r="178">
      <c r="A178" s="5" t="inlineStr">
        <is>
          <t>BW-11</t>
        </is>
      </c>
      <c r="B178" s="5" t="inlineStr">
        <is>
          <t>prä</t>
        </is>
      </c>
      <c r="C178" s="5" t="inlineStr">
        <is>
          <t>COD_505</t>
        </is>
      </c>
      <c r="D178" s="5" t="inlineStr">
        <is>
          <t>L</t>
        </is>
      </c>
      <c r="E178" s="5" t="n">
        <v>3</v>
      </c>
      <c r="F178" s="5" t="n"/>
      <c r="G178" s="5" t="n"/>
      <c r="H178" s="5" t="inlineStr">
        <is>
          <t>Nur 2 Versuche aus Zeitmangel</t>
        </is>
      </c>
      <c r="I178" s="22">
        <f>INDEX(Personendaten!$C$2:$C$32,MATCH(A178,Personendaten!$A$2:$A$32,0))</f>
        <v/>
      </c>
      <c r="J178" s="22">
        <f>IF(AND(F178&lt;&gt;"",G178=""),1,0)</f>
        <v/>
      </c>
      <c r="K178" s="22">
        <f>IF(LEFT(C178,7)&lt;&gt;"Sprint_","",IF(COUNTIFS(Versuchsdaten!$A$2:$A$1117,$A178,Versuchsdaten!$B$2:$B$1117,$B178,Versuchsdaten!$C$2:$C$1117,"Sprint_5m",Versuchsdaten!$E$2:$E$1117,$E178,Versuchsdaten!$J$2:$J$1117,1)=1,SUMIFS(Versuchsdaten!$F$2:$F$1117,Versuchsdaten!$A$2:$A$1117,$A178,Versuchsdaten!$B$2:$B$1117,$B178,Versuchsdaten!$C$2:$C$1117,"Sprint_5m",Versuchsdaten!$E$2:$E$1117,$E178,Versuchsdaten!$J$2:$J$1117,1),""))</f>
        <v/>
      </c>
      <c r="L178" s="22">
        <f>IF(LEFT(C178,7)&lt;&gt;"Sprint_","",IF(COUNTIFS(Versuchsdaten!$A$2:$A$1117,$A178,Versuchsdaten!$B$2:$B$1117,$B178,Versuchsdaten!$C$2:$C$1117,"Sprint_10m",Versuchsdaten!$E$2:$E$1117,$E178,Versuchsdaten!$J$2:$J$1117,1)=1,SUMIFS(Versuchsdaten!$F$2:$F$1117,Versuchsdaten!$A$2:$A$1117,$A178,Versuchsdaten!$B$2:$B$1117,$B178,Versuchsdaten!$C$2:$C$1117,"Sprint_10m",Versuchsdaten!$E$2:$E$1117,$E178,Versuchsdaten!$J$2:$J$1117,1),""))</f>
        <v/>
      </c>
      <c r="M178" s="22">
        <f>IF(LEFT(C178,7)&lt;&gt;"Sprint_","",IF(COUNTIFS(Versuchsdaten!$A$2:$A$1117,$A178,Versuchsdaten!$B$2:$B$1117,$B178,Versuchsdaten!$C$2:$C$1117,"Sprint_30m",Versuchsdaten!$E$2:$E$1117,$E178,Versuchsdaten!$J$2:$J$1117,1)=1,SUMIFS(Versuchsdaten!$F$2:$F$1117,Versuchsdaten!$A$2:$A$1117,$A178,Versuchsdaten!$B$2:$B$1117,$B178,Versuchsdaten!$C$2:$C$1117,"Sprint_30m",Versuchsdaten!$E$2:$E$1117,$E178,Versuchsdaten!$J$2:$J$1117,1),""))</f>
        <v/>
      </c>
      <c r="N178" s="22">
        <f>IF(LEFT(C178,7)&lt;&gt;"Sprint_",0,IF(IF(ISNUMBER(K178),IF(K178&lt;=0,1,IF(5/K178&gt;10,1,0)),0)+IF(ISNUMBER(L178),IF(ISNUMBER(K178),IF(L178-K178&lt;=0,1,IF(5/(L178-K178)&gt;10,1,0)),IF(L178&lt;=0,1,IF(10/L178&gt;10,1,0))),0)+IF(ISNUMBER(M178),IF(ISNUMBER(L178),IF(M178-L178&lt;=0,1,IF(20/(M178-L178)&gt;10,1,0)),IF(ISNUMBER(K178),IF(M178-K178&lt;=0,1,IF(25/(M178-K178)&gt;10,1,0)),IF(M178&lt;=0,1,IF(30/M178&gt;10,1,0)))),0)&gt;0,1,0))</f>
        <v/>
      </c>
      <c r="O178" s="22">
        <f>IF(AND(J178=1,N178=0),1,0)</f>
        <v/>
      </c>
      <c r="P178" s="22">
        <f>INDEX(Personendaten!$J$2:$J$32,MATCH(A178,Personendaten!$A$2:$A$32,0))</f>
        <v/>
      </c>
      <c r="Q178" s="22">
        <f>IF(O178=1,"",IF(AND(B178="post",P178="nicht angetreten"),"NANG",IF(N178=1,"AUSL",IFERROR(VLOOKUP(H178,Vokabular!$A$2:$B$8,2,FALSE),"UNBEKANNT"))))</f>
        <v/>
      </c>
    </row>
    <row r="179">
      <c r="A179" s="5" t="inlineStr">
        <is>
          <t>BW-11</t>
        </is>
      </c>
      <c r="B179" s="5" t="inlineStr">
        <is>
          <t>prä</t>
        </is>
      </c>
      <c r="C179" s="5" t="inlineStr">
        <is>
          <t>COD_505</t>
        </is>
      </c>
      <c r="D179" s="5" t="inlineStr">
        <is>
          <t>R</t>
        </is>
      </c>
      <c r="E179" s="5" t="n">
        <v>1</v>
      </c>
      <c r="F179" s="5" t="n"/>
      <c r="G179" s="5" t="inlineStr">
        <is>
          <t>x</t>
        </is>
      </c>
      <c r="H179" s="5" t="inlineStr">
        <is>
          <t>Linie nicht getroffen</t>
        </is>
      </c>
      <c r="I179" s="22">
        <f>INDEX(Personendaten!$C$2:$C$32,MATCH(A179,Personendaten!$A$2:$A$32,0))</f>
        <v/>
      </c>
      <c r="J179" s="22">
        <f>IF(AND(F179&lt;&gt;"",G179=""),1,0)</f>
        <v/>
      </c>
      <c r="K179" s="22">
        <f>IF(LEFT(C179,7)&lt;&gt;"Sprint_","",IF(COUNTIFS(Versuchsdaten!$A$2:$A$1117,$A179,Versuchsdaten!$B$2:$B$1117,$B179,Versuchsdaten!$C$2:$C$1117,"Sprint_5m",Versuchsdaten!$E$2:$E$1117,$E179,Versuchsdaten!$J$2:$J$1117,1)=1,SUMIFS(Versuchsdaten!$F$2:$F$1117,Versuchsdaten!$A$2:$A$1117,$A179,Versuchsdaten!$B$2:$B$1117,$B179,Versuchsdaten!$C$2:$C$1117,"Sprint_5m",Versuchsdaten!$E$2:$E$1117,$E179,Versuchsdaten!$J$2:$J$1117,1),""))</f>
        <v/>
      </c>
      <c r="L179" s="22">
        <f>IF(LEFT(C179,7)&lt;&gt;"Sprint_","",IF(COUNTIFS(Versuchsdaten!$A$2:$A$1117,$A179,Versuchsdaten!$B$2:$B$1117,$B179,Versuchsdaten!$C$2:$C$1117,"Sprint_10m",Versuchsdaten!$E$2:$E$1117,$E179,Versuchsdaten!$J$2:$J$1117,1)=1,SUMIFS(Versuchsdaten!$F$2:$F$1117,Versuchsdaten!$A$2:$A$1117,$A179,Versuchsdaten!$B$2:$B$1117,$B179,Versuchsdaten!$C$2:$C$1117,"Sprint_10m",Versuchsdaten!$E$2:$E$1117,$E179,Versuchsdaten!$J$2:$J$1117,1),""))</f>
        <v/>
      </c>
      <c r="M179" s="22">
        <f>IF(LEFT(C179,7)&lt;&gt;"Sprint_","",IF(COUNTIFS(Versuchsdaten!$A$2:$A$1117,$A179,Versuchsdaten!$B$2:$B$1117,$B179,Versuchsdaten!$C$2:$C$1117,"Sprint_30m",Versuchsdaten!$E$2:$E$1117,$E179,Versuchsdaten!$J$2:$J$1117,1)=1,SUMIFS(Versuchsdaten!$F$2:$F$1117,Versuchsdaten!$A$2:$A$1117,$A179,Versuchsdaten!$B$2:$B$1117,$B179,Versuchsdaten!$C$2:$C$1117,"Sprint_30m",Versuchsdaten!$E$2:$E$1117,$E179,Versuchsdaten!$J$2:$J$1117,1),""))</f>
        <v/>
      </c>
      <c r="N179" s="22">
        <f>IF(LEFT(C179,7)&lt;&gt;"Sprint_",0,IF(IF(ISNUMBER(K179),IF(K179&lt;=0,1,IF(5/K179&gt;10,1,0)),0)+IF(ISNUMBER(L179),IF(ISNUMBER(K179),IF(L179-K179&lt;=0,1,IF(5/(L179-K179)&gt;10,1,0)),IF(L179&lt;=0,1,IF(10/L179&gt;10,1,0))),0)+IF(ISNUMBER(M179),IF(ISNUMBER(L179),IF(M179-L179&lt;=0,1,IF(20/(M179-L179)&gt;10,1,0)),IF(ISNUMBER(K179),IF(M179-K179&lt;=0,1,IF(25/(M179-K179)&gt;10,1,0)),IF(M179&lt;=0,1,IF(30/M179&gt;10,1,0)))),0)&gt;0,1,0))</f>
        <v/>
      </c>
      <c r="O179" s="22">
        <f>IF(AND(J179=1,N179=0),1,0)</f>
        <v/>
      </c>
      <c r="P179" s="22">
        <f>INDEX(Personendaten!$J$2:$J$32,MATCH(A179,Personendaten!$A$2:$A$32,0))</f>
        <v/>
      </c>
      <c r="Q179" s="22">
        <f>IF(O179=1,"",IF(AND(B179="post",P179="nicht angetreten"),"NANG",IF(N179=1,"AUSL",IFERROR(VLOOKUP(H179,Vokabular!$A$2:$B$8,2,FALSE),"UNBEKANNT"))))</f>
        <v/>
      </c>
    </row>
    <row r="180">
      <c r="A180" s="5" t="inlineStr">
        <is>
          <t>BW-11</t>
        </is>
      </c>
      <c r="B180" s="5" t="inlineStr">
        <is>
          <t>prä</t>
        </is>
      </c>
      <c r="C180" s="5" t="inlineStr">
        <is>
          <t>COD_505</t>
        </is>
      </c>
      <c r="D180" s="5" t="inlineStr">
        <is>
          <t>R</t>
        </is>
      </c>
      <c r="E180" s="5" t="n">
        <v>2</v>
      </c>
      <c r="F180" s="5" t="n"/>
      <c r="G180" s="5" t="inlineStr">
        <is>
          <t>x</t>
        </is>
      </c>
      <c r="H180" s="5" t="inlineStr">
        <is>
          <t>Linie nicht getroffen</t>
        </is>
      </c>
      <c r="I180" s="22">
        <f>INDEX(Personendaten!$C$2:$C$32,MATCH(A180,Personendaten!$A$2:$A$32,0))</f>
        <v/>
      </c>
      <c r="J180" s="22">
        <f>IF(AND(F180&lt;&gt;"",G180=""),1,0)</f>
        <v/>
      </c>
      <c r="K180" s="22">
        <f>IF(LEFT(C180,7)&lt;&gt;"Sprint_","",IF(COUNTIFS(Versuchsdaten!$A$2:$A$1117,$A180,Versuchsdaten!$B$2:$B$1117,$B180,Versuchsdaten!$C$2:$C$1117,"Sprint_5m",Versuchsdaten!$E$2:$E$1117,$E180,Versuchsdaten!$J$2:$J$1117,1)=1,SUMIFS(Versuchsdaten!$F$2:$F$1117,Versuchsdaten!$A$2:$A$1117,$A180,Versuchsdaten!$B$2:$B$1117,$B180,Versuchsdaten!$C$2:$C$1117,"Sprint_5m",Versuchsdaten!$E$2:$E$1117,$E180,Versuchsdaten!$J$2:$J$1117,1),""))</f>
        <v/>
      </c>
      <c r="L180" s="22">
        <f>IF(LEFT(C180,7)&lt;&gt;"Sprint_","",IF(COUNTIFS(Versuchsdaten!$A$2:$A$1117,$A180,Versuchsdaten!$B$2:$B$1117,$B180,Versuchsdaten!$C$2:$C$1117,"Sprint_10m",Versuchsdaten!$E$2:$E$1117,$E180,Versuchsdaten!$J$2:$J$1117,1)=1,SUMIFS(Versuchsdaten!$F$2:$F$1117,Versuchsdaten!$A$2:$A$1117,$A180,Versuchsdaten!$B$2:$B$1117,$B180,Versuchsdaten!$C$2:$C$1117,"Sprint_10m",Versuchsdaten!$E$2:$E$1117,$E180,Versuchsdaten!$J$2:$J$1117,1),""))</f>
        <v/>
      </c>
      <c r="M180" s="22">
        <f>IF(LEFT(C180,7)&lt;&gt;"Sprint_","",IF(COUNTIFS(Versuchsdaten!$A$2:$A$1117,$A180,Versuchsdaten!$B$2:$B$1117,$B180,Versuchsdaten!$C$2:$C$1117,"Sprint_30m",Versuchsdaten!$E$2:$E$1117,$E180,Versuchsdaten!$J$2:$J$1117,1)=1,SUMIFS(Versuchsdaten!$F$2:$F$1117,Versuchsdaten!$A$2:$A$1117,$A180,Versuchsdaten!$B$2:$B$1117,$B180,Versuchsdaten!$C$2:$C$1117,"Sprint_30m",Versuchsdaten!$E$2:$E$1117,$E180,Versuchsdaten!$J$2:$J$1117,1),""))</f>
        <v/>
      </c>
      <c r="N180" s="22">
        <f>IF(LEFT(C180,7)&lt;&gt;"Sprint_",0,IF(IF(ISNUMBER(K180),IF(K180&lt;=0,1,IF(5/K180&gt;10,1,0)),0)+IF(ISNUMBER(L180),IF(ISNUMBER(K180),IF(L180-K180&lt;=0,1,IF(5/(L180-K180)&gt;10,1,0)),IF(L180&lt;=0,1,IF(10/L180&gt;10,1,0))),0)+IF(ISNUMBER(M180),IF(ISNUMBER(L180),IF(M180-L180&lt;=0,1,IF(20/(M180-L180)&gt;10,1,0)),IF(ISNUMBER(K180),IF(M180-K180&lt;=0,1,IF(25/(M180-K180)&gt;10,1,0)),IF(M180&lt;=0,1,IF(30/M180&gt;10,1,0)))),0)&gt;0,1,0))</f>
        <v/>
      </c>
      <c r="O180" s="22">
        <f>IF(AND(J180=1,N180=0),1,0)</f>
        <v/>
      </c>
      <c r="P180" s="22">
        <f>INDEX(Personendaten!$J$2:$J$32,MATCH(A180,Personendaten!$A$2:$A$32,0))</f>
        <v/>
      </c>
      <c r="Q180" s="22">
        <f>IF(O180=1,"",IF(AND(B180="post",P180="nicht angetreten"),"NANG",IF(N180=1,"AUSL",IFERROR(VLOOKUP(H180,Vokabular!$A$2:$B$8,2,FALSE),"UNBEKANNT"))))</f>
        <v/>
      </c>
    </row>
    <row r="181">
      <c r="A181" s="5" t="inlineStr">
        <is>
          <t>BW-11</t>
        </is>
      </c>
      <c r="B181" s="5" t="inlineStr">
        <is>
          <t>prä</t>
        </is>
      </c>
      <c r="C181" s="5" t="inlineStr">
        <is>
          <t>COD_505</t>
        </is>
      </c>
      <c r="D181" s="5" t="inlineStr">
        <is>
          <t>R</t>
        </is>
      </c>
      <c r="E181" s="5" t="n">
        <v>3</v>
      </c>
      <c r="F181" s="5" t="n"/>
      <c r="G181" s="5" t="n"/>
      <c r="H181" s="5" t="inlineStr">
        <is>
          <t>Nur 2 Versuche aus Zeitmangel</t>
        </is>
      </c>
      <c r="I181" s="22">
        <f>INDEX(Personendaten!$C$2:$C$32,MATCH(A181,Personendaten!$A$2:$A$32,0))</f>
        <v/>
      </c>
      <c r="J181" s="22">
        <f>IF(AND(F181&lt;&gt;"",G181=""),1,0)</f>
        <v/>
      </c>
      <c r="K181" s="22">
        <f>IF(LEFT(C181,7)&lt;&gt;"Sprint_","",IF(COUNTIFS(Versuchsdaten!$A$2:$A$1117,$A181,Versuchsdaten!$B$2:$B$1117,$B181,Versuchsdaten!$C$2:$C$1117,"Sprint_5m",Versuchsdaten!$E$2:$E$1117,$E181,Versuchsdaten!$J$2:$J$1117,1)=1,SUMIFS(Versuchsdaten!$F$2:$F$1117,Versuchsdaten!$A$2:$A$1117,$A181,Versuchsdaten!$B$2:$B$1117,$B181,Versuchsdaten!$C$2:$C$1117,"Sprint_5m",Versuchsdaten!$E$2:$E$1117,$E181,Versuchsdaten!$J$2:$J$1117,1),""))</f>
        <v/>
      </c>
      <c r="L181" s="22">
        <f>IF(LEFT(C181,7)&lt;&gt;"Sprint_","",IF(COUNTIFS(Versuchsdaten!$A$2:$A$1117,$A181,Versuchsdaten!$B$2:$B$1117,$B181,Versuchsdaten!$C$2:$C$1117,"Sprint_10m",Versuchsdaten!$E$2:$E$1117,$E181,Versuchsdaten!$J$2:$J$1117,1)=1,SUMIFS(Versuchsdaten!$F$2:$F$1117,Versuchsdaten!$A$2:$A$1117,$A181,Versuchsdaten!$B$2:$B$1117,$B181,Versuchsdaten!$C$2:$C$1117,"Sprint_10m",Versuchsdaten!$E$2:$E$1117,$E181,Versuchsdaten!$J$2:$J$1117,1),""))</f>
        <v/>
      </c>
      <c r="M181" s="22">
        <f>IF(LEFT(C181,7)&lt;&gt;"Sprint_","",IF(COUNTIFS(Versuchsdaten!$A$2:$A$1117,$A181,Versuchsdaten!$B$2:$B$1117,$B181,Versuchsdaten!$C$2:$C$1117,"Sprint_30m",Versuchsdaten!$E$2:$E$1117,$E181,Versuchsdaten!$J$2:$J$1117,1)=1,SUMIFS(Versuchsdaten!$F$2:$F$1117,Versuchsdaten!$A$2:$A$1117,$A181,Versuchsdaten!$B$2:$B$1117,$B181,Versuchsdaten!$C$2:$C$1117,"Sprint_30m",Versuchsdaten!$E$2:$E$1117,$E181,Versuchsdaten!$J$2:$J$1117,1),""))</f>
        <v/>
      </c>
      <c r="N181" s="22">
        <f>IF(LEFT(C181,7)&lt;&gt;"Sprint_",0,IF(IF(ISNUMBER(K181),IF(K181&lt;=0,1,IF(5/K181&gt;10,1,0)),0)+IF(ISNUMBER(L181),IF(ISNUMBER(K181),IF(L181-K181&lt;=0,1,IF(5/(L181-K181)&gt;10,1,0)),IF(L181&lt;=0,1,IF(10/L181&gt;10,1,0))),0)+IF(ISNUMBER(M181),IF(ISNUMBER(L181),IF(M181-L181&lt;=0,1,IF(20/(M181-L181)&gt;10,1,0)),IF(ISNUMBER(K181),IF(M181-K181&lt;=0,1,IF(25/(M181-K181)&gt;10,1,0)),IF(M181&lt;=0,1,IF(30/M181&gt;10,1,0)))),0)&gt;0,1,0))</f>
        <v/>
      </c>
      <c r="O181" s="22">
        <f>IF(AND(J181=1,N181=0),1,0)</f>
        <v/>
      </c>
      <c r="P181" s="22">
        <f>INDEX(Personendaten!$J$2:$J$32,MATCH(A181,Personendaten!$A$2:$A$32,0))</f>
        <v/>
      </c>
      <c r="Q181" s="22">
        <f>IF(O181=1,"",IF(AND(B181="post",P181="nicht angetreten"),"NANG",IF(N181=1,"AUSL",IFERROR(VLOOKUP(H181,Vokabular!$A$2:$B$8,2,FALSE),"UNBEKANNT"))))</f>
        <v/>
      </c>
    </row>
    <row r="182">
      <c r="A182" s="5" t="inlineStr">
        <is>
          <t>BW-21</t>
        </is>
      </c>
      <c r="B182" s="5" t="inlineStr">
        <is>
          <t>prä</t>
        </is>
      </c>
      <c r="C182" s="5" t="inlineStr">
        <is>
          <t>Sprint_5m</t>
        </is>
      </c>
      <c r="D182" s="5" t="inlineStr">
        <is>
          <t>–</t>
        </is>
      </c>
      <c r="E182" s="5" t="n">
        <v>1</v>
      </c>
      <c r="F182" s="5" t="n">
        <v>1.15</v>
      </c>
      <c r="G182" s="5" t="n"/>
      <c r="H182" s="5" t="n"/>
      <c r="I182" s="22">
        <f>INDEX(Personendaten!$C$2:$C$32,MATCH(A182,Personendaten!$A$2:$A$32,0))</f>
        <v/>
      </c>
      <c r="J182" s="22">
        <f>IF(AND(F182&lt;&gt;"",G182=""),1,0)</f>
        <v/>
      </c>
      <c r="K182" s="22">
        <f>IF(LEFT(C182,7)&lt;&gt;"Sprint_","",IF(COUNTIFS(Versuchsdaten!$A$2:$A$1117,$A182,Versuchsdaten!$B$2:$B$1117,$B182,Versuchsdaten!$C$2:$C$1117,"Sprint_5m",Versuchsdaten!$E$2:$E$1117,$E182,Versuchsdaten!$J$2:$J$1117,1)=1,SUMIFS(Versuchsdaten!$F$2:$F$1117,Versuchsdaten!$A$2:$A$1117,$A182,Versuchsdaten!$B$2:$B$1117,$B182,Versuchsdaten!$C$2:$C$1117,"Sprint_5m",Versuchsdaten!$E$2:$E$1117,$E182,Versuchsdaten!$J$2:$J$1117,1),""))</f>
        <v/>
      </c>
      <c r="L182" s="22">
        <f>IF(LEFT(C182,7)&lt;&gt;"Sprint_","",IF(COUNTIFS(Versuchsdaten!$A$2:$A$1117,$A182,Versuchsdaten!$B$2:$B$1117,$B182,Versuchsdaten!$C$2:$C$1117,"Sprint_10m",Versuchsdaten!$E$2:$E$1117,$E182,Versuchsdaten!$J$2:$J$1117,1)=1,SUMIFS(Versuchsdaten!$F$2:$F$1117,Versuchsdaten!$A$2:$A$1117,$A182,Versuchsdaten!$B$2:$B$1117,$B182,Versuchsdaten!$C$2:$C$1117,"Sprint_10m",Versuchsdaten!$E$2:$E$1117,$E182,Versuchsdaten!$J$2:$J$1117,1),""))</f>
        <v/>
      </c>
      <c r="M182" s="22">
        <f>IF(LEFT(C182,7)&lt;&gt;"Sprint_","",IF(COUNTIFS(Versuchsdaten!$A$2:$A$1117,$A182,Versuchsdaten!$B$2:$B$1117,$B182,Versuchsdaten!$C$2:$C$1117,"Sprint_30m",Versuchsdaten!$E$2:$E$1117,$E182,Versuchsdaten!$J$2:$J$1117,1)=1,SUMIFS(Versuchsdaten!$F$2:$F$1117,Versuchsdaten!$A$2:$A$1117,$A182,Versuchsdaten!$B$2:$B$1117,$B182,Versuchsdaten!$C$2:$C$1117,"Sprint_30m",Versuchsdaten!$E$2:$E$1117,$E182,Versuchsdaten!$J$2:$J$1117,1),""))</f>
        <v/>
      </c>
      <c r="N182" s="22">
        <f>IF(LEFT(C182,7)&lt;&gt;"Sprint_",0,IF(IF(ISNUMBER(K182),IF(K182&lt;=0,1,IF(5/K182&gt;10,1,0)),0)+IF(ISNUMBER(L182),IF(ISNUMBER(K182),IF(L182-K182&lt;=0,1,IF(5/(L182-K182)&gt;10,1,0)),IF(L182&lt;=0,1,IF(10/L182&gt;10,1,0))),0)+IF(ISNUMBER(M182),IF(ISNUMBER(L182),IF(M182-L182&lt;=0,1,IF(20/(M182-L182)&gt;10,1,0)),IF(ISNUMBER(K182),IF(M182-K182&lt;=0,1,IF(25/(M182-K182)&gt;10,1,0)),IF(M182&lt;=0,1,IF(30/M182&gt;10,1,0)))),0)&gt;0,1,0))</f>
        <v/>
      </c>
      <c r="O182" s="22">
        <f>IF(AND(J182=1,N182=0),1,0)</f>
        <v/>
      </c>
      <c r="P182" s="22">
        <f>INDEX(Personendaten!$J$2:$J$32,MATCH(A182,Personendaten!$A$2:$A$32,0))</f>
        <v/>
      </c>
      <c r="Q182" s="22">
        <f>IF(O182=1,"",IF(AND(B182="post",P182="nicht angetreten"),"NANG",IF(N182=1,"AUSL",IFERROR(VLOOKUP(H182,Vokabular!$A$2:$B$8,2,FALSE),"UNBEKANNT"))))</f>
        <v/>
      </c>
    </row>
    <row r="183">
      <c r="A183" s="5" t="inlineStr">
        <is>
          <t>BW-21</t>
        </is>
      </c>
      <c r="B183" s="5" t="inlineStr">
        <is>
          <t>prä</t>
        </is>
      </c>
      <c r="C183" s="5" t="inlineStr">
        <is>
          <t>Sprint_5m</t>
        </is>
      </c>
      <c r="D183" s="5" t="inlineStr">
        <is>
          <t>–</t>
        </is>
      </c>
      <c r="E183" s="5" t="n">
        <v>2</v>
      </c>
      <c r="F183" s="5" t="n">
        <v>1.13</v>
      </c>
      <c r="G183" s="5" t="n"/>
      <c r="H183" s="5" t="n"/>
      <c r="I183" s="22">
        <f>INDEX(Personendaten!$C$2:$C$32,MATCH(A183,Personendaten!$A$2:$A$32,0))</f>
        <v/>
      </c>
      <c r="J183" s="22">
        <f>IF(AND(F183&lt;&gt;"",G183=""),1,0)</f>
        <v/>
      </c>
      <c r="K183" s="22">
        <f>IF(LEFT(C183,7)&lt;&gt;"Sprint_","",IF(COUNTIFS(Versuchsdaten!$A$2:$A$1117,$A183,Versuchsdaten!$B$2:$B$1117,$B183,Versuchsdaten!$C$2:$C$1117,"Sprint_5m",Versuchsdaten!$E$2:$E$1117,$E183,Versuchsdaten!$J$2:$J$1117,1)=1,SUMIFS(Versuchsdaten!$F$2:$F$1117,Versuchsdaten!$A$2:$A$1117,$A183,Versuchsdaten!$B$2:$B$1117,$B183,Versuchsdaten!$C$2:$C$1117,"Sprint_5m",Versuchsdaten!$E$2:$E$1117,$E183,Versuchsdaten!$J$2:$J$1117,1),""))</f>
        <v/>
      </c>
      <c r="L183" s="22">
        <f>IF(LEFT(C183,7)&lt;&gt;"Sprint_","",IF(COUNTIFS(Versuchsdaten!$A$2:$A$1117,$A183,Versuchsdaten!$B$2:$B$1117,$B183,Versuchsdaten!$C$2:$C$1117,"Sprint_10m",Versuchsdaten!$E$2:$E$1117,$E183,Versuchsdaten!$J$2:$J$1117,1)=1,SUMIFS(Versuchsdaten!$F$2:$F$1117,Versuchsdaten!$A$2:$A$1117,$A183,Versuchsdaten!$B$2:$B$1117,$B183,Versuchsdaten!$C$2:$C$1117,"Sprint_10m",Versuchsdaten!$E$2:$E$1117,$E183,Versuchsdaten!$J$2:$J$1117,1),""))</f>
        <v/>
      </c>
      <c r="M183" s="22">
        <f>IF(LEFT(C183,7)&lt;&gt;"Sprint_","",IF(COUNTIFS(Versuchsdaten!$A$2:$A$1117,$A183,Versuchsdaten!$B$2:$B$1117,$B183,Versuchsdaten!$C$2:$C$1117,"Sprint_30m",Versuchsdaten!$E$2:$E$1117,$E183,Versuchsdaten!$J$2:$J$1117,1)=1,SUMIFS(Versuchsdaten!$F$2:$F$1117,Versuchsdaten!$A$2:$A$1117,$A183,Versuchsdaten!$B$2:$B$1117,$B183,Versuchsdaten!$C$2:$C$1117,"Sprint_30m",Versuchsdaten!$E$2:$E$1117,$E183,Versuchsdaten!$J$2:$J$1117,1),""))</f>
        <v/>
      </c>
      <c r="N183" s="22">
        <f>IF(LEFT(C183,7)&lt;&gt;"Sprint_",0,IF(IF(ISNUMBER(K183),IF(K183&lt;=0,1,IF(5/K183&gt;10,1,0)),0)+IF(ISNUMBER(L183),IF(ISNUMBER(K183),IF(L183-K183&lt;=0,1,IF(5/(L183-K183)&gt;10,1,0)),IF(L183&lt;=0,1,IF(10/L183&gt;10,1,0))),0)+IF(ISNUMBER(M183),IF(ISNUMBER(L183),IF(M183-L183&lt;=0,1,IF(20/(M183-L183)&gt;10,1,0)),IF(ISNUMBER(K183),IF(M183-K183&lt;=0,1,IF(25/(M183-K183)&gt;10,1,0)),IF(M183&lt;=0,1,IF(30/M183&gt;10,1,0)))),0)&gt;0,1,0))</f>
        <v/>
      </c>
      <c r="O183" s="22">
        <f>IF(AND(J183=1,N183=0),1,0)</f>
        <v/>
      </c>
      <c r="P183" s="22">
        <f>INDEX(Personendaten!$J$2:$J$32,MATCH(A183,Personendaten!$A$2:$A$32,0))</f>
        <v/>
      </c>
      <c r="Q183" s="22">
        <f>IF(O183=1,"",IF(AND(B183="post",P183="nicht angetreten"),"NANG",IF(N183=1,"AUSL",IFERROR(VLOOKUP(H183,Vokabular!$A$2:$B$8,2,FALSE),"UNBEKANNT"))))</f>
        <v/>
      </c>
    </row>
    <row r="184">
      <c r="A184" s="5" t="inlineStr">
        <is>
          <t>BW-21</t>
        </is>
      </c>
      <c r="B184" s="5" t="inlineStr">
        <is>
          <t>prä</t>
        </is>
      </c>
      <c r="C184" s="5" t="inlineStr">
        <is>
          <t>Sprint_5m</t>
        </is>
      </c>
      <c r="D184" s="5" t="inlineStr">
        <is>
          <t>–</t>
        </is>
      </c>
      <c r="E184" s="5" t="n">
        <v>3</v>
      </c>
      <c r="F184" s="5" t="n"/>
      <c r="G184" s="5" t="n"/>
      <c r="H184" s="5" t="inlineStr">
        <is>
          <t>Nur 2 Versuche aus Zeitmangel</t>
        </is>
      </c>
      <c r="I184" s="22">
        <f>INDEX(Personendaten!$C$2:$C$32,MATCH(A184,Personendaten!$A$2:$A$32,0))</f>
        <v/>
      </c>
      <c r="J184" s="22">
        <f>IF(AND(F184&lt;&gt;"",G184=""),1,0)</f>
        <v/>
      </c>
      <c r="K184" s="22">
        <f>IF(LEFT(C184,7)&lt;&gt;"Sprint_","",IF(COUNTIFS(Versuchsdaten!$A$2:$A$1117,$A184,Versuchsdaten!$B$2:$B$1117,$B184,Versuchsdaten!$C$2:$C$1117,"Sprint_5m",Versuchsdaten!$E$2:$E$1117,$E184,Versuchsdaten!$J$2:$J$1117,1)=1,SUMIFS(Versuchsdaten!$F$2:$F$1117,Versuchsdaten!$A$2:$A$1117,$A184,Versuchsdaten!$B$2:$B$1117,$B184,Versuchsdaten!$C$2:$C$1117,"Sprint_5m",Versuchsdaten!$E$2:$E$1117,$E184,Versuchsdaten!$J$2:$J$1117,1),""))</f>
        <v/>
      </c>
      <c r="L184" s="22">
        <f>IF(LEFT(C184,7)&lt;&gt;"Sprint_","",IF(COUNTIFS(Versuchsdaten!$A$2:$A$1117,$A184,Versuchsdaten!$B$2:$B$1117,$B184,Versuchsdaten!$C$2:$C$1117,"Sprint_10m",Versuchsdaten!$E$2:$E$1117,$E184,Versuchsdaten!$J$2:$J$1117,1)=1,SUMIFS(Versuchsdaten!$F$2:$F$1117,Versuchsdaten!$A$2:$A$1117,$A184,Versuchsdaten!$B$2:$B$1117,$B184,Versuchsdaten!$C$2:$C$1117,"Sprint_10m",Versuchsdaten!$E$2:$E$1117,$E184,Versuchsdaten!$J$2:$J$1117,1),""))</f>
        <v/>
      </c>
      <c r="M184" s="22">
        <f>IF(LEFT(C184,7)&lt;&gt;"Sprint_","",IF(COUNTIFS(Versuchsdaten!$A$2:$A$1117,$A184,Versuchsdaten!$B$2:$B$1117,$B184,Versuchsdaten!$C$2:$C$1117,"Sprint_30m",Versuchsdaten!$E$2:$E$1117,$E184,Versuchsdaten!$J$2:$J$1117,1)=1,SUMIFS(Versuchsdaten!$F$2:$F$1117,Versuchsdaten!$A$2:$A$1117,$A184,Versuchsdaten!$B$2:$B$1117,$B184,Versuchsdaten!$C$2:$C$1117,"Sprint_30m",Versuchsdaten!$E$2:$E$1117,$E184,Versuchsdaten!$J$2:$J$1117,1),""))</f>
        <v/>
      </c>
      <c r="N184" s="22">
        <f>IF(LEFT(C184,7)&lt;&gt;"Sprint_",0,IF(IF(ISNUMBER(K184),IF(K184&lt;=0,1,IF(5/K184&gt;10,1,0)),0)+IF(ISNUMBER(L184),IF(ISNUMBER(K184),IF(L184-K184&lt;=0,1,IF(5/(L184-K184)&gt;10,1,0)),IF(L184&lt;=0,1,IF(10/L184&gt;10,1,0))),0)+IF(ISNUMBER(M184),IF(ISNUMBER(L184),IF(M184-L184&lt;=0,1,IF(20/(M184-L184)&gt;10,1,0)),IF(ISNUMBER(K184),IF(M184-K184&lt;=0,1,IF(25/(M184-K184)&gt;10,1,0)),IF(M184&lt;=0,1,IF(30/M184&gt;10,1,0)))),0)&gt;0,1,0))</f>
        <v/>
      </c>
      <c r="O184" s="22">
        <f>IF(AND(J184=1,N184=0),1,0)</f>
        <v/>
      </c>
      <c r="P184" s="22">
        <f>INDEX(Personendaten!$J$2:$J$32,MATCH(A184,Personendaten!$A$2:$A$32,0))</f>
        <v/>
      </c>
      <c r="Q184" s="22">
        <f>IF(O184=1,"",IF(AND(B184="post",P184="nicht angetreten"),"NANG",IF(N184=1,"AUSL",IFERROR(VLOOKUP(H184,Vokabular!$A$2:$B$8,2,FALSE),"UNBEKANNT"))))</f>
        <v/>
      </c>
    </row>
    <row r="185">
      <c r="A185" s="5" t="inlineStr">
        <is>
          <t>BW-21</t>
        </is>
      </c>
      <c r="B185" s="5" t="inlineStr">
        <is>
          <t>prä</t>
        </is>
      </c>
      <c r="C185" s="5" t="inlineStr">
        <is>
          <t>Sprint_10m</t>
        </is>
      </c>
      <c r="D185" s="5" t="inlineStr">
        <is>
          <t>–</t>
        </is>
      </c>
      <c r="E185" s="5" t="n">
        <v>1</v>
      </c>
      <c r="F185" s="5" t="n">
        <v>2</v>
      </c>
      <c r="G185" s="5" t="n"/>
      <c r="H185" s="5" t="n"/>
      <c r="I185" s="22">
        <f>INDEX(Personendaten!$C$2:$C$32,MATCH(A185,Personendaten!$A$2:$A$32,0))</f>
        <v/>
      </c>
      <c r="J185" s="22">
        <f>IF(AND(F185&lt;&gt;"",G185=""),1,0)</f>
        <v/>
      </c>
      <c r="K185" s="22">
        <f>IF(LEFT(C185,7)&lt;&gt;"Sprint_","",IF(COUNTIFS(Versuchsdaten!$A$2:$A$1117,$A185,Versuchsdaten!$B$2:$B$1117,$B185,Versuchsdaten!$C$2:$C$1117,"Sprint_5m",Versuchsdaten!$E$2:$E$1117,$E185,Versuchsdaten!$J$2:$J$1117,1)=1,SUMIFS(Versuchsdaten!$F$2:$F$1117,Versuchsdaten!$A$2:$A$1117,$A185,Versuchsdaten!$B$2:$B$1117,$B185,Versuchsdaten!$C$2:$C$1117,"Sprint_5m",Versuchsdaten!$E$2:$E$1117,$E185,Versuchsdaten!$J$2:$J$1117,1),""))</f>
        <v/>
      </c>
      <c r="L185" s="22">
        <f>IF(LEFT(C185,7)&lt;&gt;"Sprint_","",IF(COUNTIFS(Versuchsdaten!$A$2:$A$1117,$A185,Versuchsdaten!$B$2:$B$1117,$B185,Versuchsdaten!$C$2:$C$1117,"Sprint_10m",Versuchsdaten!$E$2:$E$1117,$E185,Versuchsdaten!$J$2:$J$1117,1)=1,SUMIFS(Versuchsdaten!$F$2:$F$1117,Versuchsdaten!$A$2:$A$1117,$A185,Versuchsdaten!$B$2:$B$1117,$B185,Versuchsdaten!$C$2:$C$1117,"Sprint_10m",Versuchsdaten!$E$2:$E$1117,$E185,Versuchsdaten!$J$2:$J$1117,1),""))</f>
        <v/>
      </c>
      <c r="M185" s="22">
        <f>IF(LEFT(C185,7)&lt;&gt;"Sprint_","",IF(COUNTIFS(Versuchsdaten!$A$2:$A$1117,$A185,Versuchsdaten!$B$2:$B$1117,$B185,Versuchsdaten!$C$2:$C$1117,"Sprint_30m",Versuchsdaten!$E$2:$E$1117,$E185,Versuchsdaten!$J$2:$J$1117,1)=1,SUMIFS(Versuchsdaten!$F$2:$F$1117,Versuchsdaten!$A$2:$A$1117,$A185,Versuchsdaten!$B$2:$B$1117,$B185,Versuchsdaten!$C$2:$C$1117,"Sprint_30m",Versuchsdaten!$E$2:$E$1117,$E185,Versuchsdaten!$J$2:$J$1117,1),""))</f>
        <v/>
      </c>
      <c r="N185" s="22">
        <f>IF(LEFT(C185,7)&lt;&gt;"Sprint_",0,IF(IF(ISNUMBER(K185),IF(K185&lt;=0,1,IF(5/K185&gt;10,1,0)),0)+IF(ISNUMBER(L185),IF(ISNUMBER(K185),IF(L185-K185&lt;=0,1,IF(5/(L185-K185)&gt;10,1,0)),IF(L185&lt;=0,1,IF(10/L185&gt;10,1,0))),0)+IF(ISNUMBER(M185),IF(ISNUMBER(L185),IF(M185-L185&lt;=0,1,IF(20/(M185-L185)&gt;10,1,0)),IF(ISNUMBER(K185),IF(M185-K185&lt;=0,1,IF(25/(M185-K185)&gt;10,1,0)),IF(M185&lt;=0,1,IF(30/M185&gt;10,1,0)))),0)&gt;0,1,0))</f>
        <v/>
      </c>
      <c r="O185" s="22">
        <f>IF(AND(J185=1,N185=0),1,0)</f>
        <v/>
      </c>
      <c r="P185" s="22">
        <f>INDEX(Personendaten!$J$2:$J$32,MATCH(A185,Personendaten!$A$2:$A$32,0))</f>
        <v/>
      </c>
      <c r="Q185" s="22">
        <f>IF(O185=1,"",IF(AND(B185="post",P185="nicht angetreten"),"NANG",IF(N185=1,"AUSL",IFERROR(VLOOKUP(H185,Vokabular!$A$2:$B$8,2,FALSE),"UNBEKANNT"))))</f>
        <v/>
      </c>
    </row>
    <row r="186">
      <c r="A186" s="5" t="inlineStr">
        <is>
          <t>BW-21</t>
        </is>
      </c>
      <c r="B186" s="5" t="inlineStr">
        <is>
          <t>prä</t>
        </is>
      </c>
      <c r="C186" s="5" t="inlineStr">
        <is>
          <t>Sprint_10m</t>
        </is>
      </c>
      <c r="D186" s="5" t="inlineStr">
        <is>
          <t>–</t>
        </is>
      </c>
      <c r="E186" s="5" t="n">
        <v>2</v>
      </c>
      <c r="F186" s="5" t="n">
        <v>1.97</v>
      </c>
      <c r="G186" s="5" t="n"/>
      <c r="H186" s="5" t="n"/>
      <c r="I186" s="22">
        <f>INDEX(Personendaten!$C$2:$C$32,MATCH(A186,Personendaten!$A$2:$A$32,0))</f>
        <v/>
      </c>
      <c r="J186" s="22">
        <f>IF(AND(F186&lt;&gt;"",G186=""),1,0)</f>
        <v/>
      </c>
      <c r="K186" s="22">
        <f>IF(LEFT(C186,7)&lt;&gt;"Sprint_","",IF(COUNTIFS(Versuchsdaten!$A$2:$A$1117,$A186,Versuchsdaten!$B$2:$B$1117,$B186,Versuchsdaten!$C$2:$C$1117,"Sprint_5m",Versuchsdaten!$E$2:$E$1117,$E186,Versuchsdaten!$J$2:$J$1117,1)=1,SUMIFS(Versuchsdaten!$F$2:$F$1117,Versuchsdaten!$A$2:$A$1117,$A186,Versuchsdaten!$B$2:$B$1117,$B186,Versuchsdaten!$C$2:$C$1117,"Sprint_5m",Versuchsdaten!$E$2:$E$1117,$E186,Versuchsdaten!$J$2:$J$1117,1),""))</f>
        <v/>
      </c>
      <c r="L186" s="22">
        <f>IF(LEFT(C186,7)&lt;&gt;"Sprint_","",IF(COUNTIFS(Versuchsdaten!$A$2:$A$1117,$A186,Versuchsdaten!$B$2:$B$1117,$B186,Versuchsdaten!$C$2:$C$1117,"Sprint_10m",Versuchsdaten!$E$2:$E$1117,$E186,Versuchsdaten!$J$2:$J$1117,1)=1,SUMIFS(Versuchsdaten!$F$2:$F$1117,Versuchsdaten!$A$2:$A$1117,$A186,Versuchsdaten!$B$2:$B$1117,$B186,Versuchsdaten!$C$2:$C$1117,"Sprint_10m",Versuchsdaten!$E$2:$E$1117,$E186,Versuchsdaten!$J$2:$J$1117,1),""))</f>
        <v/>
      </c>
      <c r="M186" s="22">
        <f>IF(LEFT(C186,7)&lt;&gt;"Sprint_","",IF(COUNTIFS(Versuchsdaten!$A$2:$A$1117,$A186,Versuchsdaten!$B$2:$B$1117,$B186,Versuchsdaten!$C$2:$C$1117,"Sprint_30m",Versuchsdaten!$E$2:$E$1117,$E186,Versuchsdaten!$J$2:$J$1117,1)=1,SUMIFS(Versuchsdaten!$F$2:$F$1117,Versuchsdaten!$A$2:$A$1117,$A186,Versuchsdaten!$B$2:$B$1117,$B186,Versuchsdaten!$C$2:$C$1117,"Sprint_30m",Versuchsdaten!$E$2:$E$1117,$E186,Versuchsdaten!$J$2:$J$1117,1),""))</f>
        <v/>
      </c>
      <c r="N186" s="22">
        <f>IF(LEFT(C186,7)&lt;&gt;"Sprint_",0,IF(IF(ISNUMBER(K186),IF(K186&lt;=0,1,IF(5/K186&gt;10,1,0)),0)+IF(ISNUMBER(L186),IF(ISNUMBER(K186),IF(L186-K186&lt;=0,1,IF(5/(L186-K186)&gt;10,1,0)),IF(L186&lt;=0,1,IF(10/L186&gt;10,1,0))),0)+IF(ISNUMBER(M186),IF(ISNUMBER(L186),IF(M186-L186&lt;=0,1,IF(20/(M186-L186)&gt;10,1,0)),IF(ISNUMBER(K186),IF(M186-K186&lt;=0,1,IF(25/(M186-K186)&gt;10,1,0)),IF(M186&lt;=0,1,IF(30/M186&gt;10,1,0)))),0)&gt;0,1,0))</f>
        <v/>
      </c>
      <c r="O186" s="22">
        <f>IF(AND(J186=1,N186=0),1,0)</f>
        <v/>
      </c>
      <c r="P186" s="22">
        <f>INDEX(Personendaten!$J$2:$J$32,MATCH(A186,Personendaten!$A$2:$A$32,0))</f>
        <v/>
      </c>
      <c r="Q186" s="22">
        <f>IF(O186=1,"",IF(AND(B186="post",P186="nicht angetreten"),"NANG",IF(N186=1,"AUSL",IFERROR(VLOOKUP(H186,Vokabular!$A$2:$B$8,2,FALSE),"UNBEKANNT"))))</f>
        <v/>
      </c>
    </row>
    <row r="187">
      <c r="A187" s="5" t="inlineStr">
        <is>
          <t>BW-21</t>
        </is>
      </c>
      <c r="B187" s="5" t="inlineStr">
        <is>
          <t>prä</t>
        </is>
      </c>
      <c r="C187" s="5" t="inlineStr">
        <is>
          <t>Sprint_10m</t>
        </is>
      </c>
      <c r="D187" s="5" t="inlineStr">
        <is>
          <t>–</t>
        </is>
      </c>
      <c r="E187" s="5" t="n">
        <v>3</v>
      </c>
      <c r="F187" s="5" t="n"/>
      <c r="G187" s="5" t="n"/>
      <c r="H187" s="5" t="inlineStr">
        <is>
          <t>Nur 2 Versuche aus Zeitmangel</t>
        </is>
      </c>
      <c r="I187" s="22">
        <f>INDEX(Personendaten!$C$2:$C$32,MATCH(A187,Personendaten!$A$2:$A$32,0))</f>
        <v/>
      </c>
      <c r="J187" s="22">
        <f>IF(AND(F187&lt;&gt;"",G187=""),1,0)</f>
        <v/>
      </c>
      <c r="K187" s="22">
        <f>IF(LEFT(C187,7)&lt;&gt;"Sprint_","",IF(COUNTIFS(Versuchsdaten!$A$2:$A$1117,$A187,Versuchsdaten!$B$2:$B$1117,$B187,Versuchsdaten!$C$2:$C$1117,"Sprint_5m",Versuchsdaten!$E$2:$E$1117,$E187,Versuchsdaten!$J$2:$J$1117,1)=1,SUMIFS(Versuchsdaten!$F$2:$F$1117,Versuchsdaten!$A$2:$A$1117,$A187,Versuchsdaten!$B$2:$B$1117,$B187,Versuchsdaten!$C$2:$C$1117,"Sprint_5m",Versuchsdaten!$E$2:$E$1117,$E187,Versuchsdaten!$J$2:$J$1117,1),""))</f>
        <v/>
      </c>
      <c r="L187" s="22">
        <f>IF(LEFT(C187,7)&lt;&gt;"Sprint_","",IF(COUNTIFS(Versuchsdaten!$A$2:$A$1117,$A187,Versuchsdaten!$B$2:$B$1117,$B187,Versuchsdaten!$C$2:$C$1117,"Sprint_10m",Versuchsdaten!$E$2:$E$1117,$E187,Versuchsdaten!$J$2:$J$1117,1)=1,SUMIFS(Versuchsdaten!$F$2:$F$1117,Versuchsdaten!$A$2:$A$1117,$A187,Versuchsdaten!$B$2:$B$1117,$B187,Versuchsdaten!$C$2:$C$1117,"Sprint_10m",Versuchsdaten!$E$2:$E$1117,$E187,Versuchsdaten!$J$2:$J$1117,1),""))</f>
        <v/>
      </c>
      <c r="M187" s="22">
        <f>IF(LEFT(C187,7)&lt;&gt;"Sprint_","",IF(COUNTIFS(Versuchsdaten!$A$2:$A$1117,$A187,Versuchsdaten!$B$2:$B$1117,$B187,Versuchsdaten!$C$2:$C$1117,"Sprint_30m",Versuchsdaten!$E$2:$E$1117,$E187,Versuchsdaten!$J$2:$J$1117,1)=1,SUMIFS(Versuchsdaten!$F$2:$F$1117,Versuchsdaten!$A$2:$A$1117,$A187,Versuchsdaten!$B$2:$B$1117,$B187,Versuchsdaten!$C$2:$C$1117,"Sprint_30m",Versuchsdaten!$E$2:$E$1117,$E187,Versuchsdaten!$J$2:$J$1117,1),""))</f>
        <v/>
      </c>
      <c r="N187" s="22">
        <f>IF(LEFT(C187,7)&lt;&gt;"Sprint_",0,IF(IF(ISNUMBER(K187),IF(K187&lt;=0,1,IF(5/K187&gt;10,1,0)),0)+IF(ISNUMBER(L187),IF(ISNUMBER(K187),IF(L187-K187&lt;=0,1,IF(5/(L187-K187)&gt;10,1,0)),IF(L187&lt;=0,1,IF(10/L187&gt;10,1,0))),0)+IF(ISNUMBER(M187),IF(ISNUMBER(L187),IF(M187-L187&lt;=0,1,IF(20/(M187-L187)&gt;10,1,0)),IF(ISNUMBER(K187),IF(M187-K187&lt;=0,1,IF(25/(M187-K187)&gt;10,1,0)),IF(M187&lt;=0,1,IF(30/M187&gt;10,1,0)))),0)&gt;0,1,0))</f>
        <v/>
      </c>
      <c r="O187" s="22">
        <f>IF(AND(J187=1,N187=0),1,0)</f>
        <v/>
      </c>
      <c r="P187" s="22">
        <f>INDEX(Personendaten!$J$2:$J$32,MATCH(A187,Personendaten!$A$2:$A$32,0))</f>
        <v/>
      </c>
      <c r="Q187" s="22">
        <f>IF(O187=1,"",IF(AND(B187="post",P187="nicht angetreten"),"NANG",IF(N187=1,"AUSL",IFERROR(VLOOKUP(H187,Vokabular!$A$2:$B$8,2,FALSE),"UNBEKANNT"))))</f>
        <v/>
      </c>
    </row>
    <row r="188">
      <c r="A188" s="5" t="inlineStr">
        <is>
          <t>BW-21</t>
        </is>
      </c>
      <c r="B188" s="5" t="inlineStr">
        <is>
          <t>prä</t>
        </is>
      </c>
      <c r="C188" s="5" t="inlineStr">
        <is>
          <t>Sprint_30m</t>
        </is>
      </c>
      <c r="D188" s="5" t="inlineStr">
        <is>
          <t>–</t>
        </is>
      </c>
      <c r="E188" s="5" t="n">
        <v>1</v>
      </c>
      <c r="F188" s="5" t="n">
        <v>5.06</v>
      </c>
      <c r="G188" s="5" t="n"/>
      <c r="H188" s="5" t="n"/>
      <c r="I188" s="22">
        <f>INDEX(Personendaten!$C$2:$C$32,MATCH(A188,Personendaten!$A$2:$A$32,0))</f>
        <v/>
      </c>
      <c r="J188" s="22">
        <f>IF(AND(F188&lt;&gt;"",G188=""),1,0)</f>
        <v/>
      </c>
      <c r="K188" s="22">
        <f>IF(LEFT(C188,7)&lt;&gt;"Sprint_","",IF(COUNTIFS(Versuchsdaten!$A$2:$A$1117,$A188,Versuchsdaten!$B$2:$B$1117,$B188,Versuchsdaten!$C$2:$C$1117,"Sprint_5m",Versuchsdaten!$E$2:$E$1117,$E188,Versuchsdaten!$J$2:$J$1117,1)=1,SUMIFS(Versuchsdaten!$F$2:$F$1117,Versuchsdaten!$A$2:$A$1117,$A188,Versuchsdaten!$B$2:$B$1117,$B188,Versuchsdaten!$C$2:$C$1117,"Sprint_5m",Versuchsdaten!$E$2:$E$1117,$E188,Versuchsdaten!$J$2:$J$1117,1),""))</f>
        <v/>
      </c>
      <c r="L188" s="22">
        <f>IF(LEFT(C188,7)&lt;&gt;"Sprint_","",IF(COUNTIFS(Versuchsdaten!$A$2:$A$1117,$A188,Versuchsdaten!$B$2:$B$1117,$B188,Versuchsdaten!$C$2:$C$1117,"Sprint_10m",Versuchsdaten!$E$2:$E$1117,$E188,Versuchsdaten!$J$2:$J$1117,1)=1,SUMIFS(Versuchsdaten!$F$2:$F$1117,Versuchsdaten!$A$2:$A$1117,$A188,Versuchsdaten!$B$2:$B$1117,$B188,Versuchsdaten!$C$2:$C$1117,"Sprint_10m",Versuchsdaten!$E$2:$E$1117,$E188,Versuchsdaten!$J$2:$J$1117,1),""))</f>
        <v/>
      </c>
      <c r="M188" s="22">
        <f>IF(LEFT(C188,7)&lt;&gt;"Sprint_","",IF(COUNTIFS(Versuchsdaten!$A$2:$A$1117,$A188,Versuchsdaten!$B$2:$B$1117,$B188,Versuchsdaten!$C$2:$C$1117,"Sprint_30m",Versuchsdaten!$E$2:$E$1117,$E188,Versuchsdaten!$J$2:$J$1117,1)=1,SUMIFS(Versuchsdaten!$F$2:$F$1117,Versuchsdaten!$A$2:$A$1117,$A188,Versuchsdaten!$B$2:$B$1117,$B188,Versuchsdaten!$C$2:$C$1117,"Sprint_30m",Versuchsdaten!$E$2:$E$1117,$E188,Versuchsdaten!$J$2:$J$1117,1),""))</f>
        <v/>
      </c>
      <c r="N188" s="22">
        <f>IF(LEFT(C188,7)&lt;&gt;"Sprint_",0,IF(IF(ISNUMBER(K188),IF(K188&lt;=0,1,IF(5/K188&gt;10,1,0)),0)+IF(ISNUMBER(L188),IF(ISNUMBER(K188),IF(L188-K188&lt;=0,1,IF(5/(L188-K188)&gt;10,1,0)),IF(L188&lt;=0,1,IF(10/L188&gt;10,1,0))),0)+IF(ISNUMBER(M188),IF(ISNUMBER(L188),IF(M188-L188&lt;=0,1,IF(20/(M188-L188)&gt;10,1,0)),IF(ISNUMBER(K188),IF(M188-K188&lt;=0,1,IF(25/(M188-K188)&gt;10,1,0)),IF(M188&lt;=0,1,IF(30/M188&gt;10,1,0)))),0)&gt;0,1,0))</f>
        <v/>
      </c>
      <c r="O188" s="22">
        <f>IF(AND(J188=1,N188=0),1,0)</f>
        <v/>
      </c>
      <c r="P188" s="22">
        <f>INDEX(Personendaten!$J$2:$J$32,MATCH(A188,Personendaten!$A$2:$A$32,0))</f>
        <v/>
      </c>
      <c r="Q188" s="22">
        <f>IF(O188=1,"",IF(AND(B188="post",P188="nicht angetreten"),"NANG",IF(N188=1,"AUSL",IFERROR(VLOOKUP(H188,Vokabular!$A$2:$B$8,2,FALSE),"UNBEKANNT"))))</f>
        <v/>
      </c>
    </row>
    <row r="189">
      <c r="A189" s="5" t="inlineStr">
        <is>
          <t>BW-21</t>
        </is>
      </c>
      <c r="B189" s="5" t="inlineStr">
        <is>
          <t>prä</t>
        </is>
      </c>
      <c r="C189" s="5" t="inlineStr">
        <is>
          <t>Sprint_30m</t>
        </is>
      </c>
      <c r="D189" s="5" t="inlineStr">
        <is>
          <t>–</t>
        </is>
      </c>
      <c r="E189" s="5" t="n">
        <v>2</v>
      </c>
      <c r="F189" s="5" t="n">
        <v>5</v>
      </c>
      <c r="G189" s="5" t="n"/>
      <c r="H189" s="5" t="n"/>
      <c r="I189" s="22">
        <f>INDEX(Personendaten!$C$2:$C$32,MATCH(A189,Personendaten!$A$2:$A$32,0))</f>
        <v/>
      </c>
      <c r="J189" s="22">
        <f>IF(AND(F189&lt;&gt;"",G189=""),1,0)</f>
        <v/>
      </c>
      <c r="K189" s="22">
        <f>IF(LEFT(C189,7)&lt;&gt;"Sprint_","",IF(COUNTIFS(Versuchsdaten!$A$2:$A$1117,$A189,Versuchsdaten!$B$2:$B$1117,$B189,Versuchsdaten!$C$2:$C$1117,"Sprint_5m",Versuchsdaten!$E$2:$E$1117,$E189,Versuchsdaten!$J$2:$J$1117,1)=1,SUMIFS(Versuchsdaten!$F$2:$F$1117,Versuchsdaten!$A$2:$A$1117,$A189,Versuchsdaten!$B$2:$B$1117,$B189,Versuchsdaten!$C$2:$C$1117,"Sprint_5m",Versuchsdaten!$E$2:$E$1117,$E189,Versuchsdaten!$J$2:$J$1117,1),""))</f>
        <v/>
      </c>
      <c r="L189" s="22">
        <f>IF(LEFT(C189,7)&lt;&gt;"Sprint_","",IF(COUNTIFS(Versuchsdaten!$A$2:$A$1117,$A189,Versuchsdaten!$B$2:$B$1117,$B189,Versuchsdaten!$C$2:$C$1117,"Sprint_10m",Versuchsdaten!$E$2:$E$1117,$E189,Versuchsdaten!$J$2:$J$1117,1)=1,SUMIFS(Versuchsdaten!$F$2:$F$1117,Versuchsdaten!$A$2:$A$1117,$A189,Versuchsdaten!$B$2:$B$1117,$B189,Versuchsdaten!$C$2:$C$1117,"Sprint_10m",Versuchsdaten!$E$2:$E$1117,$E189,Versuchsdaten!$J$2:$J$1117,1),""))</f>
        <v/>
      </c>
      <c r="M189" s="22">
        <f>IF(LEFT(C189,7)&lt;&gt;"Sprint_","",IF(COUNTIFS(Versuchsdaten!$A$2:$A$1117,$A189,Versuchsdaten!$B$2:$B$1117,$B189,Versuchsdaten!$C$2:$C$1117,"Sprint_30m",Versuchsdaten!$E$2:$E$1117,$E189,Versuchsdaten!$J$2:$J$1117,1)=1,SUMIFS(Versuchsdaten!$F$2:$F$1117,Versuchsdaten!$A$2:$A$1117,$A189,Versuchsdaten!$B$2:$B$1117,$B189,Versuchsdaten!$C$2:$C$1117,"Sprint_30m",Versuchsdaten!$E$2:$E$1117,$E189,Versuchsdaten!$J$2:$J$1117,1),""))</f>
        <v/>
      </c>
      <c r="N189" s="22">
        <f>IF(LEFT(C189,7)&lt;&gt;"Sprint_",0,IF(IF(ISNUMBER(K189),IF(K189&lt;=0,1,IF(5/K189&gt;10,1,0)),0)+IF(ISNUMBER(L189),IF(ISNUMBER(K189),IF(L189-K189&lt;=0,1,IF(5/(L189-K189)&gt;10,1,0)),IF(L189&lt;=0,1,IF(10/L189&gt;10,1,0))),0)+IF(ISNUMBER(M189),IF(ISNUMBER(L189),IF(M189-L189&lt;=0,1,IF(20/(M189-L189)&gt;10,1,0)),IF(ISNUMBER(K189),IF(M189-K189&lt;=0,1,IF(25/(M189-K189)&gt;10,1,0)),IF(M189&lt;=0,1,IF(30/M189&gt;10,1,0)))),0)&gt;0,1,0))</f>
        <v/>
      </c>
      <c r="O189" s="22">
        <f>IF(AND(J189=1,N189=0),1,0)</f>
        <v/>
      </c>
      <c r="P189" s="22">
        <f>INDEX(Personendaten!$J$2:$J$32,MATCH(A189,Personendaten!$A$2:$A$32,0))</f>
        <v/>
      </c>
      <c r="Q189" s="22">
        <f>IF(O189=1,"",IF(AND(B189="post",P189="nicht angetreten"),"NANG",IF(N189=1,"AUSL",IFERROR(VLOOKUP(H189,Vokabular!$A$2:$B$8,2,FALSE),"UNBEKANNT"))))</f>
        <v/>
      </c>
    </row>
    <row r="190">
      <c r="A190" s="5" t="inlineStr">
        <is>
          <t>BW-21</t>
        </is>
      </c>
      <c r="B190" s="5" t="inlineStr">
        <is>
          <t>prä</t>
        </is>
      </c>
      <c r="C190" s="5" t="inlineStr">
        <is>
          <t>Sprint_30m</t>
        </is>
      </c>
      <c r="D190" s="5" t="inlineStr">
        <is>
          <t>–</t>
        </is>
      </c>
      <c r="E190" s="5" t="n">
        <v>3</v>
      </c>
      <c r="F190" s="5" t="n"/>
      <c r="G190" s="5" t="n"/>
      <c r="H190" s="5" t="inlineStr">
        <is>
          <t>Nur 2 Versuche aus Zeitmangel</t>
        </is>
      </c>
      <c r="I190" s="22">
        <f>INDEX(Personendaten!$C$2:$C$32,MATCH(A190,Personendaten!$A$2:$A$32,0))</f>
        <v/>
      </c>
      <c r="J190" s="22">
        <f>IF(AND(F190&lt;&gt;"",G190=""),1,0)</f>
        <v/>
      </c>
      <c r="K190" s="22">
        <f>IF(LEFT(C190,7)&lt;&gt;"Sprint_","",IF(COUNTIFS(Versuchsdaten!$A$2:$A$1117,$A190,Versuchsdaten!$B$2:$B$1117,$B190,Versuchsdaten!$C$2:$C$1117,"Sprint_5m",Versuchsdaten!$E$2:$E$1117,$E190,Versuchsdaten!$J$2:$J$1117,1)=1,SUMIFS(Versuchsdaten!$F$2:$F$1117,Versuchsdaten!$A$2:$A$1117,$A190,Versuchsdaten!$B$2:$B$1117,$B190,Versuchsdaten!$C$2:$C$1117,"Sprint_5m",Versuchsdaten!$E$2:$E$1117,$E190,Versuchsdaten!$J$2:$J$1117,1),""))</f>
        <v/>
      </c>
      <c r="L190" s="22">
        <f>IF(LEFT(C190,7)&lt;&gt;"Sprint_","",IF(COUNTIFS(Versuchsdaten!$A$2:$A$1117,$A190,Versuchsdaten!$B$2:$B$1117,$B190,Versuchsdaten!$C$2:$C$1117,"Sprint_10m",Versuchsdaten!$E$2:$E$1117,$E190,Versuchsdaten!$J$2:$J$1117,1)=1,SUMIFS(Versuchsdaten!$F$2:$F$1117,Versuchsdaten!$A$2:$A$1117,$A190,Versuchsdaten!$B$2:$B$1117,$B190,Versuchsdaten!$C$2:$C$1117,"Sprint_10m",Versuchsdaten!$E$2:$E$1117,$E190,Versuchsdaten!$J$2:$J$1117,1),""))</f>
        <v/>
      </c>
      <c r="M190" s="22">
        <f>IF(LEFT(C190,7)&lt;&gt;"Sprint_","",IF(COUNTIFS(Versuchsdaten!$A$2:$A$1117,$A190,Versuchsdaten!$B$2:$B$1117,$B190,Versuchsdaten!$C$2:$C$1117,"Sprint_30m",Versuchsdaten!$E$2:$E$1117,$E190,Versuchsdaten!$J$2:$J$1117,1)=1,SUMIFS(Versuchsdaten!$F$2:$F$1117,Versuchsdaten!$A$2:$A$1117,$A190,Versuchsdaten!$B$2:$B$1117,$B190,Versuchsdaten!$C$2:$C$1117,"Sprint_30m",Versuchsdaten!$E$2:$E$1117,$E190,Versuchsdaten!$J$2:$J$1117,1),""))</f>
        <v/>
      </c>
      <c r="N190" s="22">
        <f>IF(LEFT(C190,7)&lt;&gt;"Sprint_",0,IF(IF(ISNUMBER(K190),IF(K190&lt;=0,1,IF(5/K190&gt;10,1,0)),0)+IF(ISNUMBER(L190),IF(ISNUMBER(K190),IF(L190-K190&lt;=0,1,IF(5/(L190-K190)&gt;10,1,0)),IF(L190&lt;=0,1,IF(10/L190&gt;10,1,0))),0)+IF(ISNUMBER(M190),IF(ISNUMBER(L190),IF(M190-L190&lt;=0,1,IF(20/(M190-L190)&gt;10,1,0)),IF(ISNUMBER(K190),IF(M190-K190&lt;=0,1,IF(25/(M190-K190)&gt;10,1,0)),IF(M190&lt;=0,1,IF(30/M190&gt;10,1,0)))),0)&gt;0,1,0))</f>
        <v/>
      </c>
      <c r="O190" s="22">
        <f>IF(AND(J190=1,N190=0),1,0)</f>
        <v/>
      </c>
      <c r="P190" s="22">
        <f>INDEX(Personendaten!$J$2:$J$32,MATCH(A190,Personendaten!$A$2:$A$32,0))</f>
        <v/>
      </c>
      <c r="Q190" s="22">
        <f>IF(O190=1,"",IF(AND(B190="post",P190="nicht angetreten"),"NANG",IF(N190=1,"AUSL",IFERROR(VLOOKUP(H190,Vokabular!$A$2:$B$8,2,FALSE),"UNBEKANNT"))))</f>
        <v/>
      </c>
    </row>
    <row r="191">
      <c r="A191" s="5" t="inlineStr">
        <is>
          <t>BW-21</t>
        </is>
      </c>
      <c r="B191" s="5" t="inlineStr">
        <is>
          <t>prä</t>
        </is>
      </c>
      <c r="C191" s="5" t="inlineStr">
        <is>
          <t>Standweitsprung</t>
        </is>
      </c>
      <c r="D191" s="5" t="inlineStr">
        <is>
          <t>–</t>
        </is>
      </c>
      <c r="E191" s="5" t="n">
        <v>1</v>
      </c>
      <c r="F191" s="5" t="n">
        <v>221</v>
      </c>
      <c r="G191" s="5" t="n"/>
      <c r="H191" s="5" t="n"/>
      <c r="I191" s="22">
        <f>INDEX(Personendaten!$C$2:$C$32,MATCH(A191,Personendaten!$A$2:$A$32,0))</f>
        <v/>
      </c>
      <c r="J191" s="22">
        <f>IF(AND(F191&lt;&gt;"",G191=""),1,0)</f>
        <v/>
      </c>
      <c r="K191" s="22">
        <f>IF(LEFT(C191,7)&lt;&gt;"Sprint_","",IF(COUNTIFS(Versuchsdaten!$A$2:$A$1117,$A191,Versuchsdaten!$B$2:$B$1117,$B191,Versuchsdaten!$C$2:$C$1117,"Sprint_5m",Versuchsdaten!$E$2:$E$1117,$E191,Versuchsdaten!$J$2:$J$1117,1)=1,SUMIFS(Versuchsdaten!$F$2:$F$1117,Versuchsdaten!$A$2:$A$1117,$A191,Versuchsdaten!$B$2:$B$1117,$B191,Versuchsdaten!$C$2:$C$1117,"Sprint_5m",Versuchsdaten!$E$2:$E$1117,$E191,Versuchsdaten!$J$2:$J$1117,1),""))</f>
        <v/>
      </c>
      <c r="L191" s="22">
        <f>IF(LEFT(C191,7)&lt;&gt;"Sprint_","",IF(COUNTIFS(Versuchsdaten!$A$2:$A$1117,$A191,Versuchsdaten!$B$2:$B$1117,$B191,Versuchsdaten!$C$2:$C$1117,"Sprint_10m",Versuchsdaten!$E$2:$E$1117,$E191,Versuchsdaten!$J$2:$J$1117,1)=1,SUMIFS(Versuchsdaten!$F$2:$F$1117,Versuchsdaten!$A$2:$A$1117,$A191,Versuchsdaten!$B$2:$B$1117,$B191,Versuchsdaten!$C$2:$C$1117,"Sprint_10m",Versuchsdaten!$E$2:$E$1117,$E191,Versuchsdaten!$J$2:$J$1117,1),""))</f>
        <v/>
      </c>
      <c r="M191" s="22">
        <f>IF(LEFT(C191,7)&lt;&gt;"Sprint_","",IF(COUNTIFS(Versuchsdaten!$A$2:$A$1117,$A191,Versuchsdaten!$B$2:$B$1117,$B191,Versuchsdaten!$C$2:$C$1117,"Sprint_30m",Versuchsdaten!$E$2:$E$1117,$E191,Versuchsdaten!$J$2:$J$1117,1)=1,SUMIFS(Versuchsdaten!$F$2:$F$1117,Versuchsdaten!$A$2:$A$1117,$A191,Versuchsdaten!$B$2:$B$1117,$B191,Versuchsdaten!$C$2:$C$1117,"Sprint_30m",Versuchsdaten!$E$2:$E$1117,$E191,Versuchsdaten!$J$2:$J$1117,1),""))</f>
        <v/>
      </c>
      <c r="N191" s="22">
        <f>IF(LEFT(C191,7)&lt;&gt;"Sprint_",0,IF(IF(ISNUMBER(K191),IF(K191&lt;=0,1,IF(5/K191&gt;10,1,0)),0)+IF(ISNUMBER(L191),IF(ISNUMBER(K191),IF(L191-K191&lt;=0,1,IF(5/(L191-K191)&gt;10,1,0)),IF(L191&lt;=0,1,IF(10/L191&gt;10,1,0))),0)+IF(ISNUMBER(M191),IF(ISNUMBER(L191),IF(M191-L191&lt;=0,1,IF(20/(M191-L191)&gt;10,1,0)),IF(ISNUMBER(K191),IF(M191-K191&lt;=0,1,IF(25/(M191-K191)&gt;10,1,0)),IF(M191&lt;=0,1,IF(30/M191&gt;10,1,0)))),0)&gt;0,1,0))</f>
        <v/>
      </c>
      <c r="O191" s="22">
        <f>IF(AND(J191=1,N191=0),1,0)</f>
        <v/>
      </c>
      <c r="P191" s="22">
        <f>INDEX(Personendaten!$J$2:$J$32,MATCH(A191,Personendaten!$A$2:$A$32,0))</f>
        <v/>
      </c>
      <c r="Q191" s="22">
        <f>IF(O191=1,"",IF(AND(B191="post",P191="nicht angetreten"),"NANG",IF(N191=1,"AUSL",IFERROR(VLOOKUP(H191,Vokabular!$A$2:$B$8,2,FALSE),"UNBEKANNT"))))</f>
        <v/>
      </c>
    </row>
    <row r="192">
      <c r="A192" s="5" t="inlineStr">
        <is>
          <t>BW-21</t>
        </is>
      </c>
      <c r="B192" s="5" t="inlineStr">
        <is>
          <t>prä</t>
        </is>
      </c>
      <c r="C192" s="5" t="inlineStr">
        <is>
          <t>Standweitsprung</t>
        </is>
      </c>
      <c r="D192" s="5" t="inlineStr">
        <is>
          <t>–</t>
        </is>
      </c>
      <c r="E192" s="5" t="n">
        <v>2</v>
      </c>
      <c r="F192" s="5" t="n">
        <v>223</v>
      </c>
      <c r="G192" s="5" t="n"/>
      <c r="H192" s="5" t="n"/>
      <c r="I192" s="22">
        <f>INDEX(Personendaten!$C$2:$C$32,MATCH(A192,Personendaten!$A$2:$A$32,0))</f>
        <v/>
      </c>
      <c r="J192" s="22">
        <f>IF(AND(F192&lt;&gt;"",G192=""),1,0)</f>
        <v/>
      </c>
      <c r="K192" s="22">
        <f>IF(LEFT(C192,7)&lt;&gt;"Sprint_","",IF(COUNTIFS(Versuchsdaten!$A$2:$A$1117,$A192,Versuchsdaten!$B$2:$B$1117,$B192,Versuchsdaten!$C$2:$C$1117,"Sprint_5m",Versuchsdaten!$E$2:$E$1117,$E192,Versuchsdaten!$J$2:$J$1117,1)=1,SUMIFS(Versuchsdaten!$F$2:$F$1117,Versuchsdaten!$A$2:$A$1117,$A192,Versuchsdaten!$B$2:$B$1117,$B192,Versuchsdaten!$C$2:$C$1117,"Sprint_5m",Versuchsdaten!$E$2:$E$1117,$E192,Versuchsdaten!$J$2:$J$1117,1),""))</f>
        <v/>
      </c>
      <c r="L192" s="22">
        <f>IF(LEFT(C192,7)&lt;&gt;"Sprint_","",IF(COUNTIFS(Versuchsdaten!$A$2:$A$1117,$A192,Versuchsdaten!$B$2:$B$1117,$B192,Versuchsdaten!$C$2:$C$1117,"Sprint_10m",Versuchsdaten!$E$2:$E$1117,$E192,Versuchsdaten!$J$2:$J$1117,1)=1,SUMIFS(Versuchsdaten!$F$2:$F$1117,Versuchsdaten!$A$2:$A$1117,$A192,Versuchsdaten!$B$2:$B$1117,$B192,Versuchsdaten!$C$2:$C$1117,"Sprint_10m",Versuchsdaten!$E$2:$E$1117,$E192,Versuchsdaten!$J$2:$J$1117,1),""))</f>
        <v/>
      </c>
      <c r="M192" s="22">
        <f>IF(LEFT(C192,7)&lt;&gt;"Sprint_","",IF(COUNTIFS(Versuchsdaten!$A$2:$A$1117,$A192,Versuchsdaten!$B$2:$B$1117,$B192,Versuchsdaten!$C$2:$C$1117,"Sprint_30m",Versuchsdaten!$E$2:$E$1117,$E192,Versuchsdaten!$J$2:$J$1117,1)=1,SUMIFS(Versuchsdaten!$F$2:$F$1117,Versuchsdaten!$A$2:$A$1117,$A192,Versuchsdaten!$B$2:$B$1117,$B192,Versuchsdaten!$C$2:$C$1117,"Sprint_30m",Versuchsdaten!$E$2:$E$1117,$E192,Versuchsdaten!$J$2:$J$1117,1),""))</f>
        <v/>
      </c>
      <c r="N192" s="22">
        <f>IF(LEFT(C192,7)&lt;&gt;"Sprint_",0,IF(IF(ISNUMBER(K192),IF(K192&lt;=0,1,IF(5/K192&gt;10,1,0)),0)+IF(ISNUMBER(L192),IF(ISNUMBER(K192),IF(L192-K192&lt;=0,1,IF(5/(L192-K192)&gt;10,1,0)),IF(L192&lt;=0,1,IF(10/L192&gt;10,1,0))),0)+IF(ISNUMBER(M192),IF(ISNUMBER(L192),IF(M192-L192&lt;=0,1,IF(20/(M192-L192)&gt;10,1,0)),IF(ISNUMBER(K192),IF(M192-K192&lt;=0,1,IF(25/(M192-K192)&gt;10,1,0)),IF(M192&lt;=0,1,IF(30/M192&gt;10,1,0)))),0)&gt;0,1,0))</f>
        <v/>
      </c>
      <c r="O192" s="22">
        <f>IF(AND(J192=1,N192=0),1,0)</f>
        <v/>
      </c>
      <c r="P192" s="22">
        <f>INDEX(Personendaten!$J$2:$J$32,MATCH(A192,Personendaten!$A$2:$A$32,0))</f>
        <v/>
      </c>
      <c r="Q192" s="22">
        <f>IF(O192=1,"",IF(AND(B192="post",P192="nicht angetreten"),"NANG",IF(N192=1,"AUSL",IFERROR(VLOOKUP(H192,Vokabular!$A$2:$B$8,2,FALSE),"UNBEKANNT"))))</f>
        <v/>
      </c>
    </row>
    <row r="193">
      <c r="A193" s="5" t="inlineStr">
        <is>
          <t>BW-21</t>
        </is>
      </c>
      <c r="B193" s="5" t="inlineStr">
        <is>
          <t>prä</t>
        </is>
      </c>
      <c r="C193" s="5" t="inlineStr">
        <is>
          <t>Standweitsprung</t>
        </is>
      </c>
      <c r="D193" s="5" t="inlineStr">
        <is>
          <t>–</t>
        </is>
      </c>
      <c r="E193" s="5" t="n">
        <v>3</v>
      </c>
      <c r="F193" s="5" t="n"/>
      <c r="G193" s="5" t="n"/>
      <c r="H193" s="5" t="inlineStr">
        <is>
          <t>Nur 2 Versuche aus Zeitmangel</t>
        </is>
      </c>
      <c r="I193" s="22">
        <f>INDEX(Personendaten!$C$2:$C$32,MATCH(A193,Personendaten!$A$2:$A$32,0))</f>
        <v/>
      </c>
      <c r="J193" s="22">
        <f>IF(AND(F193&lt;&gt;"",G193=""),1,0)</f>
        <v/>
      </c>
      <c r="K193" s="22">
        <f>IF(LEFT(C193,7)&lt;&gt;"Sprint_","",IF(COUNTIFS(Versuchsdaten!$A$2:$A$1117,$A193,Versuchsdaten!$B$2:$B$1117,$B193,Versuchsdaten!$C$2:$C$1117,"Sprint_5m",Versuchsdaten!$E$2:$E$1117,$E193,Versuchsdaten!$J$2:$J$1117,1)=1,SUMIFS(Versuchsdaten!$F$2:$F$1117,Versuchsdaten!$A$2:$A$1117,$A193,Versuchsdaten!$B$2:$B$1117,$B193,Versuchsdaten!$C$2:$C$1117,"Sprint_5m",Versuchsdaten!$E$2:$E$1117,$E193,Versuchsdaten!$J$2:$J$1117,1),""))</f>
        <v/>
      </c>
      <c r="L193" s="22">
        <f>IF(LEFT(C193,7)&lt;&gt;"Sprint_","",IF(COUNTIFS(Versuchsdaten!$A$2:$A$1117,$A193,Versuchsdaten!$B$2:$B$1117,$B193,Versuchsdaten!$C$2:$C$1117,"Sprint_10m",Versuchsdaten!$E$2:$E$1117,$E193,Versuchsdaten!$J$2:$J$1117,1)=1,SUMIFS(Versuchsdaten!$F$2:$F$1117,Versuchsdaten!$A$2:$A$1117,$A193,Versuchsdaten!$B$2:$B$1117,$B193,Versuchsdaten!$C$2:$C$1117,"Sprint_10m",Versuchsdaten!$E$2:$E$1117,$E193,Versuchsdaten!$J$2:$J$1117,1),""))</f>
        <v/>
      </c>
      <c r="M193" s="22">
        <f>IF(LEFT(C193,7)&lt;&gt;"Sprint_","",IF(COUNTIFS(Versuchsdaten!$A$2:$A$1117,$A193,Versuchsdaten!$B$2:$B$1117,$B193,Versuchsdaten!$C$2:$C$1117,"Sprint_30m",Versuchsdaten!$E$2:$E$1117,$E193,Versuchsdaten!$J$2:$J$1117,1)=1,SUMIFS(Versuchsdaten!$F$2:$F$1117,Versuchsdaten!$A$2:$A$1117,$A193,Versuchsdaten!$B$2:$B$1117,$B193,Versuchsdaten!$C$2:$C$1117,"Sprint_30m",Versuchsdaten!$E$2:$E$1117,$E193,Versuchsdaten!$J$2:$J$1117,1),""))</f>
        <v/>
      </c>
      <c r="N193" s="22">
        <f>IF(LEFT(C193,7)&lt;&gt;"Sprint_",0,IF(IF(ISNUMBER(K193),IF(K193&lt;=0,1,IF(5/K193&gt;10,1,0)),0)+IF(ISNUMBER(L193),IF(ISNUMBER(K193),IF(L193-K193&lt;=0,1,IF(5/(L193-K193)&gt;10,1,0)),IF(L193&lt;=0,1,IF(10/L193&gt;10,1,0))),0)+IF(ISNUMBER(M193),IF(ISNUMBER(L193),IF(M193-L193&lt;=0,1,IF(20/(M193-L193)&gt;10,1,0)),IF(ISNUMBER(K193),IF(M193-K193&lt;=0,1,IF(25/(M193-K193)&gt;10,1,0)),IF(M193&lt;=0,1,IF(30/M193&gt;10,1,0)))),0)&gt;0,1,0))</f>
        <v/>
      </c>
      <c r="O193" s="22">
        <f>IF(AND(J193=1,N193=0),1,0)</f>
        <v/>
      </c>
      <c r="P193" s="22">
        <f>INDEX(Personendaten!$J$2:$J$32,MATCH(A193,Personendaten!$A$2:$A$32,0))</f>
        <v/>
      </c>
      <c r="Q193" s="22">
        <f>IF(O193=1,"",IF(AND(B193="post",P193="nicht angetreten"),"NANG",IF(N193=1,"AUSL",IFERROR(VLOOKUP(H193,Vokabular!$A$2:$B$8,2,FALSE),"UNBEKANNT"))))</f>
        <v/>
      </c>
    </row>
    <row r="194">
      <c r="A194" s="5" t="inlineStr">
        <is>
          <t>BW-21</t>
        </is>
      </c>
      <c r="B194" s="5" t="inlineStr">
        <is>
          <t>prä</t>
        </is>
      </c>
      <c r="C194" s="5" t="inlineStr">
        <is>
          <t>COD_505</t>
        </is>
      </c>
      <c r="D194" s="5" t="inlineStr">
        <is>
          <t>L</t>
        </is>
      </c>
      <c r="E194" s="5" t="n">
        <v>1</v>
      </c>
      <c r="F194" s="5" t="n">
        <v>2.72</v>
      </c>
      <c r="G194" s="5" t="n"/>
      <c r="H194" s="5" t="n"/>
      <c r="I194" s="22">
        <f>INDEX(Personendaten!$C$2:$C$32,MATCH(A194,Personendaten!$A$2:$A$32,0))</f>
        <v/>
      </c>
      <c r="J194" s="22">
        <f>IF(AND(F194&lt;&gt;"",G194=""),1,0)</f>
        <v/>
      </c>
      <c r="K194" s="22">
        <f>IF(LEFT(C194,7)&lt;&gt;"Sprint_","",IF(COUNTIFS(Versuchsdaten!$A$2:$A$1117,$A194,Versuchsdaten!$B$2:$B$1117,$B194,Versuchsdaten!$C$2:$C$1117,"Sprint_5m",Versuchsdaten!$E$2:$E$1117,$E194,Versuchsdaten!$J$2:$J$1117,1)=1,SUMIFS(Versuchsdaten!$F$2:$F$1117,Versuchsdaten!$A$2:$A$1117,$A194,Versuchsdaten!$B$2:$B$1117,$B194,Versuchsdaten!$C$2:$C$1117,"Sprint_5m",Versuchsdaten!$E$2:$E$1117,$E194,Versuchsdaten!$J$2:$J$1117,1),""))</f>
        <v/>
      </c>
      <c r="L194" s="22">
        <f>IF(LEFT(C194,7)&lt;&gt;"Sprint_","",IF(COUNTIFS(Versuchsdaten!$A$2:$A$1117,$A194,Versuchsdaten!$B$2:$B$1117,$B194,Versuchsdaten!$C$2:$C$1117,"Sprint_10m",Versuchsdaten!$E$2:$E$1117,$E194,Versuchsdaten!$J$2:$J$1117,1)=1,SUMIFS(Versuchsdaten!$F$2:$F$1117,Versuchsdaten!$A$2:$A$1117,$A194,Versuchsdaten!$B$2:$B$1117,$B194,Versuchsdaten!$C$2:$C$1117,"Sprint_10m",Versuchsdaten!$E$2:$E$1117,$E194,Versuchsdaten!$J$2:$J$1117,1),""))</f>
        <v/>
      </c>
      <c r="M194" s="22">
        <f>IF(LEFT(C194,7)&lt;&gt;"Sprint_","",IF(COUNTIFS(Versuchsdaten!$A$2:$A$1117,$A194,Versuchsdaten!$B$2:$B$1117,$B194,Versuchsdaten!$C$2:$C$1117,"Sprint_30m",Versuchsdaten!$E$2:$E$1117,$E194,Versuchsdaten!$J$2:$J$1117,1)=1,SUMIFS(Versuchsdaten!$F$2:$F$1117,Versuchsdaten!$A$2:$A$1117,$A194,Versuchsdaten!$B$2:$B$1117,$B194,Versuchsdaten!$C$2:$C$1117,"Sprint_30m",Versuchsdaten!$E$2:$E$1117,$E194,Versuchsdaten!$J$2:$J$1117,1),""))</f>
        <v/>
      </c>
      <c r="N194" s="22">
        <f>IF(LEFT(C194,7)&lt;&gt;"Sprint_",0,IF(IF(ISNUMBER(K194),IF(K194&lt;=0,1,IF(5/K194&gt;10,1,0)),0)+IF(ISNUMBER(L194),IF(ISNUMBER(K194),IF(L194-K194&lt;=0,1,IF(5/(L194-K194)&gt;10,1,0)),IF(L194&lt;=0,1,IF(10/L194&gt;10,1,0))),0)+IF(ISNUMBER(M194),IF(ISNUMBER(L194),IF(M194-L194&lt;=0,1,IF(20/(M194-L194)&gt;10,1,0)),IF(ISNUMBER(K194),IF(M194-K194&lt;=0,1,IF(25/(M194-K194)&gt;10,1,0)),IF(M194&lt;=0,1,IF(30/M194&gt;10,1,0)))),0)&gt;0,1,0))</f>
        <v/>
      </c>
      <c r="O194" s="22">
        <f>IF(AND(J194=1,N194=0),1,0)</f>
        <v/>
      </c>
      <c r="P194" s="22">
        <f>INDEX(Personendaten!$J$2:$J$32,MATCH(A194,Personendaten!$A$2:$A$32,0))</f>
        <v/>
      </c>
      <c r="Q194" s="22">
        <f>IF(O194=1,"",IF(AND(B194="post",P194="nicht angetreten"),"NANG",IF(N194=1,"AUSL",IFERROR(VLOOKUP(H194,Vokabular!$A$2:$B$8,2,FALSE),"UNBEKANNT"))))</f>
        <v/>
      </c>
    </row>
    <row r="195">
      <c r="A195" s="5" t="inlineStr">
        <is>
          <t>BW-21</t>
        </is>
      </c>
      <c r="B195" s="5" t="inlineStr">
        <is>
          <t>prä</t>
        </is>
      </c>
      <c r="C195" s="5" t="inlineStr">
        <is>
          <t>COD_505</t>
        </is>
      </c>
      <c r="D195" s="5" t="inlineStr">
        <is>
          <t>L</t>
        </is>
      </c>
      <c r="E195" s="5" t="n">
        <v>2</v>
      </c>
      <c r="F195" s="5" t="n">
        <v>2.7</v>
      </c>
      <c r="G195" s="5" t="n"/>
      <c r="H195" s="5" t="n"/>
      <c r="I195" s="22">
        <f>INDEX(Personendaten!$C$2:$C$32,MATCH(A195,Personendaten!$A$2:$A$32,0))</f>
        <v/>
      </c>
      <c r="J195" s="22">
        <f>IF(AND(F195&lt;&gt;"",G195=""),1,0)</f>
        <v/>
      </c>
      <c r="K195" s="22">
        <f>IF(LEFT(C195,7)&lt;&gt;"Sprint_","",IF(COUNTIFS(Versuchsdaten!$A$2:$A$1117,$A195,Versuchsdaten!$B$2:$B$1117,$B195,Versuchsdaten!$C$2:$C$1117,"Sprint_5m",Versuchsdaten!$E$2:$E$1117,$E195,Versuchsdaten!$J$2:$J$1117,1)=1,SUMIFS(Versuchsdaten!$F$2:$F$1117,Versuchsdaten!$A$2:$A$1117,$A195,Versuchsdaten!$B$2:$B$1117,$B195,Versuchsdaten!$C$2:$C$1117,"Sprint_5m",Versuchsdaten!$E$2:$E$1117,$E195,Versuchsdaten!$J$2:$J$1117,1),""))</f>
        <v/>
      </c>
      <c r="L195" s="22">
        <f>IF(LEFT(C195,7)&lt;&gt;"Sprint_","",IF(COUNTIFS(Versuchsdaten!$A$2:$A$1117,$A195,Versuchsdaten!$B$2:$B$1117,$B195,Versuchsdaten!$C$2:$C$1117,"Sprint_10m",Versuchsdaten!$E$2:$E$1117,$E195,Versuchsdaten!$J$2:$J$1117,1)=1,SUMIFS(Versuchsdaten!$F$2:$F$1117,Versuchsdaten!$A$2:$A$1117,$A195,Versuchsdaten!$B$2:$B$1117,$B195,Versuchsdaten!$C$2:$C$1117,"Sprint_10m",Versuchsdaten!$E$2:$E$1117,$E195,Versuchsdaten!$J$2:$J$1117,1),""))</f>
        <v/>
      </c>
      <c r="M195" s="22">
        <f>IF(LEFT(C195,7)&lt;&gt;"Sprint_","",IF(COUNTIFS(Versuchsdaten!$A$2:$A$1117,$A195,Versuchsdaten!$B$2:$B$1117,$B195,Versuchsdaten!$C$2:$C$1117,"Sprint_30m",Versuchsdaten!$E$2:$E$1117,$E195,Versuchsdaten!$J$2:$J$1117,1)=1,SUMIFS(Versuchsdaten!$F$2:$F$1117,Versuchsdaten!$A$2:$A$1117,$A195,Versuchsdaten!$B$2:$B$1117,$B195,Versuchsdaten!$C$2:$C$1117,"Sprint_30m",Versuchsdaten!$E$2:$E$1117,$E195,Versuchsdaten!$J$2:$J$1117,1),""))</f>
        <v/>
      </c>
      <c r="N195" s="22">
        <f>IF(LEFT(C195,7)&lt;&gt;"Sprint_",0,IF(IF(ISNUMBER(K195),IF(K195&lt;=0,1,IF(5/K195&gt;10,1,0)),0)+IF(ISNUMBER(L195),IF(ISNUMBER(K195),IF(L195-K195&lt;=0,1,IF(5/(L195-K195)&gt;10,1,0)),IF(L195&lt;=0,1,IF(10/L195&gt;10,1,0))),0)+IF(ISNUMBER(M195),IF(ISNUMBER(L195),IF(M195-L195&lt;=0,1,IF(20/(M195-L195)&gt;10,1,0)),IF(ISNUMBER(K195),IF(M195-K195&lt;=0,1,IF(25/(M195-K195)&gt;10,1,0)),IF(M195&lt;=0,1,IF(30/M195&gt;10,1,0)))),0)&gt;0,1,0))</f>
        <v/>
      </c>
      <c r="O195" s="22">
        <f>IF(AND(J195=1,N195=0),1,0)</f>
        <v/>
      </c>
      <c r="P195" s="22">
        <f>INDEX(Personendaten!$J$2:$J$32,MATCH(A195,Personendaten!$A$2:$A$32,0))</f>
        <v/>
      </c>
      <c r="Q195" s="22">
        <f>IF(O195=1,"",IF(AND(B195="post",P195="nicht angetreten"),"NANG",IF(N195=1,"AUSL",IFERROR(VLOOKUP(H195,Vokabular!$A$2:$B$8,2,FALSE),"UNBEKANNT"))))</f>
        <v/>
      </c>
    </row>
    <row r="196">
      <c r="A196" s="5" t="inlineStr">
        <is>
          <t>BW-21</t>
        </is>
      </c>
      <c r="B196" s="5" t="inlineStr">
        <is>
          <t>prä</t>
        </is>
      </c>
      <c r="C196" s="5" t="inlineStr">
        <is>
          <t>COD_505</t>
        </is>
      </c>
      <c r="D196" s="5" t="inlineStr">
        <is>
          <t>L</t>
        </is>
      </c>
      <c r="E196" s="5" t="n">
        <v>3</v>
      </c>
      <c r="F196" s="5" t="n"/>
      <c r="G196" s="5" t="n"/>
      <c r="H196" s="5" t="inlineStr">
        <is>
          <t>Nur 2 Versuche aus Zeitmangel</t>
        </is>
      </c>
      <c r="I196" s="22">
        <f>INDEX(Personendaten!$C$2:$C$32,MATCH(A196,Personendaten!$A$2:$A$32,0))</f>
        <v/>
      </c>
      <c r="J196" s="22">
        <f>IF(AND(F196&lt;&gt;"",G196=""),1,0)</f>
        <v/>
      </c>
      <c r="K196" s="22">
        <f>IF(LEFT(C196,7)&lt;&gt;"Sprint_","",IF(COUNTIFS(Versuchsdaten!$A$2:$A$1117,$A196,Versuchsdaten!$B$2:$B$1117,$B196,Versuchsdaten!$C$2:$C$1117,"Sprint_5m",Versuchsdaten!$E$2:$E$1117,$E196,Versuchsdaten!$J$2:$J$1117,1)=1,SUMIFS(Versuchsdaten!$F$2:$F$1117,Versuchsdaten!$A$2:$A$1117,$A196,Versuchsdaten!$B$2:$B$1117,$B196,Versuchsdaten!$C$2:$C$1117,"Sprint_5m",Versuchsdaten!$E$2:$E$1117,$E196,Versuchsdaten!$J$2:$J$1117,1),""))</f>
        <v/>
      </c>
      <c r="L196" s="22">
        <f>IF(LEFT(C196,7)&lt;&gt;"Sprint_","",IF(COUNTIFS(Versuchsdaten!$A$2:$A$1117,$A196,Versuchsdaten!$B$2:$B$1117,$B196,Versuchsdaten!$C$2:$C$1117,"Sprint_10m",Versuchsdaten!$E$2:$E$1117,$E196,Versuchsdaten!$J$2:$J$1117,1)=1,SUMIFS(Versuchsdaten!$F$2:$F$1117,Versuchsdaten!$A$2:$A$1117,$A196,Versuchsdaten!$B$2:$B$1117,$B196,Versuchsdaten!$C$2:$C$1117,"Sprint_10m",Versuchsdaten!$E$2:$E$1117,$E196,Versuchsdaten!$J$2:$J$1117,1),""))</f>
        <v/>
      </c>
      <c r="M196" s="22">
        <f>IF(LEFT(C196,7)&lt;&gt;"Sprint_","",IF(COUNTIFS(Versuchsdaten!$A$2:$A$1117,$A196,Versuchsdaten!$B$2:$B$1117,$B196,Versuchsdaten!$C$2:$C$1117,"Sprint_30m",Versuchsdaten!$E$2:$E$1117,$E196,Versuchsdaten!$J$2:$J$1117,1)=1,SUMIFS(Versuchsdaten!$F$2:$F$1117,Versuchsdaten!$A$2:$A$1117,$A196,Versuchsdaten!$B$2:$B$1117,$B196,Versuchsdaten!$C$2:$C$1117,"Sprint_30m",Versuchsdaten!$E$2:$E$1117,$E196,Versuchsdaten!$J$2:$J$1117,1),""))</f>
        <v/>
      </c>
      <c r="N196" s="22">
        <f>IF(LEFT(C196,7)&lt;&gt;"Sprint_",0,IF(IF(ISNUMBER(K196),IF(K196&lt;=0,1,IF(5/K196&gt;10,1,0)),0)+IF(ISNUMBER(L196),IF(ISNUMBER(K196),IF(L196-K196&lt;=0,1,IF(5/(L196-K196)&gt;10,1,0)),IF(L196&lt;=0,1,IF(10/L196&gt;10,1,0))),0)+IF(ISNUMBER(M196),IF(ISNUMBER(L196),IF(M196-L196&lt;=0,1,IF(20/(M196-L196)&gt;10,1,0)),IF(ISNUMBER(K196),IF(M196-K196&lt;=0,1,IF(25/(M196-K196)&gt;10,1,0)),IF(M196&lt;=0,1,IF(30/M196&gt;10,1,0)))),0)&gt;0,1,0))</f>
        <v/>
      </c>
      <c r="O196" s="22">
        <f>IF(AND(J196=1,N196=0),1,0)</f>
        <v/>
      </c>
      <c r="P196" s="22">
        <f>INDEX(Personendaten!$J$2:$J$32,MATCH(A196,Personendaten!$A$2:$A$32,0))</f>
        <v/>
      </c>
      <c r="Q196" s="22">
        <f>IF(O196=1,"",IF(AND(B196="post",P196="nicht angetreten"),"NANG",IF(N196=1,"AUSL",IFERROR(VLOOKUP(H196,Vokabular!$A$2:$B$8,2,FALSE),"UNBEKANNT"))))</f>
        <v/>
      </c>
    </row>
    <row r="197">
      <c r="A197" s="5" t="inlineStr">
        <is>
          <t>BW-21</t>
        </is>
      </c>
      <c r="B197" s="5" t="inlineStr">
        <is>
          <t>prä</t>
        </is>
      </c>
      <c r="C197" s="5" t="inlineStr">
        <is>
          <t>COD_505</t>
        </is>
      </c>
      <c r="D197" s="5" t="inlineStr">
        <is>
          <t>R</t>
        </is>
      </c>
      <c r="E197" s="5" t="n">
        <v>1</v>
      </c>
      <c r="F197" s="5" t="n">
        <v>2.6</v>
      </c>
      <c r="G197" s="5" t="n"/>
      <c r="H197" s="5" t="n"/>
      <c r="I197" s="22">
        <f>INDEX(Personendaten!$C$2:$C$32,MATCH(A197,Personendaten!$A$2:$A$32,0))</f>
        <v/>
      </c>
      <c r="J197" s="22">
        <f>IF(AND(F197&lt;&gt;"",G197=""),1,0)</f>
        <v/>
      </c>
      <c r="K197" s="22">
        <f>IF(LEFT(C197,7)&lt;&gt;"Sprint_","",IF(COUNTIFS(Versuchsdaten!$A$2:$A$1117,$A197,Versuchsdaten!$B$2:$B$1117,$B197,Versuchsdaten!$C$2:$C$1117,"Sprint_5m",Versuchsdaten!$E$2:$E$1117,$E197,Versuchsdaten!$J$2:$J$1117,1)=1,SUMIFS(Versuchsdaten!$F$2:$F$1117,Versuchsdaten!$A$2:$A$1117,$A197,Versuchsdaten!$B$2:$B$1117,$B197,Versuchsdaten!$C$2:$C$1117,"Sprint_5m",Versuchsdaten!$E$2:$E$1117,$E197,Versuchsdaten!$J$2:$J$1117,1),""))</f>
        <v/>
      </c>
      <c r="L197" s="22">
        <f>IF(LEFT(C197,7)&lt;&gt;"Sprint_","",IF(COUNTIFS(Versuchsdaten!$A$2:$A$1117,$A197,Versuchsdaten!$B$2:$B$1117,$B197,Versuchsdaten!$C$2:$C$1117,"Sprint_10m",Versuchsdaten!$E$2:$E$1117,$E197,Versuchsdaten!$J$2:$J$1117,1)=1,SUMIFS(Versuchsdaten!$F$2:$F$1117,Versuchsdaten!$A$2:$A$1117,$A197,Versuchsdaten!$B$2:$B$1117,$B197,Versuchsdaten!$C$2:$C$1117,"Sprint_10m",Versuchsdaten!$E$2:$E$1117,$E197,Versuchsdaten!$J$2:$J$1117,1),""))</f>
        <v/>
      </c>
      <c r="M197" s="22">
        <f>IF(LEFT(C197,7)&lt;&gt;"Sprint_","",IF(COUNTIFS(Versuchsdaten!$A$2:$A$1117,$A197,Versuchsdaten!$B$2:$B$1117,$B197,Versuchsdaten!$C$2:$C$1117,"Sprint_30m",Versuchsdaten!$E$2:$E$1117,$E197,Versuchsdaten!$J$2:$J$1117,1)=1,SUMIFS(Versuchsdaten!$F$2:$F$1117,Versuchsdaten!$A$2:$A$1117,$A197,Versuchsdaten!$B$2:$B$1117,$B197,Versuchsdaten!$C$2:$C$1117,"Sprint_30m",Versuchsdaten!$E$2:$E$1117,$E197,Versuchsdaten!$J$2:$J$1117,1),""))</f>
        <v/>
      </c>
      <c r="N197" s="22">
        <f>IF(LEFT(C197,7)&lt;&gt;"Sprint_",0,IF(IF(ISNUMBER(K197),IF(K197&lt;=0,1,IF(5/K197&gt;10,1,0)),0)+IF(ISNUMBER(L197),IF(ISNUMBER(K197),IF(L197-K197&lt;=0,1,IF(5/(L197-K197)&gt;10,1,0)),IF(L197&lt;=0,1,IF(10/L197&gt;10,1,0))),0)+IF(ISNUMBER(M197),IF(ISNUMBER(L197),IF(M197-L197&lt;=0,1,IF(20/(M197-L197)&gt;10,1,0)),IF(ISNUMBER(K197),IF(M197-K197&lt;=0,1,IF(25/(M197-K197)&gt;10,1,0)),IF(M197&lt;=0,1,IF(30/M197&gt;10,1,0)))),0)&gt;0,1,0))</f>
        <v/>
      </c>
      <c r="O197" s="22">
        <f>IF(AND(J197=1,N197=0),1,0)</f>
        <v/>
      </c>
      <c r="P197" s="22">
        <f>INDEX(Personendaten!$J$2:$J$32,MATCH(A197,Personendaten!$A$2:$A$32,0))</f>
        <v/>
      </c>
      <c r="Q197" s="22">
        <f>IF(O197=1,"",IF(AND(B197="post",P197="nicht angetreten"),"NANG",IF(N197=1,"AUSL",IFERROR(VLOOKUP(H197,Vokabular!$A$2:$B$8,2,FALSE),"UNBEKANNT"))))</f>
        <v/>
      </c>
    </row>
    <row r="198">
      <c r="A198" s="5" t="inlineStr">
        <is>
          <t>BW-21</t>
        </is>
      </c>
      <c r="B198" s="5" t="inlineStr">
        <is>
          <t>prä</t>
        </is>
      </c>
      <c r="C198" s="5" t="inlineStr">
        <is>
          <t>COD_505</t>
        </is>
      </c>
      <c r="D198" s="5" t="inlineStr">
        <is>
          <t>R</t>
        </is>
      </c>
      <c r="E198" s="5" t="n">
        <v>2</v>
      </c>
      <c r="F198" s="5" t="n">
        <v>2.52</v>
      </c>
      <c r="G198" s="5" t="n"/>
      <c r="H198" s="5" t="n"/>
      <c r="I198" s="22">
        <f>INDEX(Personendaten!$C$2:$C$32,MATCH(A198,Personendaten!$A$2:$A$32,0))</f>
        <v/>
      </c>
      <c r="J198" s="22">
        <f>IF(AND(F198&lt;&gt;"",G198=""),1,0)</f>
        <v/>
      </c>
      <c r="K198" s="22">
        <f>IF(LEFT(C198,7)&lt;&gt;"Sprint_","",IF(COUNTIFS(Versuchsdaten!$A$2:$A$1117,$A198,Versuchsdaten!$B$2:$B$1117,$B198,Versuchsdaten!$C$2:$C$1117,"Sprint_5m",Versuchsdaten!$E$2:$E$1117,$E198,Versuchsdaten!$J$2:$J$1117,1)=1,SUMIFS(Versuchsdaten!$F$2:$F$1117,Versuchsdaten!$A$2:$A$1117,$A198,Versuchsdaten!$B$2:$B$1117,$B198,Versuchsdaten!$C$2:$C$1117,"Sprint_5m",Versuchsdaten!$E$2:$E$1117,$E198,Versuchsdaten!$J$2:$J$1117,1),""))</f>
        <v/>
      </c>
      <c r="L198" s="22">
        <f>IF(LEFT(C198,7)&lt;&gt;"Sprint_","",IF(COUNTIFS(Versuchsdaten!$A$2:$A$1117,$A198,Versuchsdaten!$B$2:$B$1117,$B198,Versuchsdaten!$C$2:$C$1117,"Sprint_10m",Versuchsdaten!$E$2:$E$1117,$E198,Versuchsdaten!$J$2:$J$1117,1)=1,SUMIFS(Versuchsdaten!$F$2:$F$1117,Versuchsdaten!$A$2:$A$1117,$A198,Versuchsdaten!$B$2:$B$1117,$B198,Versuchsdaten!$C$2:$C$1117,"Sprint_10m",Versuchsdaten!$E$2:$E$1117,$E198,Versuchsdaten!$J$2:$J$1117,1),""))</f>
        <v/>
      </c>
      <c r="M198" s="22">
        <f>IF(LEFT(C198,7)&lt;&gt;"Sprint_","",IF(COUNTIFS(Versuchsdaten!$A$2:$A$1117,$A198,Versuchsdaten!$B$2:$B$1117,$B198,Versuchsdaten!$C$2:$C$1117,"Sprint_30m",Versuchsdaten!$E$2:$E$1117,$E198,Versuchsdaten!$J$2:$J$1117,1)=1,SUMIFS(Versuchsdaten!$F$2:$F$1117,Versuchsdaten!$A$2:$A$1117,$A198,Versuchsdaten!$B$2:$B$1117,$B198,Versuchsdaten!$C$2:$C$1117,"Sprint_30m",Versuchsdaten!$E$2:$E$1117,$E198,Versuchsdaten!$J$2:$J$1117,1),""))</f>
        <v/>
      </c>
      <c r="N198" s="22">
        <f>IF(LEFT(C198,7)&lt;&gt;"Sprint_",0,IF(IF(ISNUMBER(K198),IF(K198&lt;=0,1,IF(5/K198&gt;10,1,0)),0)+IF(ISNUMBER(L198),IF(ISNUMBER(K198),IF(L198-K198&lt;=0,1,IF(5/(L198-K198)&gt;10,1,0)),IF(L198&lt;=0,1,IF(10/L198&gt;10,1,0))),0)+IF(ISNUMBER(M198),IF(ISNUMBER(L198),IF(M198-L198&lt;=0,1,IF(20/(M198-L198)&gt;10,1,0)),IF(ISNUMBER(K198),IF(M198-K198&lt;=0,1,IF(25/(M198-K198)&gt;10,1,0)),IF(M198&lt;=0,1,IF(30/M198&gt;10,1,0)))),0)&gt;0,1,0))</f>
        <v/>
      </c>
      <c r="O198" s="22">
        <f>IF(AND(J198=1,N198=0),1,0)</f>
        <v/>
      </c>
      <c r="P198" s="22">
        <f>INDEX(Personendaten!$J$2:$J$32,MATCH(A198,Personendaten!$A$2:$A$32,0))</f>
        <v/>
      </c>
      <c r="Q198" s="22">
        <f>IF(O198=1,"",IF(AND(B198="post",P198="nicht angetreten"),"NANG",IF(N198=1,"AUSL",IFERROR(VLOOKUP(H198,Vokabular!$A$2:$B$8,2,FALSE),"UNBEKANNT"))))</f>
        <v/>
      </c>
    </row>
    <row r="199">
      <c r="A199" s="5" t="inlineStr">
        <is>
          <t>BW-21</t>
        </is>
      </c>
      <c r="B199" s="5" t="inlineStr">
        <is>
          <t>prä</t>
        </is>
      </c>
      <c r="C199" s="5" t="inlineStr">
        <is>
          <t>COD_505</t>
        </is>
      </c>
      <c r="D199" s="5" t="inlineStr">
        <is>
          <t>R</t>
        </is>
      </c>
      <c r="E199" s="5" t="n">
        <v>3</v>
      </c>
      <c r="F199" s="5" t="n"/>
      <c r="G199" s="5" t="n"/>
      <c r="H199" s="5" t="inlineStr">
        <is>
          <t>Nur 2 Versuche aus Zeitmangel</t>
        </is>
      </c>
      <c r="I199" s="22">
        <f>INDEX(Personendaten!$C$2:$C$32,MATCH(A199,Personendaten!$A$2:$A$32,0))</f>
        <v/>
      </c>
      <c r="J199" s="22">
        <f>IF(AND(F199&lt;&gt;"",G199=""),1,0)</f>
        <v/>
      </c>
      <c r="K199" s="22">
        <f>IF(LEFT(C199,7)&lt;&gt;"Sprint_","",IF(COUNTIFS(Versuchsdaten!$A$2:$A$1117,$A199,Versuchsdaten!$B$2:$B$1117,$B199,Versuchsdaten!$C$2:$C$1117,"Sprint_5m",Versuchsdaten!$E$2:$E$1117,$E199,Versuchsdaten!$J$2:$J$1117,1)=1,SUMIFS(Versuchsdaten!$F$2:$F$1117,Versuchsdaten!$A$2:$A$1117,$A199,Versuchsdaten!$B$2:$B$1117,$B199,Versuchsdaten!$C$2:$C$1117,"Sprint_5m",Versuchsdaten!$E$2:$E$1117,$E199,Versuchsdaten!$J$2:$J$1117,1),""))</f>
        <v/>
      </c>
      <c r="L199" s="22">
        <f>IF(LEFT(C199,7)&lt;&gt;"Sprint_","",IF(COUNTIFS(Versuchsdaten!$A$2:$A$1117,$A199,Versuchsdaten!$B$2:$B$1117,$B199,Versuchsdaten!$C$2:$C$1117,"Sprint_10m",Versuchsdaten!$E$2:$E$1117,$E199,Versuchsdaten!$J$2:$J$1117,1)=1,SUMIFS(Versuchsdaten!$F$2:$F$1117,Versuchsdaten!$A$2:$A$1117,$A199,Versuchsdaten!$B$2:$B$1117,$B199,Versuchsdaten!$C$2:$C$1117,"Sprint_10m",Versuchsdaten!$E$2:$E$1117,$E199,Versuchsdaten!$J$2:$J$1117,1),""))</f>
        <v/>
      </c>
      <c r="M199" s="22">
        <f>IF(LEFT(C199,7)&lt;&gt;"Sprint_","",IF(COUNTIFS(Versuchsdaten!$A$2:$A$1117,$A199,Versuchsdaten!$B$2:$B$1117,$B199,Versuchsdaten!$C$2:$C$1117,"Sprint_30m",Versuchsdaten!$E$2:$E$1117,$E199,Versuchsdaten!$J$2:$J$1117,1)=1,SUMIFS(Versuchsdaten!$F$2:$F$1117,Versuchsdaten!$A$2:$A$1117,$A199,Versuchsdaten!$B$2:$B$1117,$B199,Versuchsdaten!$C$2:$C$1117,"Sprint_30m",Versuchsdaten!$E$2:$E$1117,$E199,Versuchsdaten!$J$2:$J$1117,1),""))</f>
        <v/>
      </c>
      <c r="N199" s="22">
        <f>IF(LEFT(C199,7)&lt;&gt;"Sprint_",0,IF(IF(ISNUMBER(K199),IF(K199&lt;=0,1,IF(5/K199&gt;10,1,0)),0)+IF(ISNUMBER(L199),IF(ISNUMBER(K199),IF(L199-K199&lt;=0,1,IF(5/(L199-K199)&gt;10,1,0)),IF(L199&lt;=0,1,IF(10/L199&gt;10,1,0))),0)+IF(ISNUMBER(M199),IF(ISNUMBER(L199),IF(M199-L199&lt;=0,1,IF(20/(M199-L199)&gt;10,1,0)),IF(ISNUMBER(K199),IF(M199-K199&lt;=0,1,IF(25/(M199-K199)&gt;10,1,0)),IF(M199&lt;=0,1,IF(30/M199&gt;10,1,0)))),0)&gt;0,1,0))</f>
        <v/>
      </c>
      <c r="O199" s="22">
        <f>IF(AND(J199=1,N199=0),1,0)</f>
        <v/>
      </c>
      <c r="P199" s="22">
        <f>INDEX(Personendaten!$J$2:$J$32,MATCH(A199,Personendaten!$A$2:$A$32,0))</f>
        <v/>
      </c>
      <c r="Q199" s="22">
        <f>IF(O199=1,"",IF(AND(B199="post",P199="nicht angetreten"),"NANG",IF(N199=1,"AUSL",IFERROR(VLOOKUP(H199,Vokabular!$A$2:$B$8,2,FALSE),"UNBEKANNT"))))</f>
        <v/>
      </c>
    </row>
    <row r="200">
      <c r="A200" s="5" t="inlineStr">
        <is>
          <t>HL-01</t>
        </is>
      </c>
      <c r="B200" s="5" t="inlineStr">
        <is>
          <t>prä</t>
        </is>
      </c>
      <c r="C200" s="5" t="inlineStr">
        <is>
          <t>Sprint_5m</t>
        </is>
      </c>
      <c r="D200" s="5" t="inlineStr">
        <is>
          <t>–</t>
        </is>
      </c>
      <c r="E200" s="5" t="n">
        <v>1</v>
      </c>
      <c r="F200" s="5" t="n">
        <v>1.15</v>
      </c>
      <c r="G200" s="5" t="n"/>
      <c r="H200" s="5" t="n"/>
      <c r="I200" s="22">
        <f>INDEX(Personendaten!$C$2:$C$32,MATCH(A200,Personendaten!$A$2:$A$32,0))</f>
        <v/>
      </c>
      <c r="J200" s="22">
        <f>IF(AND(F200&lt;&gt;"",G200=""),1,0)</f>
        <v/>
      </c>
      <c r="K200" s="22">
        <f>IF(LEFT(C200,7)&lt;&gt;"Sprint_","",IF(COUNTIFS(Versuchsdaten!$A$2:$A$1117,$A200,Versuchsdaten!$B$2:$B$1117,$B200,Versuchsdaten!$C$2:$C$1117,"Sprint_5m",Versuchsdaten!$E$2:$E$1117,$E200,Versuchsdaten!$J$2:$J$1117,1)=1,SUMIFS(Versuchsdaten!$F$2:$F$1117,Versuchsdaten!$A$2:$A$1117,$A200,Versuchsdaten!$B$2:$B$1117,$B200,Versuchsdaten!$C$2:$C$1117,"Sprint_5m",Versuchsdaten!$E$2:$E$1117,$E200,Versuchsdaten!$J$2:$J$1117,1),""))</f>
        <v/>
      </c>
      <c r="L200" s="22">
        <f>IF(LEFT(C200,7)&lt;&gt;"Sprint_","",IF(COUNTIFS(Versuchsdaten!$A$2:$A$1117,$A200,Versuchsdaten!$B$2:$B$1117,$B200,Versuchsdaten!$C$2:$C$1117,"Sprint_10m",Versuchsdaten!$E$2:$E$1117,$E200,Versuchsdaten!$J$2:$J$1117,1)=1,SUMIFS(Versuchsdaten!$F$2:$F$1117,Versuchsdaten!$A$2:$A$1117,$A200,Versuchsdaten!$B$2:$B$1117,$B200,Versuchsdaten!$C$2:$C$1117,"Sprint_10m",Versuchsdaten!$E$2:$E$1117,$E200,Versuchsdaten!$J$2:$J$1117,1),""))</f>
        <v/>
      </c>
      <c r="M200" s="22">
        <f>IF(LEFT(C200,7)&lt;&gt;"Sprint_","",IF(COUNTIFS(Versuchsdaten!$A$2:$A$1117,$A200,Versuchsdaten!$B$2:$B$1117,$B200,Versuchsdaten!$C$2:$C$1117,"Sprint_30m",Versuchsdaten!$E$2:$E$1117,$E200,Versuchsdaten!$J$2:$J$1117,1)=1,SUMIFS(Versuchsdaten!$F$2:$F$1117,Versuchsdaten!$A$2:$A$1117,$A200,Versuchsdaten!$B$2:$B$1117,$B200,Versuchsdaten!$C$2:$C$1117,"Sprint_30m",Versuchsdaten!$E$2:$E$1117,$E200,Versuchsdaten!$J$2:$J$1117,1),""))</f>
        <v/>
      </c>
      <c r="N200" s="22">
        <f>IF(LEFT(C200,7)&lt;&gt;"Sprint_",0,IF(IF(ISNUMBER(K200),IF(K200&lt;=0,1,IF(5/K200&gt;10,1,0)),0)+IF(ISNUMBER(L200),IF(ISNUMBER(K200),IF(L200-K200&lt;=0,1,IF(5/(L200-K200)&gt;10,1,0)),IF(L200&lt;=0,1,IF(10/L200&gt;10,1,0))),0)+IF(ISNUMBER(M200),IF(ISNUMBER(L200),IF(M200-L200&lt;=0,1,IF(20/(M200-L200)&gt;10,1,0)),IF(ISNUMBER(K200),IF(M200-K200&lt;=0,1,IF(25/(M200-K200)&gt;10,1,0)),IF(M200&lt;=0,1,IF(30/M200&gt;10,1,0)))),0)&gt;0,1,0))</f>
        <v/>
      </c>
      <c r="O200" s="22">
        <f>IF(AND(J200=1,N200=0),1,0)</f>
        <v/>
      </c>
      <c r="P200" s="22">
        <f>INDEX(Personendaten!$J$2:$J$32,MATCH(A200,Personendaten!$A$2:$A$32,0))</f>
        <v/>
      </c>
      <c r="Q200" s="22">
        <f>IF(O200=1,"",IF(AND(B200="post",P200="nicht angetreten"),"NANG",IF(N200=1,"AUSL",IFERROR(VLOOKUP(H200,Vokabular!$A$2:$B$8,2,FALSE),"UNBEKANNT"))))</f>
        <v/>
      </c>
    </row>
    <row r="201">
      <c r="A201" s="5" t="inlineStr">
        <is>
          <t>HL-01</t>
        </is>
      </c>
      <c r="B201" s="5" t="inlineStr">
        <is>
          <t>prä</t>
        </is>
      </c>
      <c r="C201" s="5" t="inlineStr">
        <is>
          <t>Sprint_5m</t>
        </is>
      </c>
      <c r="D201" s="5" t="inlineStr">
        <is>
          <t>–</t>
        </is>
      </c>
      <c r="E201" s="5" t="n">
        <v>2</v>
      </c>
      <c r="F201" s="5" t="n">
        <v>1.09</v>
      </c>
      <c r="G201" s="5" t="n"/>
      <c r="H201" s="5" t="n"/>
      <c r="I201" s="22">
        <f>INDEX(Personendaten!$C$2:$C$32,MATCH(A201,Personendaten!$A$2:$A$32,0))</f>
        <v/>
      </c>
      <c r="J201" s="22">
        <f>IF(AND(F201&lt;&gt;"",G201=""),1,0)</f>
        <v/>
      </c>
      <c r="K201" s="22">
        <f>IF(LEFT(C201,7)&lt;&gt;"Sprint_","",IF(COUNTIFS(Versuchsdaten!$A$2:$A$1117,$A201,Versuchsdaten!$B$2:$B$1117,$B201,Versuchsdaten!$C$2:$C$1117,"Sprint_5m",Versuchsdaten!$E$2:$E$1117,$E201,Versuchsdaten!$J$2:$J$1117,1)=1,SUMIFS(Versuchsdaten!$F$2:$F$1117,Versuchsdaten!$A$2:$A$1117,$A201,Versuchsdaten!$B$2:$B$1117,$B201,Versuchsdaten!$C$2:$C$1117,"Sprint_5m",Versuchsdaten!$E$2:$E$1117,$E201,Versuchsdaten!$J$2:$J$1117,1),""))</f>
        <v/>
      </c>
      <c r="L201" s="22">
        <f>IF(LEFT(C201,7)&lt;&gt;"Sprint_","",IF(COUNTIFS(Versuchsdaten!$A$2:$A$1117,$A201,Versuchsdaten!$B$2:$B$1117,$B201,Versuchsdaten!$C$2:$C$1117,"Sprint_10m",Versuchsdaten!$E$2:$E$1117,$E201,Versuchsdaten!$J$2:$J$1117,1)=1,SUMIFS(Versuchsdaten!$F$2:$F$1117,Versuchsdaten!$A$2:$A$1117,$A201,Versuchsdaten!$B$2:$B$1117,$B201,Versuchsdaten!$C$2:$C$1117,"Sprint_10m",Versuchsdaten!$E$2:$E$1117,$E201,Versuchsdaten!$J$2:$J$1117,1),""))</f>
        <v/>
      </c>
      <c r="M201" s="22">
        <f>IF(LEFT(C201,7)&lt;&gt;"Sprint_","",IF(COUNTIFS(Versuchsdaten!$A$2:$A$1117,$A201,Versuchsdaten!$B$2:$B$1117,$B201,Versuchsdaten!$C$2:$C$1117,"Sprint_30m",Versuchsdaten!$E$2:$E$1117,$E201,Versuchsdaten!$J$2:$J$1117,1)=1,SUMIFS(Versuchsdaten!$F$2:$F$1117,Versuchsdaten!$A$2:$A$1117,$A201,Versuchsdaten!$B$2:$B$1117,$B201,Versuchsdaten!$C$2:$C$1117,"Sprint_30m",Versuchsdaten!$E$2:$E$1117,$E201,Versuchsdaten!$J$2:$J$1117,1),""))</f>
        <v/>
      </c>
      <c r="N201" s="22">
        <f>IF(LEFT(C201,7)&lt;&gt;"Sprint_",0,IF(IF(ISNUMBER(K201),IF(K201&lt;=0,1,IF(5/K201&gt;10,1,0)),0)+IF(ISNUMBER(L201),IF(ISNUMBER(K201),IF(L201-K201&lt;=0,1,IF(5/(L201-K201)&gt;10,1,0)),IF(L201&lt;=0,1,IF(10/L201&gt;10,1,0))),0)+IF(ISNUMBER(M201),IF(ISNUMBER(L201),IF(M201-L201&lt;=0,1,IF(20/(M201-L201)&gt;10,1,0)),IF(ISNUMBER(K201),IF(M201-K201&lt;=0,1,IF(25/(M201-K201)&gt;10,1,0)),IF(M201&lt;=0,1,IF(30/M201&gt;10,1,0)))),0)&gt;0,1,0))</f>
        <v/>
      </c>
      <c r="O201" s="22">
        <f>IF(AND(J201=1,N201=0),1,0)</f>
        <v/>
      </c>
      <c r="P201" s="22">
        <f>INDEX(Personendaten!$J$2:$J$32,MATCH(A201,Personendaten!$A$2:$A$32,0))</f>
        <v/>
      </c>
      <c r="Q201" s="22">
        <f>IF(O201=1,"",IF(AND(B201="post",P201="nicht angetreten"),"NANG",IF(N201=1,"AUSL",IFERROR(VLOOKUP(H201,Vokabular!$A$2:$B$8,2,FALSE),"UNBEKANNT"))))</f>
        <v/>
      </c>
    </row>
    <row r="202">
      <c r="A202" s="5" t="inlineStr">
        <is>
          <t>HL-01</t>
        </is>
      </c>
      <c r="B202" s="5" t="inlineStr">
        <is>
          <t>prä</t>
        </is>
      </c>
      <c r="C202" s="5" t="inlineStr">
        <is>
          <t>Sprint_5m</t>
        </is>
      </c>
      <c r="D202" s="5" t="inlineStr">
        <is>
          <t>–</t>
        </is>
      </c>
      <c r="E202" s="5" t="n">
        <v>3</v>
      </c>
      <c r="F202" s="5" t="n">
        <v>1.02</v>
      </c>
      <c r="G202" s="5" t="n"/>
      <c r="H202" s="5" t="n"/>
      <c r="I202" s="22">
        <f>INDEX(Personendaten!$C$2:$C$32,MATCH(A202,Personendaten!$A$2:$A$32,0))</f>
        <v/>
      </c>
      <c r="J202" s="22">
        <f>IF(AND(F202&lt;&gt;"",G202=""),1,0)</f>
        <v/>
      </c>
      <c r="K202" s="22">
        <f>IF(LEFT(C202,7)&lt;&gt;"Sprint_","",IF(COUNTIFS(Versuchsdaten!$A$2:$A$1117,$A202,Versuchsdaten!$B$2:$B$1117,$B202,Versuchsdaten!$C$2:$C$1117,"Sprint_5m",Versuchsdaten!$E$2:$E$1117,$E202,Versuchsdaten!$J$2:$J$1117,1)=1,SUMIFS(Versuchsdaten!$F$2:$F$1117,Versuchsdaten!$A$2:$A$1117,$A202,Versuchsdaten!$B$2:$B$1117,$B202,Versuchsdaten!$C$2:$C$1117,"Sprint_5m",Versuchsdaten!$E$2:$E$1117,$E202,Versuchsdaten!$J$2:$J$1117,1),""))</f>
        <v/>
      </c>
      <c r="L202" s="22">
        <f>IF(LEFT(C202,7)&lt;&gt;"Sprint_","",IF(COUNTIFS(Versuchsdaten!$A$2:$A$1117,$A202,Versuchsdaten!$B$2:$B$1117,$B202,Versuchsdaten!$C$2:$C$1117,"Sprint_10m",Versuchsdaten!$E$2:$E$1117,$E202,Versuchsdaten!$J$2:$J$1117,1)=1,SUMIFS(Versuchsdaten!$F$2:$F$1117,Versuchsdaten!$A$2:$A$1117,$A202,Versuchsdaten!$B$2:$B$1117,$B202,Versuchsdaten!$C$2:$C$1117,"Sprint_10m",Versuchsdaten!$E$2:$E$1117,$E202,Versuchsdaten!$J$2:$J$1117,1),""))</f>
        <v/>
      </c>
      <c r="M202" s="22">
        <f>IF(LEFT(C202,7)&lt;&gt;"Sprint_","",IF(COUNTIFS(Versuchsdaten!$A$2:$A$1117,$A202,Versuchsdaten!$B$2:$B$1117,$B202,Versuchsdaten!$C$2:$C$1117,"Sprint_30m",Versuchsdaten!$E$2:$E$1117,$E202,Versuchsdaten!$J$2:$J$1117,1)=1,SUMIFS(Versuchsdaten!$F$2:$F$1117,Versuchsdaten!$A$2:$A$1117,$A202,Versuchsdaten!$B$2:$B$1117,$B202,Versuchsdaten!$C$2:$C$1117,"Sprint_30m",Versuchsdaten!$E$2:$E$1117,$E202,Versuchsdaten!$J$2:$J$1117,1),""))</f>
        <v/>
      </c>
      <c r="N202" s="22">
        <f>IF(LEFT(C202,7)&lt;&gt;"Sprint_",0,IF(IF(ISNUMBER(K202),IF(K202&lt;=0,1,IF(5/K202&gt;10,1,0)),0)+IF(ISNUMBER(L202),IF(ISNUMBER(K202),IF(L202-K202&lt;=0,1,IF(5/(L202-K202)&gt;10,1,0)),IF(L202&lt;=0,1,IF(10/L202&gt;10,1,0))),0)+IF(ISNUMBER(M202),IF(ISNUMBER(L202),IF(M202-L202&lt;=0,1,IF(20/(M202-L202)&gt;10,1,0)),IF(ISNUMBER(K202),IF(M202-K202&lt;=0,1,IF(25/(M202-K202)&gt;10,1,0)),IF(M202&lt;=0,1,IF(30/M202&gt;10,1,0)))),0)&gt;0,1,0))</f>
        <v/>
      </c>
      <c r="O202" s="22">
        <f>IF(AND(J202=1,N202=0),1,0)</f>
        <v/>
      </c>
      <c r="P202" s="22">
        <f>INDEX(Personendaten!$J$2:$J$32,MATCH(A202,Personendaten!$A$2:$A$32,0))</f>
        <v/>
      </c>
      <c r="Q202" s="22">
        <f>IF(O202=1,"",IF(AND(B202="post",P202="nicht angetreten"),"NANG",IF(N202=1,"AUSL",IFERROR(VLOOKUP(H202,Vokabular!$A$2:$B$8,2,FALSE),"UNBEKANNT"))))</f>
        <v/>
      </c>
    </row>
    <row r="203">
      <c r="A203" s="5" t="inlineStr">
        <is>
          <t>HL-01</t>
        </is>
      </c>
      <c r="B203" s="5" t="inlineStr">
        <is>
          <t>prä</t>
        </is>
      </c>
      <c r="C203" s="5" t="inlineStr">
        <is>
          <t>Sprint_10m</t>
        </is>
      </c>
      <c r="D203" s="5" t="inlineStr">
        <is>
          <t>–</t>
        </is>
      </c>
      <c r="E203" s="5" t="n">
        <v>1</v>
      </c>
      <c r="F203" s="5" t="n"/>
      <c r="G203" s="5" t="n"/>
      <c r="H203" s="5" t="inlineStr">
        <is>
          <t>System nicht aufgenommen</t>
        </is>
      </c>
      <c r="I203" s="22">
        <f>INDEX(Personendaten!$C$2:$C$32,MATCH(A203,Personendaten!$A$2:$A$32,0))</f>
        <v/>
      </c>
      <c r="J203" s="22">
        <f>IF(AND(F203&lt;&gt;"",G203=""),1,0)</f>
        <v/>
      </c>
      <c r="K203" s="22">
        <f>IF(LEFT(C203,7)&lt;&gt;"Sprint_","",IF(COUNTIFS(Versuchsdaten!$A$2:$A$1117,$A203,Versuchsdaten!$B$2:$B$1117,$B203,Versuchsdaten!$C$2:$C$1117,"Sprint_5m",Versuchsdaten!$E$2:$E$1117,$E203,Versuchsdaten!$J$2:$J$1117,1)=1,SUMIFS(Versuchsdaten!$F$2:$F$1117,Versuchsdaten!$A$2:$A$1117,$A203,Versuchsdaten!$B$2:$B$1117,$B203,Versuchsdaten!$C$2:$C$1117,"Sprint_5m",Versuchsdaten!$E$2:$E$1117,$E203,Versuchsdaten!$J$2:$J$1117,1),""))</f>
        <v/>
      </c>
      <c r="L203" s="22">
        <f>IF(LEFT(C203,7)&lt;&gt;"Sprint_","",IF(COUNTIFS(Versuchsdaten!$A$2:$A$1117,$A203,Versuchsdaten!$B$2:$B$1117,$B203,Versuchsdaten!$C$2:$C$1117,"Sprint_10m",Versuchsdaten!$E$2:$E$1117,$E203,Versuchsdaten!$J$2:$J$1117,1)=1,SUMIFS(Versuchsdaten!$F$2:$F$1117,Versuchsdaten!$A$2:$A$1117,$A203,Versuchsdaten!$B$2:$B$1117,$B203,Versuchsdaten!$C$2:$C$1117,"Sprint_10m",Versuchsdaten!$E$2:$E$1117,$E203,Versuchsdaten!$J$2:$J$1117,1),""))</f>
        <v/>
      </c>
      <c r="M203" s="22">
        <f>IF(LEFT(C203,7)&lt;&gt;"Sprint_","",IF(COUNTIFS(Versuchsdaten!$A$2:$A$1117,$A203,Versuchsdaten!$B$2:$B$1117,$B203,Versuchsdaten!$C$2:$C$1117,"Sprint_30m",Versuchsdaten!$E$2:$E$1117,$E203,Versuchsdaten!$J$2:$J$1117,1)=1,SUMIFS(Versuchsdaten!$F$2:$F$1117,Versuchsdaten!$A$2:$A$1117,$A203,Versuchsdaten!$B$2:$B$1117,$B203,Versuchsdaten!$C$2:$C$1117,"Sprint_30m",Versuchsdaten!$E$2:$E$1117,$E203,Versuchsdaten!$J$2:$J$1117,1),""))</f>
        <v/>
      </c>
      <c r="N203" s="22">
        <f>IF(LEFT(C203,7)&lt;&gt;"Sprint_",0,IF(IF(ISNUMBER(K203),IF(K203&lt;=0,1,IF(5/K203&gt;10,1,0)),0)+IF(ISNUMBER(L203),IF(ISNUMBER(K203),IF(L203-K203&lt;=0,1,IF(5/(L203-K203)&gt;10,1,0)),IF(L203&lt;=0,1,IF(10/L203&gt;10,1,0))),0)+IF(ISNUMBER(M203),IF(ISNUMBER(L203),IF(M203-L203&lt;=0,1,IF(20/(M203-L203)&gt;10,1,0)),IF(ISNUMBER(K203),IF(M203-K203&lt;=0,1,IF(25/(M203-K203)&gt;10,1,0)),IF(M203&lt;=0,1,IF(30/M203&gt;10,1,0)))),0)&gt;0,1,0))</f>
        <v/>
      </c>
      <c r="O203" s="22">
        <f>IF(AND(J203=1,N203=0),1,0)</f>
        <v/>
      </c>
      <c r="P203" s="22">
        <f>INDEX(Personendaten!$J$2:$J$32,MATCH(A203,Personendaten!$A$2:$A$32,0))</f>
        <v/>
      </c>
      <c r="Q203" s="22">
        <f>IF(O203=1,"",IF(AND(B203="post",P203="nicht angetreten"),"NANG",IF(N203=1,"AUSL",IFERROR(VLOOKUP(H203,Vokabular!$A$2:$B$8,2,FALSE),"UNBEKANNT"))))</f>
        <v/>
      </c>
    </row>
    <row r="204">
      <c r="A204" s="5" t="inlineStr">
        <is>
          <t>HL-01</t>
        </is>
      </c>
      <c r="B204" s="5" t="inlineStr">
        <is>
          <t>prä</t>
        </is>
      </c>
      <c r="C204" s="5" t="inlineStr">
        <is>
          <t>Sprint_10m</t>
        </is>
      </c>
      <c r="D204" s="5" t="inlineStr">
        <is>
          <t>–</t>
        </is>
      </c>
      <c r="E204" s="5" t="n">
        <v>2</v>
      </c>
      <c r="F204" s="5" t="n">
        <v>1.87</v>
      </c>
      <c r="G204" s="5" t="n"/>
      <c r="H204" s="5" t="n"/>
      <c r="I204" s="22">
        <f>INDEX(Personendaten!$C$2:$C$32,MATCH(A204,Personendaten!$A$2:$A$32,0))</f>
        <v/>
      </c>
      <c r="J204" s="22">
        <f>IF(AND(F204&lt;&gt;"",G204=""),1,0)</f>
        <v/>
      </c>
      <c r="K204" s="22">
        <f>IF(LEFT(C204,7)&lt;&gt;"Sprint_","",IF(COUNTIFS(Versuchsdaten!$A$2:$A$1117,$A204,Versuchsdaten!$B$2:$B$1117,$B204,Versuchsdaten!$C$2:$C$1117,"Sprint_5m",Versuchsdaten!$E$2:$E$1117,$E204,Versuchsdaten!$J$2:$J$1117,1)=1,SUMIFS(Versuchsdaten!$F$2:$F$1117,Versuchsdaten!$A$2:$A$1117,$A204,Versuchsdaten!$B$2:$B$1117,$B204,Versuchsdaten!$C$2:$C$1117,"Sprint_5m",Versuchsdaten!$E$2:$E$1117,$E204,Versuchsdaten!$J$2:$J$1117,1),""))</f>
        <v/>
      </c>
      <c r="L204" s="22">
        <f>IF(LEFT(C204,7)&lt;&gt;"Sprint_","",IF(COUNTIFS(Versuchsdaten!$A$2:$A$1117,$A204,Versuchsdaten!$B$2:$B$1117,$B204,Versuchsdaten!$C$2:$C$1117,"Sprint_10m",Versuchsdaten!$E$2:$E$1117,$E204,Versuchsdaten!$J$2:$J$1117,1)=1,SUMIFS(Versuchsdaten!$F$2:$F$1117,Versuchsdaten!$A$2:$A$1117,$A204,Versuchsdaten!$B$2:$B$1117,$B204,Versuchsdaten!$C$2:$C$1117,"Sprint_10m",Versuchsdaten!$E$2:$E$1117,$E204,Versuchsdaten!$J$2:$J$1117,1),""))</f>
        <v/>
      </c>
      <c r="M204" s="22">
        <f>IF(LEFT(C204,7)&lt;&gt;"Sprint_","",IF(COUNTIFS(Versuchsdaten!$A$2:$A$1117,$A204,Versuchsdaten!$B$2:$B$1117,$B204,Versuchsdaten!$C$2:$C$1117,"Sprint_30m",Versuchsdaten!$E$2:$E$1117,$E204,Versuchsdaten!$J$2:$J$1117,1)=1,SUMIFS(Versuchsdaten!$F$2:$F$1117,Versuchsdaten!$A$2:$A$1117,$A204,Versuchsdaten!$B$2:$B$1117,$B204,Versuchsdaten!$C$2:$C$1117,"Sprint_30m",Versuchsdaten!$E$2:$E$1117,$E204,Versuchsdaten!$J$2:$J$1117,1),""))</f>
        <v/>
      </c>
      <c r="N204" s="22">
        <f>IF(LEFT(C204,7)&lt;&gt;"Sprint_",0,IF(IF(ISNUMBER(K204),IF(K204&lt;=0,1,IF(5/K204&gt;10,1,0)),0)+IF(ISNUMBER(L204),IF(ISNUMBER(K204),IF(L204-K204&lt;=0,1,IF(5/(L204-K204)&gt;10,1,0)),IF(L204&lt;=0,1,IF(10/L204&gt;10,1,0))),0)+IF(ISNUMBER(M204),IF(ISNUMBER(L204),IF(M204-L204&lt;=0,1,IF(20/(M204-L204)&gt;10,1,0)),IF(ISNUMBER(K204),IF(M204-K204&lt;=0,1,IF(25/(M204-K204)&gt;10,1,0)),IF(M204&lt;=0,1,IF(30/M204&gt;10,1,0)))),0)&gt;0,1,0))</f>
        <v/>
      </c>
      <c r="O204" s="22">
        <f>IF(AND(J204=1,N204=0),1,0)</f>
        <v/>
      </c>
      <c r="P204" s="22">
        <f>INDEX(Personendaten!$J$2:$J$32,MATCH(A204,Personendaten!$A$2:$A$32,0))</f>
        <v/>
      </c>
      <c r="Q204" s="22">
        <f>IF(O204=1,"",IF(AND(B204="post",P204="nicht angetreten"),"NANG",IF(N204=1,"AUSL",IFERROR(VLOOKUP(H204,Vokabular!$A$2:$B$8,2,FALSE),"UNBEKANNT"))))</f>
        <v/>
      </c>
    </row>
    <row r="205">
      <c r="A205" s="5" t="inlineStr">
        <is>
          <t>HL-01</t>
        </is>
      </c>
      <c r="B205" s="5" t="inlineStr">
        <is>
          <t>prä</t>
        </is>
      </c>
      <c r="C205" s="5" t="inlineStr">
        <is>
          <t>Sprint_10m</t>
        </is>
      </c>
      <c r="D205" s="5" t="inlineStr">
        <is>
          <t>–</t>
        </is>
      </c>
      <c r="E205" s="5" t="n">
        <v>3</v>
      </c>
      <c r="F205" s="5" t="n">
        <v>1.87</v>
      </c>
      <c r="G205" s="5" t="n"/>
      <c r="H205" s="5" t="n"/>
      <c r="I205" s="22">
        <f>INDEX(Personendaten!$C$2:$C$32,MATCH(A205,Personendaten!$A$2:$A$32,0))</f>
        <v/>
      </c>
      <c r="J205" s="22">
        <f>IF(AND(F205&lt;&gt;"",G205=""),1,0)</f>
        <v/>
      </c>
      <c r="K205" s="22">
        <f>IF(LEFT(C205,7)&lt;&gt;"Sprint_","",IF(COUNTIFS(Versuchsdaten!$A$2:$A$1117,$A205,Versuchsdaten!$B$2:$B$1117,$B205,Versuchsdaten!$C$2:$C$1117,"Sprint_5m",Versuchsdaten!$E$2:$E$1117,$E205,Versuchsdaten!$J$2:$J$1117,1)=1,SUMIFS(Versuchsdaten!$F$2:$F$1117,Versuchsdaten!$A$2:$A$1117,$A205,Versuchsdaten!$B$2:$B$1117,$B205,Versuchsdaten!$C$2:$C$1117,"Sprint_5m",Versuchsdaten!$E$2:$E$1117,$E205,Versuchsdaten!$J$2:$J$1117,1),""))</f>
        <v/>
      </c>
      <c r="L205" s="22">
        <f>IF(LEFT(C205,7)&lt;&gt;"Sprint_","",IF(COUNTIFS(Versuchsdaten!$A$2:$A$1117,$A205,Versuchsdaten!$B$2:$B$1117,$B205,Versuchsdaten!$C$2:$C$1117,"Sprint_10m",Versuchsdaten!$E$2:$E$1117,$E205,Versuchsdaten!$J$2:$J$1117,1)=1,SUMIFS(Versuchsdaten!$F$2:$F$1117,Versuchsdaten!$A$2:$A$1117,$A205,Versuchsdaten!$B$2:$B$1117,$B205,Versuchsdaten!$C$2:$C$1117,"Sprint_10m",Versuchsdaten!$E$2:$E$1117,$E205,Versuchsdaten!$J$2:$J$1117,1),""))</f>
        <v/>
      </c>
      <c r="M205" s="22">
        <f>IF(LEFT(C205,7)&lt;&gt;"Sprint_","",IF(COUNTIFS(Versuchsdaten!$A$2:$A$1117,$A205,Versuchsdaten!$B$2:$B$1117,$B205,Versuchsdaten!$C$2:$C$1117,"Sprint_30m",Versuchsdaten!$E$2:$E$1117,$E205,Versuchsdaten!$J$2:$J$1117,1)=1,SUMIFS(Versuchsdaten!$F$2:$F$1117,Versuchsdaten!$A$2:$A$1117,$A205,Versuchsdaten!$B$2:$B$1117,$B205,Versuchsdaten!$C$2:$C$1117,"Sprint_30m",Versuchsdaten!$E$2:$E$1117,$E205,Versuchsdaten!$J$2:$J$1117,1),""))</f>
        <v/>
      </c>
      <c r="N205" s="22">
        <f>IF(LEFT(C205,7)&lt;&gt;"Sprint_",0,IF(IF(ISNUMBER(K205),IF(K205&lt;=0,1,IF(5/K205&gt;10,1,0)),0)+IF(ISNUMBER(L205),IF(ISNUMBER(K205),IF(L205-K205&lt;=0,1,IF(5/(L205-K205)&gt;10,1,0)),IF(L205&lt;=0,1,IF(10/L205&gt;10,1,0))),0)+IF(ISNUMBER(M205),IF(ISNUMBER(L205),IF(M205-L205&lt;=0,1,IF(20/(M205-L205)&gt;10,1,0)),IF(ISNUMBER(K205),IF(M205-K205&lt;=0,1,IF(25/(M205-K205)&gt;10,1,0)),IF(M205&lt;=0,1,IF(30/M205&gt;10,1,0)))),0)&gt;0,1,0))</f>
        <v/>
      </c>
      <c r="O205" s="22">
        <f>IF(AND(J205=1,N205=0),1,0)</f>
        <v/>
      </c>
      <c r="P205" s="22">
        <f>INDEX(Personendaten!$J$2:$J$32,MATCH(A205,Personendaten!$A$2:$A$32,0))</f>
        <v/>
      </c>
      <c r="Q205" s="22">
        <f>IF(O205=1,"",IF(AND(B205="post",P205="nicht angetreten"),"NANG",IF(N205=1,"AUSL",IFERROR(VLOOKUP(H205,Vokabular!$A$2:$B$8,2,FALSE),"UNBEKANNT"))))</f>
        <v/>
      </c>
    </row>
    <row r="206">
      <c r="A206" s="5" t="inlineStr">
        <is>
          <t>HL-01</t>
        </is>
      </c>
      <c r="B206" s="5" t="inlineStr">
        <is>
          <t>prä</t>
        </is>
      </c>
      <c r="C206" s="5" t="inlineStr">
        <is>
          <t>Sprint_30m</t>
        </is>
      </c>
      <c r="D206" s="5" t="inlineStr">
        <is>
          <t>–</t>
        </is>
      </c>
      <c r="E206" s="5" t="n">
        <v>1</v>
      </c>
      <c r="F206" s="5" t="n">
        <v>4.77</v>
      </c>
      <c r="G206" s="5" t="n"/>
      <c r="H206" s="5" t="n"/>
      <c r="I206" s="22">
        <f>INDEX(Personendaten!$C$2:$C$32,MATCH(A206,Personendaten!$A$2:$A$32,0))</f>
        <v/>
      </c>
      <c r="J206" s="22">
        <f>IF(AND(F206&lt;&gt;"",G206=""),1,0)</f>
        <v/>
      </c>
      <c r="K206" s="22">
        <f>IF(LEFT(C206,7)&lt;&gt;"Sprint_","",IF(COUNTIFS(Versuchsdaten!$A$2:$A$1117,$A206,Versuchsdaten!$B$2:$B$1117,$B206,Versuchsdaten!$C$2:$C$1117,"Sprint_5m",Versuchsdaten!$E$2:$E$1117,$E206,Versuchsdaten!$J$2:$J$1117,1)=1,SUMIFS(Versuchsdaten!$F$2:$F$1117,Versuchsdaten!$A$2:$A$1117,$A206,Versuchsdaten!$B$2:$B$1117,$B206,Versuchsdaten!$C$2:$C$1117,"Sprint_5m",Versuchsdaten!$E$2:$E$1117,$E206,Versuchsdaten!$J$2:$J$1117,1),""))</f>
        <v/>
      </c>
      <c r="L206" s="22">
        <f>IF(LEFT(C206,7)&lt;&gt;"Sprint_","",IF(COUNTIFS(Versuchsdaten!$A$2:$A$1117,$A206,Versuchsdaten!$B$2:$B$1117,$B206,Versuchsdaten!$C$2:$C$1117,"Sprint_10m",Versuchsdaten!$E$2:$E$1117,$E206,Versuchsdaten!$J$2:$J$1117,1)=1,SUMIFS(Versuchsdaten!$F$2:$F$1117,Versuchsdaten!$A$2:$A$1117,$A206,Versuchsdaten!$B$2:$B$1117,$B206,Versuchsdaten!$C$2:$C$1117,"Sprint_10m",Versuchsdaten!$E$2:$E$1117,$E206,Versuchsdaten!$J$2:$J$1117,1),""))</f>
        <v/>
      </c>
      <c r="M206" s="22">
        <f>IF(LEFT(C206,7)&lt;&gt;"Sprint_","",IF(COUNTIFS(Versuchsdaten!$A$2:$A$1117,$A206,Versuchsdaten!$B$2:$B$1117,$B206,Versuchsdaten!$C$2:$C$1117,"Sprint_30m",Versuchsdaten!$E$2:$E$1117,$E206,Versuchsdaten!$J$2:$J$1117,1)=1,SUMIFS(Versuchsdaten!$F$2:$F$1117,Versuchsdaten!$A$2:$A$1117,$A206,Versuchsdaten!$B$2:$B$1117,$B206,Versuchsdaten!$C$2:$C$1117,"Sprint_30m",Versuchsdaten!$E$2:$E$1117,$E206,Versuchsdaten!$J$2:$J$1117,1),""))</f>
        <v/>
      </c>
      <c r="N206" s="22">
        <f>IF(LEFT(C206,7)&lt;&gt;"Sprint_",0,IF(IF(ISNUMBER(K206),IF(K206&lt;=0,1,IF(5/K206&gt;10,1,0)),0)+IF(ISNUMBER(L206),IF(ISNUMBER(K206),IF(L206-K206&lt;=0,1,IF(5/(L206-K206)&gt;10,1,0)),IF(L206&lt;=0,1,IF(10/L206&gt;10,1,0))),0)+IF(ISNUMBER(M206),IF(ISNUMBER(L206),IF(M206-L206&lt;=0,1,IF(20/(M206-L206)&gt;10,1,0)),IF(ISNUMBER(K206),IF(M206-K206&lt;=0,1,IF(25/(M206-K206)&gt;10,1,0)),IF(M206&lt;=0,1,IF(30/M206&gt;10,1,0)))),0)&gt;0,1,0))</f>
        <v/>
      </c>
      <c r="O206" s="22">
        <f>IF(AND(J206=1,N206=0),1,0)</f>
        <v/>
      </c>
      <c r="P206" s="22">
        <f>INDEX(Personendaten!$J$2:$J$32,MATCH(A206,Personendaten!$A$2:$A$32,0))</f>
        <v/>
      </c>
      <c r="Q206" s="22">
        <f>IF(O206=1,"",IF(AND(B206="post",P206="nicht angetreten"),"NANG",IF(N206=1,"AUSL",IFERROR(VLOOKUP(H206,Vokabular!$A$2:$B$8,2,FALSE),"UNBEKANNT"))))</f>
        <v/>
      </c>
    </row>
    <row r="207">
      <c r="A207" s="5" t="inlineStr">
        <is>
          <t>HL-01</t>
        </is>
      </c>
      <c r="B207" s="5" t="inlineStr">
        <is>
          <t>prä</t>
        </is>
      </c>
      <c r="C207" s="5" t="inlineStr">
        <is>
          <t>Sprint_30m</t>
        </is>
      </c>
      <c r="D207" s="5" t="inlineStr">
        <is>
          <t>–</t>
        </is>
      </c>
      <c r="E207" s="5" t="n">
        <v>2</v>
      </c>
      <c r="F207" s="5" t="n">
        <v>4.7</v>
      </c>
      <c r="G207" s="5" t="n"/>
      <c r="H207" s="5" t="n"/>
      <c r="I207" s="22">
        <f>INDEX(Personendaten!$C$2:$C$32,MATCH(A207,Personendaten!$A$2:$A$32,0))</f>
        <v/>
      </c>
      <c r="J207" s="22">
        <f>IF(AND(F207&lt;&gt;"",G207=""),1,0)</f>
        <v/>
      </c>
      <c r="K207" s="22">
        <f>IF(LEFT(C207,7)&lt;&gt;"Sprint_","",IF(COUNTIFS(Versuchsdaten!$A$2:$A$1117,$A207,Versuchsdaten!$B$2:$B$1117,$B207,Versuchsdaten!$C$2:$C$1117,"Sprint_5m",Versuchsdaten!$E$2:$E$1117,$E207,Versuchsdaten!$J$2:$J$1117,1)=1,SUMIFS(Versuchsdaten!$F$2:$F$1117,Versuchsdaten!$A$2:$A$1117,$A207,Versuchsdaten!$B$2:$B$1117,$B207,Versuchsdaten!$C$2:$C$1117,"Sprint_5m",Versuchsdaten!$E$2:$E$1117,$E207,Versuchsdaten!$J$2:$J$1117,1),""))</f>
        <v/>
      </c>
      <c r="L207" s="22">
        <f>IF(LEFT(C207,7)&lt;&gt;"Sprint_","",IF(COUNTIFS(Versuchsdaten!$A$2:$A$1117,$A207,Versuchsdaten!$B$2:$B$1117,$B207,Versuchsdaten!$C$2:$C$1117,"Sprint_10m",Versuchsdaten!$E$2:$E$1117,$E207,Versuchsdaten!$J$2:$J$1117,1)=1,SUMIFS(Versuchsdaten!$F$2:$F$1117,Versuchsdaten!$A$2:$A$1117,$A207,Versuchsdaten!$B$2:$B$1117,$B207,Versuchsdaten!$C$2:$C$1117,"Sprint_10m",Versuchsdaten!$E$2:$E$1117,$E207,Versuchsdaten!$J$2:$J$1117,1),""))</f>
        <v/>
      </c>
      <c r="M207" s="22">
        <f>IF(LEFT(C207,7)&lt;&gt;"Sprint_","",IF(COUNTIFS(Versuchsdaten!$A$2:$A$1117,$A207,Versuchsdaten!$B$2:$B$1117,$B207,Versuchsdaten!$C$2:$C$1117,"Sprint_30m",Versuchsdaten!$E$2:$E$1117,$E207,Versuchsdaten!$J$2:$J$1117,1)=1,SUMIFS(Versuchsdaten!$F$2:$F$1117,Versuchsdaten!$A$2:$A$1117,$A207,Versuchsdaten!$B$2:$B$1117,$B207,Versuchsdaten!$C$2:$C$1117,"Sprint_30m",Versuchsdaten!$E$2:$E$1117,$E207,Versuchsdaten!$J$2:$J$1117,1),""))</f>
        <v/>
      </c>
      <c r="N207" s="22">
        <f>IF(LEFT(C207,7)&lt;&gt;"Sprint_",0,IF(IF(ISNUMBER(K207),IF(K207&lt;=0,1,IF(5/K207&gt;10,1,0)),0)+IF(ISNUMBER(L207),IF(ISNUMBER(K207),IF(L207-K207&lt;=0,1,IF(5/(L207-K207)&gt;10,1,0)),IF(L207&lt;=0,1,IF(10/L207&gt;10,1,0))),0)+IF(ISNUMBER(M207),IF(ISNUMBER(L207),IF(M207-L207&lt;=0,1,IF(20/(M207-L207)&gt;10,1,0)),IF(ISNUMBER(K207),IF(M207-K207&lt;=0,1,IF(25/(M207-K207)&gt;10,1,0)),IF(M207&lt;=0,1,IF(30/M207&gt;10,1,0)))),0)&gt;0,1,0))</f>
        <v/>
      </c>
      <c r="O207" s="22">
        <f>IF(AND(J207=1,N207=0),1,0)</f>
        <v/>
      </c>
      <c r="P207" s="22">
        <f>INDEX(Personendaten!$J$2:$J$32,MATCH(A207,Personendaten!$A$2:$A$32,0))</f>
        <v/>
      </c>
      <c r="Q207" s="22">
        <f>IF(O207=1,"",IF(AND(B207="post",P207="nicht angetreten"),"NANG",IF(N207=1,"AUSL",IFERROR(VLOOKUP(H207,Vokabular!$A$2:$B$8,2,FALSE),"UNBEKANNT"))))</f>
        <v/>
      </c>
    </row>
    <row r="208">
      <c r="A208" s="5" t="inlineStr">
        <is>
          <t>HL-01</t>
        </is>
      </c>
      <c r="B208" s="5" t="inlineStr">
        <is>
          <t>prä</t>
        </is>
      </c>
      <c r="C208" s="5" t="inlineStr">
        <is>
          <t>Sprint_30m</t>
        </is>
      </c>
      <c r="D208" s="5" t="inlineStr">
        <is>
          <t>–</t>
        </is>
      </c>
      <c r="E208" s="5" t="n">
        <v>3</v>
      </c>
      <c r="F208" s="5" t="n">
        <v>4.66</v>
      </c>
      <c r="G208" s="5" t="n"/>
      <c r="H208" s="5" t="n"/>
      <c r="I208" s="22">
        <f>INDEX(Personendaten!$C$2:$C$32,MATCH(A208,Personendaten!$A$2:$A$32,0))</f>
        <v/>
      </c>
      <c r="J208" s="22">
        <f>IF(AND(F208&lt;&gt;"",G208=""),1,0)</f>
        <v/>
      </c>
      <c r="K208" s="22">
        <f>IF(LEFT(C208,7)&lt;&gt;"Sprint_","",IF(COUNTIFS(Versuchsdaten!$A$2:$A$1117,$A208,Versuchsdaten!$B$2:$B$1117,$B208,Versuchsdaten!$C$2:$C$1117,"Sprint_5m",Versuchsdaten!$E$2:$E$1117,$E208,Versuchsdaten!$J$2:$J$1117,1)=1,SUMIFS(Versuchsdaten!$F$2:$F$1117,Versuchsdaten!$A$2:$A$1117,$A208,Versuchsdaten!$B$2:$B$1117,$B208,Versuchsdaten!$C$2:$C$1117,"Sprint_5m",Versuchsdaten!$E$2:$E$1117,$E208,Versuchsdaten!$J$2:$J$1117,1),""))</f>
        <v/>
      </c>
      <c r="L208" s="22">
        <f>IF(LEFT(C208,7)&lt;&gt;"Sprint_","",IF(COUNTIFS(Versuchsdaten!$A$2:$A$1117,$A208,Versuchsdaten!$B$2:$B$1117,$B208,Versuchsdaten!$C$2:$C$1117,"Sprint_10m",Versuchsdaten!$E$2:$E$1117,$E208,Versuchsdaten!$J$2:$J$1117,1)=1,SUMIFS(Versuchsdaten!$F$2:$F$1117,Versuchsdaten!$A$2:$A$1117,$A208,Versuchsdaten!$B$2:$B$1117,$B208,Versuchsdaten!$C$2:$C$1117,"Sprint_10m",Versuchsdaten!$E$2:$E$1117,$E208,Versuchsdaten!$J$2:$J$1117,1),""))</f>
        <v/>
      </c>
      <c r="M208" s="22">
        <f>IF(LEFT(C208,7)&lt;&gt;"Sprint_","",IF(COUNTIFS(Versuchsdaten!$A$2:$A$1117,$A208,Versuchsdaten!$B$2:$B$1117,$B208,Versuchsdaten!$C$2:$C$1117,"Sprint_30m",Versuchsdaten!$E$2:$E$1117,$E208,Versuchsdaten!$J$2:$J$1117,1)=1,SUMIFS(Versuchsdaten!$F$2:$F$1117,Versuchsdaten!$A$2:$A$1117,$A208,Versuchsdaten!$B$2:$B$1117,$B208,Versuchsdaten!$C$2:$C$1117,"Sprint_30m",Versuchsdaten!$E$2:$E$1117,$E208,Versuchsdaten!$J$2:$J$1117,1),""))</f>
        <v/>
      </c>
      <c r="N208" s="22">
        <f>IF(LEFT(C208,7)&lt;&gt;"Sprint_",0,IF(IF(ISNUMBER(K208),IF(K208&lt;=0,1,IF(5/K208&gt;10,1,0)),0)+IF(ISNUMBER(L208),IF(ISNUMBER(K208),IF(L208-K208&lt;=0,1,IF(5/(L208-K208)&gt;10,1,0)),IF(L208&lt;=0,1,IF(10/L208&gt;10,1,0))),0)+IF(ISNUMBER(M208),IF(ISNUMBER(L208),IF(M208-L208&lt;=0,1,IF(20/(M208-L208)&gt;10,1,0)),IF(ISNUMBER(K208),IF(M208-K208&lt;=0,1,IF(25/(M208-K208)&gt;10,1,0)),IF(M208&lt;=0,1,IF(30/M208&gt;10,1,0)))),0)&gt;0,1,0))</f>
        <v/>
      </c>
      <c r="O208" s="22">
        <f>IF(AND(J208=1,N208=0),1,0)</f>
        <v/>
      </c>
      <c r="P208" s="22">
        <f>INDEX(Personendaten!$J$2:$J$32,MATCH(A208,Personendaten!$A$2:$A$32,0))</f>
        <v/>
      </c>
      <c r="Q208" s="22">
        <f>IF(O208=1,"",IF(AND(B208="post",P208="nicht angetreten"),"NANG",IF(N208=1,"AUSL",IFERROR(VLOOKUP(H208,Vokabular!$A$2:$B$8,2,FALSE),"UNBEKANNT"))))</f>
        <v/>
      </c>
    </row>
    <row r="209">
      <c r="A209" s="5" t="inlineStr">
        <is>
          <t>HL-01</t>
        </is>
      </c>
      <c r="B209" s="5" t="inlineStr">
        <is>
          <t>prä</t>
        </is>
      </c>
      <c r="C209" s="5" t="inlineStr">
        <is>
          <t>Standweitsprung</t>
        </is>
      </c>
      <c r="D209" s="5" t="inlineStr">
        <is>
          <t>–</t>
        </is>
      </c>
      <c r="E209" s="5" t="n">
        <v>1</v>
      </c>
      <c r="F209" s="5" t="n">
        <v>236</v>
      </c>
      <c r="G209" s="5" t="n"/>
      <c r="H209" s="5" t="n"/>
      <c r="I209" s="22">
        <f>INDEX(Personendaten!$C$2:$C$32,MATCH(A209,Personendaten!$A$2:$A$32,0))</f>
        <v/>
      </c>
      <c r="J209" s="22">
        <f>IF(AND(F209&lt;&gt;"",G209=""),1,0)</f>
        <v/>
      </c>
      <c r="K209" s="22">
        <f>IF(LEFT(C209,7)&lt;&gt;"Sprint_","",IF(COUNTIFS(Versuchsdaten!$A$2:$A$1117,$A209,Versuchsdaten!$B$2:$B$1117,$B209,Versuchsdaten!$C$2:$C$1117,"Sprint_5m",Versuchsdaten!$E$2:$E$1117,$E209,Versuchsdaten!$J$2:$J$1117,1)=1,SUMIFS(Versuchsdaten!$F$2:$F$1117,Versuchsdaten!$A$2:$A$1117,$A209,Versuchsdaten!$B$2:$B$1117,$B209,Versuchsdaten!$C$2:$C$1117,"Sprint_5m",Versuchsdaten!$E$2:$E$1117,$E209,Versuchsdaten!$J$2:$J$1117,1),""))</f>
        <v/>
      </c>
      <c r="L209" s="22">
        <f>IF(LEFT(C209,7)&lt;&gt;"Sprint_","",IF(COUNTIFS(Versuchsdaten!$A$2:$A$1117,$A209,Versuchsdaten!$B$2:$B$1117,$B209,Versuchsdaten!$C$2:$C$1117,"Sprint_10m",Versuchsdaten!$E$2:$E$1117,$E209,Versuchsdaten!$J$2:$J$1117,1)=1,SUMIFS(Versuchsdaten!$F$2:$F$1117,Versuchsdaten!$A$2:$A$1117,$A209,Versuchsdaten!$B$2:$B$1117,$B209,Versuchsdaten!$C$2:$C$1117,"Sprint_10m",Versuchsdaten!$E$2:$E$1117,$E209,Versuchsdaten!$J$2:$J$1117,1),""))</f>
        <v/>
      </c>
      <c r="M209" s="22">
        <f>IF(LEFT(C209,7)&lt;&gt;"Sprint_","",IF(COUNTIFS(Versuchsdaten!$A$2:$A$1117,$A209,Versuchsdaten!$B$2:$B$1117,$B209,Versuchsdaten!$C$2:$C$1117,"Sprint_30m",Versuchsdaten!$E$2:$E$1117,$E209,Versuchsdaten!$J$2:$J$1117,1)=1,SUMIFS(Versuchsdaten!$F$2:$F$1117,Versuchsdaten!$A$2:$A$1117,$A209,Versuchsdaten!$B$2:$B$1117,$B209,Versuchsdaten!$C$2:$C$1117,"Sprint_30m",Versuchsdaten!$E$2:$E$1117,$E209,Versuchsdaten!$J$2:$J$1117,1),""))</f>
        <v/>
      </c>
      <c r="N209" s="22">
        <f>IF(LEFT(C209,7)&lt;&gt;"Sprint_",0,IF(IF(ISNUMBER(K209),IF(K209&lt;=0,1,IF(5/K209&gt;10,1,0)),0)+IF(ISNUMBER(L209),IF(ISNUMBER(K209),IF(L209-K209&lt;=0,1,IF(5/(L209-K209)&gt;10,1,0)),IF(L209&lt;=0,1,IF(10/L209&gt;10,1,0))),0)+IF(ISNUMBER(M209),IF(ISNUMBER(L209),IF(M209-L209&lt;=0,1,IF(20/(M209-L209)&gt;10,1,0)),IF(ISNUMBER(K209),IF(M209-K209&lt;=0,1,IF(25/(M209-K209)&gt;10,1,0)),IF(M209&lt;=0,1,IF(30/M209&gt;10,1,0)))),0)&gt;0,1,0))</f>
        <v/>
      </c>
      <c r="O209" s="22">
        <f>IF(AND(J209=1,N209=0),1,0)</f>
        <v/>
      </c>
      <c r="P209" s="22">
        <f>INDEX(Personendaten!$J$2:$J$32,MATCH(A209,Personendaten!$A$2:$A$32,0))</f>
        <v/>
      </c>
      <c r="Q209" s="22">
        <f>IF(O209=1,"",IF(AND(B209="post",P209="nicht angetreten"),"NANG",IF(N209=1,"AUSL",IFERROR(VLOOKUP(H209,Vokabular!$A$2:$B$8,2,FALSE),"UNBEKANNT"))))</f>
        <v/>
      </c>
    </row>
    <row r="210">
      <c r="A210" s="5" t="inlineStr">
        <is>
          <t>HL-01</t>
        </is>
      </c>
      <c r="B210" s="5" t="inlineStr">
        <is>
          <t>prä</t>
        </is>
      </c>
      <c r="C210" s="5" t="inlineStr">
        <is>
          <t>Standweitsprung</t>
        </is>
      </c>
      <c r="D210" s="5" t="inlineStr">
        <is>
          <t>–</t>
        </is>
      </c>
      <c r="E210" s="5" t="n">
        <v>2</v>
      </c>
      <c r="F210" s="5" t="n">
        <v>217</v>
      </c>
      <c r="G210" s="5" t="n"/>
      <c r="H210" s="5" t="n"/>
      <c r="I210" s="22">
        <f>INDEX(Personendaten!$C$2:$C$32,MATCH(A210,Personendaten!$A$2:$A$32,0))</f>
        <v/>
      </c>
      <c r="J210" s="22">
        <f>IF(AND(F210&lt;&gt;"",G210=""),1,0)</f>
        <v/>
      </c>
      <c r="K210" s="22">
        <f>IF(LEFT(C210,7)&lt;&gt;"Sprint_","",IF(COUNTIFS(Versuchsdaten!$A$2:$A$1117,$A210,Versuchsdaten!$B$2:$B$1117,$B210,Versuchsdaten!$C$2:$C$1117,"Sprint_5m",Versuchsdaten!$E$2:$E$1117,$E210,Versuchsdaten!$J$2:$J$1117,1)=1,SUMIFS(Versuchsdaten!$F$2:$F$1117,Versuchsdaten!$A$2:$A$1117,$A210,Versuchsdaten!$B$2:$B$1117,$B210,Versuchsdaten!$C$2:$C$1117,"Sprint_5m",Versuchsdaten!$E$2:$E$1117,$E210,Versuchsdaten!$J$2:$J$1117,1),""))</f>
        <v/>
      </c>
      <c r="L210" s="22">
        <f>IF(LEFT(C210,7)&lt;&gt;"Sprint_","",IF(COUNTIFS(Versuchsdaten!$A$2:$A$1117,$A210,Versuchsdaten!$B$2:$B$1117,$B210,Versuchsdaten!$C$2:$C$1117,"Sprint_10m",Versuchsdaten!$E$2:$E$1117,$E210,Versuchsdaten!$J$2:$J$1117,1)=1,SUMIFS(Versuchsdaten!$F$2:$F$1117,Versuchsdaten!$A$2:$A$1117,$A210,Versuchsdaten!$B$2:$B$1117,$B210,Versuchsdaten!$C$2:$C$1117,"Sprint_10m",Versuchsdaten!$E$2:$E$1117,$E210,Versuchsdaten!$J$2:$J$1117,1),""))</f>
        <v/>
      </c>
      <c r="M210" s="22">
        <f>IF(LEFT(C210,7)&lt;&gt;"Sprint_","",IF(COUNTIFS(Versuchsdaten!$A$2:$A$1117,$A210,Versuchsdaten!$B$2:$B$1117,$B210,Versuchsdaten!$C$2:$C$1117,"Sprint_30m",Versuchsdaten!$E$2:$E$1117,$E210,Versuchsdaten!$J$2:$J$1117,1)=1,SUMIFS(Versuchsdaten!$F$2:$F$1117,Versuchsdaten!$A$2:$A$1117,$A210,Versuchsdaten!$B$2:$B$1117,$B210,Versuchsdaten!$C$2:$C$1117,"Sprint_30m",Versuchsdaten!$E$2:$E$1117,$E210,Versuchsdaten!$J$2:$J$1117,1),""))</f>
        <v/>
      </c>
      <c r="N210" s="22">
        <f>IF(LEFT(C210,7)&lt;&gt;"Sprint_",0,IF(IF(ISNUMBER(K210),IF(K210&lt;=0,1,IF(5/K210&gt;10,1,0)),0)+IF(ISNUMBER(L210),IF(ISNUMBER(K210),IF(L210-K210&lt;=0,1,IF(5/(L210-K210)&gt;10,1,0)),IF(L210&lt;=0,1,IF(10/L210&gt;10,1,0))),0)+IF(ISNUMBER(M210),IF(ISNUMBER(L210),IF(M210-L210&lt;=0,1,IF(20/(M210-L210)&gt;10,1,0)),IF(ISNUMBER(K210),IF(M210-K210&lt;=0,1,IF(25/(M210-K210)&gt;10,1,0)),IF(M210&lt;=0,1,IF(30/M210&gt;10,1,0)))),0)&gt;0,1,0))</f>
        <v/>
      </c>
      <c r="O210" s="22">
        <f>IF(AND(J210=1,N210=0),1,0)</f>
        <v/>
      </c>
      <c r="P210" s="22">
        <f>INDEX(Personendaten!$J$2:$J$32,MATCH(A210,Personendaten!$A$2:$A$32,0))</f>
        <v/>
      </c>
      <c r="Q210" s="22">
        <f>IF(O210=1,"",IF(AND(B210="post",P210="nicht angetreten"),"NANG",IF(N210=1,"AUSL",IFERROR(VLOOKUP(H210,Vokabular!$A$2:$B$8,2,FALSE),"UNBEKANNT"))))</f>
        <v/>
      </c>
    </row>
    <row r="211">
      <c r="A211" s="5" t="inlineStr">
        <is>
          <t>HL-01</t>
        </is>
      </c>
      <c r="B211" s="5" t="inlineStr">
        <is>
          <t>prä</t>
        </is>
      </c>
      <c r="C211" s="5" t="inlineStr">
        <is>
          <t>Standweitsprung</t>
        </is>
      </c>
      <c r="D211" s="5" t="inlineStr">
        <is>
          <t>–</t>
        </is>
      </c>
      <c r="E211" s="5" t="n">
        <v>3</v>
      </c>
      <c r="F211" s="5" t="n">
        <v>236</v>
      </c>
      <c r="G211" s="5" t="n"/>
      <c r="H211" s="5" t="n"/>
      <c r="I211" s="22">
        <f>INDEX(Personendaten!$C$2:$C$32,MATCH(A211,Personendaten!$A$2:$A$32,0))</f>
        <v/>
      </c>
      <c r="J211" s="22">
        <f>IF(AND(F211&lt;&gt;"",G211=""),1,0)</f>
        <v/>
      </c>
      <c r="K211" s="22">
        <f>IF(LEFT(C211,7)&lt;&gt;"Sprint_","",IF(COUNTIFS(Versuchsdaten!$A$2:$A$1117,$A211,Versuchsdaten!$B$2:$B$1117,$B211,Versuchsdaten!$C$2:$C$1117,"Sprint_5m",Versuchsdaten!$E$2:$E$1117,$E211,Versuchsdaten!$J$2:$J$1117,1)=1,SUMIFS(Versuchsdaten!$F$2:$F$1117,Versuchsdaten!$A$2:$A$1117,$A211,Versuchsdaten!$B$2:$B$1117,$B211,Versuchsdaten!$C$2:$C$1117,"Sprint_5m",Versuchsdaten!$E$2:$E$1117,$E211,Versuchsdaten!$J$2:$J$1117,1),""))</f>
        <v/>
      </c>
      <c r="L211" s="22">
        <f>IF(LEFT(C211,7)&lt;&gt;"Sprint_","",IF(COUNTIFS(Versuchsdaten!$A$2:$A$1117,$A211,Versuchsdaten!$B$2:$B$1117,$B211,Versuchsdaten!$C$2:$C$1117,"Sprint_10m",Versuchsdaten!$E$2:$E$1117,$E211,Versuchsdaten!$J$2:$J$1117,1)=1,SUMIFS(Versuchsdaten!$F$2:$F$1117,Versuchsdaten!$A$2:$A$1117,$A211,Versuchsdaten!$B$2:$B$1117,$B211,Versuchsdaten!$C$2:$C$1117,"Sprint_10m",Versuchsdaten!$E$2:$E$1117,$E211,Versuchsdaten!$J$2:$J$1117,1),""))</f>
        <v/>
      </c>
      <c r="M211" s="22">
        <f>IF(LEFT(C211,7)&lt;&gt;"Sprint_","",IF(COUNTIFS(Versuchsdaten!$A$2:$A$1117,$A211,Versuchsdaten!$B$2:$B$1117,$B211,Versuchsdaten!$C$2:$C$1117,"Sprint_30m",Versuchsdaten!$E$2:$E$1117,$E211,Versuchsdaten!$J$2:$J$1117,1)=1,SUMIFS(Versuchsdaten!$F$2:$F$1117,Versuchsdaten!$A$2:$A$1117,$A211,Versuchsdaten!$B$2:$B$1117,$B211,Versuchsdaten!$C$2:$C$1117,"Sprint_30m",Versuchsdaten!$E$2:$E$1117,$E211,Versuchsdaten!$J$2:$J$1117,1),""))</f>
        <v/>
      </c>
      <c r="N211" s="22">
        <f>IF(LEFT(C211,7)&lt;&gt;"Sprint_",0,IF(IF(ISNUMBER(K211),IF(K211&lt;=0,1,IF(5/K211&gt;10,1,0)),0)+IF(ISNUMBER(L211),IF(ISNUMBER(K211),IF(L211-K211&lt;=0,1,IF(5/(L211-K211)&gt;10,1,0)),IF(L211&lt;=0,1,IF(10/L211&gt;10,1,0))),0)+IF(ISNUMBER(M211),IF(ISNUMBER(L211),IF(M211-L211&lt;=0,1,IF(20/(M211-L211)&gt;10,1,0)),IF(ISNUMBER(K211),IF(M211-K211&lt;=0,1,IF(25/(M211-K211)&gt;10,1,0)),IF(M211&lt;=0,1,IF(30/M211&gt;10,1,0)))),0)&gt;0,1,0))</f>
        <v/>
      </c>
      <c r="O211" s="22">
        <f>IF(AND(J211=1,N211=0),1,0)</f>
        <v/>
      </c>
      <c r="P211" s="22">
        <f>INDEX(Personendaten!$J$2:$J$32,MATCH(A211,Personendaten!$A$2:$A$32,0))</f>
        <v/>
      </c>
      <c r="Q211" s="22">
        <f>IF(O211=1,"",IF(AND(B211="post",P211="nicht angetreten"),"NANG",IF(N211=1,"AUSL",IFERROR(VLOOKUP(H211,Vokabular!$A$2:$B$8,2,FALSE),"UNBEKANNT"))))</f>
        <v/>
      </c>
    </row>
    <row r="212">
      <c r="A212" s="5" t="inlineStr">
        <is>
          <t>HL-01</t>
        </is>
      </c>
      <c r="B212" s="5" t="inlineStr">
        <is>
          <t>prä</t>
        </is>
      </c>
      <c r="C212" s="5" t="inlineStr">
        <is>
          <t>COD_505</t>
        </is>
      </c>
      <c r="D212" s="5" t="inlineStr">
        <is>
          <t>L</t>
        </is>
      </c>
      <c r="E212" s="5" t="n">
        <v>1</v>
      </c>
      <c r="F212" s="5" t="n">
        <v>2.58</v>
      </c>
      <c r="G212" s="5" t="n"/>
      <c r="H212" s="5" t="n"/>
      <c r="I212" s="22">
        <f>INDEX(Personendaten!$C$2:$C$32,MATCH(A212,Personendaten!$A$2:$A$32,0))</f>
        <v/>
      </c>
      <c r="J212" s="22">
        <f>IF(AND(F212&lt;&gt;"",G212=""),1,0)</f>
        <v/>
      </c>
      <c r="K212" s="22">
        <f>IF(LEFT(C212,7)&lt;&gt;"Sprint_","",IF(COUNTIFS(Versuchsdaten!$A$2:$A$1117,$A212,Versuchsdaten!$B$2:$B$1117,$B212,Versuchsdaten!$C$2:$C$1117,"Sprint_5m",Versuchsdaten!$E$2:$E$1117,$E212,Versuchsdaten!$J$2:$J$1117,1)=1,SUMIFS(Versuchsdaten!$F$2:$F$1117,Versuchsdaten!$A$2:$A$1117,$A212,Versuchsdaten!$B$2:$B$1117,$B212,Versuchsdaten!$C$2:$C$1117,"Sprint_5m",Versuchsdaten!$E$2:$E$1117,$E212,Versuchsdaten!$J$2:$J$1117,1),""))</f>
        <v/>
      </c>
      <c r="L212" s="22">
        <f>IF(LEFT(C212,7)&lt;&gt;"Sprint_","",IF(COUNTIFS(Versuchsdaten!$A$2:$A$1117,$A212,Versuchsdaten!$B$2:$B$1117,$B212,Versuchsdaten!$C$2:$C$1117,"Sprint_10m",Versuchsdaten!$E$2:$E$1117,$E212,Versuchsdaten!$J$2:$J$1117,1)=1,SUMIFS(Versuchsdaten!$F$2:$F$1117,Versuchsdaten!$A$2:$A$1117,$A212,Versuchsdaten!$B$2:$B$1117,$B212,Versuchsdaten!$C$2:$C$1117,"Sprint_10m",Versuchsdaten!$E$2:$E$1117,$E212,Versuchsdaten!$J$2:$J$1117,1),""))</f>
        <v/>
      </c>
      <c r="M212" s="22">
        <f>IF(LEFT(C212,7)&lt;&gt;"Sprint_","",IF(COUNTIFS(Versuchsdaten!$A$2:$A$1117,$A212,Versuchsdaten!$B$2:$B$1117,$B212,Versuchsdaten!$C$2:$C$1117,"Sprint_30m",Versuchsdaten!$E$2:$E$1117,$E212,Versuchsdaten!$J$2:$J$1117,1)=1,SUMIFS(Versuchsdaten!$F$2:$F$1117,Versuchsdaten!$A$2:$A$1117,$A212,Versuchsdaten!$B$2:$B$1117,$B212,Versuchsdaten!$C$2:$C$1117,"Sprint_30m",Versuchsdaten!$E$2:$E$1117,$E212,Versuchsdaten!$J$2:$J$1117,1),""))</f>
        <v/>
      </c>
      <c r="N212" s="22">
        <f>IF(LEFT(C212,7)&lt;&gt;"Sprint_",0,IF(IF(ISNUMBER(K212),IF(K212&lt;=0,1,IF(5/K212&gt;10,1,0)),0)+IF(ISNUMBER(L212),IF(ISNUMBER(K212),IF(L212-K212&lt;=0,1,IF(5/(L212-K212)&gt;10,1,0)),IF(L212&lt;=0,1,IF(10/L212&gt;10,1,0))),0)+IF(ISNUMBER(M212),IF(ISNUMBER(L212),IF(M212-L212&lt;=0,1,IF(20/(M212-L212)&gt;10,1,0)),IF(ISNUMBER(K212),IF(M212-K212&lt;=0,1,IF(25/(M212-K212)&gt;10,1,0)),IF(M212&lt;=0,1,IF(30/M212&gt;10,1,0)))),0)&gt;0,1,0))</f>
        <v/>
      </c>
      <c r="O212" s="22">
        <f>IF(AND(J212=1,N212=0),1,0)</f>
        <v/>
      </c>
      <c r="P212" s="22">
        <f>INDEX(Personendaten!$J$2:$J$32,MATCH(A212,Personendaten!$A$2:$A$32,0))</f>
        <v/>
      </c>
      <c r="Q212" s="22">
        <f>IF(O212=1,"",IF(AND(B212="post",P212="nicht angetreten"),"NANG",IF(N212=1,"AUSL",IFERROR(VLOOKUP(H212,Vokabular!$A$2:$B$8,2,FALSE),"UNBEKANNT"))))</f>
        <v/>
      </c>
    </row>
    <row r="213">
      <c r="A213" s="5" t="inlineStr">
        <is>
          <t>HL-01</t>
        </is>
      </c>
      <c r="B213" s="5" t="inlineStr">
        <is>
          <t>prä</t>
        </is>
      </c>
      <c r="C213" s="5" t="inlineStr">
        <is>
          <t>COD_505</t>
        </is>
      </c>
      <c r="D213" s="5" t="inlineStr">
        <is>
          <t>L</t>
        </is>
      </c>
      <c r="E213" s="5" t="n">
        <v>2</v>
      </c>
      <c r="F213" s="5" t="n"/>
      <c r="G213" s="5" t="n"/>
      <c r="H213" s="5" t="inlineStr">
        <is>
          <t>System nicht aufgenommen</t>
        </is>
      </c>
      <c r="I213" s="22">
        <f>INDEX(Personendaten!$C$2:$C$32,MATCH(A213,Personendaten!$A$2:$A$32,0))</f>
        <v/>
      </c>
      <c r="J213" s="22">
        <f>IF(AND(F213&lt;&gt;"",G213=""),1,0)</f>
        <v/>
      </c>
      <c r="K213" s="22">
        <f>IF(LEFT(C213,7)&lt;&gt;"Sprint_","",IF(COUNTIFS(Versuchsdaten!$A$2:$A$1117,$A213,Versuchsdaten!$B$2:$B$1117,$B213,Versuchsdaten!$C$2:$C$1117,"Sprint_5m",Versuchsdaten!$E$2:$E$1117,$E213,Versuchsdaten!$J$2:$J$1117,1)=1,SUMIFS(Versuchsdaten!$F$2:$F$1117,Versuchsdaten!$A$2:$A$1117,$A213,Versuchsdaten!$B$2:$B$1117,$B213,Versuchsdaten!$C$2:$C$1117,"Sprint_5m",Versuchsdaten!$E$2:$E$1117,$E213,Versuchsdaten!$J$2:$J$1117,1),""))</f>
        <v/>
      </c>
      <c r="L213" s="22">
        <f>IF(LEFT(C213,7)&lt;&gt;"Sprint_","",IF(COUNTIFS(Versuchsdaten!$A$2:$A$1117,$A213,Versuchsdaten!$B$2:$B$1117,$B213,Versuchsdaten!$C$2:$C$1117,"Sprint_10m",Versuchsdaten!$E$2:$E$1117,$E213,Versuchsdaten!$J$2:$J$1117,1)=1,SUMIFS(Versuchsdaten!$F$2:$F$1117,Versuchsdaten!$A$2:$A$1117,$A213,Versuchsdaten!$B$2:$B$1117,$B213,Versuchsdaten!$C$2:$C$1117,"Sprint_10m",Versuchsdaten!$E$2:$E$1117,$E213,Versuchsdaten!$J$2:$J$1117,1),""))</f>
        <v/>
      </c>
      <c r="M213" s="22">
        <f>IF(LEFT(C213,7)&lt;&gt;"Sprint_","",IF(COUNTIFS(Versuchsdaten!$A$2:$A$1117,$A213,Versuchsdaten!$B$2:$B$1117,$B213,Versuchsdaten!$C$2:$C$1117,"Sprint_30m",Versuchsdaten!$E$2:$E$1117,$E213,Versuchsdaten!$J$2:$J$1117,1)=1,SUMIFS(Versuchsdaten!$F$2:$F$1117,Versuchsdaten!$A$2:$A$1117,$A213,Versuchsdaten!$B$2:$B$1117,$B213,Versuchsdaten!$C$2:$C$1117,"Sprint_30m",Versuchsdaten!$E$2:$E$1117,$E213,Versuchsdaten!$J$2:$J$1117,1),""))</f>
        <v/>
      </c>
      <c r="N213" s="22">
        <f>IF(LEFT(C213,7)&lt;&gt;"Sprint_",0,IF(IF(ISNUMBER(K213),IF(K213&lt;=0,1,IF(5/K213&gt;10,1,0)),0)+IF(ISNUMBER(L213),IF(ISNUMBER(K213),IF(L213-K213&lt;=0,1,IF(5/(L213-K213)&gt;10,1,0)),IF(L213&lt;=0,1,IF(10/L213&gt;10,1,0))),0)+IF(ISNUMBER(M213),IF(ISNUMBER(L213),IF(M213-L213&lt;=0,1,IF(20/(M213-L213)&gt;10,1,0)),IF(ISNUMBER(K213),IF(M213-K213&lt;=0,1,IF(25/(M213-K213)&gt;10,1,0)),IF(M213&lt;=0,1,IF(30/M213&gt;10,1,0)))),0)&gt;0,1,0))</f>
        <v/>
      </c>
      <c r="O213" s="22">
        <f>IF(AND(J213=1,N213=0),1,0)</f>
        <v/>
      </c>
      <c r="P213" s="22">
        <f>INDEX(Personendaten!$J$2:$J$32,MATCH(A213,Personendaten!$A$2:$A$32,0))</f>
        <v/>
      </c>
      <c r="Q213" s="22">
        <f>IF(O213=1,"",IF(AND(B213="post",P213="nicht angetreten"),"NANG",IF(N213=1,"AUSL",IFERROR(VLOOKUP(H213,Vokabular!$A$2:$B$8,2,FALSE),"UNBEKANNT"))))</f>
        <v/>
      </c>
    </row>
    <row r="214">
      <c r="A214" s="5" t="inlineStr">
        <is>
          <t>HL-01</t>
        </is>
      </c>
      <c r="B214" s="5" t="inlineStr">
        <is>
          <t>prä</t>
        </is>
      </c>
      <c r="C214" s="5" t="inlineStr">
        <is>
          <t>COD_505</t>
        </is>
      </c>
      <c r="D214" s="5" t="inlineStr">
        <is>
          <t>L</t>
        </is>
      </c>
      <c r="E214" s="5" t="n">
        <v>3</v>
      </c>
      <c r="F214" s="5" t="n">
        <v>2.48</v>
      </c>
      <c r="G214" s="5" t="n"/>
      <c r="H214" s="5" t="n"/>
      <c r="I214" s="22">
        <f>INDEX(Personendaten!$C$2:$C$32,MATCH(A214,Personendaten!$A$2:$A$32,0))</f>
        <v/>
      </c>
      <c r="J214" s="22">
        <f>IF(AND(F214&lt;&gt;"",G214=""),1,0)</f>
        <v/>
      </c>
      <c r="K214" s="22">
        <f>IF(LEFT(C214,7)&lt;&gt;"Sprint_","",IF(COUNTIFS(Versuchsdaten!$A$2:$A$1117,$A214,Versuchsdaten!$B$2:$B$1117,$B214,Versuchsdaten!$C$2:$C$1117,"Sprint_5m",Versuchsdaten!$E$2:$E$1117,$E214,Versuchsdaten!$J$2:$J$1117,1)=1,SUMIFS(Versuchsdaten!$F$2:$F$1117,Versuchsdaten!$A$2:$A$1117,$A214,Versuchsdaten!$B$2:$B$1117,$B214,Versuchsdaten!$C$2:$C$1117,"Sprint_5m",Versuchsdaten!$E$2:$E$1117,$E214,Versuchsdaten!$J$2:$J$1117,1),""))</f>
        <v/>
      </c>
      <c r="L214" s="22">
        <f>IF(LEFT(C214,7)&lt;&gt;"Sprint_","",IF(COUNTIFS(Versuchsdaten!$A$2:$A$1117,$A214,Versuchsdaten!$B$2:$B$1117,$B214,Versuchsdaten!$C$2:$C$1117,"Sprint_10m",Versuchsdaten!$E$2:$E$1117,$E214,Versuchsdaten!$J$2:$J$1117,1)=1,SUMIFS(Versuchsdaten!$F$2:$F$1117,Versuchsdaten!$A$2:$A$1117,$A214,Versuchsdaten!$B$2:$B$1117,$B214,Versuchsdaten!$C$2:$C$1117,"Sprint_10m",Versuchsdaten!$E$2:$E$1117,$E214,Versuchsdaten!$J$2:$J$1117,1),""))</f>
        <v/>
      </c>
      <c r="M214" s="22">
        <f>IF(LEFT(C214,7)&lt;&gt;"Sprint_","",IF(COUNTIFS(Versuchsdaten!$A$2:$A$1117,$A214,Versuchsdaten!$B$2:$B$1117,$B214,Versuchsdaten!$C$2:$C$1117,"Sprint_30m",Versuchsdaten!$E$2:$E$1117,$E214,Versuchsdaten!$J$2:$J$1117,1)=1,SUMIFS(Versuchsdaten!$F$2:$F$1117,Versuchsdaten!$A$2:$A$1117,$A214,Versuchsdaten!$B$2:$B$1117,$B214,Versuchsdaten!$C$2:$C$1117,"Sprint_30m",Versuchsdaten!$E$2:$E$1117,$E214,Versuchsdaten!$J$2:$J$1117,1),""))</f>
        <v/>
      </c>
      <c r="N214" s="22">
        <f>IF(LEFT(C214,7)&lt;&gt;"Sprint_",0,IF(IF(ISNUMBER(K214),IF(K214&lt;=0,1,IF(5/K214&gt;10,1,0)),0)+IF(ISNUMBER(L214),IF(ISNUMBER(K214),IF(L214-K214&lt;=0,1,IF(5/(L214-K214)&gt;10,1,0)),IF(L214&lt;=0,1,IF(10/L214&gt;10,1,0))),0)+IF(ISNUMBER(M214),IF(ISNUMBER(L214),IF(M214-L214&lt;=0,1,IF(20/(M214-L214)&gt;10,1,0)),IF(ISNUMBER(K214),IF(M214-K214&lt;=0,1,IF(25/(M214-K214)&gt;10,1,0)),IF(M214&lt;=0,1,IF(30/M214&gt;10,1,0)))),0)&gt;0,1,0))</f>
        <v/>
      </c>
      <c r="O214" s="22">
        <f>IF(AND(J214=1,N214=0),1,0)</f>
        <v/>
      </c>
      <c r="P214" s="22">
        <f>INDEX(Personendaten!$J$2:$J$32,MATCH(A214,Personendaten!$A$2:$A$32,0))</f>
        <v/>
      </c>
      <c r="Q214" s="22">
        <f>IF(O214=1,"",IF(AND(B214="post",P214="nicht angetreten"),"NANG",IF(N214=1,"AUSL",IFERROR(VLOOKUP(H214,Vokabular!$A$2:$B$8,2,FALSE),"UNBEKANNT"))))</f>
        <v/>
      </c>
    </row>
    <row r="215">
      <c r="A215" s="5" t="inlineStr">
        <is>
          <t>HL-01</t>
        </is>
      </c>
      <c r="B215" s="5" t="inlineStr">
        <is>
          <t>prä</t>
        </is>
      </c>
      <c r="C215" s="5" t="inlineStr">
        <is>
          <t>COD_505</t>
        </is>
      </c>
      <c r="D215" s="5" t="inlineStr">
        <is>
          <t>R</t>
        </is>
      </c>
      <c r="E215" s="5" t="n">
        <v>1</v>
      </c>
      <c r="F215" s="5" t="n"/>
      <c r="G215" s="5" t="n"/>
      <c r="H215" s="5" t="inlineStr">
        <is>
          <t>System nicht aufgenommen</t>
        </is>
      </c>
      <c r="I215" s="22">
        <f>INDEX(Personendaten!$C$2:$C$32,MATCH(A215,Personendaten!$A$2:$A$32,0))</f>
        <v/>
      </c>
      <c r="J215" s="22">
        <f>IF(AND(F215&lt;&gt;"",G215=""),1,0)</f>
        <v/>
      </c>
      <c r="K215" s="22">
        <f>IF(LEFT(C215,7)&lt;&gt;"Sprint_","",IF(COUNTIFS(Versuchsdaten!$A$2:$A$1117,$A215,Versuchsdaten!$B$2:$B$1117,$B215,Versuchsdaten!$C$2:$C$1117,"Sprint_5m",Versuchsdaten!$E$2:$E$1117,$E215,Versuchsdaten!$J$2:$J$1117,1)=1,SUMIFS(Versuchsdaten!$F$2:$F$1117,Versuchsdaten!$A$2:$A$1117,$A215,Versuchsdaten!$B$2:$B$1117,$B215,Versuchsdaten!$C$2:$C$1117,"Sprint_5m",Versuchsdaten!$E$2:$E$1117,$E215,Versuchsdaten!$J$2:$J$1117,1),""))</f>
        <v/>
      </c>
      <c r="L215" s="22">
        <f>IF(LEFT(C215,7)&lt;&gt;"Sprint_","",IF(COUNTIFS(Versuchsdaten!$A$2:$A$1117,$A215,Versuchsdaten!$B$2:$B$1117,$B215,Versuchsdaten!$C$2:$C$1117,"Sprint_10m",Versuchsdaten!$E$2:$E$1117,$E215,Versuchsdaten!$J$2:$J$1117,1)=1,SUMIFS(Versuchsdaten!$F$2:$F$1117,Versuchsdaten!$A$2:$A$1117,$A215,Versuchsdaten!$B$2:$B$1117,$B215,Versuchsdaten!$C$2:$C$1117,"Sprint_10m",Versuchsdaten!$E$2:$E$1117,$E215,Versuchsdaten!$J$2:$J$1117,1),""))</f>
        <v/>
      </c>
      <c r="M215" s="22">
        <f>IF(LEFT(C215,7)&lt;&gt;"Sprint_","",IF(COUNTIFS(Versuchsdaten!$A$2:$A$1117,$A215,Versuchsdaten!$B$2:$B$1117,$B215,Versuchsdaten!$C$2:$C$1117,"Sprint_30m",Versuchsdaten!$E$2:$E$1117,$E215,Versuchsdaten!$J$2:$J$1117,1)=1,SUMIFS(Versuchsdaten!$F$2:$F$1117,Versuchsdaten!$A$2:$A$1117,$A215,Versuchsdaten!$B$2:$B$1117,$B215,Versuchsdaten!$C$2:$C$1117,"Sprint_30m",Versuchsdaten!$E$2:$E$1117,$E215,Versuchsdaten!$J$2:$J$1117,1),""))</f>
        <v/>
      </c>
      <c r="N215" s="22">
        <f>IF(LEFT(C215,7)&lt;&gt;"Sprint_",0,IF(IF(ISNUMBER(K215),IF(K215&lt;=0,1,IF(5/K215&gt;10,1,0)),0)+IF(ISNUMBER(L215),IF(ISNUMBER(K215),IF(L215-K215&lt;=0,1,IF(5/(L215-K215)&gt;10,1,0)),IF(L215&lt;=0,1,IF(10/L215&gt;10,1,0))),0)+IF(ISNUMBER(M215),IF(ISNUMBER(L215),IF(M215-L215&lt;=0,1,IF(20/(M215-L215)&gt;10,1,0)),IF(ISNUMBER(K215),IF(M215-K215&lt;=0,1,IF(25/(M215-K215)&gt;10,1,0)),IF(M215&lt;=0,1,IF(30/M215&gt;10,1,0)))),0)&gt;0,1,0))</f>
        <v/>
      </c>
      <c r="O215" s="22">
        <f>IF(AND(J215=1,N215=0),1,0)</f>
        <v/>
      </c>
      <c r="P215" s="22">
        <f>INDEX(Personendaten!$J$2:$J$32,MATCH(A215,Personendaten!$A$2:$A$32,0))</f>
        <v/>
      </c>
      <c r="Q215" s="22">
        <f>IF(O215=1,"",IF(AND(B215="post",P215="nicht angetreten"),"NANG",IF(N215=1,"AUSL",IFERROR(VLOOKUP(H215,Vokabular!$A$2:$B$8,2,FALSE),"UNBEKANNT"))))</f>
        <v/>
      </c>
    </row>
    <row r="216">
      <c r="A216" s="5" t="inlineStr">
        <is>
          <t>HL-01</t>
        </is>
      </c>
      <c r="B216" s="5" t="inlineStr">
        <is>
          <t>prä</t>
        </is>
      </c>
      <c r="C216" s="5" t="inlineStr">
        <is>
          <t>COD_505</t>
        </is>
      </c>
      <c r="D216" s="5" t="inlineStr">
        <is>
          <t>R</t>
        </is>
      </c>
      <c r="E216" s="5" t="n">
        <v>2</v>
      </c>
      <c r="F216" s="5" t="n">
        <v>2.62</v>
      </c>
      <c r="G216" s="5" t="n"/>
      <c r="H216" s="5" t="n"/>
      <c r="I216" s="22">
        <f>INDEX(Personendaten!$C$2:$C$32,MATCH(A216,Personendaten!$A$2:$A$32,0))</f>
        <v/>
      </c>
      <c r="J216" s="22">
        <f>IF(AND(F216&lt;&gt;"",G216=""),1,0)</f>
        <v/>
      </c>
      <c r="K216" s="22">
        <f>IF(LEFT(C216,7)&lt;&gt;"Sprint_","",IF(COUNTIFS(Versuchsdaten!$A$2:$A$1117,$A216,Versuchsdaten!$B$2:$B$1117,$B216,Versuchsdaten!$C$2:$C$1117,"Sprint_5m",Versuchsdaten!$E$2:$E$1117,$E216,Versuchsdaten!$J$2:$J$1117,1)=1,SUMIFS(Versuchsdaten!$F$2:$F$1117,Versuchsdaten!$A$2:$A$1117,$A216,Versuchsdaten!$B$2:$B$1117,$B216,Versuchsdaten!$C$2:$C$1117,"Sprint_5m",Versuchsdaten!$E$2:$E$1117,$E216,Versuchsdaten!$J$2:$J$1117,1),""))</f>
        <v/>
      </c>
      <c r="L216" s="22">
        <f>IF(LEFT(C216,7)&lt;&gt;"Sprint_","",IF(COUNTIFS(Versuchsdaten!$A$2:$A$1117,$A216,Versuchsdaten!$B$2:$B$1117,$B216,Versuchsdaten!$C$2:$C$1117,"Sprint_10m",Versuchsdaten!$E$2:$E$1117,$E216,Versuchsdaten!$J$2:$J$1117,1)=1,SUMIFS(Versuchsdaten!$F$2:$F$1117,Versuchsdaten!$A$2:$A$1117,$A216,Versuchsdaten!$B$2:$B$1117,$B216,Versuchsdaten!$C$2:$C$1117,"Sprint_10m",Versuchsdaten!$E$2:$E$1117,$E216,Versuchsdaten!$J$2:$J$1117,1),""))</f>
        <v/>
      </c>
      <c r="M216" s="22">
        <f>IF(LEFT(C216,7)&lt;&gt;"Sprint_","",IF(COUNTIFS(Versuchsdaten!$A$2:$A$1117,$A216,Versuchsdaten!$B$2:$B$1117,$B216,Versuchsdaten!$C$2:$C$1117,"Sprint_30m",Versuchsdaten!$E$2:$E$1117,$E216,Versuchsdaten!$J$2:$J$1117,1)=1,SUMIFS(Versuchsdaten!$F$2:$F$1117,Versuchsdaten!$A$2:$A$1117,$A216,Versuchsdaten!$B$2:$B$1117,$B216,Versuchsdaten!$C$2:$C$1117,"Sprint_30m",Versuchsdaten!$E$2:$E$1117,$E216,Versuchsdaten!$J$2:$J$1117,1),""))</f>
        <v/>
      </c>
      <c r="N216" s="22">
        <f>IF(LEFT(C216,7)&lt;&gt;"Sprint_",0,IF(IF(ISNUMBER(K216),IF(K216&lt;=0,1,IF(5/K216&gt;10,1,0)),0)+IF(ISNUMBER(L216),IF(ISNUMBER(K216),IF(L216-K216&lt;=0,1,IF(5/(L216-K216)&gt;10,1,0)),IF(L216&lt;=0,1,IF(10/L216&gt;10,1,0))),0)+IF(ISNUMBER(M216),IF(ISNUMBER(L216),IF(M216-L216&lt;=0,1,IF(20/(M216-L216)&gt;10,1,0)),IF(ISNUMBER(K216),IF(M216-K216&lt;=0,1,IF(25/(M216-K216)&gt;10,1,0)),IF(M216&lt;=0,1,IF(30/M216&gt;10,1,0)))),0)&gt;0,1,0))</f>
        <v/>
      </c>
      <c r="O216" s="22">
        <f>IF(AND(J216=1,N216=0),1,0)</f>
        <v/>
      </c>
      <c r="P216" s="22">
        <f>INDEX(Personendaten!$J$2:$J$32,MATCH(A216,Personendaten!$A$2:$A$32,0))</f>
        <v/>
      </c>
      <c r="Q216" s="22">
        <f>IF(O216=1,"",IF(AND(B216="post",P216="nicht angetreten"),"NANG",IF(N216=1,"AUSL",IFERROR(VLOOKUP(H216,Vokabular!$A$2:$B$8,2,FALSE),"UNBEKANNT"))))</f>
        <v/>
      </c>
    </row>
    <row r="217">
      <c r="A217" s="5" t="inlineStr">
        <is>
          <t>HL-01</t>
        </is>
      </c>
      <c r="B217" s="5" t="inlineStr">
        <is>
          <t>prä</t>
        </is>
      </c>
      <c r="C217" s="5" t="inlineStr">
        <is>
          <t>COD_505</t>
        </is>
      </c>
      <c r="D217" s="5" t="inlineStr">
        <is>
          <t>R</t>
        </is>
      </c>
      <c r="E217" s="5" t="n">
        <v>3</v>
      </c>
      <c r="F217" s="5" t="n">
        <v>2.49</v>
      </c>
      <c r="G217" s="5" t="n"/>
      <c r="H217" s="5" t="n"/>
      <c r="I217" s="22">
        <f>INDEX(Personendaten!$C$2:$C$32,MATCH(A217,Personendaten!$A$2:$A$32,0))</f>
        <v/>
      </c>
      <c r="J217" s="22">
        <f>IF(AND(F217&lt;&gt;"",G217=""),1,0)</f>
        <v/>
      </c>
      <c r="K217" s="22">
        <f>IF(LEFT(C217,7)&lt;&gt;"Sprint_","",IF(COUNTIFS(Versuchsdaten!$A$2:$A$1117,$A217,Versuchsdaten!$B$2:$B$1117,$B217,Versuchsdaten!$C$2:$C$1117,"Sprint_5m",Versuchsdaten!$E$2:$E$1117,$E217,Versuchsdaten!$J$2:$J$1117,1)=1,SUMIFS(Versuchsdaten!$F$2:$F$1117,Versuchsdaten!$A$2:$A$1117,$A217,Versuchsdaten!$B$2:$B$1117,$B217,Versuchsdaten!$C$2:$C$1117,"Sprint_5m",Versuchsdaten!$E$2:$E$1117,$E217,Versuchsdaten!$J$2:$J$1117,1),""))</f>
        <v/>
      </c>
      <c r="L217" s="22">
        <f>IF(LEFT(C217,7)&lt;&gt;"Sprint_","",IF(COUNTIFS(Versuchsdaten!$A$2:$A$1117,$A217,Versuchsdaten!$B$2:$B$1117,$B217,Versuchsdaten!$C$2:$C$1117,"Sprint_10m",Versuchsdaten!$E$2:$E$1117,$E217,Versuchsdaten!$J$2:$J$1117,1)=1,SUMIFS(Versuchsdaten!$F$2:$F$1117,Versuchsdaten!$A$2:$A$1117,$A217,Versuchsdaten!$B$2:$B$1117,$B217,Versuchsdaten!$C$2:$C$1117,"Sprint_10m",Versuchsdaten!$E$2:$E$1117,$E217,Versuchsdaten!$J$2:$J$1117,1),""))</f>
        <v/>
      </c>
      <c r="M217" s="22">
        <f>IF(LEFT(C217,7)&lt;&gt;"Sprint_","",IF(COUNTIFS(Versuchsdaten!$A$2:$A$1117,$A217,Versuchsdaten!$B$2:$B$1117,$B217,Versuchsdaten!$C$2:$C$1117,"Sprint_30m",Versuchsdaten!$E$2:$E$1117,$E217,Versuchsdaten!$J$2:$J$1117,1)=1,SUMIFS(Versuchsdaten!$F$2:$F$1117,Versuchsdaten!$A$2:$A$1117,$A217,Versuchsdaten!$B$2:$B$1117,$B217,Versuchsdaten!$C$2:$C$1117,"Sprint_30m",Versuchsdaten!$E$2:$E$1117,$E217,Versuchsdaten!$J$2:$J$1117,1),""))</f>
        <v/>
      </c>
      <c r="N217" s="22">
        <f>IF(LEFT(C217,7)&lt;&gt;"Sprint_",0,IF(IF(ISNUMBER(K217),IF(K217&lt;=0,1,IF(5/K217&gt;10,1,0)),0)+IF(ISNUMBER(L217),IF(ISNUMBER(K217),IF(L217-K217&lt;=0,1,IF(5/(L217-K217)&gt;10,1,0)),IF(L217&lt;=0,1,IF(10/L217&gt;10,1,0))),0)+IF(ISNUMBER(M217),IF(ISNUMBER(L217),IF(M217-L217&lt;=0,1,IF(20/(M217-L217)&gt;10,1,0)),IF(ISNUMBER(K217),IF(M217-K217&lt;=0,1,IF(25/(M217-K217)&gt;10,1,0)),IF(M217&lt;=0,1,IF(30/M217&gt;10,1,0)))),0)&gt;0,1,0))</f>
        <v/>
      </c>
      <c r="O217" s="22">
        <f>IF(AND(J217=1,N217=0),1,0)</f>
        <v/>
      </c>
      <c r="P217" s="22">
        <f>INDEX(Personendaten!$J$2:$J$32,MATCH(A217,Personendaten!$A$2:$A$32,0))</f>
        <v/>
      </c>
      <c r="Q217" s="22">
        <f>IF(O217=1,"",IF(AND(B217="post",P217="nicht angetreten"),"NANG",IF(N217=1,"AUSL",IFERROR(VLOOKUP(H217,Vokabular!$A$2:$B$8,2,FALSE),"UNBEKANNT"))))</f>
        <v/>
      </c>
    </row>
    <row r="218">
      <c r="A218" s="5" t="inlineStr">
        <is>
          <t>HL-02</t>
        </is>
      </c>
      <c r="B218" s="5" t="inlineStr">
        <is>
          <t>prä</t>
        </is>
      </c>
      <c r="C218" s="5" t="inlineStr">
        <is>
          <t>Sprint_5m</t>
        </is>
      </c>
      <c r="D218" s="5" t="inlineStr">
        <is>
          <t>–</t>
        </is>
      </c>
      <c r="E218" s="5" t="n">
        <v>1</v>
      </c>
      <c r="F218" s="5" t="n">
        <v>0.98</v>
      </c>
      <c r="G218" s="5" t="n"/>
      <c r="H218" s="5" t="n"/>
      <c r="I218" s="22">
        <f>INDEX(Personendaten!$C$2:$C$32,MATCH(A218,Personendaten!$A$2:$A$32,0))</f>
        <v/>
      </c>
      <c r="J218" s="22">
        <f>IF(AND(F218&lt;&gt;"",G218=""),1,0)</f>
        <v/>
      </c>
      <c r="K218" s="22">
        <f>IF(LEFT(C218,7)&lt;&gt;"Sprint_","",IF(COUNTIFS(Versuchsdaten!$A$2:$A$1117,$A218,Versuchsdaten!$B$2:$B$1117,$B218,Versuchsdaten!$C$2:$C$1117,"Sprint_5m",Versuchsdaten!$E$2:$E$1117,$E218,Versuchsdaten!$J$2:$J$1117,1)=1,SUMIFS(Versuchsdaten!$F$2:$F$1117,Versuchsdaten!$A$2:$A$1117,$A218,Versuchsdaten!$B$2:$B$1117,$B218,Versuchsdaten!$C$2:$C$1117,"Sprint_5m",Versuchsdaten!$E$2:$E$1117,$E218,Versuchsdaten!$J$2:$J$1117,1),""))</f>
        <v/>
      </c>
      <c r="L218" s="22">
        <f>IF(LEFT(C218,7)&lt;&gt;"Sprint_","",IF(COUNTIFS(Versuchsdaten!$A$2:$A$1117,$A218,Versuchsdaten!$B$2:$B$1117,$B218,Versuchsdaten!$C$2:$C$1117,"Sprint_10m",Versuchsdaten!$E$2:$E$1117,$E218,Versuchsdaten!$J$2:$J$1117,1)=1,SUMIFS(Versuchsdaten!$F$2:$F$1117,Versuchsdaten!$A$2:$A$1117,$A218,Versuchsdaten!$B$2:$B$1117,$B218,Versuchsdaten!$C$2:$C$1117,"Sprint_10m",Versuchsdaten!$E$2:$E$1117,$E218,Versuchsdaten!$J$2:$J$1117,1),""))</f>
        <v/>
      </c>
      <c r="M218" s="22">
        <f>IF(LEFT(C218,7)&lt;&gt;"Sprint_","",IF(COUNTIFS(Versuchsdaten!$A$2:$A$1117,$A218,Versuchsdaten!$B$2:$B$1117,$B218,Versuchsdaten!$C$2:$C$1117,"Sprint_30m",Versuchsdaten!$E$2:$E$1117,$E218,Versuchsdaten!$J$2:$J$1117,1)=1,SUMIFS(Versuchsdaten!$F$2:$F$1117,Versuchsdaten!$A$2:$A$1117,$A218,Versuchsdaten!$B$2:$B$1117,$B218,Versuchsdaten!$C$2:$C$1117,"Sprint_30m",Versuchsdaten!$E$2:$E$1117,$E218,Versuchsdaten!$J$2:$J$1117,1),""))</f>
        <v/>
      </c>
      <c r="N218" s="22">
        <f>IF(LEFT(C218,7)&lt;&gt;"Sprint_",0,IF(IF(ISNUMBER(K218),IF(K218&lt;=0,1,IF(5/K218&gt;10,1,0)),0)+IF(ISNUMBER(L218),IF(ISNUMBER(K218),IF(L218-K218&lt;=0,1,IF(5/(L218-K218)&gt;10,1,0)),IF(L218&lt;=0,1,IF(10/L218&gt;10,1,0))),0)+IF(ISNUMBER(M218),IF(ISNUMBER(L218),IF(M218-L218&lt;=0,1,IF(20/(M218-L218)&gt;10,1,0)),IF(ISNUMBER(K218),IF(M218-K218&lt;=0,1,IF(25/(M218-K218)&gt;10,1,0)),IF(M218&lt;=0,1,IF(30/M218&gt;10,1,0)))),0)&gt;0,1,0))</f>
        <v/>
      </c>
      <c r="O218" s="22">
        <f>IF(AND(J218=1,N218=0),1,0)</f>
        <v/>
      </c>
      <c r="P218" s="22">
        <f>INDEX(Personendaten!$J$2:$J$32,MATCH(A218,Personendaten!$A$2:$A$32,0))</f>
        <v/>
      </c>
      <c r="Q218" s="22">
        <f>IF(O218=1,"",IF(AND(B218="post",P218="nicht angetreten"),"NANG",IF(N218=1,"AUSL",IFERROR(VLOOKUP(H218,Vokabular!$A$2:$B$8,2,FALSE),"UNBEKANNT"))))</f>
        <v/>
      </c>
    </row>
    <row r="219">
      <c r="A219" s="5" t="inlineStr">
        <is>
          <t>HL-02</t>
        </is>
      </c>
      <c r="B219" s="5" t="inlineStr">
        <is>
          <t>prä</t>
        </is>
      </c>
      <c r="C219" s="5" t="inlineStr">
        <is>
          <t>Sprint_5m</t>
        </is>
      </c>
      <c r="D219" s="5" t="inlineStr">
        <is>
          <t>–</t>
        </is>
      </c>
      <c r="E219" s="5" t="n">
        <v>2</v>
      </c>
      <c r="F219" s="5" t="n">
        <v>0.87</v>
      </c>
      <c r="G219" s="5" t="n"/>
      <c r="H219" s="5" t="n"/>
      <c r="I219" s="22">
        <f>INDEX(Personendaten!$C$2:$C$32,MATCH(A219,Personendaten!$A$2:$A$32,0))</f>
        <v/>
      </c>
      <c r="J219" s="22">
        <f>IF(AND(F219&lt;&gt;"",G219=""),1,0)</f>
        <v/>
      </c>
      <c r="K219" s="22">
        <f>IF(LEFT(C219,7)&lt;&gt;"Sprint_","",IF(COUNTIFS(Versuchsdaten!$A$2:$A$1117,$A219,Versuchsdaten!$B$2:$B$1117,$B219,Versuchsdaten!$C$2:$C$1117,"Sprint_5m",Versuchsdaten!$E$2:$E$1117,$E219,Versuchsdaten!$J$2:$J$1117,1)=1,SUMIFS(Versuchsdaten!$F$2:$F$1117,Versuchsdaten!$A$2:$A$1117,$A219,Versuchsdaten!$B$2:$B$1117,$B219,Versuchsdaten!$C$2:$C$1117,"Sprint_5m",Versuchsdaten!$E$2:$E$1117,$E219,Versuchsdaten!$J$2:$J$1117,1),""))</f>
        <v/>
      </c>
      <c r="L219" s="22">
        <f>IF(LEFT(C219,7)&lt;&gt;"Sprint_","",IF(COUNTIFS(Versuchsdaten!$A$2:$A$1117,$A219,Versuchsdaten!$B$2:$B$1117,$B219,Versuchsdaten!$C$2:$C$1117,"Sprint_10m",Versuchsdaten!$E$2:$E$1117,$E219,Versuchsdaten!$J$2:$J$1117,1)=1,SUMIFS(Versuchsdaten!$F$2:$F$1117,Versuchsdaten!$A$2:$A$1117,$A219,Versuchsdaten!$B$2:$B$1117,$B219,Versuchsdaten!$C$2:$C$1117,"Sprint_10m",Versuchsdaten!$E$2:$E$1117,$E219,Versuchsdaten!$J$2:$J$1117,1),""))</f>
        <v/>
      </c>
      <c r="M219" s="22">
        <f>IF(LEFT(C219,7)&lt;&gt;"Sprint_","",IF(COUNTIFS(Versuchsdaten!$A$2:$A$1117,$A219,Versuchsdaten!$B$2:$B$1117,$B219,Versuchsdaten!$C$2:$C$1117,"Sprint_30m",Versuchsdaten!$E$2:$E$1117,$E219,Versuchsdaten!$J$2:$J$1117,1)=1,SUMIFS(Versuchsdaten!$F$2:$F$1117,Versuchsdaten!$A$2:$A$1117,$A219,Versuchsdaten!$B$2:$B$1117,$B219,Versuchsdaten!$C$2:$C$1117,"Sprint_30m",Versuchsdaten!$E$2:$E$1117,$E219,Versuchsdaten!$J$2:$J$1117,1),""))</f>
        <v/>
      </c>
      <c r="N219" s="22">
        <f>IF(LEFT(C219,7)&lt;&gt;"Sprint_",0,IF(IF(ISNUMBER(K219),IF(K219&lt;=0,1,IF(5/K219&gt;10,1,0)),0)+IF(ISNUMBER(L219),IF(ISNUMBER(K219),IF(L219-K219&lt;=0,1,IF(5/(L219-K219)&gt;10,1,0)),IF(L219&lt;=0,1,IF(10/L219&gt;10,1,0))),0)+IF(ISNUMBER(M219),IF(ISNUMBER(L219),IF(M219-L219&lt;=0,1,IF(20/(M219-L219)&gt;10,1,0)),IF(ISNUMBER(K219),IF(M219-K219&lt;=0,1,IF(25/(M219-K219)&gt;10,1,0)),IF(M219&lt;=0,1,IF(30/M219&gt;10,1,0)))),0)&gt;0,1,0))</f>
        <v/>
      </c>
      <c r="O219" s="22">
        <f>IF(AND(J219=1,N219=0),1,0)</f>
        <v/>
      </c>
      <c r="P219" s="22">
        <f>INDEX(Personendaten!$J$2:$J$32,MATCH(A219,Personendaten!$A$2:$A$32,0))</f>
        <v/>
      </c>
      <c r="Q219" s="22">
        <f>IF(O219=1,"",IF(AND(B219="post",P219="nicht angetreten"),"NANG",IF(N219=1,"AUSL",IFERROR(VLOOKUP(H219,Vokabular!$A$2:$B$8,2,FALSE),"UNBEKANNT"))))</f>
        <v/>
      </c>
    </row>
    <row r="220">
      <c r="A220" s="5" t="inlineStr">
        <is>
          <t>HL-02</t>
        </is>
      </c>
      <c r="B220" s="5" t="inlineStr">
        <is>
          <t>prä</t>
        </is>
      </c>
      <c r="C220" s="5" t="inlineStr">
        <is>
          <t>Sprint_5m</t>
        </is>
      </c>
      <c r="D220" s="5" t="inlineStr">
        <is>
          <t>–</t>
        </is>
      </c>
      <c r="E220" s="5" t="n">
        <v>3</v>
      </c>
      <c r="F220" s="5" t="n">
        <v>0.97</v>
      </c>
      <c r="G220" s="5" t="n"/>
      <c r="H220" s="5" t="n"/>
      <c r="I220" s="22">
        <f>INDEX(Personendaten!$C$2:$C$32,MATCH(A220,Personendaten!$A$2:$A$32,0))</f>
        <v/>
      </c>
      <c r="J220" s="22">
        <f>IF(AND(F220&lt;&gt;"",G220=""),1,0)</f>
        <v/>
      </c>
      <c r="K220" s="22">
        <f>IF(LEFT(C220,7)&lt;&gt;"Sprint_","",IF(COUNTIFS(Versuchsdaten!$A$2:$A$1117,$A220,Versuchsdaten!$B$2:$B$1117,$B220,Versuchsdaten!$C$2:$C$1117,"Sprint_5m",Versuchsdaten!$E$2:$E$1117,$E220,Versuchsdaten!$J$2:$J$1117,1)=1,SUMIFS(Versuchsdaten!$F$2:$F$1117,Versuchsdaten!$A$2:$A$1117,$A220,Versuchsdaten!$B$2:$B$1117,$B220,Versuchsdaten!$C$2:$C$1117,"Sprint_5m",Versuchsdaten!$E$2:$E$1117,$E220,Versuchsdaten!$J$2:$J$1117,1),""))</f>
        <v/>
      </c>
      <c r="L220" s="22">
        <f>IF(LEFT(C220,7)&lt;&gt;"Sprint_","",IF(COUNTIFS(Versuchsdaten!$A$2:$A$1117,$A220,Versuchsdaten!$B$2:$B$1117,$B220,Versuchsdaten!$C$2:$C$1117,"Sprint_10m",Versuchsdaten!$E$2:$E$1117,$E220,Versuchsdaten!$J$2:$J$1117,1)=1,SUMIFS(Versuchsdaten!$F$2:$F$1117,Versuchsdaten!$A$2:$A$1117,$A220,Versuchsdaten!$B$2:$B$1117,$B220,Versuchsdaten!$C$2:$C$1117,"Sprint_10m",Versuchsdaten!$E$2:$E$1117,$E220,Versuchsdaten!$J$2:$J$1117,1),""))</f>
        <v/>
      </c>
      <c r="M220" s="22">
        <f>IF(LEFT(C220,7)&lt;&gt;"Sprint_","",IF(COUNTIFS(Versuchsdaten!$A$2:$A$1117,$A220,Versuchsdaten!$B$2:$B$1117,$B220,Versuchsdaten!$C$2:$C$1117,"Sprint_30m",Versuchsdaten!$E$2:$E$1117,$E220,Versuchsdaten!$J$2:$J$1117,1)=1,SUMIFS(Versuchsdaten!$F$2:$F$1117,Versuchsdaten!$A$2:$A$1117,$A220,Versuchsdaten!$B$2:$B$1117,$B220,Versuchsdaten!$C$2:$C$1117,"Sprint_30m",Versuchsdaten!$E$2:$E$1117,$E220,Versuchsdaten!$J$2:$J$1117,1),""))</f>
        <v/>
      </c>
      <c r="N220" s="22">
        <f>IF(LEFT(C220,7)&lt;&gt;"Sprint_",0,IF(IF(ISNUMBER(K220),IF(K220&lt;=0,1,IF(5/K220&gt;10,1,0)),0)+IF(ISNUMBER(L220),IF(ISNUMBER(K220),IF(L220-K220&lt;=0,1,IF(5/(L220-K220)&gt;10,1,0)),IF(L220&lt;=0,1,IF(10/L220&gt;10,1,0))),0)+IF(ISNUMBER(M220),IF(ISNUMBER(L220),IF(M220-L220&lt;=0,1,IF(20/(M220-L220)&gt;10,1,0)),IF(ISNUMBER(K220),IF(M220-K220&lt;=0,1,IF(25/(M220-K220)&gt;10,1,0)),IF(M220&lt;=0,1,IF(30/M220&gt;10,1,0)))),0)&gt;0,1,0))</f>
        <v/>
      </c>
      <c r="O220" s="22">
        <f>IF(AND(J220=1,N220=0),1,0)</f>
        <v/>
      </c>
      <c r="P220" s="22">
        <f>INDEX(Personendaten!$J$2:$J$32,MATCH(A220,Personendaten!$A$2:$A$32,0))</f>
        <v/>
      </c>
      <c r="Q220" s="22">
        <f>IF(O220=1,"",IF(AND(B220="post",P220="nicht angetreten"),"NANG",IF(N220=1,"AUSL",IFERROR(VLOOKUP(H220,Vokabular!$A$2:$B$8,2,FALSE),"UNBEKANNT"))))</f>
        <v/>
      </c>
    </row>
    <row r="221">
      <c r="A221" s="5" t="inlineStr">
        <is>
          <t>HL-02</t>
        </is>
      </c>
      <c r="B221" s="5" t="inlineStr">
        <is>
          <t>prä</t>
        </is>
      </c>
      <c r="C221" s="5" t="inlineStr">
        <is>
          <t>Sprint_10m</t>
        </is>
      </c>
      <c r="D221" s="5" t="inlineStr">
        <is>
          <t>–</t>
        </is>
      </c>
      <c r="E221" s="5" t="n">
        <v>1</v>
      </c>
      <c r="F221" s="5" t="n">
        <v>1.75</v>
      </c>
      <c r="G221" s="5" t="n"/>
      <c r="H221" s="5" t="n"/>
      <c r="I221" s="22">
        <f>INDEX(Personendaten!$C$2:$C$32,MATCH(A221,Personendaten!$A$2:$A$32,0))</f>
        <v/>
      </c>
      <c r="J221" s="22">
        <f>IF(AND(F221&lt;&gt;"",G221=""),1,0)</f>
        <v/>
      </c>
      <c r="K221" s="22">
        <f>IF(LEFT(C221,7)&lt;&gt;"Sprint_","",IF(COUNTIFS(Versuchsdaten!$A$2:$A$1117,$A221,Versuchsdaten!$B$2:$B$1117,$B221,Versuchsdaten!$C$2:$C$1117,"Sprint_5m",Versuchsdaten!$E$2:$E$1117,$E221,Versuchsdaten!$J$2:$J$1117,1)=1,SUMIFS(Versuchsdaten!$F$2:$F$1117,Versuchsdaten!$A$2:$A$1117,$A221,Versuchsdaten!$B$2:$B$1117,$B221,Versuchsdaten!$C$2:$C$1117,"Sprint_5m",Versuchsdaten!$E$2:$E$1117,$E221,Versuchsdaten!$J$2:$J$1117,1),""))</f>
        <v/>
      </c>
      <c r="L221" s="22">
        <f>IF(LEFT(C221,7)&lt;&gt;"Sprint_","",IF(COUNTIFS(Versuchsdaten!$A$2:$A$1117,$A221,Versuchsdaten!$B$2:$B$1117,$B221,Versuchsdaten!$C$2:$C$1117,"Sprint_10m",Versuchsdaten!$E$2:$E$1117,$E221,Versuchsdaten!$J$2:$J$1117,1)=1,SUMIFS(Versuchsdaten!$F$2:$F$1117,Versuchsdaten!$A$2:$A$1117,$A221,Versuchsdaten!$B$2:$B$1117,$B221,Versuchsdaten!$C$2:$C$1117,"Sprint_10m",Versuchsdaten!$E$2:$E$1117,$E221,Versuchsdaten!$J$2:$J$1117,1),""))</f>
        <v/>
      </c>
      <c r="M221" s="22">
        <f>IF(LEFT(C221,7)&lt;&gt;"Sprint_","",IF(COUNTIFS(Versuchsdaten!$A$2:$A$1117,$A221,Versuchsdaten!$B$2:$B$1117,$B221,Versuchsdaten!$C$2:$C$1117,"Sprint_30m",Versuchsdaten!$E$2:$E$1117,$E221,Versuchsdaten!$J$2:$J$1117,1)=1,SUMIFS(Versuchsdaten!$F$2:$F$1117,Versuchsdaten!$A$2:$A$1117,$A221,Versuchsdaten!$B$2:$B$1117,$B221,Versuchsdaten!$C$2:$C$1117,"Sprint_30m",Versuchsdaten!$E$2:$E$1117,$E221,Versuchsdaten!$J$2:$J$1117,1),""))</f>
        <v/>
      </c>
      <c r="N221" s="22">
        <f>IF(LEFT(C221,7)&lt;&gt;"Sprint_",0,IF(IF(ISNUMBER(K221),IF(K221&lt;=0,1,IF(5/K221&gt;10,1,0)),0)+IF(ISNUMBER(L221),IF(ISNUMBER(K221),IF(L221-K221&lt;=0,1,IF(5/(L221-K221)&gt;10,1,0)),IF(L221&lt;=0,1,IF(10/L221&gt;10,1,0))),0)+IF(ISNUMBER(M221),IF(ISNUMBER(L221),IF(M221-L221&lt;=0,1,IF(20/(M221-L221)&gt;10,1,0)),IF(ISNUMBER(K221),IF(M221-K221&lt;=0,1,IF(25/(M221-K221)&gt;10,1,0)),IF(M221&lt;=0,1,IF(30/M221&gt;10,1,0)))),0)&gt;0,1,0))</f>
        <v/>
      </c>
      <c r="O221" s="22">
        <f>IF(AND(J221=1,N221=0),1,0)</f>
        <v/>
      </c>
      <c r="P221" s="22">
        <f>INDEX(Personendaten!$J$2:$J$32,MATCH(A221,Personendaten!$A$2:$A$32,0))</f>
        <v/>
      </c>
      <c r="Q221" s="22">
        <f>IF(O221=1,"",IF(AND(B221="post",P221="nicht angetreten"),"NANG",IF(N221=1,"AUSL",IFERROR(VLOOKUP(H221,Vokabular!$A$2:$B$8,2,FALSE),"UNBEKANNT"))))</f>
        <v/>
      </c>
    </row>
    <row r="222">
      <c r="A222" s="5" t="inlineStr">
        <is>
          <t>HL-02</t>
        </is>
      </c>
      <c r="B222" s="5" t="inlineStr">
        <is>
          <t>prä</t>
        </is>
      </c>
      <c r="C222" s="5" t="inlineStr">
        <is>
          <t>Sprint_10m</t>
        </is>
      </c>
      <c r="D222" s="5" t="inlineStr">
        <is>
          <t>–</t>
        </is>
      </c>
      <c r="E222" s="5" t="n">
        <v>2</v>
      </c>
      <c r="F222" s="5" t="n">
        <v>1.65</v>
      </c>
      <c r="G222" s="5" t="n"/>
      <c r="H222" s="5" t="n"/>
      <c r="I222" s="22">
        <f>INDEX(Personendaten!$C$2:$C$32,MATCH(A222,Personendaten!$A$2:$A$32,0))</f>
        <v/>
      </c>
      <c r="J222" s="22">
        <f>IF(AND(F222&lt;&gt;"",G222=""),1,0)</f>
        <v/>
      </c>
      <c r="K222" s="22">
        <f>IF(LEFT(C222,7)&lt;&gt;"Sprint_","",IF(COUNTIFS(Versuchsdaten!$A$2:$A$1117,$A222,Versuchsdaten!$B$2:$B$1117,$B222,Versuchsdaten!$C$2:$C$1117,"Sprint_5m",Versuchsdaten!$E$2:$E$1117,$E222,Versuchsdaten!$J$2:$J$1117,1)=1,SUMIFS(Versuchsdaten!$F$2:$F$1117,Versuchsdaten!$A$2:$A$1117,$A222,Versuchsdaten!$B$2:$B$1117,$B222,Versuchsdaten!$C$2:$C$1117,"Sprint_5m",Versuchsdaten!$E$2:$E$1117,$E222,Versuchsdaten!$J$2:$J$1117,1),""))</f>
        <v/>
      </c>
      <c r="L222" s="22">
        <f>IF(LEFT(C222,7)&lt;&gt;"Sprint_","",IF(COUNTIFS(Versuchsdaten!$A$2:$A$1117,$A222,Versuchsdaten!$B$2:$B$1117,$B222,Versuchsdaten!$C$2:$C$1117,"Sprint_10m",Versuchsdaten!$E$2:$E$1117,$E222,Versuchsdaten!$J$2:$J$1117,1)=1,SUMIFS(Versuchsdaten!$F$2:$F$1117,Versuchsdaten!$A$2:$A$1117,$A222,Versuchsdaten!$B$2:$B$1117,$B222,Versuchsdaten!$C$2:$C$1117,"Sprint_10m",Versuchsdaten!$E$2:$E$1117,$E222,Versuchsdaten!$J$2:$J$1117,1),""))</f>
        <v/>
      </c>
      <c r="M222" s="22">
        <f>IF(LEFT(C222,7)&lt;&gt;"Sprint_","",IF(COUNTIFS(Versuchsdaten!$A$2:$A$1117,$A222,Versuchsdaten!$B$2:$B$1117,$B222,Versuchsdaten!$C$2:$C$1117,"Sprint_30m",Versuchsdaten!$E$2:$E$1117,$E222,Versuchsdaten!$J$2:$J$1117,1)=1,SUMIFS(Versuchsdaten!$F$2:$F$1117,Versuchsdaten!$A$2:$A$1117,$A222,Versuchsdaten!$B$2:$B$1117,$B222,Versuchsdaten!$C$2:$C$1117,"Sprint_30m",Versuchsdaten!$E$2:$E$1117,$E222,Versuchsdaten!$J$2:$J$1117,1),""))</f>
        <v/>
      </c>
      <c r="N222" s="22">
        <f>IF(LEFT(C222,7)&lt;&gt;"Sprint_",0,IF(IF(ISNUMBER(K222),IF(K222&lt;=0,1,IF(5/K222&gt;10,1,0)),0)+IF(ISNUMBER(L222),IF(ISNUMBER(K222),IF(L222-K222&lt;=0,1,IF(5/(L222-K222)&gt;10,1,0)),IF(L222&lt;=0,1,IF(10/L222&gt;10,1,0))),0)+IF(ISNUMBER(M222),IF(ISNUMBER(L222),IF(M222-L222&lt;=0,1,IF(20/(M222-L222)&gt;10,1,0)),IF(ISNUMBER(K222),IF(M222-K222&lt;=0,1,IF(25/(M222-K222)&gt;10,1,0)),IF(M222&lt;=0,1,IF(30/M222&gt;10,1,0)))),0)&gt;0,1,0))</f>
        <v/>
      </c>
      <c r="O222" s="22">
        <f>IF(AND(J222=1,N222=0),1,0)</f>
        <v/>
      </c>
      <c r="P222" s="22">
        <f>INDEX(Personendaten!$J$2:$J$32,MATCH(A222,Personendaten!$A$2:$A$32,0))</f>
        <v/>
      </c>
      <c r="Q222" s="22">
        <f>IF(O222=1,"",IF(AND(B222="post",P222="nicht angetreten"),"NANG",IF(N222=1,"AUSL",IFERROR(VLOOKUP(H222,Vokabular!$A$2:$B$8,2,FALSE),"UNBEKANNT"))))</f>
        <v/>
      </c>
    </row>
    <row r="223">
      <c r="A223" s="5" t="inlineStr">
        <is>
          <t>HL-02</t>
        </is>
      </c>
      <c r="B223" s="5" t="inlineStr">
        <is>
          <t>prä</t>
        </is>
      </c>
      <c r="C223" s="5" t="inlineStr">
        <is>
          <t>Sprint_10m</t>
        </is>
      </c>
      <c r="D223" s="5" t="inlineStr">
        <is>
          <t>–</t>
        </is>
      </c>
      <c r="E223" s="5" t="n">
        <v>3</v>
      </c>
      <c r="F223" s="5" t="n">
        <v>1.71</v>
      </c>
      <c r="G223" s="5" t="n"/>
      <c r="H223" s="5" t="n"/>
      <c r="I223" s="22">
        <f>INDEX(Personendaten!$C$2:$C$32,MATCH(A223,Personendaten!$A$2:$A$32,0))</f>
        <v/>
      </c>
      <c r="J223" s="22">
        <f>IF(AND(F223&lt;&gt;"",G223=""),1,0)</f>
        <v/>
      </c>
      <c r="K223" s="22">
        <f>IF(LEFT(C223,7)&lt;&gt;"Sprint_","",IF(COUNTIFS(Versuchsdaten!$A$2:$A$1117,$A223,Versuchsdaten!$B$2:$B$1117,$B223,Versuchsdaten!$C$2:$C$1117,"Sprint_5m",Versuchsdaten!$E$2:$E$1117,$E223,Versuchsdaten!$J$2:$J$1117,1)=1,SUMIFS(Versuchsdaten!$F$2:$F$1117,Versuchsdaten!$A$2:$A$1117,$A223,Versuchsdaten!$B$2:$B$1117,$B223,Versuchsdaten!$C$2:$C$1117,"Sprint_5m",Versuchsdaten!$E$2:$E$1117,$E223,Versuchsdaten!$J$2:$J$1117,1),""))</f>
        <v/>
      </c>
      <c r="L223" s="22">
        <f>IF(LEFT(C223,7)&lt;&gt;"Sprint_","",IF(COUNTIFS(Versuchsdaten!$A$2:$A$1117,$A223,Versuchsdaten!$B$2:$B$1117,$B223,Versuchsdaten!$C$2:$C$1117,"Sprint_10m",Versuchsdaten!$E$2:$E$1117,$E223,Versuchsdaten!$J$2:$J$1117,1)=1,SUMIFS(Versuchsdaten!$F$2:$F$1117,Versuchsdaten!$A$2:$A$1117,$A223,Versuchsdaten!$B$2:$B$1117,$B223,Versuchsdaten!$C$2:$C$1117,"Sprint_10m",Versuchsdaten!$E$2:$E$1117,$E223,Versuchsdaten!$J$2:$J$1117,1),""))</f>
        <v/>
      </c>
      <c r="M223" s="22">
        <f>IF(LEFT(C223,7)&lt;&gt;"Sprint_","",IF(COUNTIFS(Versuchsdaten!$A$2:$A$1117,$A223,Versuchsdaten!$B$2:$B$1117,$B223,Versuchsdaten!$C$2:$C$1117,"Sprint_30m",Versuchsdaten!$E$2:$E$1117,$E223,Versuchsdaten!$J$2:$J$1117,1)=1,SUMIFS(Versuchsdaten!$F$2:$F$1117,Versuchsdaten!$A$2:$A$1117,$A223,Versuchsdaten!$B$2:$B$1117,$B223,Versuchsdaten!$C$2:$C$1117,"Sprint_30m",Versuchsdaten!$E$2:$E$1117,$E223,Versuchsdaten!$J$2:$J$1117,1),""))</f>
        <v/>
      </c>
      <c r="N223" s="22">
        <f>IF(LEFT(C223,7)&lt;&gt;"Sprint_",0,IF(IF(ISNUMBER(K223),IF(K223&lt;=0,1,IF(5/K223&gt;10,1,0)),0)+IF(ISNUMBER(L223),IF(ISNUMBER(K223),IF(L223-K223&lt;=0,1,IF(5/(L223-K223)&gt;10,1,0)),IF(L223&lt;=0,1,IF(10/L223&gt;10,1,0))),0)+IF(ISNUMBER(M223),IF(ISNUMBER(L223),IF(M223-L223&lt;=0,1,IF(20/(M223-L223)&gt;10,1,0)),IF(ISNUMBER(K223),IF(M223-K223&lt;=0,1,IF(25/(M223-K223)&gt;10,1,0)),IF(M223&lt;=0,1,IF(30/M223&gt;10,1,0)))),0)&gt;0,1,0))</f>
        <v/>
      </c>
      <c r="O223" s="22">
        <f>IF(AND(J223=1,N223=0),1,0)</f>
        <v/>
      </c>
      <c r="P223" s="22">
        <f>INDEX(Personendaten!$J$2:$J$32,MATCH(A223,Personendaten!$A$2:$A$32,0))</f>
        <v/>
      </c>
      <c r="Q223" s="22">
        <f>IF(O223=1,"",IF(AND(B223="post",P223="nicht angetreten"),"NANG",IF(N223=1,"AUSL",IFERROR(VLOOKUP(H223,Vokabular!$A$2:$B$8,2,FALSE),"UNBEKANNT"))))</f>
        <v/>
      </c>
    </row>
    <row r="224">
      <c r="A224" s="5" t="inlineStr">
        <is>
          <t>HL-02</t>
        </is>
      </c>
      <c r="B224" s="5" t="inlineStr">
        <is>
          <t>prä</t>
        </is>
      </c>
      <c r="C224" s="5" t="inlineStr">
        <is>
          <t>Sprint_30m</t>
        </is>
      </c>
      <c r="D224" s="5" t="inlineStr">
        <is>
          <t>–</t>
        </is>
      </c>
      <c r="E224" s="5" t="n">
        <v>1</v>
      </c>
      <c r="F224" s="5" t="n">
        <v>4.21</v>
      </c>
      <c r="G224" s="5" t="n"/>
      <c r="H224" s="5" t="n"/>
      <c r="I224" s="22">
        <f>INDEX(Personendaten!$C$2:$C$32,MATCH(A224,Personendaten!$A$2:$A$32,0))</f>
        <v/>
      </c>
      <c r="J224" s="22">
        <f>IF(AND(F224&lt;&gt;"",G224=""),1,0)</f>
        <v/>
      </c>
      <c r="K224" s="22">
        <f>IF(LEFT(C224,7)&lt;&gt;"Sprint_","",IF(COUNTIFS(Versuchsdaten!$A$2:$A$1117,$A224,Versuchsdaten!$B$2:$B$1117,$B224,Versuchsdaten!$C$2:$C$1117,"Sprint_5m",Versuchsdaten!$E$2:$E$1117,$E224,Versuchsdaten!$J$2:$J$1117,1)=1,SUMIFS(Versuchsdaten!$F$2:$F$1117,Versuchsdaten!$A$2:$A$1117,$A224,Versuchsdaten!$B$2:$B$1117,$B224,Versuchsdaten!$C$2:$C$1117,"Sprint_5m",Versuchsdaten!$E$2:$E$1117,$E224,Versuchsdaten!$J$2:$J$1117,1),""))</f>
        <v/>
      </c>
      <c r="L224" s="22">
        <f>IF(LEFT(C224,7)&lt;&gt;"Sprint_","",IF(COUNTIFS(Versuchsdaten!$A$2:$A$1117,$A224,Versuchsdaten!$B$2:$B$1117,$B224,Versuchsdaten!$C$2:$C$1117,"Sprint_10m",Versuchsdaten!$E$2:$E$1117,$E224,Versuchsdaten!$J$2:$J$1117,1)=1,SUMIFS(Versuchsdaten!$F$2:$F$1117,Versuchsdaten!$A$2:$A$1117,$A224,Versuchsdaten!$B$2:$B$1117,$B224,Versuchsdaten!$C$2:$C$1117,"Sprint_10m",Versuchsdaten!$E$2:$E$1117,$E224,Versuchsdaten!$J$2:$J$1117,1),""))</f>
        <v/>
      </c>
      <c r="M224" s="22">
        <f>IF(LEFT(C224,7)&lt;&gt;"Sprint_","",IF(COUNTIFS(Versuchsdaten!$A$2:$A$1117,$A224,Versuchsdaten!$B$2:$B$1117,$B224,Versuchsdaten!$C$2:$C$1117,"Sprint_30m",Versuchsdaten!$E$2:$E$1117,$E224,Versuchsdaten!$J$2:$J$1117,1)=1,SUMIFS(Versuchsdaten!$F$2:$F$1117,Versuchsdaten!$A$2:$A$1117,$A224,Versuchsdaten!$B$2:$B$1117,$B224,Versuchsdaten!$C$2:$C$1117,"Sprint_30m",Versuchsdaten!$E$2:$E$1117,$E224,Versuchsdaten!$J$2:$J$1117,1),""))</f>
        <v/>
      </c>
      <c r="N224" s="22">
        <f>IF(LEFT(C224,7)&lt;&gt;"Sprint_",0,IF(IF(ISNUMBER(K224),IF(K224&lt;=0,1,IF(5/K224&gt;10,1,0)),0)+IF(ISNUMBER(L224),IF(ISNUMBER(K224),IF(L224-K224&lt;=0,1,IF(5/(L224-K224)&gt;10,1,0)),IF(L224&lt;=0,1,IF(10/L224&gt;10,1,0))),0)+IF(ISNUMBER(M224),IF(ISNUMBER(L224),IF(M224-L224&lt;=0,1,IF(20/(M224-L224)&gt;10,1,0)),IF(ISNUMBER(K224),IF(M224-K224&lt;=0,1,IF(25/(M224-K224)&gt;10,1,0)),IF(M224&lt;=0,1,IF(30/M224&gt;10,1,0)))),0)&gt;0,1,0))</f>
        <v/>
      </c>
      <c r="O224" s="22">
        <f>IF(AND(J224=1,N224=0),1,0)</f>
        <v/>
      </c>
      <c r="P224" s="22">
        <f>INDEX(Personendaten!$J$2:$J$32,MATCH(A224,Personendaten!$A$2:$A$32,0))</f>
        <v/>
      </c>
      <c r="Q224" s="22">
        <f>IF(O224=1,"",IF(AND(B224="post",P224="nicht angetreten"),"NANG",IF(N224=1,"AUSL",IFERROR(VLOOKUP(H224,Vokabular!$A$2:$B$8,2,FALSE),"UNBEKANNT"))))</f>
        <v/>
      </c>
    </row>
    <row r="225">
      <c r="A225" s="5" t="inlineStr">
        <is>
          <t>HL-02</t>
        </is>
      </c>
      <c r="B225" s="5" t="inlineStr">
        <is>
          <t>prä</t>
        </is>
      </c>
      <c r="C225" s="5" t="inlineStr">
        <is>
          <t>Sprint_30m</t>
        </is>
      </c>
      <c r="D225" s="5" t="inlineStr">
        <is>
          <t>–</t>
        </is>
      </c>
      <c r="E225" s="5" t="n">
        <v>2</v>
      </c>
      <c r="F225" s="5" t="n">
        <v>4.09</v>
      </c>
      <c r="G225" s="5" t="n"/>
      <c r="H225" s="5" t="n"/>
      <c r="I225" s="22">
        <f>INDEX(Personendaten!$C$2:$C$32,MATCH(A225,Personendaten!$A$2:$A$32,0))</f>
        <v/>
      </c>
      <c r="J225" s="22">
        <f>IF(AND(F225&lt;&gt;"",G225=""),1,0)</f>
        <v/>
      </c>
      <c r="K225" s="22">
        <f>IF(LEFT(C225,7)&lt;&gt;"Sprint_","",IF(COUNTIFS(Versuchsdaten!$A$2:$A$1117,$A225,Versuchsdaten!$B$2:$B$1117,$B225,Versuchsdaten!$C$2:$C$1117,"Sprint_5m",Versuchsdaten!$E$2:$E$1117,$E225,Versuchsdaten!$J$2:$J$1117,1)=1,SUMIFS(Versuchsdaten!$F$2:$F$1117,Versuchsdaten!$A$2:$A$1117,$A225,Versuchsdaten!$B$2:$B$1117,$B225,Versuchsdaten!$C$2:$C$1117,"Sprint_5m",Versuchsdaten!$E$2:$E$1117,$E225,Versuchsdaten!$J$2:$J$1117,1),""))</f>
        <v/>
      </c>
      <c r="L225" s="22">
        <f>IF(LEFT(C225,7)&lt;&gt;"Sprint_","",IF(COUNTIFS(Versuchsdaten!$A$2:$A$1117,$A225,Versuchsdaten!$B$2:$B$1117,$B225,Versuchsdaten!$C$2:$C$1117,"Sprint_10m",Versuchsdaten!$E$2:$E$1117,$E225,Versuchsdaten!$J$2:$J$1117,1)=1,SUMIFS(Versuchsdaten!$F$2:$F$1117,Versuchsdaten!$A$2:$A$1117,$A225,Versuchsdaten!$B$2:$B$1117,$B225,Versuchsdaten!$C$2:$C$1117,"Sprint_10m",Versuchsdaten!$E$2:$E$1117,$E225,Versuchsdaten!$J$2:$J$1117,1),""))</f>
        <v/>
      </c>
      <c r="M225" s="22">
        <f>IF(LEFT(C225,7)&lt;&gt;"Sprint_","",IF(COUNTIFS(Versuchsdaten!$A$2:$A$1117,$A225,Versuchsdaten!$B$2:$B$1117,$B225,Versuchsdaten!$C$2:$C$1117,"Sprint_30m",Versuchsdaten!$E$2:$E$1117,$E225,Versuchsdaten!$J$2:$J$1117,1)=1,SUMIFS(Versuchsdaten!$F$2:$F$1117,Versuchsdaten!$A$2:$A$1117,$A225,Versuchsdaten!$B$2:$B$1117,$B225,Versuchsdaten!$C$2:$C$1117,"Sprint_30m",Versuchsdaten!$E$2:$E$1117,$E225,Versuchsdaten!$J$2:$J$1117,1),""))</f>
        <v/>
      </c>
      <c r="N225" s="22">
        <f>IF(LEFT(C225,7)&lt;&gt;"Sprint_",0,IF(IF(ISNUMBER(K225),IF(K225&lt;=0,1,IF(5/K225&gt;10,1,0)),0)+IF(ISNUMBER(L225),IF(ISNUMBER(K225),IF(L225-K225&lt;=0,1,IF(5/(L225-K225)&gt;10,1,0)),IF(L225&lt;=0,1,IF(10/L225&gt;10,1,0))),0)+IF(ISNUMBER(M225),IF(ISNUMBER(L225),IF(M225-L225&lt;=0,1,IF(20/(M225-L225)&gt;10,1,0)),IF(ISNUMBER(K225),IF(M225-K225&lt;=0,1,IF(25/(M225-K225)&gt;10,1,0)),IF(M225&lt;=0,1,IF(30/M225&gt;10,1,0)))),0)&gt;0,1,0))</f>
        <v/>
      </c>
      <c r="O225" s="22">
        <f>IF(AND(J225=1,N225=0),1,0)</f>
        <v/>
      </c>
      <c r="P225" s="22">
        <f>INDEX(Personendaten!$J$2:$J$32,MATCH(A225,Personendaten!$A$2:$A$32,0))</f>
        <v/>
      </c>
      <c r="Q225" s="22">
        <f>IF(O225=1,"",IF(AND(B225="post",P225="nicht angetreten"),"NANG",IF(N225=1,"AUSL",IFERROR(VLOOKUP(H225,Vokabular!$A$2:$B$8,2,FALSE),"UNBEKANNT"))))</f>
        <v/>
      </c>
    </row>
    <row r="226">
      <c r="A226" s="5" t="inlineStr">
        <is>
          <t>HL-02</t>
        </is>
      </c>
      <c r="B226" s="5" t="inlineStr">
        <is>
          <t>prä</t>
        </is>
      </c>
      <c r="C226" s="5" t="inlineStr">
        <is>
          <t>Sprint_30m</t>
        </is>
      </c>
      <c r="D226" s="5" t="inlineStr">
        <is>
          <t>–</t>
        </is>
      </c>
      <c r="E226" s="5" t="n">
        <v>3</v>
      </c>
      <c r="F226" s="5" t="n">
        <v>4.19</v>
      </c>
      <c r="G226" s="5" t="n"/>
      <c r="H226" s="5" t="n"/>
      <c r="I226" s="22">
        <f>INDEX(Personendaten!$C$2:$C$32,MATCH(A226,Personendaten!$A$2:$A$32,0))</f>
        <v/>
      </c>
      <c r="J226" s="22">
        <f>IF(AND(F226&lt;&gt;"",G226=""),1,0)</f>
        <v/>
      </c>
      <c r="K226" s="22">
        <f>IF(LEFT(C226,7)&lt;&gt;"Sprint_","",IF(COUNTIFS(Versuchsdaten!$A$2:$A$1117,$A226,Versuchsdaten!$B$2:$B$1117,$B226,Versuchsdaten!$C$2:$C$1117,"Sprint_5m",Versuchsdaten!$E$2:$E$1117,$E226,Versuchsdaten!$J$2:$J$1117,1)=1,SUMIFS(Versuchsdaten!$F$2:$F$1117,Versuchsdaten!$A$2:$A$1117,$A226,Versuchsdaten!$B$2:$B$1117,$B226,Versuchsdaten!$C$2:$C$1117,"Sprint_5m",Versuchsdaten!$E$2:$E$1117,$E226,Versuchsdaten!$J$2:$J$1117,1),""))</f>
        <v/>
      </c>
      <c r="L226" s="22">
        <f>IF(LEFT(C226,7)&lt;&gt;"Sprint_","",IF(COUNTIFS(Versuchsdaten!$A$2:$A$1117,$A226,Versuchsdaten!$B$2:$B$1117,$B226,Versuchsdaten!$C$2:$C$1117,"Sprint_10m",Versuchsdaten!$E$2:$E$1117,$E226,Versuchsdaten!$J$2:$J$1117,1)=1,SUMIFS(Versuchsdaten!$F$2:$F$1117,Versuchsdaten!$A$2:$A$1117,$A226,Versuchsdaten!$B$2:$B$1117,$B226,Versuchsdaten!$C$2:$C$1117,"Sprint_10m",Versuchsdaten!$E$2:$E$1117,$E226,Versuchsdaten!$J$2:$J$1117,1),""))</f>
        <v/>
      </c>
      <c r="M226" s="22">
        <f>IF(LEFT(C226,7)&lt;&gt;"Sprint_","",IF(COUNTIFS(Versuchsdaten!$A$2:$A$1117,$A226,Versuchsdaten!$B$2:$B$1117,$B226,Versuchsdaten!$C$2:$C$1117,"Sprint_30m",Versuchsdaten!$E$2:$E$1117,$E226,Versuchsdaten!$J$2:$J$1117,1)=1,SUMIFS(Versuchsdaten!$F$2:$F$1117,Versuchsdaten!$A$2:$A$1117,$A226,Versuchsdaten!$B$2:$B$1117,$B226,Versuchsdaten!$C$2:$C$1117,"Sprint_30m",Versuchsdaten!$E$2:$E$1117,$E226,Versuchsdaten!$J$2:$J$1117,1),""))</f>
        <v/>
      </c>
      <c r="N226" s="22">
        <f>IF(LEFT(C226,7)&lt;&gt;"Sprint_",0,IF(IF(ISNUMBER(K226),IF(K226&lt;=0,1,IF(5/K226&gt;10,1,0)),0)+IF(ISNUMBER(L226),IF(ISNUMBER(K226),IF(L226-K226&lt;=0,1,IF(5/(L226-K226)&gt;10,1,0)),IF(L226&lt;=0,1,IF(10/L226&gt;10,1,0))),0)+IF(ISNUMBER(M226),IF(ISNUMBER(L226),IF(M226-L226&lt;=0,1,IF(20/(M226-L226)&gt;10,1,0)),IF(ISNUMBER(K226),IF(M226-K226&lt;=0,1,IF(25/(M226-K226)&gt;10,1,0)),IF(M226&lt;=0,1,IF(30/M226&gt;10,1,0)))),0)&gt;0,1,0))</f>
        <v/>
      </c>
      <c r="O226" s="22">
        <f>IF(AND(J226=1,N226=0),1,0)</f>
        <v/>
      </c>
      <c r="P226" s="22">
        <f>INDEX(Personendaten!$J$2:$J$32,MATCH(A226,Personendaten!$A$2:$A$32,0))</f>
        <v/>
      </c>
      <c r="Q226" s="22">
        <f>IF(O226=1,"",IF(AND(B226="post",P226="nicht angetreten"),"NANG",IF(N226=1,"AUSL",IFERROR(VLOOKUP(H226,Vokabular!$A$2:$B$8,2,FALSE),"UNBEKANNT"))))</f>
        <v/>
      </c>
    </row>
    <row r="227">
      <c r="A227" s="5" t="inlineStr">
        <is>
          <t>HL-02</t>
        </is>
      </c>
      <c r="B227" s="5" t="inlineStr">
        <is>
          <t>prä</t>
        </is>
      </c>
      <c r="C227" s="5" t="inlineStr">
        <is>
          <t>Standweitsprung</t>
        </is>
      </c>
      <c r="D227" s="5" t="inlineStr">
        <is>
          <t>–</t>
        </is>
      </c>
      <c r="E227" s="5" t="n">
        <v>1</v>
      </c>
      <c r="F227" s="5" t="n">
        <v>246</v>
      </c>
      <c r="G227" s="5" t="n"/>
      <c r="H227" s="5" t="n"/>
      <c r="I227" s="22">
        <f>INDEX(Personendaten!$C$2:$C$32,MATCH(A227,Personendaten!$A$2:$A$32,0))</f>
        <v/>
      </c>
      <c r="J227" s="22">
        <f>IF(AND(F227&lt;&gt;"",G227=""),1,0)</f>
        <v/>
      </c>
      <c r="K227" s="22">
        <f>IF(LEFT(C227,7)&lt;&gt;"Sprint_","",IF(COUNTIFS(Versuchsdaten!$A$2:$A$1117,$A227,Versuchsdaten!$B$2:$B$1117,$B227,Versuchsdaten!$C$2:$C$1117,"Sprint_5m",Versuchsdaten!$E$2:$E$1117,$E227,Versuchsdaten!$J$2:$J$1117,1)=1,SUMIFS(Versuchsdaten!$F$2:$F$1117,Versuchsdaten!$A$2:$A$1117,$A227,Versuchsdaten!$B$2:$B$1117,$B227,Versuchsdaten!$C$2:$C$1117,"Sprint_5m",Versuchsdaten!$E$2:$E$1117,$E227,Versuchsdaten!$J$2:$J$1117,1),""))</f>
        <v/>
      </c>
      <c r="L227" s="22">
        <f>IF(LEFT(C227,7)&lt;&gt;"Sprint_","",IF(COUNTIFS(Versuchsdaten!$A$2:$A$1117,$A227,Versuchsdaten!$B$2:$B$1117,$B227,Versuchsdaten!$C$2:$C$1117,"Sprint_10m",Versuchsdaten!$E$2:$E$1117,$E227,Versuchsdaten!$J$2:$J$1117,1)=1,SUMIFS(Versuchsdaten!$F$2:$F$1117,Versuchsdaten!$A$2:$A$1117,$A227,Versuchsdaten!$B$2:$B$1117,$B227,Versuchsdaten!$C$2:$C$1117,"Sprint_10m",Versuchsdaten!$E$2:$E$1117,$E227,Versuchsdaten!$J$2:$J$1117,1),""))</f>
        <v/>
      </c>
      <c r="M227" s="22">
        <f>IF(LEFT(C227,7)&lt;&gt;"Sprint_","",IF(COUNTIFS(Versuchsdaten!$A$2:$A$1117,$A227,Versuchsdaten!$B$2:$B$1117,$B227,Versuchsdaten!$C$2:$C$1117,"Sprint_30m",Versuchsdaten!$E$2:$E$1117,$E227,Versuchsdaten!$J$2:$J$1117,1)=1,SUMIFS(Versuchsdaten!$F$2:$F$1117,Versuchsdaten!$A$2:$A$1117,$A227,Versuchsdaten!$B$2:$B$1117,$B227,Versuchsdaten!$C$2:$C$1117,"Sprint_30m",Versuchsdaten!$E$2:$E$1117,$E227,Versuchsdaten!$J$2:$J$1117,1),""))</f>
        <v/>
      </c>
      <c r="N227" s="22">
        <f>IF(LEFT(C227,7)&lt;&gt;"Sprint_",0,IF(IF(ISNUMBER(K227),IF(K227&lt;=0,1,IF(5/K227&gt;10,1,0)),0)+IF(ISNUMBER(L227),IF(ISNUMBER(K227),IF(L227-K227&lt;=0,1,IF(5/(L227-K227)&gt;10,1,0)),IF(L227&lt;=0,1,IF(10/L227&gt;10,1,0))),0)+IF(ISNUMBER(M227),IF(ISNUMBER(L227),IF(M227-L227&lt;=0,1,IF(20/(M227-L227)&gt;10,1,0)),IF(ISNUMBER(K227),IF(M227-K227&lt;=0,1,IF(25/(M227-K227)&gt;10,1,0)),IF(M227&lt;=0,1,IF(30/M227&gt;10,1,0)))),0)&gt;0,1,0))</f>
        <v/>
      </c>
      <c r="O227" s="22">
        <f>IF(AND(J227=1,N227=0),1,0)</f>
        <v/>
      </c>
      <c r="P227" s="22">
        <f>INDEX(Personendaten!$J$2:$J$32,MATCH(A227,Personendaten!$A$2:$A$32,0))</f>
        <v/>
      </c>
      <c r="Q227" s="22">
        <f>IF(O227=1,"",IF(AND(B227="post",P227="nicht angetreten"),"NANG",IF(N227=1,"AUSL",IFERROR(VLOOKUP(H227,Vokabular!$A$2:$B$8,2,FALSE),"UNBEKANNT"))))</f>
        <v/>
      </c>
    </row>
    <row r="228">
      <c r="A228" s="5" t="inlineStr">
        <is>
          <t>HL-02</t>
        </is>
      </c>
      <c r="B228" s="5" t="inlineStr">
        <is>
          <t>prä</t>
        </is>
      </c>
      <c r="C228" s="5" t="inlineStr">
        <is>
          <t>Standweitsprung</t>
        </is>
      </c>
      <c r="D228" s="5" t="inlineStr">
        <is>
          <t>–</t>
        </is>
      </c>
      <c r="E228" s="5" t="n">
        <v>2</v>
      </c>
      <c r="F228" s="5" t="n"/>
      <c r="G228" s="5" t="n"/>
      <c r="H228" s="5" t="inlineStr">
        <is>
          <t>System nicht aufgenommen</t>
        </is>
      </c>
      <c r="I228" s="22">
        <f>INDEX(Personendaten!$C$2:$C$32,MATCH(A228,Personendaten!$A$2:$A$32,0))</f>
        <v/>
      </c>
      <c r="J228" s="22">
        <f>IF(AND(F228&lt;&gt;"",G228=""),1,0)</f>
        <v/>
      </c>
      <c r="K228" s="22">
        <f>IF(LEFT(C228,7)&lt;&gt;"Sprint_","",IF(COUNTIFS(Versuchsdaten!$A$2:$A$1117,$A228,Versuchsdaten!$B$2:$B$1117,$B228,Versuchsdaten!$C$2:$C$1117,"Sprint_5m",Versuchsdaten!$E$2:$E$1117,$E228,Versuchsdaten!$J$2:$J$1117,1)=1,SUMIFS(Versuchsdaten!$F$2:$F$1117,Versuchsdaten!$A$2:$A$1117,$A228,Versuchsdaten!$B$2:$B$1117,$B228,Versuchsdaten!$C$2:$C$1117,"Sprint_5m",Versuchsdaten!$E$2:$E$1117,$E228,Versuchsdaten!$J$2:$J$1117,1),""))</f>
        <v/>
      </c>
      <c r="L228" s="22">
        <f>IF(LEFT(C228,7)&lt;&gt;"Sprint_","",IF(COUNTIFS(Versuchsdaten!$A$2:$A$1117,$A228,Versuchsdaten!$B$2:$B$1117,$B228,Versuchsdaten!$C$2:$C$1117,"Sprint_10m",Versuchsdaten!$E$2:$E$1117,$E228,Versuchsdaten!$J$2:$J$1117,1)=1,SUMIFS(Versuchsdaten!$F$2:$F$1117,Versuchsdaten!$A$2:$A$1117,$A228,Versuchsdaten!$B$2:$B$1117,$B228,Versuchsdaten!$C$2:$C$1117,"Sprint_10m",Versuchsdaten!$E$2:$E$1117,$E228,Versuchsdaten!$J$2:$J$1117,1),""))</f>
        <v/>
      </c>
      <c r="M228" s="22">
        <f>IF(LEFT(C228,7)&lt;&gt;"Sprint_","",IF(COUNTIFS(Versuchsdaten!$A$2:$A$1117,$A228,Versuchsdaten!$B$2:$B$1117,$B228,Versuchsdaten!$C$2:$C$1117,"Sprint_30m",Versuchsdaten!$E$2:$E$1117,$E228,Versuchsdaten!$J$2:$J$1117,1)=1,SUMIFS(Versuchsdaten!$F$2:$F$1117,Versuchsdaten!$A$2:$A$1117,$A228,Versuchsdaten!$B$2:$B$1117,$B228,Versuchsdaten!$C$2:$C$1117,"Sprint_30m",Versuchsdaten!$E$2:$E$1117,$E228,Versuchsdaten!$J$2:$J$1117,1),""))</f>
        <v/>
      </c>
      <c r="N228" s="22">
        <f>IF(LEFT(C228,7)&lt;&gt;"Sprint_",0,IF(IF(ISNUMBER(K228),IF(K228&lt;=0,1,IF(5/K228&gt;10,1,0)),0)+IF(ISNUMBER(L228),IF(ISNUMBER(K228),IF(L228-K228&lt;=0,1,IF(5/(L228-K228)&gt;10,1,0)),IF(L228&lt;=0,1,IF(10/L228&gt;10,1,0))),0)+IF(ISNUMBER(M228),IF(ISNUMBER(L228),IF(M228-L228&lt;=0,1,IF(20/(M228-L228)&gt;10,1,0)),IF(ISNUMBER(K228),IF(M228-K228&lt;=0,1,IF(25/(M228-K228)&gt;10,1,0)),IF(M228&lt;=0,1,IF(30/M228&gt;10,1,0)))),0)&gt;0,1,0))</f>
        <v/>
      </c>
      <c r="O228" s="22">
        <f>IF(AND(J228=1,N228=0),1,0)</f>
        <v/>
      </c>
      <c r="P228" s="22">
        <f>INDEX(Personendaten!$J$2:$J$32,MATCH(A228,Personendaten!$A$2:$A$32,0))</f>
        <v/>
      </c>
      <c r="Q228" s="22">
        <f>IF(O228=1,"",IF(AND(B228="post",P228="nicht angetreten"),"NANG",IF(N228=1,"AUSL",IFERROR(VLOOKUP(H228,Vokabular!$A$2:$B$8,2,FALSE),"UNBEKANNT"))))</f>
        <v/>
      </c>
    </row>
    <row r="229">
      <c r="A229" s="5" t="inlineStr">
        <is>
          <t>HL-02</t>
        </is>
      </c>
      <c r="B229" s="5" t="inlineStr">
        <is>
          <t>prä</t>
        </is>
      </c>
      <c r="C229" s="5" t="inlineStr">
        <is>
          <t>Standweitsprung</t>
        </is>
      </c>
      <c r="D229" s="5" t="inlineStr">
        <is>
          <t>–</t>
        </is>
      </c>
      <c r="E229" s="5" t="n">
        <v>3</v>
      </c>
      <c r="F229" s="5" t="n">
        <v>251</v>
      </c>
      <c r="G229" s="5" t="n"/>
      <c r="H229" s="5" t="n"/>
      <c r="I229" s="22">
        <f>INDEX(Personendaten!$C$2:$C$32,MATCH(A229,Personendaten!$A$2:$A$32,0))</f>
        <v/>
      </c>
      <c r="J229" s="22">
        <f>IF(AND(F229&lt;&gt;"",G229=""),1,0)</f>
        <v/>
      </c>
      <c r="K229" s="22">
        <f>IF(LEFT(C229,7)&lt;&gt;"Sprint_","",IF(COUNTIFS(Versuchsdaten!$A$2:$A$1117,$A229,Versuchsdaten!$B$2:$B$1117,$B229,Versuchsdaten!$C$2:$C$1117,"Sprint_5m",Versuchsdaten!$E$2:$E$1117,$E229,Versuchsdaten!$J$2:$J$1117,1)=1,SUMIFS(Versuchsdaten!$F$2:$F$1117,Versuchsdaten!$A$2:$A$1117,$A229,Versuchsdaten!$B$2:$B$1117,$B229,Versuchsdaten!$C$2:$C$1117,"Sprint_5m",Versuchsdaten!$E$2:$E$1117,$E229,Versuchsdaten!$J$2:$J$1117,1),""))</f>
        <v/>
      </c>
      <c r="L229" s="22">
        <f>IF(LEFT(C229,7)&lt;&gt;"Sprint_","",IF(COUNTIFS(Versuchsdaten!$A$2:$A$1117,$A229,Versuchsdaten!$B$2:$B$1117,$B229,Versuchsdaten!$C$2:$C$1117,"Sprint_10m",Versuchsdaten!$E$2:$E$1117,$E229,Versuchsdaten!$J$2:$J$1117,1)=1,SUMIFS(Versuchsdaten!$F$2:$F$1117,Versuchsdaten!$A$2:$A$1117,$A229,Versuchsdaten!$B$2:$B$1117,$B229,Versuchsdaten!$C$2:$C$1117,"Sprint_10m",Versuchsdaten!$E$2:$E$1117,$E229,Versuchsdaten!$J$2:$J$1117,1),""))</f>
        <v/>
      </c>
      <c r="M229" s="22">
        <f>IF(LEFT(C229,7)&lt;&gt;"Sprint_","",IF(COUNTIFS(Versuchsdaten!$A$2:$A$1117,$A229,Versuchsdaten!$B$2:$B$1117,$B229,Versuchsdaten!$C$2:$C$1117,"Sprint_30m",Versuchsdaten!$E$2:$E$1117,$E229,Versuchsdaten!$J$2:$J$1117,1)=1,SUMIFS(Versuchsdaten!$F$2:$F$1117,Versuchsdaten!$A$2:$A$1117,$A229,Versuchsdaten!$B$2:$B$1117,$B229,Versuchsdaten!$C$2:$C$1117,"Sprint_30m",Versuchsdaten!$E$2:$E$1117,$E229,Versuchsdaten!$J$2:$J$1117,1),""))</f>
        <v/>
      </c>
      <c r="N229" s="22">
        <f>IF(LEFT(C229,7)&lt;&gt;"Sprint_",0,IF(IF(ISNUMBER(K229),IF(K229&lt;=0,1,IF(5/K229&gt;10,1,0)),0)+IF(ISNUMBER(L229),IF(ISNUMBER(K229),IF(L229-K229&lt;=0,1,IF(5/(L229-K229)&gt;10,1,0)),IF(L229&lt;=0,1,IF(10/L229&gt;10,1,0))),0)+IF(ISNUMBER(M229),IF(ISNUMBER(L229),IF(M229-L229&lt;=0,1,IF(20/(M229-L229)&gt;10,1,0)),IF(ISNUMBER(K229),IF(M229-K229&lt;=0,1,IF(25/(M229-K229)&gt;10,1,0)),IF(M229&lt;=0,1,IF(30/M229&gt;10,1,0)))),0)&gt;0,1,0))</f>
        <v/>
      </c>
      <c r="O229" s="22">
        <f>IF(AND(J229=1,N229=0),1,0)</f>
        <v/>
      </c>
      <c r="P229" s="22">
        <f>INDEX(Personendaten!$J$2:$J$32,MATCH(A229,Personendaten!$A$2:$A$32,0))</f>
        <v/>
      </c>
      <c r="Q229" s="22">
        <f>IF(O229=1,"",IF(AND(B229="post",P229="nicht angetreten"),"NANG",IF(N229=1,"AUSL",IFERROR(VLOOKUP(H229,Vokabular!$A$2:$B$8,2,FALSE),"UNBEKANNT"))))</f>
        <v/>
      </c>
    </row>
    <row r="230">
      <c r="A230" s="5" t="inlineStr">
        <is>
          <t>HL-02</t>
        </is>
      </c>
      <c r="B230" s="5" t="inlineStr">
        <is>
          <t>prä</t>
        </is>
      </c>
      <c r="C230" s="5" t="inlineStr">
        <is>
          <t>COD_505</t>
        </is>
      </c>
      <c r="D230" s="5" t="inlineStr">
        <is>
          <t>L</t>
        </is>
      </c>
      <c r="E230" s="5" t="n">
        <v>1</v>
      </c>
      <c r="F230" s="5" t="n">
        <v>2.58</v>
      </c>
      <c r="G230" s="5" t="n"/>
      <c r="H230" s="5" t="n"/>
      <c r="I230" s="22">
        <f>INDEX(Personendaten!$C$2:$C$32,MATCH(A230,Personendaten!$A$2:$A$32,0))</f>
        <v/>
      </c>
      <c r="J230" s="22">
        <f>IF(AND(F230&lt;&gt;"",G230=""),1,0)</f>
        <v/>
      </c>
      <c r="K230" s="22">
        <f>IF(LEFT(C230,7)&lt;&gt;"Sprint_","",IF(COUNTIFS(Versuchsdaten!$A$2:$A$1117,$A230,Versuchsdaten!$B$2:$B$1117,$B230,Versuchsdaten!$C$2:$C$1117,"Sprint_5m",Versuchsdaten!$E$2:$E$1117,$E230,Versuchsdaten!$J$2:$J$1117,1)=1,SUMIFS(Versuchsdaten!$F$2:$F$1117,Versuchsdaten!$A$2:$A$1117,$A230,Versuchsdaten!$B$2:$B$1117,$B230,Versuchsdaten!$C$2:$C$1117,"Sprint_5m",Versuchsdaten!$E$2:$E$1117,$E230,Versuchsdaten!$J$2:$J$1117,1),""))</f>
        <v/>
      </c>
      <c r="L230" s="22">
        <f>IF(LEFT(C230,7)&lt;&gt;"Sprint_","",IF(COUNTIFS(Versuchsdaten!$A$2:$A$1117,$A230,Versuchsdaten!$B$2:$B$1117,$B230,Versuchsdaten!$C$2:$C$1117,"Sprint_10m",Versuchsdaten!$E$2:$E$1117,$E230,Versuchsdaten!$J$2:$J$1117,1)=1,SUMIFS(Versuchsdaten!$F$2:$F$1117,Versuchsdaten!$A$2:$A$1117,$A230,Versuchsdaten!$B$2:$B$1117,$B230,Versuchsdaten!$C$2:$C$1117,"Sprint_10m",Versuchsdaten!$E$2:$E$1117,$E230,Versuchsdaten!$J$2:$J$1117,1),""))</f>
        <v/>
      </c>
      <c r="M230" s="22">
        <f>IF(LEFT(C230,7)&lt;&gt;"Sprint_","",IF(COUNTIFS(Versuchsdaten!$A$2:$A$1117,$A230,Versuchsdaten!$B$2:$B$1117,$B230,Versuchsdaten!$C$2:$C$1117,"Sprint_30m",Versuchsdaten!$E$2:$E$1117,$E230,Versuchsdaten!$J$2:$J$1117,1)=1,SUMIFS(Versuchsdaten!$F$2:$F$1117,Versuchsdaten!$A$2:$A$1117,$A230,Versuchsdaten!$B$2:$B$1117,$B230,Versuchsdaten!$C$2:$C$1117,"Sprint_30m",Versuchsdaten!$E$2:$E$1117,$E230,Versuchsdaten!$J$2:$J$1117,1),""))</f>
        <v/>
      </c>
      <c r="N230" s="22">
        <f>IF(LEFT(C230,7)&lt;&gt;"Sprint_",0,IF(IF(ISNUMBER(K230),IF(K230&lt;=0,1,IF(5/K230&gt;10,1,0)),0)+IF(ISNUMBER(L230),IF(ISNUMBER(K230),IF(L230-K230&lt;=0,1,IF(5/(L230-K230)&gt;10,1,0)),IF(L230&lt;=0,1,IF(10/L230&gt;10,1,0))),0)+IF(ISNUMBER(M230),IF(ISNUMBER(L230),IF(M230-L230&lt;=0,1,IF(20/(M230-L230)&gt;10,1,0)),IF(ISNUMBER(K230),IF(M230-K230&lt;=0,1,IF(25/(M230-K230)&gt;10,1,0)),IF(M230&lt;=0,1,IF(30/M230&gt;10,1,0)))),0)&gt;0,1,0))</f>
        <v/>
      </c>
      <c r="O230" s="22">
        <f>IF(AND(J230=1,N230=0),1,0)</f>
        <v/>
      </c>
      <c r="P230" s="22">
        <f>INDEX(Personendaten!$J$2:$J$32,MATCH(A230,Personendaten!$A$2:$A$32,0))</f>
        <v/>
      </c>
      <c r="Q230" s="22">
        <f>IF(O230=1,"",IF(AND(B230="post",P230="nicht angetreten"),"NANG",IF(N230=1,"AUSL",IFERROR(VLOOKUP(H230,Vokabular!$A$2:$B$8,2,FALSE),"UNBEKANNT"))))</f>
        <v/>
      </c>
    </row>
    <row r="231">
      <c r="A231" s="5" t="inlineStr">
        <is>
          <t>HL-02</t>
        </is>
      </c>
      <c r="B231" s="5" t="inlineStr">
        <is>
          <t>prä</t>
        </is>
      </c>
      <c r="C231" s="5" t="inlineStr">
        <is>
          <t>COD_505</t>
        </is>
      </c>
      <c r="D231" s="5" t="inlineStr">
        <is>
          <t>L</t>
        </is>
      </c>
      <c r="E231" s="5" t="n">
        <v>2</v>
      </c>
      <c r="F231" s="5" t="n">
        <v>2.27</v>
      </c>
      <c r="G231" s="5" t="n"/>
      <c r="H231" s="5" t="n"/>
      <c r="I231" s="22">
        <f>INDEX(Personendaten!$C$2:$C$32,MATCH(A231,Personendaten!$A$2:$A$32,0))</f>
        <v/>
      </c>
      <c r="J231" s="22">
        <f>IF(AND(F231&lt;&gt;"",G231=""),1,0)</f>
        <v/>
      </c>
      <c r="K231" s="22">
        <f>IF(LEFT(C231,7)&lt;&gt;"Sprint_","",IF(COUNTIFS(Versuchsdaten!$A$2:$A$1117,$A231,Versuchsdaten!$B$2:$B$1117,$B231,Versuchsdaten!$C$2:$C$1117,"Sprint_5m",Versuchsdaten!$E$2:$E$1117,$E231,Versuchsdaten!$J$2:$J$1117,1)=1,SUMIFS(Versuchsdaten!$F$2:$F$1117,Versuchsdaten!$A$2:$A$1117,$A231,Versuchsdaten!$B$2:$B$1117,$B231,Versuchsdaten!$C$2:$C$1117,"Sprint_5m",Versuchsdaten!$E$2:$E$1117,$E231,Versuchsdaten!$J$2:$J$1117,1),""))</f>
        <v/>
      </c>
      <c r="L231" s="22">
        <f>IF(LEFT(C231,7)&lt;&gt;"Sprint_","",IF(COUNTIFS(Versuchsdaten!$A$2:$A$1117,$A231,Versuchsdaten!$B$2:$B$1117,$B231,Versuchsdaten!$C$2:$C$1117,"Sprint_10m",Versuchsdaten!$E$2:$E$1117,$E231,Versuchsdaten!$J$2:$J$1117,1)=1,SUMIFS(Versuchsdaten!$F$2:$F$1117,Versuchsdaten!$A$2:$A$1117,$A231,Versuchsdaten!$B$2:$B$1117,$B231,Versuchsdaten!$C$2:$C$1117,"Sprint_10m",Versuchsdaten!$E$2:$E$1117,$E231,Versuchsdaten!$J$2:$J$1117,1),""))</f>
        <v/>
      </c>
      <c r="M231" s="22">
        <f>IF(LEFT(C231,7)&lt;&gt;"Sprint_","",IF(COUNTIFS(Versuchsdaten!$A$2:$A$1117,$A231,Versuchsdaten!$B$2:$B$1117,$B231,Versuchsdaten!$C$2:$C$1117,"Sprint_30m",Versuchsdaten!$E$2:$E$1117,$E231,Versuchsdaten!$J$2:$J$1117,1)=1,SUMIFS(Versuchsdaten!$F$2:$F$1117,Versuchsdaten!$A$2:$A$1117,$A231,Versuchsdaten!$B$2:$B$1117,$B231,Versuchsdaten!$C$2:$C$1117,"Sprint_30m",Versuchsdaten!$E$2:$E$1117,$E231,Versuchsdaten!$J$2:$J$1117,1),""))</f>
        <v/>
      </c>
      <c r="N231" s="22">
        <f>IF(LEFT(C231,7)&lt;&gt;"Sprint_",0,IF(IF(ISNUMBER(K231),IF(K231&lt;=0,1,IF(5/K231&gt;10,1,0)),0)+IF(ISNUMBER(L231),IF(ISNUMBER(K231),IF(L231-K231&lt;=0,1,IF(5/(L231-K231)&gt;10,1,0)),IF(L231&lt;=0,1,IF(10/L231&gt;10,1,0))),0)+IF(ISNUMBER(M231),IF(ISNUMBER(L231),IF(M231-L231&lt;=0,1,IF(20/(M231-L231)&gt;10,1,0)),IF(ISNUMBER(K231),IF(M231-K231&lt;=0,1,IF(25/(M231-K231)&gt;10,1,0)),IF(M231&lt;=0,1,IF(30/M231&gt;10,1,0)))),0)&gt;0,1,0))</f>
        <v/>
      </c>
      <c r="O231" s="22">
        <f>IF(AND(J231=1,N231=0),1,0)</f>
        <v/>
      </c>
      <c r="P231" s="22">
        <f>INDEX(Personendaten!$J$2:$J$32,MATCH(A231,Personendaten!$A$2:$A$32,0))</f>
        <v/>
      </c>
      <c r="Q231" s="22">
        <f>IF(O231=1,"",IF(AND(B231="post",P231="nicht angetreten"),"NANG",IF(N231=1,"AUSL",IFERROR(VLOOKUP(H231,Vokabular!$A$2:$B$8,2,FALSE),"UNBEKANNT"))))</f>
        <v/>
      </c>
    </row>
    <row r="232">
      <c r="A232" s="5" t="inlineStr">
        <is>
          <t>HL-02</t>
        </is>
      </c>
      <c r="B232" s="5" t="inlineStr">
        <is>
          <t>prä</t>
        </is>
      </c>
      <c r="C232" s="5" t="inlineStr">
        <is>
          <t>COD_505</t>
        </is>
      </c>
      <c r="D232" s="5" t="inlineStr">
        <is>
          <t>L</t>
        </is>
      </c>
      <c r="E232" s="5" t="n">
        <v>3</v>
      </c>
      <c r="F232" s="5" t="n">
        <v>2.24</v>
      </c>
      <c r="G232" s="5" t="n"/>
      <c r="H232" s="5" t="n"/>
      <c r="I232" s="22">
        <f>INDEX(Personendaten!$C$2:$C$32,MATCH(A232,Personendaten!$A$2:$A$32,0))</f>
        <v/>
      </c>
      <c r="J232" s="22">
        <f>IF(AND(F232&lt;&gt;"",G232=""),1,0)</f>
        <v/>
      </c>
      <c r="K232" s="22">
        <f>IF(LEFT(C232,7)&lt;&gt;"Sprint_","",IF(COUNTIFS(Versuchsdaten!$A$2:$A$1117,$A232,Versuchsdaten!$B$2:$B$1117,$B232,Versuchsdaten!$C$2:$C$1117,"Sprint_5m",Versuchsdaten!$E$2:$E$1117,$E232,Versuchsdaten!$J$2:$J$1117,1)=1,SUMIFS(Versuchsdaten!$F$2:$F$1117,Versuchsdaten!$A$2:$A$1117,$A232,Versuchsdaten!$B$2:$B$1117,$B232,Versuchsdaten!$C$2:$C$1117,"Sprint_5m",Versuchsdaten!$E$2:$E$1117,$E232,Versuchsdaten!$J$2:$J$1117,1),""))</f>
        <v/>
      </c>
      <c r="L232" s="22">
        <f>IF(LEFT(C232,7)&lt;&gt;"Sprint_","",IF(COUNTIFS(Versuchsdaten!$A$2:$A$1117,$A232,Versuchsdaten!$B$2:$B$1117,$B232,Versuchsdaten!$C$2:$C$1117,"Sprint_10m",Versuchsdaten!$E$2:$E$1117,$E232,Versuchsdaten!$J$2:$J$1117,1)=1,SUMIFS(Versuchsdaten!$F$2:$F$1117,Versuchsdaten!$A$2:$A$1117,$A232,Versuchsdaten!$B$2:$B$1117,$B232,Versuchsdaten!$C$2:$C$1117,"Sprint_10m",Versuchsdaten!$E$2:$E$1117,$E232,Versuchsdaten!$J$2:$J$1117,1),""))</f>
        <v/>
      </c>
      <c r="M232" s="22">
        <f>IF(LEFT(C232,7)&lt;&gt;"Sprint_","",IF(COUNTIFS(Versuchsdaten!$A$2:$A$1117,$A232,Versuchsdaten!$B$2:$B$1117,$B232,Versuchsdaten!$C$2:$C$1117,"Sprint_30m",Versuchsdaten!$E$2:$E$1117,$E232,Versuchsdaten!$J$2:$J$1117,1)=1,SUMIFS(Versuchsdaten!$F$2:$F$1117,Versuchsdaten!$A$2:$A$1117,$A232,Versuchsdaten!$B$2:$B$1117,$B232,Versuchsdaten!$C$2:$C$1117,"Sprint_30m",Versuchsdaten!$E$2:$E$1117,$E232,Versuchsdaten!$J$2:$J$1117,1),""))</f>
        <v/>
      </c>
      <c r="N232" s="22">
        <f>IF(LEFT(C232,7)&lt;&gt;"Sprint_",0,IF(IF(ISNUMBER(K232),IF(K232&lt;=0,1,IF(5/K232&gt;10,1,0)),0)+IF(ISNUMBER(L232),IF(ISNUMBER(K232),IF(L232-K232&lt;=0,1,IF(5/(L232-K232)&gt;10,1,0)),IF(L232&lt;=0,1,IF(10/L232&gt;10,1,0))),0)+IF(ISNUMBER(M232),IF(ISNUMBER(L232),IF(M232-L232&lt;=0,1,IF(20/(M232-L232)&gt;10,1,0)),IF(ISNUMBER(K232),IF(M232-K232&lt;=0,1,IF(25/(M232-K232)&gt;10,1,0)),IF(M232&lt;=0,1,IF(30/M232&gt;10,1,0)))),0)&gt;0,1,0))</f>
        <v/>
      </c>
      <c r="O232" s="22">
        <f>IF(AND(J232=1,N232=0),1,0)</f>
        <v/>
      </c>
      <c r="P232" s="22">
        <f>INDEX(Personendaten!$J$2:$J$32,MATCH(A232,Personendaten!$A$2:$A$32,0))</f>
        <v/>
      </c>
      <c r="Q232" s="22">
        <f>IF(O232=1,"",IF(AND(B232="post",P232="nicht angetreten"),"NANG",IF(N232=1,"AUSL",IFERROR(VLOOKUP(H232,Vokabular!$A$2:$B$8,2,FALSE),"UNBEKANNT"))))</f>
        <v/>
      </c>
    </row>
    <row r="233">
      <c r="A233" s="5" t="inlineStr">
        <is>
          <t>HL-02</t>
        </is>
      </c>
      <c r="B233" s="5" t="inlineStr">
        <is>
          <t>prä</t>
        </is>
      </c>
      <c r="C233" s="5" t="inlineStr">
        <is>
          <t>COD_505</t>
        </is>
      </c>
      <c r="D233" s="5" t="inlineStr">
        <is>
          <t>R</t>
        </is>
      </c>
      <c r="E233" s="5" t="n">
        <v>1</v>
      </c>
      <c r="F233" s="5" t="n"/>
      <c r="G233" s="5" t="n"/>
      <c r="H233" s="5" t="inlineStr">
        <is>
          <t>System nicht aufgenommen</t>
        </is>
      </c>
      <c r="I233" s="22">
        <f>INDEX(Personendaten!$C$2:$C$32,MATCH(A233,Personendaten!$A$2:$A$32,0))</f>
        <v/>
      </c>
      <c r="J233" s="22">
        <f>IF(AND(F233&lt;&gt;"",G233=""),1,0)</f>
        <v/>
      </c>
      <c r="K233" s="22">
        <f>IF(LEFT(C233,7)&lt;&gt;"Sprint_","",IF(COUNTIFS(Versuchsdaten!$A$2:$A$1117,$A233,Versuchsdaten!$B$2:$B$1117,$B233,Versuchsdaten!$C$2:$C$1117,"Sprint_5m",Versuchsdaten!$E$2:$E$1117,$E233,Versuchsdaten!$J$2:$J$1117,1)=1,SUMIFS(Versuchsdaten!$F$2:$F$1117,Versuchsdaten!$A$2:$A$1117,$A233,Versuchsdaten!$B$2:$B$1117,$B233,Versuchsdaten!$C$2:$C$1117,"Sprint_5m",Versuchsdaten!$E$2:$E$1117,$E233,Versuchsdaten!$J$2:$J$1117,1),""))</f>
        <v/>
      </c>
      <c r="L233" s="22">
        <f>IF(LEFT(C233,7)&lt;&gt;"Sprint_","",IF(COUNTIFS(Versuchsdaten!$A$2:$A$1117,$A233,Versuchsdaten!$B$2:$B$1117,$B233,Versuchsdaten!$C$2:$C$1117,"Sprint_10m",Versuchsdaten!$E$2:$E$1117,$E233,Versuchsdaten!$J$2:$J$1117,1)=1,SUMIFS(Versuchsdaten!$F$2:$F$1117,Versuchsdaten!$A$2:$A$1117,$A233,Versuchsdaten!$B$2:$B$1117,$B233,Versuchsdaten!$C$2:$C$1117,"Sprint_10m",Versuchsdaten!$E$2:$E$1117,$E233,Versuchsdaten!$J$2:$J$1117,1),""))</f>
        <v/>
      </c>
      <c r="M233" s="22">
        <f>IF(LEFT(C233,7)&lt;&gt;"Sprint_","",IF(COUNTIFS(Versuchsdaten!$A$2:$A$1117,$A233,Versuchsdaten!$B$2:$B$1117,$B233,Versuchsdaten!$C$2:$C$1117,"Sprint_30m",Versuchsdaten!$E$2:$E$1117,$E233,Versuchsdaten!$J$2:$J$1117,1)=1,SUMIFS(Versuchsdaten!$F$2:$F$1117,Versuchsdaten!$A$2:$A$1117,$A233,Versuchsdaten!$B$2:$B$1117,$B233,Versuchsdaten!$C$2:$C$1117,"Sprint_30m",Versuchsdaten!$E$2:$E$1117,$E233,Versuchsdaten!$J$2:$J$1117,1),""))</f>
        <v/>
      </c>
      <c r="N233" s="22">
        <f>IF(LEFT(C233,7)&lt;&gt;"Sprint_",0,IF(IF(ISNUMBER(K233),IF(K233&lt;=0,1,IF(5/K233&gt;10,1,0)),0)+IF(ISNUMBER(L233),IF(ISNUMBER(K233),IF(L233-K233&lt;=0,1,IF(5/(L233-K233)&gt;10,1,0)),IF(L233&lt;=0,1,IF(10/L233&gt;10,1,0))),0)+IF(ISNUMBER(M233),IF(ISNUMBER(L233),IF(M233-L233&lt;=0,1,IF(20/(M233-L233)&gt;10,1,0)),IF(ISNUMBER(K233),IF(M233-K233&lt;=0,1,IF(25/(M233-K233)&gt;10,1,0)),IF(M233&lt;=0,1,IF(30/M233&gt;10,1,0)))),0)&gt;0,1,0))</f>
        <v/>
      </c>
      <c r="O233" s="22">
        <f>IF(AND(J233=1,N233=0),1,0)</f>
        <v/>
      </c>
      <c r="P233" s="22">
        <f>INDEX(Personendaten!$J$2:$J$32,MATCH(A233,Personendaten!$A$2:$A$32,0))</f>
        <v/>
      </c>
      <c r="Q233" s="22">
        <f>IF(O233=1,"",IF(AND(B233="post",P233="nicht angetreten"),"NANG",IF(N233=1,"AUSL",IFERROR(VLOOKUP(H233,Vokabular!$A$2:$B$8,2,FALSE),"UNBEKANNT"))))</f>
        <v/>
      </c>
    </row>
    <row r="234">
      <c r="A234" s="5" t="inlineStr">
        <is>
          <t>HL-02</t>
        </is>
      </c>
      <c r="B234" s="5" t="inlineStr">
        <is>
          <t>prä</t>
        </is>
      </c>
      <c r="C234" s="5" t="inlineStr">
        <is>
          <t>COD_505</t>
        </is>
      </c>
      <c r="D234" s="5" t="inlineStr">
        <is>
          <t>R</t>
        </is>
      </c>
      <c r="E234" s="5" t="n">
        <v>2</v>
      </c>
      <c r="F234" s="5" t="n">
        <v>2.15</v>
      </c>
      <c r="G234" s="5" t="n"/>
      <c r="H234" s="5" t="n"/>
      <c r="I234" s="22">
        <f>INDEX(Personendaten!$C$2:$C$32,MATCH(A234,Personendaten!$A$2:$A$32,0))</f>
        <v/>
      </c>
      <c r="J234" s="22">
        <f>IF(AND(F234&lt;&gt;"",G234=""),1,0)</f>
        <v/>
      </c>
      <c r="K234" s="22">
        <f>IF(LEFT(C234,7)&lt;&gt;"Sprint_","",IF(COUNTIFS(Versuchsdaten!$A$2:$A$1117,$A234,Versuchsdaten!$B$2:$B$1117,$B234,Versuchsdaten!$C$2:$C$1117,"Sprint_5m",Versuchsdaten!$E$2:$E$1117,$E234,Versuchsdaten!$J$2:$J$1117,1)=1,SUMIFS(Versuchsdaten!$F$2:$F$1117,Versuchsdaten!$A$2:$A$1117,$A234,Versuchsdaten!$B$2:$B$1117,$B234,Versuchsdaten!$C$2:$C$1117,"Sprint_5m",Versuchsdaten!$E$2:$E$1117,$E234,Versuchsdaten!$J$2:$J$1117,1),""))</f>
        <v/>
      </c>
      <c r="L234" s="22">
        <f>IF(LEFT(C234,7)&lt;&gt;"Sprint_","",IF(COUNTIFS(Versuchsdaten!$A$2:$A$1117,$A234,Versuchsdaten!$B$2:$B$1117,$B234,Versuchsdaten!$C$2:$C$1117,"Sprint_10m",Versuchsdaten!$E$2:$E$1117,$E234,Versuchsdaten!$J$2:$J$1117,1)=1,SUMIFS(Versuchsdaten!$F$2:$F$1117,Versuchsdaten!$A$2:$A$1117,$A234,Versuchsdaten!$B$2:$B$1117,$B234,Versuchsdaten!$C$2:$C$1117,"Sprint_10m",Versuchsdaten!$E$2:$E$1117,$E234,Versuchsdaten!$J$2:$J$1117,1),""))</f>
        <v/>
      </c>
      <c r="M234" s="22">
        <f>IF(LEFT(C234,7)&lt;&gt;"Sprint_","",IF(COUNTIFS(Versuchsdaten!$A$2:$A$1117,$A234,Versuchsdaten!$B$2:$B$1117,$B234,Versuchsdaten!$C$2:$C$1117,"Sprint_30m",Versuchsdaten!$E$2:$E$1117,$E234,Versuchsdaten!$J$2:$J$1117,1)=1,SUMIFS(Versuchsdaten!$F$2:$F$1117,Versuchsdaten!$A$2:$A$1117,$A234,Versuchsdaten!$B$2:$B$1117,$B234,Versuchsdaten!$C$2:$C$1117,"Sprint_30m",Versuchsdaten!$E$2:$E$1117,$E234,Versuchsdaten!$J$2:$J$1117,1),""))</f>
        <v/>
      </c>
      <c r="N234" s="22">
        <f>IF(LEFT(C234,7)&lt;&gt;"Sprint_",0,IF(IF(ISNUMBER(K234),IF(K234&lt;=0,1,IF(5/K234&gt;10,1,0)),0)+IF(ISNUMBER(L234),IF(ISNUMBER(K234),IF(L234-K234&lt;=0,1,IF(5/(L234-K234)&gt;10,1,0)),IF(L234&lt;=0,1,IF(10/L234&gt;10,1,0))),0)+IF(ISNUMBER(M234),IF(ISNUMBER(L234),IF(M234-L234&lt;=0,1,IF(20/(M234-L234)&gt;10,1,0)),IF(ISNUMBER(K234),IF(M234-K234&lt;=0,1,IF(25/(M234-K234)&gt;10,1,0)),IF(M234&lt;=0,1,IF(30/M234&gt;10,1,0)))),0)&gt;0,1,0))</f>
        <v/>
      </c>
      <c r="O234" s="22">
        <f>IF(AND(J234=1,N234=0),1,0)</f>
        <v/>
      </c>
      <c r="P234" s="22">
        <f>INDEX(Personendaten!$J$2:$J$32,MATCH(A234,Personendaten!$A$2:$A$32,0))</f>
        <v/>
      </c>
      <c r="Q234" s="22">
        <f>IF(O234=1,"",IF(AND(B234="post",P234="nicht angetreten"),"NANG",IF(N234=1,"AUSL",IFERROR(VLOOKUP(H234,Vokabular!$A$2:$B$8,2,FALSE),"UNBEKANNT"))))</f>
        <v/>
      </c>
    </row>
    <row r="235">
      <c r="A235" s="5" t="inlineStr">
        <is>
          <t>HL-02</t>
        </is>
      </c>
      <c r="B235" s="5" t="inlineStr">
        <is>
          <t>prä</t>
        </is>
      </c>
      <c r="C235" s="5" t="inlineStr">
        <is>
          <t>COD_505</t>
        </is>
      </c>
      <c r="D235" s="5" t="inlineStr">
        <is>
          <t>R</t>
        </is>
      </c>
      <c r="E235" s="5" t="n">
        <v>3</v>
      </c>
      <c r="F235" s="5" t="n">
        <v>2.25</v>
      </c>
      <c r="G235" s="5" t="n"/>
      <c r="H235" s="5" t="n"/>
      <c r="I235" s="22">
        <f>INDEX(Personendaten!$C$2:$C$32,MATCH(A235,Personendaten!$A$2:$A$32,0))</f>
        <v/>
      </c>
      <c r="J235" s="22">
        <f>IF(AND(F235&lt;&gt;"",G235=""),1,0)</f>
        <v/>
      </c>
      <c r="K235" s="22">
        <f>IF(LEFT(C235,7)&lt;&gt;"Sprint_","",IF(COUNTIFS(Versuchsdaten!$A$2:$A$1117,$A235,Versuchsdaten!$B$2:$B$1117,$B235,Versuchsdaten!$C$2:$C$1117,"Sprint_5m",Versuchsdaten!$E$2:$E$1117,$E235,Versuchsdaten!$J$2:$J$1117,1)=1,SUMIFS(Versuchsdaten!$F$2:$F$1117,Versuchsdaten!$A$2:$A$1117,$A235,Versuchsdaten!$B$2:$B$1117,$B235,Versuchsdaten!$C$2:$C$1117,"Sprint_5m",Versuchsdaten!$E$2:$E$1117,$E235,Versuchsdaten!$J$2:$J$1117,1),""))</f>
        <v/>
      </c>
      <c r="L235" s="22">
        <f>IF(LEFT(C235,7)&lt;&gt;"Sprint_","",IF(COUNTIFS(Versuchsdaten!$A$2:$A$1117,$A235,Versuchsdaten!$B$2:$B$1117,$B235,Versuchsdaten!$C$2:$C$1117,"Sprint_10m",Versuchsdaten!$E$2:$E$1117,$E235,Versuchsdaten!$J$2:$J$1117,1)=1,SUMIFS(Versuchsdaten!$F$2:$F$1117,Versuchsdaten!$A$2:$A$1117,$A235,Versuchsdaten!$B$2:$B$1117,$B235,Versuchsdaten!$C$2:$C$1117,"Sprint_10m",Versuchsdaten!$E$2:$E$1117,$E235,Versuchsdaten!$J$2:$J$1117,1),""))</f>
        <v/>
      </c>
      <c r="M235" s="22">
        <f>IF(LEFT(C235,7)&lt;&gt;"Sprint_","",IF(COUNTIFS(Versuchsdaten!$A$2:$A$1117,$A235,Versuchsdaten!$B$2:$B$1117,$B235,Versuchsdaten!$C$2:$C$1117,"Sprint_30m",Versuchsdaten!$E$2:$E$1117,$E235,Versuchsdaten!$J$2:$J$1117,1)=1,SUMIFS(Versuchsdaten!$F$2:$F$1117,Versuchsdaten!$A$2:$A$1117,$A235,Versuchsdaten!$B$2:$B$1117,$B235,Versuchsdaten!$C$2:$C$1117,"Sprint_30m",Versuchsdaten!$E$2:$E$1117,$E235,Versuchsdaten!$J$2:$J$1117,1),""))</f>
        <v/>
      </c>
      <c r="N235" s="22">
        <f>IF(LEFT(C235,7)&lt;&gt;"Sprint_",0,IF(IF(ISNUMBER(K235),IF(K235&lt;=0,1,IF(5/K235&gt;10,1,0)),0)+IF(ISNUMBER(L235),IF(ISNUMBER(K235),IF(L235-K235&lt;=0,1,IF(5/(L235-K235)&gt;10,1,0)),IF(L235&lt;=0,1,IF(10/L235&gt;10,1,0))),0)+IF(ISNUMBER(M235),IF(ISNUMBER(L235),IF(M235-L235&lt;=0,1,IF(20/(M235-L235)&gt;10,1,0)),IF(ISNUMBER(K235),IF(M235-K235&lt;=0,1,IF(25/(M235-K235)&gt;10,1,0)),IF(M235&lt;=0,1,IF(30/M235&gt;10,1,0)))),0)&gt;0,1,0))</f>
        <v/>
      </c>
      <c r="O235" s="22">
        <f>IF(AND(J235=1,N235=0),1,0)</f>
        <v/>
      </c>
      <c r="P235" s="22">
        <f>INDEX(Personendaten!$J$2:$J$32,MATCH(A235,Personendaten!$A$2:$A$32,0))</f>
        <v/>
      </c>
      <c r="Q235" s="22">
        <f>IF(O235=1,"",IF(AND(B235="post",P235="nicht angetreten"),"NANG",IF(N235=1,"AUSL",IFERROR(VLOOKUP(H235,Vokabular!$A$2:$B$8,2,FALSE),"UNBEKANNT"))))</f>
        <v/>
      </c>
    </row>
    <row r="236">
      <c r="A236" s="5" t="inlineStr">
        <is>
          <t>HL-03</t>
        </is>
      </c>
      <c r="B236" s="5" t="inlineStr">
        <is>
          <t>prä</t>
        </is>
      </c>
      <c r="C236" s="5" t="inlineStr">
        <is>
          <t>Sprint_5m</t>
        </is>
      </c>
      <c r="D236" s="5" t="inlineStr">
        <is>
          <t>–</t>
        </is>
      </c>
      <c r="E236" s="5" t="n">
        <v>1</v>
      </c>
      <c r="F236" s="5" t="n">
        <v>1</v>
      </c>
      <c r="G236" s="5" t="n"/>
      <c r="H236" s="5" t="n"/>
      <c r="I236" s="22">
        <f>INDEX(Personendaten!$C$2:$C$32,MATCH(A236,Personendaten!$A$2:$A$32,0))</f>
        <v/>
      </c>
      <c r="J236" s="22">
        <f>IF(AND(F236&lt;&gt;"",G236=""),1,0)</f>
        <v/>
      </c>
      <c r="K236" s="22">
        <f>IF(LEFT(C236,7)&lt;&gt;"Sprint_","",IF(COUNTIFS(Versuchsdaten!$A$2:$A$1117,$A236,Versuchsdaten!$B$2:$B$1117,$B236,Versuchsdaten!$C$2:$C$1117,"Sprint_5m",Versuchsdaten!$E$2:$E$1117,$E236,Versuchsdaten!$J$2:$J$1117,1)=1,SUMIFS(Versuchsdaten!$F$2:$F$1117,Versuchsdaten!$A$2:$A$1117,$A236,Versuchsdaten!$B$2:$B$1117,$B236,Versuchsdaten!$C$2:$C$1117,"Sprint_5m",Versuchsdaten!$E$2:$E$1117,$E236,Versuchsdaten!$J$2:$J$1117,1),""))</f>
        <v/>
      </c>
      <c r="L236" s="22">
        <f>IF(LEFT(C236,7)&lt;&gt;"Sprint_","",IF(COUNTIFS(Versuchsdaten!$A$2:$A$1117,$A236,Versuchsdaten!$B$2:$B$1117,$B236,Versuchsdaten!$C$2:$C$1117,"Sprint_10m",Versuchsdaten!$E$2:$E$1117,$E236,Versuchsdaten!$J$2:$J$1117,1)=1,SUMIFS(Versuchsdaten!$F$2:$F$1117,Versuchsdaten!$A$2:$A$1117,$A236,Versuchsdaten!$B$2:$B$1117,$B236,Versuchsdaten!$C$2:$C$1117,"Sprint_10m",Versuchsdaten!$E$2:$E$1117,$E236,Versuchsdaten!$J$2:$J$1117,1),""))</f>
        <v/>
      </c>
      <c r="M236" s="22">
        <f>IF(LEFT(C236,7)&lt;&gt;"Sprint_","",IF(COUNTIFS(Versuchsdaten!$A$2:$A$1117,$A236,Versuchsdaten!$B$2:$B$1117,$B236,Versuchsdaten!$C$2:$C$1117,"Sprint_30m",Versuchsdaten!$E$2:$E$1117,$E236,Versuchsdaten!$J$2:$J$1117,1)=1,SUMIFS(Versuchsdaten!$F$2:$F$1117,Versuchsdaten!$A$2:$A$1117,$A236,Versuchsdaten!$B$2:$B$1117,$B236,Versuchsdaten!$C$2:$C$1117,"Sprint_30m",Versuchsdaten!$E$2:$E$1117,$E236,Versuchsdaten!$J$2:$J$1117,1),""))</f>
        <v/>
      </c>
      <c r="N236" s="22">
        <f>IF(LEFT(C236,7)&lt;&gt;"Sprint_",0,IF(IF(ISNUMBER(K236),IF(K236&lt;=0,1,IF(5/K236&gt;10,1,0)),0)+IF(ISNUMBER(L236),IF(ISNUMBER(K236),IF(L236-K236&lt;=0,1,IF(5/(L236-K236)&gt;10,1,0)),IF(L236&lt;=0,1,IF(10/L236&gt;10,1,0))),0)+IF(ISNUMBER(M236),IF(ISNUMBER(L236),IF(M236-L236&lt;=0,1,IF(20/(M236-L236)&gt;10,1,0)),IF(ISNUMBER(K236),IF(M236-K236&lt;=0,1,IF(25/(M236-K236)&gt;10,1,0)),IF(M236&lt;=0,1,IF(30/M236&gt;10,1,0)))),0)&gt;0,1,0))</f>
        <v/>
      </c>
      <c r="O236" s="22">
        <f>IF(AND(J236=1,N236=0),1,0)</f>
        <v/>
      </c>
      <c r="P236" s="22">
        <f>INDEX(Personendaten!$J$2:$J$32,MATCH(A236,Personendaten!$A$2:$A$32,0))</f>
        <v/>
      </c>
      <c r="Q236" s="22">
        <f>IF(O236=1,"",IF(AND(B236="post",P236="nicht angetreten"),"NANG",IF(N236=1,"AUSL",IFERROR(VLOOKUP(H236,Vokabular!$A$2:$B$8,2,FALSE),"UNBEKANNT"))))</f>
        <v/>
      </c>
    </row>
    <row r="237">
      <c r="A237" s="5" t="inlineStr">
        <is>
          <t>HL-03</t>
        </is>
      </c>
      <c r="B237" s="5" t="inlineStr">
        <is>
          <t>prä</t>
        </is>
      </c>
      <c r="C237" s="5" t="inlineStr">
        <is>
          <t>Sprint_5m</t>
        </is>
      </c>
      <c r="D237" s="5" t="inlineStr">
        <is>
          <t>–</t>
        </is>
      </c>
      <c r="E237" s="5" t="n">
        <v>2</v>
      </c>
      <c r="F237" s="5" t="n"/>
      <c r="G237" s="5" t="n"/>
      <c r="H237" s="5" t="inlineStr">
        <is>
          <t>System nicht aufgenommen</t>
        </is>
      </c>
      <c r="I237" s="22">
        <f>INDEX(Personendaten!$C$2:$C$32,MATCH(A237,Personendaten!$A$2:$A$32,0))</f>
        <v/>
      </c>
      <c r="J237" s="22">
        <f>IF(AND(F237&lt;&gt;"",G237=""),1,0)</f>
        <v/>
      </c>
      <c r="K237" s="22">
        <f>IF(LEFT(C237,7)&lt;&gt;"Sprint_","",IF(COUNTIFS(Versuchsdaten!$A$2:$A$1117,$A237,Versuchsdaten!$B$2:$B$1117,$B237,Versuchsdaten!$C$2:$C$1117,"Sprint_5m",Versuchsdaten!$E$2:$E$1117,$E237,Versuchsdaten!$J$2:$J$1117,1)=1,SUMIFS(Versuchsdaten!$F$2:$F$1117,Versuchsdaten!$A$2:$A$1117,$A237,Versuchsdaten!$B$2:$B$1117,$B237,Versuchsdaten!$C$2:$C$1117,"Sprint_5m",Versuchsdaten!$E$2:$E$1117,$E237,Versuchsdaten!$J$2:$J$1117,1),""))</f>
        <v/>
      </c>
      <c r="L237" s="22">
        <f>IF(LEFT(C237,7)&lt;&gt;"Sprint_","",IF(COUNTIFS(Versuchsdaten!$A$2:$A$1117,$A237,Versuchsdaten!$B$2:$B$1117,$B237,Versuchsdaten!$C$2:$C$1117,"Sprint_10m",Versuchsdaten!$E$2:$E$1117,$E237,Versuchsdaten!$J$2:$J$1117,1)=1,SUMIFS(Versuchsdaten!$F$2:$F$1117,Versuchsdaten!$A$2:$A$1117,$A237,Versuchsdaten!$B$2:$B$1117,$B237,Versuchsdaten!$C$2:$C$1117,"Sprint_10m",Versuchsdaten!$E$2:$E$1117,$E237,Versuchsdaten!$J$2:$J$1117,1),""))</f>
        <v/>
      </c>
      <c r="M237" s="22">
        <f>IF(LEFT(C237,7)&lt;&gt;"Sprint_","",IF(COUNTIFS(Versuchsdaten!$A$2:$A$1117,$A237,Versuchsdaten!$B$2:$B$1117,$B237,Versuchsdaten!$C$2:$C$1117,"Sprint_30m",Versuchsdaten!$E$2:$E$1117,$E237,Versuchsdaten!$J$2:$J$1117,1)=1,SUMIFS(Versuchsdaten!$F$2:$F$1117,Versuchsdaten!$A$2:$A$1117,$A237,Versuchsdaten!$B$2:$B$1117,$B237,Versuchsdaten!$C$2:$C$1117,"Sprint_30m",Versuchsdaten!$E$2:$E$1117,$E237,Versuchsdaten!$J$2:$J$1117,1),""))</f>
        <v/>
      </c>
      <c r="N237" s="22">
        <f>IF(LEFT(C237,7)&lt;&gt;"Sprint_",0,IF(IF(ISNUMBER(K237),IF(K237&lt;=0,1,IF(5/K237&gt;10,1,0)),0)+IF(ISNUMBER(L237),IF(ISNUMBER(K237),IF(L237-K237&lt;=0,1,IF(5/(L237-K237)&gt;10,1,0)),IF(L237&lt;=0,1,IF(10/L237&gt;10,1,0))),0)+IF(ISNUMBER(M237),IF(ISNUMBER(L237),IF(M237-L237&lt;=0,1,IF(20/(M237-L237)&gt;10,1,0)),IF(ISNUMBER(K237),IF(M237-K237&lt;=0,1,IF(25/(M237-K237)&gt;10,1,0)),IF(M237&lt;=0,1,IF(30/M237&gt;10,1,0)))),0)&gt;0,1,0))</f>
        <v/>
      </c>
      <c r="O237" s="22">
        <f>IF(AND(J237=1,N237=0),1,0)</f>
        <v/>
      </c>
      <c r="P237" s="22">
        <f>INDEX(Personendaten!$J$2:$J$32,MATCH(A237,Personendaten!$A$2:$A$32,0))</f>
        <v/>
      </c>
      <c r="Q237" s="22">
        <f>IF(O237=1,"",IF(AND(B237="post",P237="nicht angetreten"),"NANG",IF(N237=1,"AUSL",IFERROR(VLOOKUP(H237,Vokabular!$A$2:$B$8,2,FALSE),"UNBEKANNT"))))</f>
        <v/>
      </c>
    </row>
    <row r="238">
      <c r="A238" s="5" t="inlineStr">
        <is>
          <t>HL-03</t>
        </is>
      </c>
      <c r="B238" s="5" t="inlineStr">
        <is>
          <t>prä</t>
        </is>
      </c>
      <c r="C238" s="5" t="inlineStr">
        <is>
          <t>Sprint_5m</t>
        </is>
      </c>
      <c r="D238" s="5" t="inlineStr">
        <is>
          <t>–</t>
        </is>
      </c>
      <c r="E238" s="5" t="n">
        <v>3</v>
      </c>
      <c r="F238" s="5" t="n">
        <v>1.01</v>
      </c>
      <c r="G238" s="5" t="n"/>
      <c r="H238" s="5" t="n"/>
      <c r="I238" s="22">
        <f>INDEX(Personendaten!$C$2:$C$32,MATCH(A238,Personendaten!$A$2:$A$32,0))</f>
        <v/>
      </c>
      <c r="J238" s="22">
        <f>IF(AND(F238&lt;&gt;"",G238=""),1,0)</f>
        <v/>
      </c>
      <c r="K238" s="22">
        <f>IF(LEFT(C238,7)&lt;&gt;"Sprint_","",IF(COUNTIFS(Versuchsdaten!$A$2:$A$1117,$A238,Versuchsdaten!$B$2:$B$1117,$B238,Versuchsdaten!$C$2:$C$1117,"Sprint_5m",Versuchsdaten!$E$2:$E$1117,$E238,Versuchsdaten!$J$2:$J$1117,1)=1,SUMIFS(Versuchsdaten!$F$2:$F$1117,Versuchsdaten!$A$2:$A$1117,$A238,Versuchsdaten!$B$2:$B$1117,$B238,Versuchsdaten!$C$2:$C$1117,"Sprint_5m",Versuchsdaten!$E$2:$E$1117,$E238,Versuchsdaten!$J$2:$J$1117,1),""))</f>
        <v/>
      </c>
      <c r="L238" s="22">
        <f>IF(LEFT(C238,7)&lt;&gt;"Sprint_","",IF(COUNTIFS(Versuchsdaten!$A$2:$A$1117,$A238,Versuchsdaten!$B$2:$B$1117,$B238,Versuchsdaten!$C$2:$C$1117,"Sprint_10m",Versuchsdaten!$E$2:$E$1117,$E238,Versuchsdaten!$J$2:$J$1117,1)=1,SUMIFS(Versuchsdaten!$F$2:$F$1117,Versuchsdaten!$A$2:$A$1117,$A238,Versuchsdaten!$B$2:$B$1117,$B238,Versuchsdaten!$C$2:$C$1117,"Sprint_10m",Versuchsdaten!$E$2:$E$1117,$E238,Versuchsdaten!$J$2:$J$1117,1),""))</f>
        <v/>
      </c>
      <c r="M238" s="22">
        <f>IF(LEFT(C238,7)&lt;&gt;"Sprint_","",IF(COUNTIFS(Versuchsdaten!$A$2:$A$1117,$A238,Versuchsdaten!$B$2:$B$1117,$B238,Versuchsdaten!$C$2:$C$1117,"Sprint_30m",Versuchsdaten!$E$2:$E$1117,$E238,Versuchsdaten!$J$2:$J$1117,1)=1,SUMIFS(Versuchsdaten!$F$2:$F$1117,Versuchsdaten!$A$2:$A$1117,$A238,Versuchsdaten!$B$2:$B$1117,$B238,Versuchsdaten!$C$2:$C$1117,"Sprint_30m",Versuchsdaten!$E$2:$E$1117,$E238,Versuchsdaten!$J$2:$J$1117,1),""))</f>
        <v/>
      </c>
      <c r="N238" s="22">
        <f>IF(LEFT(C238,7)&lt;&gt;"Sprint_",0,IF(IF(ISNUMBER(K238),IF(K238&lt;=0,1,IF(5/K238&gt;10,1,0)),0)+IF(ISNUMBER(L238),IF(ISNUMBER(K238),IF(L238-K238&lt;=0,1,IF(5/(L238-K238)&gt;10,1,0)),IF(L238&lt;=0,1,IF(10/L238&gt;10,1,0))),0)+IF(ISNUMBER(M238),IF(ISNUMBER(L238),IF(M238-L238&lt;=0,1,IF(20/(M238-L238)&gt;10,1,0)),IF(ISNUMBER(K238),IF(M238-K238&lt;=0,1,IF(25/(M238-K238)&gt;10,1,0)),IF(M238&lt;=0,1,IF(30/M238&gt;10,1,0)))),0)&gt;0,1,0))</f>
        <v/>
      </c>
      <c r="O238" s="22">
        <f>IF(AND(J238=1,N238=0),1,0)</f>
        <v/>
      </c>
      <c r="P238" s="22">
        <f>INDEX(Personendaten!$J$2:$J$32,MATCH(A238,Personendaten!$A$2:$A$32,0))</f>
        <v/>
      </c>
      <c r="Q238" s="22">
        <f>IF(O238=1,"",IF(AND(B238="post",P238="nicht angetreten"),"NANG",IF(N238=1,"AUSL",IFERROR(VLOOKUP(H238,Vokabular!$A$2:$B$8,2,FALSE),"UNBEKANNT"))))</f>
        <v/>
      </c>
    </row>
    <row r="239">
      <c r="A239" s="5" t="inlineStr">
        <is>
          <t>HL-03</t>
        </is>
      </c>
      <c r="B239" s="5" t="inlineStr">
        <is>
          <t>prä</t>
        </is>
      </c>
      <c r="C239" s="5" t="inlineStr">
        <is>
          <t>Sprint_10m</t>
        </is>
      </c>
      <c r="D239" s="5" t="inlineStr">
        <is>
          <t>–</t>
        </is>
      </c>
      <c r="E239" s="5" t="n">
        <v>1</v>
      </c>
      <c r="F239" s="5" t="n">
        <v>1.76</v>
      </c>
      <c r="G239" s="5" t="n"/>
      <c r="H239" s="5" t="n"/>
      <c r="I239" s="22">
        <f>INDEX(Personendaten!$C$2:$C$32,MATCH(A239,Personendaten!$A$2:$A$32,0))</f>
        <v/>
      </c>
      <c r="J239" s="22">
        <f>IF(AND(F239&lt;&gt;"",G239=""),1,0)</f>
        <v/>
      </c>
      <c r="K239" s="22">
        <f>IF(LEFT(C239,7)&lt;&gt;"Sprint_","",IF(COUNTIFS(Versuchsdaten!$A$2:$A$1117,$A239,Versuchsdaten!$B$2:$B$1117,$B239,Versuchsdaten!$C$2:$C$1117,"Sprint_5m",Versuchsdaten!$E$2:$E$1117,$E239,Versuchsdaten!$J$2:$J$1117,1)=1,SUMIFS(Versuchsdaten!$F$2:$F$1117,Versuchsdaten!$A$2:$A$1117,$A239,Versuchsdaten!$B$2:$B$1117,$B239,Versuchsdaten!$C$2:$C$1117,"Sprint_5m",Versuchsdaten!$E$2:$E$1117,$E239,Versuchsdaten!$J$2:$J$1117,1),""))</f>
        <v/>
      </c>
      <c r="L239" s="22">
        <f>IF(LEFT(C239,7)&lt;&gt;"Sprint_","",IF(COUNTIFS(Versuchsdaten!$A$2:$A$1117,$A239,Versuchsdaten!$B$2:$B$1117,$B239,Versuchsdaten!$C$2:$C$1117,"Sprint_10m",Versuchsdaten!$E$2:$E$1117,$E239,Versuchsdaten!$J$2:$J$1117,1)=1,SUMIFS(Versuchsdaten!$F$2:$F$1117,Versuchsdaten!$A$2:$A$1117,$A239,Versuchsdaten!$B$2:$B$1117,$B239,Versuchsdaten!$C$2:$C$1117,"Sprint_10m",Versuchsdaten!$E$2:$E$1117,$E239,Versuchsdaten!$J$2:$J$1117,1),""))</f>
        <v/>
      </c>
      <c r="M239" s="22">
        <f>IF(LEFT(C239,7)&lt;&gt;"Sprint_","",IF(COUNTIFS(Versuchsdaten!$A$2:$A$1117,$A239,Versuchsdaten!$B$2:$B$1117,$B239,Versuchsdaten!$C$2:$C$1117,"Sprint_30m",Versuchsdaten!$E$2:$E$1117,$E239,Versuchsdaten!$J$2:$J$1117,1)=1,SUMIFS(Versuchsdaten!$F$2:$F$1117,Versuchsdaten!$A$2:$A$1117,$A239,Versuchsdaten!$B$2:$B$1117,$B239,Versuchsdaten!$C$2:$C$1117,"Sprint_30m",Versuchsdaten!$E$2:$E$1117,$E239,Versuchsdaten!$J$2:$J$1117,1),""))</f>
        <v/>
      </c>
      <c r="N239" s="22">
        <f>IF(LEFT(C239,7)&lt;&gt;"Sprint_",0,IF(IF(ISNUMBER(K239),IF(K239&lt;=0,1,IF(5/K239&gt;10,1,0)),0)+IF(ISNUMBER(L239),IF(ISNUMBER(K239),IF(L239-K239&lt;=0,1,IF(5/(L239-K239)&gt;10,1,0)),IF(L239&lt;=0,1,IF(10/L239&gt;10,1,0))),0)+IF(ISNUMBER(M239),IF(ISNUMBER(L239),IF(M239-L239&lt;=0,1,IF(20/(M239-L239)&gt;10,1,0)),IF(ISNUMBER(K239),IF(M239-K239&lt;=0,1,IF(25/(M239-K239)&gt;10,1,0)),IF(M239&lt;=0,1,IF(30/M239&gt;10,1,0)))),0)&gt;0,1,0))</f>
        <v/>
      </c>
      <c r="O239" s="22">
        <f>IF(AND(J239=1,N239=0),1,0)</f>
        <v/>
      </c>
      <c r="P239" s="22">
        <f>INDEX(Personendaten!$J$2:$J$32,MATCH(A239,Personendaten!$A$2:$A$32,0))</f>
        <v/>
      </c>
      <c r="Q239" s="22">
        <f>IF(O239=1,"",IF(AND(B239="post",P239="nicht angetreten"),"NANG",IF(N239=1,"AUSL",IFERROR(VLOOKUP(H239,Vokabular!$A$2:$B$8,2,FALSE),"UNBEKANNT"))))</f>
        <v/>
      </c>
    </row>
    <row r="240">
      <c r="A240" s="5" t="inlineStr">
        <is>
          <t>HL-03</t>
        </is>
      </c>
      <c r="B240" s="5" t="inlineStr">
        <is>
          <t>prä</t>
        </is>
      </c>
      <c r="C240" s="5" t="inlineStr">
        <is>
          <t>Sprint_10m</t>
        </is>
      </c>
      <c r="D240" s="5" t="inlineStr">
        <is>
          <t>–</t>
        </is>
      </c>
      <c r="E240" s="5" t="n">
        <v>2</v>
      </c>
      <c r="F240" s="5" t="n">
        <v>1.79</v>
      </c>
      <c r="G240" s="5" t="n"/>
      <c r="H240" s="5" t="n"/>
      <c r="I240" s="22">
        <f>INDEX(Personendaten!$C$2:$C$32,MATCH(A240,Personendaten!$A$2:$A$32,0))</f>
        <v/>
      </c>
      <c r="J240" s="22">
        <f>IF(AND(F240&lt;&gt;"",G240=""),1,0)</f>
        <v/>
      </c>
      <c r="K240" s="22">
        <f>IF(LEFT(C240,7)&lt;&gt;"Sprint_","",IF(COUNTIFS(Versuchsdaten!$A$2:$A$1117,$A240,Versuchsdaten!$B$2:$B$1117,$B240,Versuchsdaten!$C$2:$C$1117,"Sprint_5m",Versuchsdaten!$E$2:$E$1117,$E240,Versuchsdaten!$J$2:$J$1117,1)=1,SUMIFS(Versuchsdaten!$F$2:$F$1117,Versuchsdaten!$A$2:$A$1117,$A240,Versuchsdaten!$B$2:$B$1117,$B240,Versuchsdaten!$C$2:$C$1117,"Sprint_5m",Versuchsdaten!$E$2:$E$1117,$E240,Versuchsdaten!$J$2:$J$1117,1),""))</f>
        <v/>
      </c>
      <c r="L240" s="22">
        <f>IF(LEFT(C240,7)&lt;&gt;"Sprint_","",IF(COUNTIFS(Versuchsdaten!$A$2:$A$1117,$A240,Versuchsdaten!$B$2:$B$1117,$B240,Versuchsdaten!$C$2:$C$1117,"Sprint_10m",Versuchsdaten!$E$2:$E$1117,$E240,Versuchsdaten!$J$2:$J$1117,1)=1,SUMIFS(Versuchsdaten!$F$2:$F$1117,Versuchsdaten!$A$2:$A$1117,$A240,Versuchsdaten!$B$2:$B$1117,$B240,Versuchsdaten!$C$2:$C$1117,"Sprint_10m",Versuchsdaten!$E$2:$E$1117,$E240,Versuchsdaten!$J$2:$J$1117,1),""))</f>
        <v/>
      </c>
      <c r="M240" s="22">
        <f>IF(LEFT(C240,7)&lt;&gt;"Sprint_","",IF(COUNTIFS(Versuchsdaten!$A$2:$A$1117,$A240,Versuchsdaten!$B$2:$B$1117,$B240,Versuchsdaten!$C$2:$C$1117,"Sprint_30m",Versuchsdaten!$E$2:$E$1117,$E240,Versuchsdaten!$J$2:$J$1117,1)=1,SUMIFS(Versuchsdaten!$F$2:$F$1117,Versuchsdaten!$A$2:$A$1117,$A240,Versuchsdaten!$B$2:$B$1117,$B240,Versuchsdaten!$C$2:$C$1117,"Sprint_30m",Versuchsdaten!$E$2:$E$1117,$E240,Versuchsdaten!$J$2:$J$1117,1),""))</f>
        <v/>
      </c>
      <c r="N240" s="22">
        <f>IF(LEFT(C240,7)&lt;&gt;"Sprint_",0,IF(IF(ISNUMBER(K240),IF(K240&lt;=0,1,IF(5/K240&gt;10,1,0)),0)+IF(ISNUMBER(L240),IF(ISNUMBER(K240),IF(L240-K240&lt;=0,1,IF(5/(L240-K240)&gt;10,1,0)),IF(L240&lt;=0,1,IF(10/L240&gt;10,1,0))),0)+IF(ISNUMBER(M240),IF(ISNUMBER(L240),IF(M240-L240&lt;=0,1,IF(20/(M240-L240)&gt;10,1,0)),IF(ISNUMBER(K240),IF(M240-K240&lt;=0,1,IF(25/(M240-K240)&gt;10,1,0)),IF(M240&lt;=0,1,IF(30/M240&gt;10,1,0)))),0)&gt;0,1,0))</f>
        <v/>
      </c>
      <c r="O240" s="22">
        <f>IF(AND(J240=1,N240=0),1,0)</f>
        <v/>
      </c>
      <c r="P240" s="22">
        <f>INDEX(Personendaten!$J$2:$J$32,MATCH(A240,Personendaten!$A$2:$A$32,0))</f>
        <v/>
      </c>
      <c r="Q240" s="22">
        <f>IF(O240=1,"",IF(AND(B240="post",P240="nicht angetreten"),"NANG",IF(N240=1,"AUSL",IFERROR(VLOOKUP(H240,Vokabular!$A$2:$B$8,2,FALSE),"UNBEKANNT"))))</f>
        <v/>
      </c>
    </row>
    <row r="241">
      <c r="A241" s="5" t="inlineStr">
        <is>
          <t>HL-03</t>
        </is>
      </c>
      <c r="B241" s="5" t="inlineStr">
        <is>
          <t>prä</t>
        </is>
      </c>
      <c r="C241" s="5" t="inlineStr">
        <is>
          <t>Sprint_10m</t>
        </is>
      </c>
      <c r="D241" s="5" t="inlineStr">
        <is>
          <t>–</t>
        </is>
      </c>
      <c r="E241" s="5" t="n">
        <v>3</v>
      </c>
      <c r="F241" s="5" t="n">
        <v>1.71</v>
      </c>
      <c r="G241" s="5" t="n"/>
      <c r="H241" s="5" t="n"/>
      <c r="I241" s="22">
        <f>INDEX(Personendaten!$C$2:$C$32,MATCH(A241,Personendaten!$A$2:$A$32,0))</f>
        <v/>
      </c>
      <c r="J241" s="22">
        <f>IF(AND(F241&lt;&gt;"",G241=""),1,0)</f>
        <v/>
      </c>
      <c r="K241" s="22">
        <f>IF(LEFT(C241,7)&lt;&gt;"Sprint_","",IF(COUNTIFS(Versuchsdaten!$A$2:$A$1117,$A241,Versuchsdaten!$B$2:$B$1117,$B241,Versuchsdaten!$C$2:$C$1117,"Sprint_5m",Versuchsdaten!$E$2:$E$1117,$E241,Versuchsdaten!$J$2:$J$1117,1)=1,SUMIFS(Versuchsdaten!$F$2:$F$1117,Versuchsdaten!$A$2:$A$1117,$A241,Versuchsdaten!$B$2:$B$1117,$B241,Versuchsdaten!$C$2:$C$1117,"Sprint_5m",Versuchsdaten!$E$2:$E$1117,$E241,Versuchsdaten!$J$2:$J$1117,1),""))</f>
        <v/>
      </c>
      <c r="L241" s="22">
        <f>IF(LEFT(C241,7)&lt;&gt;"Sprint_","",IF(COUNTIFS(Versuchsdaten!$A$2:$A$1117,$A241,Versuchsdaten!$B$2:$B$1117,$B241,Versuchsdaten!$C$2:$C$1117,"Sprint_10m",Versuchsdaten!$E$2:$E$1117,$E241,Versuchsdaten!$J$2:$J$1117,1)=1,SUMIFS(Versuchsdaten!$F$2:$F$1117,Versuchsdaten!$A$2:$A$1117,$A241,Versuchsdaten!$B$2:$B$1117,$B241,Versuchsdaten!$C$2:$C$1117,"Sprint_10m",Versuchsdaten!$E$2:$E$1117,$E241,Versuchsdaten!$J$2:$J$1117,1),""))</f>
        <v/>
      </c>
      <c r="M241" s="22">
        <f>IF(LEFT(C241,7)&lt;&gt;"Sprint_","",IF(COUNTIFS(Versuchsdaten!$A$2:$A$1117,$A241,Versuchsdaten!$B$2:$B$1117,$B241,Versuchsdaten!$C$2:$C$1117,"Sprint_30m",Versuchsdaten!$E$2:$E$1117,$E241,Versuchsdaten!$J$2:$J$1117,1)=1,SUMIFS(Versuchsdaten!$F$2:$F$1117,Versuchsdaten!$A$2:$A$1117,$A241,Versuchsdaten!$B$2:$B$1117,$B241,Versuchsdaten!$C$2:$C$1117,"Sprint_30m",Versuchsdaten!$E$2:$E$1117,$E241,Versuchsdaten!$J$2:$J$1117,1),""))</f>
        <v/>
      </c>
      <c r="N241" s="22">
        <f>IF(LEFT(C241,7)&lt;&gt;"Sprint_",0,IF(IF(ISNUMBER(K241),IF(K241&lt;=0,1,IF(5/K241&gt;10,1,0)),0)+IF(ISNUMBER(L241),IF(ISNUMBER(K241),IF(L241-K241&lt;=0,1,IF(5/(L241-K241)&gt;10,1,0)),IF(L241&lt;=0,1,IF(10/L241&gt;10,1,0))),0)+IF(ISNUMBER(M241),IF(ISNUMBER(L241),IF(M241-L241&lt;=0,1,IF(20/(M241-L241)&gt;10,1,0)),IF(ISNUMBER(K241),IF(M241-K241&lt;=0,1,IF(25/(M241-K241)&gt;10,1,0)),IF(M241&lt;=0,1,IF(30/M241&gt;10,1,0)))),0)&gt;0,1,0))</f>
        <v/>
      </c>
      <c r="O241" s="22">
        <f>IF(AND(J241=1,N241=0),1,0)</f>
        <v/>
      </c>
      <c r="P241" s="22">
        <f>INDEX(Personendaten!$J$2:$J$32,MATCH(A241,Personendaten!$A$2:$A$32,0))</f>
        <v/>
      </c>
      <c r="Q241" s="22">
        <f>IF(O241=1,"",IF(AND(B241="post",P241="nicht angetreten"),"NANG",IF(N241=1,"AUSL",IFERROR(VLOOKUP(H241,Vokabular!$A$2:$B$8,2,FALSE),"UNBEKANNT"))))</f>
        <v/>
      </c>
    </row>
    <row r="242">
      <c r="A242" s="5" t="inlineStr">
        <is>
          <t>HL-03</t>
        </is>
      </c>
      <c r="B242" s="5" t="inlineStr">
        <is>
          <t>prä</t>
        </is>
      </c>
      <c r="C242" s="5" t="inlineStr">
        <is>
          <t>Sprint_30m</t>
        </is>
      </c>
      <c r="D242" s="5" t="inlineStr">
        <is>
          <t>–</t>
        </is>
      </c>
      <c r="E242" s="5" t="n">
        <v>1</v>
      </c>
      <c r="F242" s="5" t="n">
        <v>4.22</v>
      </c>
      <c r="G242" s="5" t="n"/>
      <c r="H242" s="5" t="n"/>
      <c r="I242" s="22">
        <f>INDEX(Personendaten!$C$2:$C$32,MATCH(A242,Personendaten!$A$2:$A$32,0))</f>
        <v/>
      </c>
      <c r="J242" s="22">
        <f>IF(AND(F242&lt;&gt;"",G242=""),1,0)</f>
        <v/>
      </c>
      <c r="K242" s="22">
        <f>IF(LEFT(C242,7)&lt;&gt;"Sprint_","",IF(COUNTIFS(Versuchsdaten!$A$2:$A$1117,$A242,Versuchsdaten!$B$2:$B$1117,$B242,Versuchsdaten!$C$2:$C$1117,"Sprint_5m",Versuchsdaten!$E$2:$E$1117,$E242,Versuchsdaten!$J$2:$J$1117,1)=1,SUMIFS(Versuchsdaten!$F$2:$F$1117,Versuchsdaten!$A$2:$A$1117,$A242,Versuchsdaten!$B$2:$B$1117,$B242,Versuchsdaten!$C$2:$C$1117,"Sprint_5m",Versuchsdaten!$E$2:$E$1117,$E242,Versuchsdaten!$J$2:$J$1117,1),""))</f>
        <v/>
      </c>
      <c r="L242" s="22">
        <f>IF(LEFT(C242,7)&lt;&gt;"Sprint_","",IF(COUNTIFS(Versuchsdaten!$A$2:$A$1117,$A242,Versuchsdaten!$B$2:$B$1117,$B242,Versuchsdaten!$C$2:$C$1117,"Sprint_10m",Versuchsdaten!$E$2:$E$1117,$E242,Versuchsdaten!$J$2:$J$1117,1)=1,SUMIFS(Versuchsdaten!$F$2:$F$1117,Versuchsdaten!$A$2:$A$1117,$A242,Versuchsdaten!$B$2:$B$1117,$B242,Versuchsdaten!$C$2:$C$1117,"Sprint_10m",Versuchsdaten!$E$2:$E$1117,$E242,Versuchsdaten!$J$2:$J$1117,1),""))</f>
        <v/>
      </c>
      <c r="M242" s="22">
        <f>IF(LEFT(C242,7)&lt;&gt;"Sprint_","",IF(COUNTIFS(Versuchsdaten!$A$2:$A$1117,$A242,Versuchsdaten!$B$2:$B$1117,$B242,Versuchsdaten!$C$2:$C$1117,"Sprint_30m",Versuchsdaten!$E$2:$E$1117,$E242,Versuchsdaten!$J$2:$J$1117,1)=1,SUMIFS(Versuchsdaten!$F$2:$F$1117,Versuchsdaten!$A$2:$A$1117,$A242,Versuchsdaten!$B$2:$B$1117,$B242,Versuchsdaten!$C$2:$C$1117,"Sprint_30m",Versuchsdaten!$E$2:$E$1117,$E242,Versuchsdaten!$J$2:$J$1117,1),""))</f>
        <v/>
      </c>
      <c r="N242" s="22">
        <f>IF(LEFT(C242,7)&lt;&gt;"Sprint_",0,IF(IF(ISNUMBER(K242),IF(K242&lt;=0,1,IF(5/K242&gt;10,1,0)),0)+IF(ISNUMBER(L242),IF(ISNUMBER(K242),IF(L242-K242&lt;=0,1,IF(5/(L242-K242)&gt;10,1,0)),IF(L242&lt;=0,1,IF(10/L242&gt;10,1,0))),0)+IF(ISNUMBER(M242),IF(ISNUMBER(L242),IF(M242-L242&lt;=0,1,IF(20/(M242-L242)&gt;10,1,0)),IF(ISNUMBER(K242),IF(M242-K242&lt;=0,1,IF(25/(M242-K242)&gt;10,1,0)),IF(M242&lt;=0,1,IF(30/M242&gt;10,1,0)))),0)&gt;0,1,0))</f>
        <v/>
      </c>
      <c r="O242" s="22">
        <f>IF(AND(J242=1,N242=0),1,0)</f>
        <v/>
      </c>
      <c r="P242" s="22">
        <f>INDEX(Personendaten!$J$2:$J$32,MATCH(A242,Personendaten!$A$2:$A$32,0))</f>
        <v/>
      </c>
      <c r="Q242" s="22">
        <f>IF(O242=1,"",IF(AND(B242="post",P242="nicht angetreten"),"NANG",IF(N242=1,"AUSL",IFERROR(VLOOKUP(H242,Vokabular!$A$2:$B$8,2,FALSE),"UNBEKANNT"))))</f>
        <v/>
      </c>
    </row>
    <row r="243">
      <c r="A243" s="5" t="inlineStr">
        <is>
          <t>HL-03</t>
        </is>
      </c>
      <c r="B243" s="5" t="inlineStr">
        <is>
          <t>prä</t>
        </is>
      </c>
      <c r="C243" s="5" t="inlineStr">
        <is>
          <t>Sprint_30m</t>
        </is>
      </c>
      <c r="D243" s="5" t="inlineStr">
        <is>
          <t>–</t>
        </is>
      </c>
      <c r="E243" s="5" t="n">
        <v>2</v>
      </c>
      <c r="F243" s="5" t="n">
        <v>4.28</v>
      </c>
      <c r="G243" s="5" t="n"/>
      <c r="H243" s="5" t="n"/>
      <c r="I243" s="22">
        <f>INDEX(Personendaten!$C$2:$C$32,MATCH(A243,Personendaten!$A$2:$A$32,0))</f>
        <v/>
      </c>
      <c r="J243" s="22">
        <f>IF(AND(F243&lt;&gt;"",G243=""),1,0)</f>
        <v/>
      </c>
      <c r="K243" s="22">
        <f>IF(LEFT(C243,7)&lt;&gt;"Sprint_","",IF(COUNTIFS(Versuchsdaten!$A$2:$A$1117,$A243,Versuchsdaten!$B$2:$B$1117,$B243,Versuchsdaten!$C$2:$C$1117,"Sprint_5m",Versuchsdaten!$E$2:$E$1117,$E243,Versuchsdaten!$J$2:$J$1117,1)=1,SUMIFS(Versuchsdaten!$F$2:$F$1117,Versuchsdaten!$A$2:$A$1117,$A243,Versuchsdaten!$B$2:$B$1117,$B243,Versuchsdaten!$C$2:$C$1117,"Sprint_5m",Versuchsdaten!$E$2:$E$1117,$E243,Versuchsdaten!$J$2:$J$1117,1),""))</f>
        <v/>
      </c>
      <c r="L243" s="22">
        <f>IF(LEFT(C243,7)&lt;&gt;"Sprint_","",IF(COUNTIFS(Versuchsdaten!$A$2:$A$1117,$A243,Versuchsdaten!$B$2:$B$1117,$B243,Versuchsdaten!$C$2:$C$1117,"Sprint_10m",Versuchsdaten!$E$2:$E$1117,$E243,Versuchsdaten!$J$2:$J$1117,1)=1,SUMIFS(Versuchsdaten!$F$2:$F$1117,Versuchsdaten!$A$2:$A$1117,$A243,Versuchsdaten!$B$2:$B$1117,$B243,Versuchsdaten!$C$2:$C$1117,"Sprint_10m",Versuchsdaten!$E$2:$E$1117,$E243,Versuchsdaten!$J$2:$J$1117,1),""))</f>
        <v/>
      </c>
      <c r="M243" s="22">
        <f>IF(LEFT(C243,7)&lt;&gt;"Sprint_","",IF(COUNTIFS(Versuchsdaten!$A$2:$A$1117,$A243,Versuchsdaten!$B$2:$B$1117,$B243,Versuchsdaten!$C$2:$C$1117,"Sprint_30m",Versuchsdaten!$E$2:$E$1117,$E243,Versuchsdaten!$J$2:$J$1117,1)=1,SUMIFS(Versuchsdaten!$F$2:$F$1117,Versuchsdaten!$A$2:$A$1117,$A243,Versuchsdaten!$B$2:$B$1117,$B243,Versuchsdaten!$C$2:$C$1117,"Sprint_30m",Versuchsdaten!$E$2:$E$1117,$E243,Versuchsdaten!$J$2:$J$1117,1),""))</f>
        <v/>
      </c>
      <c r="N243" s="22">
        <f>IF(LEFT(C243,7)&lt;&gt;"Sprint_",0,IF(IF(ISNUMBER(K243),IF(K243&lt;=0,1,IF(5/K243&gt;10,1,0)),0)+IF(ISNUMBER(L243),IF(ISNUMBER(K243),IF(L243-K243&lt;=0,1,IF(5/(L243-K243)&gt;10,1,0)),IF(L243&lt;=0,1,IF(10/L243&gt;10,1,0))),0)+IF(ISNUMBER(M243),IF(ISNUMBER(L243),IF(M243-L243&lt;=0,1,IF(20/(M243-L243)&gt;10,1,0)),IF(ISNUMBER(K243),IF(M243-K243&lt;=0,1,IF(25/(M243-K243)&gt;10,1,0)),IF(M243&lt;=0,1,IF(30/M243&gt;10,1,0)))),0)&gt;0,1,0))</f>
        <v/>
      </c>
      <c r="O243" s="22">
        <f>IF(AND(J243=1,N243=0),1,0)</f>
        <v/>
      </c>
      <c r="P243" s="22">
        <f>INDEX(Personendaten!$J$2:$J$32,MATCH(A243,Personendaten!$A$2:$A$32,0))</f>
        <v/>
      </c>
      <c r="Q243" s="22">
        <f>IF(O243=1,"",IF(AND(B243="post",P243="nicht angetreten"),"NANG",IF(N243=1,"AUSL",IFERROR(VLOOKUP(H243,Vokabular!$A$2:$B$8,2,FALSE),"UNBEKANNT"))))</f>
        <v/>
      </c>
    </row>
    <row r="244">
      <c r="A244" s="5" t="inlineStr">
        <is>
          <t>HL-03</t>
        </is>
      </c>
      <c r="B244" s="5" t="inlineStr">
        <is>
          <t>prä</t>
        </is>
      </c>
      <c r="C244" s="5" t="inlineStr">
        <is>
          <t>Sprint_30m</t>
        </is>
      </c>
      <c r="D244" s="5" t="inlineStr">
        <is>
          <t>–</t>
        </is>
      </c>
      <c r="E244" s="5" t="n">
        <v>3</v>
      </c>
      <c r="F244" s="5" t="n">
        <v>4.25</v>
      </c>
      <c r="G244" s="5" t="n"/>
      <c r="H244" s="5" t="n"/>
      <c r="I244" s="22">
        <f>INDEX(Personendaten!$C$2:$C$32,MATCH(A244,Personendaten!$A$2:$A$32,0))</f>
        <v/>
      </c>
      <c r="J244" s="22">
        <f>IF(AND(F244&lt;&gt;"",G244=""),1,0)</f>
        <v/>
      </c>
      <c r="K244" s="22">
        <f>IF(LEFT(C244,7)&lt;&gt;"Sprint_","",IF(COUNTIFS(Versuchsdaten!$A$2:$A$1117,$A244,Versuchsdaten!$B$2:$B$1117,$B244,Versuchsdaten!$C$2:$C$1117,"Sprint_5m",Versuchsdaten!$E$2:$E$1117,$E244,Versuchsdaten!$J$2:$J$1117,1)=1,SUMIFS(Versuchsdaten!$F$2:$F$1117,Versuchsdaten!$A$2:$A$1117,$A244,Versuchsdaten!$B$2:$B$1117,$B244,Versuchsdaten!$C$2:$C$1117,"Sprint_5m",Versuchsdaten!$E$2:$E$1117,$E244,Versuchsdaten!$J$2:$J$1117,1),""))</f>
        <v/>
      </c>
      <c r="L244" s="22">
        <f>IF(LEFT(C244,7)&lt;&gt;"Sprint_","",IF(COUNTIFS(Versuchsdaten!$A$2:$A$1117,$A244,Versuchsdaten!$B$2:$B$1117,$B244,Versuchsdaten!$C$2:$C$1117,"Sprint_10m",Versuchsdaten!$E$2:$E$1117,$E244,Versuchsdaten!$J$2:$J$1117,1)=1,SUMIFS(Versuchsdaten!$F$2:$F$1117,Versuchsdaten!$A$2:$A$1117,$A244,Versuchsdaten!$B$2:$B$1117,$B244,Versuchsdaten!$C$2:$C$1117,"Sprint_10m",Versuchsdaten!$E$2:$E$1117,$E244,Versuchsdaten!$J$2:$J$1117,1),""))</f>
        <v/>
      </c>
      <c r="M244" s="22">
        <f>IF(LEFT(C244,7)&lt;&gt;"Sprint_","",IF(COUNTIFS(Versuchsdaten!$A$2:$A$1117,$A244,Versuchsdaten!$B$2:$B$1117,$B244,Versuchsdaten!$C$2:$C$1117,"Sprint_30m",Versuchsdaten!$E$2:$E$1117,$E244,Versuchsdaten!$J$2:$J$1117,1)=1,SUMIFS(Versuchsdaten!$F$2:$F$1117,Versuchsdaten!$A$2:$A$1117,$A244,Versuchsdaten!$B$2:$B$1117,$B244,Versuchsdaten!$C$2:$C$1117,"Sprint_30m",Versuchsdaten!$E$2:$E$1117,$E244,Versuchsdaten!$J$2:$J$1117,1),""))</f>
        <v/>
      </c>
      <c r="N244" s="22">
        <f>IF(LEFT(C244,7)&lt;&gt;"Sprint_",0,IF(IF(ISNUMBER(K244),IF(K244&lt;=0,1,IF(5/K244&gt;10,1,0)),0)+IF(ISNUMBER(L244),IF(ISNUMBER(K244),IF(L244-K244&lt;=0,1,IF(5/(L244-K244)&gt;10,1,0)),IF(L244&lt;=0,1,IF(10/L244&gt;10,1,0))),0)+IF(ISNUMBER(M244),IF(ISNUMBER(L244),IF(M244-L244&lt;=0,1,IF(20/(M244-L244)&gt;10,1,0)),IF(ISNUMBER(K244),IF(M244-K244&lt;=0,1,IF(25/(M244-K244)&gt;10,1,0)),IF(M244&lt;=0,1,IF(30/M244&gt;10,1,0)))),0)&gt;0,1,0))</f>
        <v/>
      </c>
      <c r="O244" s="22">
        <f>IF(AND(J244=1,N244=0),1,0)</f>
        <v/>
      </c>
      <c r="P244" s="22">
        <f>INDEX(Personendaten!$J$2:$J$32,MATCH(A244,Personendaten!$A$2:$A$32,0))</f>
        <v/>
      </c>
      <c r="Q244" s="22">
        <f>IF(O244=1,"",IF(AND(B244="post",P244="nicht angetreten"),"NANG",IF(N244=1,"AUSL",IFERROR(VLOOKUP(H244,Vokabular!$A$2:$B$8,2,FALSE),"UNBEKANNT"))))</f>
        <v/>
      </c>
    </row>
    <row r="245">
      <c r="A245" s="5" t="inlineStr">
        <is>
          <t>HL-03</t>
        </is>
      </c>
      <c r="B245" s="5" t="inlineStr">
        <is>
          <t>prä</t>
        </is>
      </c>
      <c r="C245" s="5" t="inlineStr">
        <is>
          <t>Standweitsprung</t>
        </is>
      </c>
      <c r="D245" s="5" t="inlineStr">
        <is>
          <t>–</t>
        </is>
      </c>
      <c r="E245" s="5" t="n">
        <v>1</v>
      </c>
      <c r="F245" s="5" t="n">
        <v>248</v>
      </c>
      <c r="G245" s="5" t="n"/>
      <c r="H245" s="5" t="n"/>
      <c r="I245" s="22">
        <f>INDEX(Personendaten!$C$2:$C$32,MATCH(A245,Personendaten!$A$2:$A$32,0))</f>
        <v/>
      </c>
      <c r="J245" s="22">
        <f>IF(AND(F245&lt;&gt;"",G245=""),1,0)</f>
        <v/>
      </c>
      <c r="K245" s="22">
        <f>IF(LEFT(C245,7)&lt;&gt;"Sprint_","",IF(COUNTIFS(Versuchsdaten!$A$2:$A$1117,$A245,Versuchsdaten!$B$2:$B$1117,$B245,Versuchsdaten!$C$2:$C$1117,"Sprint_5m",Versuchsdaten!$E$2:$E$1117,$E245,Versuchsdaten!$J$2:$J$1117,1)=1,SUMIFS(Versuchsdaten!$F$2:$F$1117,Versuchsdaten!$A$2:$A$1117,$A245,Versuchsdaten!$B$2:$B$1117,$B245,Versuchsdaten!$C$2:$C$1117,"Sprint_5m",Versuchsdaten!$E$2:$E$1117,$E245,Versuchsdaten!$J$2:$J$1117,1),""))</f>
        <v/>
      </c>
      <c r="L245" s="22">
        <f>IF(LEFT(C245,7)&lt;&gt;"Sprint_","",IF(COUNTIFS(Versuchsdaten!$A$2:$A$1117,$A245,Versuchsdaten!$B$2:$B$1117,$B245,Versuchsdaten!$C$2:$C$1117,"Sprint_10m",Versuchsdaten!$E$2:$E$1117,$E245,Versuchsdaten!$J$2:$J$1117,1)=1,SUMIFS(Versuchsdaten!$F$2:$F$1117,Versuchsdaten!$A$2:$A$1117,$A245,Versuchsdaten!$B$2:$B$1117,$B245,Versuchsdaten!$C$2:$C$1117,"Sprint_10m",Versuchsdaten!$E$2:$E$1117,$E245,Versuchsdaten!$J$2:$J$1117,1),""))</f>
        <v/>
      </c>
      <c r="M245" s="22">
        <f>IF(LEFT(C245,7)&lt;&gt;"Sprint_","",IF(COUNTIFS(Versuchsdaten!$A$2:$A$1117,$A245,Versuchsdaten!$B$2:$B$1117,$B245,Versuchsdaten!$C$2:$C$1117,"Sprint_30m",Versuchsdaten!$E$2:$E$1117,$E245,Versuchsdaten!$J$2:$J$1117,1)=1,SUMIFS(Versuchsdaten!$F$2:$F$1117,Versuchsdaten!$A$2:$A$1117,$A245,Versuchsdaten!$B$2:$B$1117,$B245,Versuchsdaten!$C$2:$C$1117,"Sprint_30m",Versuchsdaten!$E$2:$E$1117,$E245,Versuchsdaten!$J$2:$J$1117,1),""))</f>
        <v/>
      </c>
      <c r="N245" s="22">
        <f>IF(LEFT(C245,7)&lt;&gt;"Sprint_",0,IF(IF(ISNUMBER(K245),IF(K245&lt;=0,1,IF(5/K245&gt;10,1,0)),0)+IF(ISNUMBER(L245),IF(ISNUMBER(K245),IF(L245-K245&lt;=0,1,IF(5/(L245-K245)&gt;10,1,0)),IF(L245&lt;=0,1,IF(10/L245&gt;10,1,0))),0)+IF(ISNUMBER(M245),IF(ISNUMBER(L245),IF(M245-L245&lt;=0,1,IF(20/(M245-L245)&gt;10,1,0)),IF(ISNUMBER(K245),IF(M245-K245&lt;=0,1,IF(25/(M245-K245)&gt;10,1,0)),IF(M245&lt;=0,1,IF(30/M245&gt;10,1,0)))),0)&gt;0,1,0))</f>
        <v/>
      </c>
      <c r="O245" s="22">
        <f>IF(AND(J245=1,N245=0),1,0)</f>
        <v/>
      </c>
      <c r="P245" s="22">
        <f>INDEX(Personendaten!$J$2:$J$32,MATCH(A245,Personendaten!$A$2:$A$32,0))</f>
        <v/>
      </c>
      <c r="Q245" s="22">
        <f>IF(O245=1,"",IF(AND(B245="post",P245="nicht angetreten"),"NANG",IF(N245=1,"AUSL",IFERROR(VLOOKUP(H245,Vokabular!$A$2:$B$8,2,FALSE),"UNBEKANNT"))))</f>
        <v/>
      </c>
    </row>
    <row r="246">
      <c r="A246" s="5" t="inlineStr">
        <is>
          <t>HL-03</t>
        </is>
      </c>
      <c r="B246" s="5" t="inlineStr">
        <is>
          <t>prä</t>
        </is>
      </c>
      <c r="C246" s="5" t="inlineStr">
        <is>
          <t>Standweitsprung</t>
        </is>
      </c>
      <c r="D246" s="5" t="inlineStr">
        <is>
          <t>–</t>
        </is>
      </c>
      <c r="E246" s="5" t="n">
        <v>2</v>
      </c>
      <c r="F246" s="5" t="n">
        <v>238</v>
      </c>
      <c r="G246" s="5" t="n"/>
      <c r="H246" s="5" t="n"/>
      <c r="I246" s="22">
        <f>INDEX(Personendaten!$C$2:$C$32,MATCH(A246,Personendaten!$A$2:$A$32,0))</f>
        <v/>
      </c>
      <c r="J246" s="22">
        <f>IF(AND(F246&lt;&gt;"",G246=""),1,0)</f>
        <v/>
      </c>
      <c r="K246" s="22">
        <f>IF(LEFT(C246,7)&lt;&gt;"Sprint_","",IF(COUNTIFS(Versuchsdaten!$A$2:$A$1117,$A246,Versuchsdaten!$B$2:$B$1117,$B246,Versuchsdaten!$C$2:$C$1117,"Sprint_5m",Versuchsdaten!$E$2:$E$1117,$E246,Versuchsdaten!$J$2:$J$1117,1)=1,SUMIFS(Versuchsdaten!$F$2:$F$1117,Versuchsdaten!$A$2:$A$1117,$A246,Versuchsdaten!$B$2:$B$1117,$B246,Versuchsdaten!$C$2:$C$1117,"Sprint_5m",Versuchsdaten!$E$2:$E$1117,$E246,Versuchsdaten!$J$2:$J$1117,1),""))</f>
        <v/>
      </c>
      <c r="L246" s="22">
        <f>IF(LEFT(C246,7)&lt;&gt;"Sprint_","",IF(COUNTIFS(Versuchsdaten!$A$2:$A$1117,$A246,Versuchsdaten!$B$2:$B$1117,$B246,Versuchsdaten!$C$2:$C$1117,"Sprint_10m",Versuchsdaten!$E$2:$E$1117,$E246,Versuchsdaten!$J$2:$J$1117,1)=1,SUMIFS(Versuchsdaten!$F$2:$F$1117,Versuchsdaten!$A$2:$A$1117,$A246,Versuchsdaten!$B$2:$B$1117,$B246,Versuchsdaten!$C$2:$C$1117,"Sprint_10m",Versuchsdaten!$E$2:$E$1117,$E246,Versuchsdaten!$J$2:$J$1117,1),""))</f>
        <v/>
      </c>
      <c r="M246" s="22">
        <f>IF(LEFT(C246,7)&lt;&gt;"Sprint_","",IF(COUNTIFS(Versuchsdaten!$A$2:$A$1117,$A246,Versuchsdaten!$B$2:$B$1117,$B246,Versuchsdaten!$C$2:$C$1117,"Sprint_30m",Versuchsdaten!$E$2:$E$1117,$E246,Versuchsdaten!$J$2:$J$1117,1)=1,SUMIFS(Versuchsdaten!$F$2:$F$1117,Versuchsdaten!$A$2:$A$1117,$A246,Versuchsdaten!$B$2:$B$1117,$B246,Versuchsdaten!$C$2:$C$1117,"Sprint_30m",Versuchsdaten!$E$2:$E$1117,$E246,Versuchsdaten!$J$2:$J$1117,1),""))</f>
        <v/>
      </c>
      <c r="N246" s="22">
        <f>IF(LEFT(C246,7)&lt;&gt;"Sprint_",0,IF(IF(ISNUMBER(K246),IF(K246&lt;=0,1,IF(5/K246&gt;10,1,0)),0)+IF(ISNUMBER(L246),IF(ISNUMBER(K246),IF(L246-K246&lt;=0,1,IF(5/(L246-K246)&gt;10,1,0)),IF(L246&lt;=0,1,IF(10/L246&gt;10,1,0))),0)+IF(ISNUMBER(M246),IF(ISNUMBER(L246),IF(M246-L246&lt;=0,1,IF(20/(M246-L246)&gt;10,1,0)),IF(ISNUMBER(K246),IF(M246-K246&lt;=0,1,IF(25/(M246-K246)&gt;10,1,0)),IF(M246&lt;=0,1,IF(30/M246&gt;10,1,0)))),0)&gt;0,1,0))</f>
        <v/>
      </c>
      <c r="O246" s="22">
        <f>IF(AND(J246=1,N246=0),1,0)</f>
        <v/>
      </c>
      <c r="P246" s="22">
        <f>INDEX(Personendaten!$J$2:$J$32,MATCH(A246,Personendaten!$A$2:$A$32,0))</f>
        <v/>
      </c>
      <c r="Q246" s="22">
        <f>IF(O246=1,"",IF(AND(B246="post",P246="nicht angetreten"),"NANG",IF(N246=1,"AUSL",IFERROR(VLOOKUP(H246,Vokabular!$A$2:$B$8,2,FALSE),"UNBEKANNT"))))</f>
        <v/>
      </c>
    </row>
    <row r="247">
      <c r="A247" s="5" t="inlineStr">
        <is>
          <t>HL-03</t>
        </is>
      </c>
      <c r="B247" s="5" t="inlineStr">
        <is>
          <t>prä</t>
        </is>
      </c>
      <c r="C247" s="5" t="inlineStr">
        <is>
          <t>Standweitsprung</t>
        </is>
      </c>
      <c r="D247" s="5" t="inlineStr">
        <is>
          <t>–</t>
        </is>
      </c>
      <c r="E247" s="5" t="n">
        <v>3</v>
      </c>
      <c r="F247" s="5" t="n">
        <v>238</v>
      </c>
      <c r="G247" s="5" t="n"/>
      <c r="H247" s="5" t="n"/>
      <c r="I247" s="22">
        <f>INDEX(Personendaten!$C$2:$C$32,MATCH(A247,Personendaten!$A$2:$A$32,0))</f>
        <v/>
      </c>
      <c r="J247" s="22">
        <f>IF(AND(F247&lt;&gt;"",G247=""),1,0)</f>
        <v/>
      </c>
      <c r="K247" s="22">
        <f>IF(LEFT(C247,7)&lt;&gt;"Sprint_","",IF(COUNTIFS(Versuchsdaten!$A$2:$A$1117,$A247,Versuchsdaten!$B$2:$B$1117,$B247,Versuchsdaten!$C$2:$C$1117,"Sprint_5m",Versuchsdaten!$E$2:$E$1117,$E247,Versuchsdaten!$J$2:$J$1117,1)=1,SUMIFS(Versuchsdaten!$F$2:$F$1117,Versuchsdaten!$A$2:$A$1117,$A247,Versuchsdaten!$B$2:$B$1117,$B247,Versuchsdaten!$C$2:$C$1117,"Sprint_5m",Versuchsdaten!$E$2:$E$1117,$E247,Versuchsdaten!$J$2:$J$1117,1),""))</f>
        <v/>
      </c>
      <c r="L247" s="22">
        <f>IF(LEFT(C247,7)&lt;&gt;"Sprint_","",IF(COUNTIFS(Versuchsdaten!$A$2:$A$1117,$A247,Versuchsdaten!$B$2:$B$1117,$B247,Versuchsdaten!$C$2:$C$1117,"Sprint_10m",Versuchsdaten!$E$2:$E$1117,$E247,Versuchsdaten!$J$2:$J$1117,1)=1,SUMIFS(Versuchsdaten!$F$2:$F$1117,Versuchsdaten!$A$2:$A$1117,$A247,Versuchsdaten!$B$2:$B$1117,$B247,Versuchsdaten!$C$2:$C$1117,"Sprint_10m",Versuchsdaten!$E$2:$E$1117,$E247,Versuchsdaten!$J$2:$J$1117,1),""))</f>
        <v/>
      </c>
      <c r="M247" s="22">
        <f>IF(LEFT(C247,7)&lt;&gt;"Sprint_","",IF(COUNTIFS(Versuchsdaten!$A$2:$A$1117,$A247,Versuchsdaten!$B$2:$B$1117,$B247,Versuchsdaten!$C$2:$C$1117,"Sprint_30m",Versuchsdaten!$E$2:$E$1117,$E247,Versuchsdaten!$J$2:$J$1117,1)=1,SUMIFS(Versuchsdaten!$F$2:$F$1117,Versuchsdaten!$A$2:$A$1117,$A247,Versuchsdaten!$B$2:$B$1117,$B247,Versuchsdaten!$C$2:$C$1117,"Sprint_30m",Versuchsdaten!$E$2:$E$1117,$E247,Versuchsdaten!$J$2:$J$1117,1),""))</f>
        <v/>
      </c>
      <c r="N247" s="22">
        <f>IF(LEFT(C247,7)&lt;&gt;"Sprint_",0,IF(IF(ISNUMBER(K247),IF(K247&lt;=0,1,IF(5/K247&gt;10,1,0)),0)+IF(ISNUMBER(L247),IF(ISNUMBER(K247),IF(L247-K247&lt;=0,1,IF(5/(L247-K247)&gt;10,1,0)),IF(L247&lt;=0,1,IF(10/L247&gt;10,1,0))),0)+IF(ISNUMBER(M247),IF(ISNUMBER(L247),IF(M247-L247&lt;=0,1,IF(20/(M247-L247)&gt;10,1,0)),IF(ISNUMBER(K247),IF(M247-K247&lt;=0,1,IF(25/(M247-K247)&gt;10,1,0)),IF(M247&lt;=0,1,IF(30/M247&gt;10,1,0)))),0)&gt;0,1,0))</f>
        <v/>
      </c>
      <c r="O247" s="22">
        <f>IF(AND(J247=1,N247=0),1,0)</f>
        <v/>
      </c>
      <c r="P247" s="22">
        <f>INDEX(Personendaten!$J$2:$J$32,MATCH(A247,Personendaten!$A$2:$A$32,0))</f>
        <v/>
      </c>
      <c r="Q247" s="22">
        <f>IF(O247=1,"",IF(AND(B247="post",P247="nicht angetreten"),"NANG",IF(N247=1,"AUSL",IFERROR(VLOOKUP(H247,Vokabular!$A$2:$B$8,2,FALSE),"UNBEKANNT"))))</f>
        <v/>
      </c>
    </row>
    <row r="248">
      <c r="A248" s="5" t="inlineStr">
        <is>
          <t>HL-03</t>
        </is>
      </c>
      <c r="B248" s="5" t="inlineStr">
        <is>
          <t>prä</t>
        </is>
      </c>
      <c r="C248" s="5" t="inlineStr">
        <is>
          <t>COD_505</t>
        </is>
      </c>
      <c r="D248" s="5" t="inlineStr">
        <is>
          <t>L</t>
        </is>
      </c>
      <c r="E248" s="5" t="n">
        <v>1</v>
      </c>
      <c r="F248" s="5" t="n">
        <v>2.39</v>
      </c>
      <c r="G248" s="5" t="n"/>
      <c r="H248" s="5" t="n"/>
      <c r="I248" s="22">
        <f>INDEX(Personendaten!$C$2:$C$32,MATCH(A248,Personendaten!$A$2:$A$32,0))</f>
        <v/>
      </c>
      <c r="J248" s="22">
        <f>IF(AND(F248&lt;&gt;"",G248=""),1,0)</f>
        <v/>
      </c>
      <c r="K248" s="22">
        <f>IF(LEFT(C248,7)&lt;&gt;"Sprint_","",IF(COUNTIFS(Versuchsdaten!$A$2:$A$1117,$A248,Versuchsdaten!$B$2:$B$1117,$B248,Versuchsdaten!$C$2:$C$1117,"Sprint_5m",Versuchsdaten!$E$2:$E$1117,$E248,Versuchsdaten!$J$2:$J$1117,1)=1,SUMIFS(Versuchsdaten!$F$2:$F$1117,Versuchsdaten!$A$2:$A$1117,$A248,Versuchsdaten!$B$2:$B$1117,$B248,Versuchsdaten!$C$2:$C$1117,"Sprint_5m",Versuchsdaten!$E$2:$E$1117,$E248,Versuchsdaten!$J$2:$J$1117,1),""))</f>
        <v/>
      </c>
      <c r="L248" s="22">
        <f>IF(LEFT(C248,7)&lt;&gt;"Sprint_","",IF(COUNTIFS(Versuchsdaten!$A$2:$A$1117,$A248,Versuchsdaten!$B$2:$B$1117,$B248,Versuchsdaten!$C$2:$C$1117,"Sprint_10m",Versuchsdaten!$E$2:$E$1117,$E248,Versuchsdaten!$J$2:$J$1117,1)=1,SUMIFS(Versuchsdaten!$F$2:$F$1117,Versuchsdaten!$A$2:$A$1117,$A248,Versuchsdaten!$B$2:$B$1117,$B248,Versuchsdaten!$C$2:$C$1117,"Sprint_10m",Versuchsdaten!$E$2:$E$1117,$E248,Versuchsdaten!$J$2:$J$1117,1),""))</f>
        <v/>
      </c>
      <c r="M248" s="22">
        <f>IF(LEFT(C248,7)&lt;&gt;"Sprint_","",IF(COUNTIFS(Versuchsdaten!$A$2:$A$1117,$A248,Versuchsdaten!$B$2:$B$1117,$B248,Versuchsdaten!$C$2:$C$1117,"Sprint_30m",Versuchsdaten!$E$2:$E$1117,$E248,Versuchsdaten!$J$2:$J$1117,1)=1,SUMIFS(Versuchsdaten!$F$2:$F$1117,Versuchsdaten!$A$2:$A$1117,$A248,Versuchsdaten!$B$2:$B$1117,$B248,Versuchsdaten!$C$2:$C$1117,"Sprint_30m",Versuchsdaten!$E$2:$E$1117,$E248,Versuchsdaten!$J$2:$J$1117,1),""))</f>
        <v/>
      </c>
      <c r="N248" s="22">
        <f>IF(LEFT(C248,7)&lt;&gt;"Sprint_",0,IF(IF(ISNUMBER(K248),IF(K248&lt;=0,1,IF(5/K248&gt;10,1,0)),0)+IF(ISNUMBER(L248),IF(ISNUMBER(K248),IF(L248-K248&lt;=0,1,IF(5/(L248-K248)&gt;10,1,0)),IF(L248&lt;=0,1,IF(10/L248&gt;10,1,0))),0)+IF(ISNUMBER(M248),IF(ISNUMBER(L248),IF(M248-L248&lt;=0,1,IF(20/(M248-L248)&gt;10,1,0)),IF(ISNUMBER(K248),IF(M248-K248&lt;=0,1,IF(25/(M248-K248)&gt;10,1,0)),IF(M248&lt;=0,1,IF(30/M248&gt;10,1,0)))),0)&gt;0,1,0))</f>
        <v/>
      </c>
      <c r="O248" s="22">
        <f>IF(AND(J248=1,N248=0),1,0)</f>
        <v/>
      </c>
      <c r="P248" s="22">
        <f>INDEX(Personendaten!$J$2:$J$32,MATCH(A248,Personendaten!$A$2:$A$32,0))</f>
        <v/>
      </c>
      <c r="Q248" s="22">
        <f>IF(O248=1,"",IF(AND(B248="post",P248="nicht angetreten"),"NANG",IF(N248=1,"AUSL",IFERROR(VLOOKUP(H248,Vokabular!$A$2:$B$8,2,FALSE),"UNBEKANNT"))))</f>
        <v/>
      </c>
    </row>
    <row r="249">
      <c r="A249" s="5" t="inlineStr">
        <is>
          <t>HL-03</t>
        </is>
      </c>
      <c r="B249" s="5" t="inlineStr">
        <is>
          <t>prä</t>
        </is>
      </c>
      <c r="C249" s="5" t="inlineStr">
        <is>
          <t>COD_505</t>
        </is>
      </c>
      <c r="D249" s="5" t="inlineStr">
        <is>
          <t>L</t>
        </is>
      </c>
      <c r="E249" s="5" t="n">
        <v>2</v>
      </c>
      <c r="F249" s="5" t="n">
        <v>2.41</v>
      </c>
      <c r="G249" s="5" t="n"/>
      <c r="H249" s="5" t="n"/>
      <c r="I249" s="22">
        <f>INDEX(Personendaten!$C$2:$C$32,MATCH(A249,Personendaten!$A$2:$A$32,0))</f>
        <v/>
      </c>
      <c r="J249" s="22">
        <f>IF(AND(F249&lt;&gt;"",G249=""),1,0)</f>
        <v/>
      </c>
      <c r="K249" s="22">
        <f>IF(LEFT(C249,7)&lt;&gt;"Sprint_","",IF(COUNTIFS(Versuchsdaten!$A$2:$A$1117,$A249,Versuchsdaten!$B$2:$B$1117,$B249,Versuchsdaten!$C$2:$C$1117,"Sprint_5m",Versuchsdaten!$E$2:$E$1117,$E249,Versuchsdaten!$J$2:$J$1117,1)=1,SUMIFS(Versuchsdaten!$F$2:$F$1117,Versuchsdaten!$A$2:$A$1117,$A249,Versuchsdaten!$B$2:$B$1117,$B249,Versuchsdaten!$C$2:$C$1117,"Sprint_5m",Versuchsdaten!$E$2:$E$1117,$E249,Versuchsdaten!$J$2:$J$1117,1),""))</f>
        <v/>
      </c>
      <c r="L249" s="22">
        <f>IF(LEFT(C249,7)&lt;&gt;"Sprint_","",IF(COUNTIFS(Versuchsdaten!$A$2:$A$1117,$A249,Versuchsdaten!$B$2:$B$1117,$B249,Versuchsdaten!$C$2:$C$1117,"Sprint_10m",Versuchsdaten!$E$2:$E$1117,$E249,Versuchsdaten!$J$2:$J$1117,1)=1,SUMIFS(Versuchsdaten!$F$2:$F$1117,Versuchsdaten!$A$2:$A$1117,$A249,Versuchsdaten!$B$2:$B$1117,$B249,Versuchsdaten!$C$2:$C$1117,"Sprint_10m",Versuchsdaten!$E$2:$E$1117,$E249,Versuchsdaten!$J$2:$J$1117,1),""))</f>
        <v/>
      </c>
      <c r="M249" s="22">
        <f>IF(LEFT(C249,7)&lt;&gt;"Sprint_","",IF(COUNTIFS(Versuchsdaten!$A$2:$A$1117,$A249,Versuchsdaten!$B$2:$B$1117,$B249,Versuchsdaten!$C$2:$C$1117,"Sprint_30m",Versuchsdaten!$E$2:$E$1117,$E249,Versuchsdaten!$J$2:$J$1117,1)=1,SUMIFS(Versuchsdaten!$F$2:$F$1117,Versuchsdaten!$A$2:$A$1117,$A249,Versuchsdaten!$B$2:$B$1117,$B249,Versuchsdaten!$C$2:$C$1117,"Sprint_30m",Versuchsdaten!$E$2:$E$1117,$E249,Versuchsdaten!$J$2:$J$1117,1),""))</f>
        <v/>
      </c>
      <c r="N249" s="22">
        <f>IF(LEFT(C249,7)&lt;&gt;"Sprint_",0,IF(IF(ISNUMBER(K249),IF(K249&lt;=0,1,IF(5/K249&gt;10,1,0)),0)+IF(ISNUMBER(L249),IF(ISNUMBER(K249),IF(L249-K249&lt;=0,1,IF(5/(L249-K249)&gt;10,1,0)),IF(L249&lt;=0,1,IF(10/L249&gt;10,1,0))),0)+IF(ISNUMBER(M249),IF(ISNUMBER(L249),IF(M249-L249&lt;=0,1,IF(20/(M249-L249)&gt;10,1,0)),IF(ISNUMBER(K249),IF(M249-K249&lt;=0,1,IF(25/(M249-K249)&gt;10,1,0)),IF(M249&lt;=0,1,IF(30/M249&gt;10,1,0)))),0)&gt;0,1,0))</f>
        <v/>
      </c>
      <c r="O249" s="22">
        <f>IF(AND(J249=1,N249=0),1,0)</f>
        <v/>
      </c>
      <c r="P249" s="22">
        <f>INDEX(Personendaten!$J$2:$J$32,MATCH(A249,Personendaten!$A$2:$A$32,0))</f>
        <v/>
      </c>
      <c r="Q249" s="22">
        <f>IF(O249=1,"",IF(AND(B249="post",P249="nicht angetreten"),"NANG",IF(N249=1,"AUSL",IFERROR(VLOOKUP(H249,Vokabular!$A$2:$B$8,2,FALSE),"UNBEKANNT"))))</f>
        <v/>
      </c>
    </row>
    <row r="250">
      <c r="A250" s="5" t="inlineStr">
        <is>
          <t>HL-03</t>
        </is>
      </c>
      <c r="B250" s="5" t="inlineStr">
        <is>
          <t>prä</t>
        </is>
      </c>
      <c r="C250" s="5" t="inlineStr">
        <is>
          <t>COD_505</t>
        </is>
      </c>
      <c r="D250" s="5" t="inlineStr">
        <is>
          <t>L</t>
        </is>
      </c>
      <c r="E250" s="5" t="n">
        <v>3</v>
      </c>
      <c r="F250" s="5" t="n">
        <v>2.45</v>
      </c>
      <c r="G250" s="5" t="n"/>
      <c r="H250" s="5" t="n"/>
      <c r="I250" s="22">
        <f>INDEX(Personendaten!$C$2:$C$32,MATCH(A250,Personendaten!$A$2:$A$32,0))</f>
        <v/>
      </c>
      <c r="J250" s="22">
        <f>IF(AND(F250&lt;&gt;"",G250=""),1,0)</f>
        <v/>
      </c>
      <c r="K250" s="22">
        <f>IF(LEFT(C250,7)&lt;&gt;"Sprint_","",IF(COUNTIFS(Versuchsdaten!$A$2:$A$1117,$A250,Versuchsdaten!$B$2:$B$1117,$B250,Versuchsdaten!$C$2:$C$1117,"Sprint_5m",Versuchsdaten!$E$2:$E$1117,$E250,Versuchsdaten!$J$2:$J$1117,1)=1,SUMIFS(Versuchsdaten!$F$2:$F$1117,Versuchsdaten!$A$2:$A$1117,$A250,Versuchsdaten!$B$2:$B$1117,$B250,Versuchsdaten!$C$2:$C$1117,"Sprint_5m",Versuchsdaten!$E$2:$E$1117,$E250,Versuchsdaten!$J$2:$J$1117,1),""))</f>
        <v/>
      </c>
      <c r="L250" s="22">
        <f>IF(LEFT(C250,7)&lt;&gt;"Sprint_","",IF(COUNTIFS(Versuchsdaten!$A$2:$A$1117,$A250,Versuchsdaten!$B$2:$B$1117,$B250,Versuchsdaten!$C$2:$C$1117,"Sprint_10m",Versuchsdaten!$E$2:$E$1117,$E250,Versuchsdaten!$J$2:$J$1117,1)=1,SUMIFS(Versuchsdaten!$F$2:$F$1117,Versuchsdaten!$A$2:$A$1117,$A250,Versuchsdaten!$B$2:$B$1117,$B250,Versuchsdaten!$C$2:$C$1117,"Sprint_10m",Versuchsdaten!$E$2:$E$1117,$E250,Versuchsdaten!$J$2:$J$1117,1),""))</f>
        <v/>
      </c>
      <c r="M250" s="22">
        <f>IF(LEFT(C250,7)&lt;&gt;"Sprint_","",IF(COUNTIFS(Versuchsdaten!$A$2:$A$1117,$A250,Versuchsdaten!$B$2:$B$1117,$B250,Versuchsdaten!$C$2:$C$1117,"Sprint_30m",Versuchsdaten!$E$2:$E$1117,$E250,Versuchsdaten!$J$2:$J$1117,1)=1,SUMIFS(Versuchsdaten!$F$2:$F$1117,Versuchsdaten!$A$2:$A$1117,$A250,Versuchsdaten!$B$2:$B$1117,$B250,Versuchsdaten!$C$2:$C$1117,"Sprint_30m",Versuchsdaten!$E$2:$E$1117,$E250,Versuchsdaten!$J$2:$J$1117,1),""))</f>
        <v/>
      </c>
      <c r="N250" s="22">
        <f>IF(LEFT(C250,7)&lt;&gt;"Sprint_",0,IF(IF(ISNUMBER(K250),IF(K250&lt;=0,1,IF(5/K250&gt;10,1,0)),0)+IF(ISNUMBER(L250),IF(ISNUMBER(K250),IF(L250-K250&lt;=0,1,IF(5/(L250-K250)&gt;10,1,0)),IF(L250&lt;=0,1,IF(10/L250&gt;10,1,0))),0)+IF(ISNUMBER(M250),IF(ISNUMBER(L250),IF(M250-L250&lt;=0,1,IF(20/(M250-L250)&gt;10,1,0)),IF(ISNUMBER(K250),IF(M250-K250&lt;=0,1,IF(25/(M250-K250)&gt;10,1,0)),IF(M250&lt;=0,1,IF(30/M250&gt;10,1,0)))),0)&gt;0,1,0))</f>
        <v/>
      </c>
      <c r="O250" s="22">
        <f>IF(AND(J250=1,N250=0),1,0)</f>
        <v/>
      </c>
      <c r="P250" s="22">
        <f>INDEX(Personendaten!$J$2:$J$32,MATCH(A250,Personendaten!$A$2:$A$32,0))</f>
        <v/>
      </c>
      <c r="Q250" s="22">
        <f>IF(O250=1,"",IF(AND(B250="post",P250="nicht angetreten"),"NANG",IF(N250=1,"AUSL",IFERROR(VLOOKUP(H250,Vokabular!$A$2:$B$8,2,FALSE),"UNBEKANNT"))))</f>
        <v/>
      </c>
    </row>
    <row r="251">
      <c r="A251" s="5" t="inlineStr">
        <is>
          <t>HL-03</t>
        </is>
      </c>
      <c r="B251" s="5" t="inlineStr">
        <is>
          <t>prä</t>
        </is>
      </c>
      <c r="C251" s="5" t="inlineStr">
        <is>
          <t>COD_505</t>
        </is>
      </c>
      <c r="D251" s="5" t="inlineStr">
        <is>
          <t>R</t>
        </is>
      </c>
      <c r="E251" s="5" t="n">
        <v>1</v>
      </c>
      <c r="F251" s="5" t="n"/>
      <c r="G251" s="5" t="n"/>
      <c r="H251" s="5" t="inlineStr">
        <is>
          <t>System nicht aufgenommen</t>
        </is>
      </c>
      <c r="I251" s="22">
        <f>INDEX(Personendaten!$C$2:$C$32,MATCH(A251,Personendaten!$A$2:$A$32,0))</f>
        <v/>
      </c>
      <c r="J251" s="22">
        <f>IF(AND(F251&lt;&gt;"",G251=""),1,0)</f>
        <v/>
      </c>
      <c r="K251" s="22">
        <f>IF(LEFT(C251,7)&lt;&gt;"Sprint_","",IF(COUNTIFS(Versuchsdaten!$A$2:$A$1117,$A251,Versuchsdaten!$B$2:$B$1117,$B251,Versuchsdaten!$C$2:$C$1117,"Sprint_5m",Versuchsdaten!$E$2:$E$1117,$E251,Versuchsdaten!$J$2:$J$1117,1)=1,SUMIFS(Versuchsdaten!$F$2:$F$1117,Versuchsdaten!$A$2:$A$1117,$A251,Versuchsdaten!$B$2:$B$1117,$B251,Versuchsdaten!$C$2:$C$1117,"Sprint_5m",Versuchsdaten!$E$2:$E$1117,$E251,Versuchsdaten!$J$2:$J$1117,1),""))</f>
        <v/>
      </c>
      <c r="L251" s="22">
        <f>IF(LEFT(C251,7)&lt;&gt;"Sprint_","",IF(COUNTIFS(Versuchsdaten!$A$2:$A$1117,$A251,Versuchsdaten!$B$2:$B$1117,$B251,Versuchsdaten!$C$2:$C$1117,"Sprint_10m",Versuchsdaten!$E$2:$E$1117,$E251,Versuchsdaten!$J$2:$J$1117,1)=1,SUMIFS(Versuchsdaten!$F$2:$F$1117,Versuchsdaten!$A$2:$A$1117,$A251,Versuchsdaten!$B$2:$B$1117,$B251,Versuchsdaten!$C$2:$C$1117,"Sprint_10m",Versuchsdaten!$E$2:$E$1117,$E251,Versuchsdaten!$J$2:$J$1117,1),""))</f>
        <v/>
      </c>
      <c r="M251" s="22">
        <f>IF(LEFT(C251,7)&lt;&gt;"Sprint_","",IF(COUNTIFS(Versuchsdaten!$A$2:$A$1117,$A251,Versuchsdaten!$B$2:$B$1117,$B251,Versuchsdaten!$C$2:$C$1117,"Sprint_30m",Versuchsdaten!$E$2:$E$1117,$E251,Versuchsdaten!$J$2:$J$1117,1)=1,SUMIFS(Versuchsdaten!$F$2:$F$1117,Versuchsdaten!$A$2:$A$1117,$A251,Versuchsdaten!$B$2:$B$1117,$B251,Versuchsdaten!$C$2:$C$1117,"Sprint_30m",Versuchsdaten!$E$2:$E$1117,$E251,Versuchsdaten!$J$2:$J$1117,1),""))</f>
        <v/>
      </c>
      <c r="N251" s="22">
        <f>IF(LEFT(C251,7)&lt;&gt;"Sprint_",0,IF(IF(ISNUMBER(K251),IF(K251&lt;=0,1,IF(5/K251&gt;10,1,0)),0)+IF(ISNUMBER(L251),IF(ISNUMBER(K251),IF(L251-K251&lt;=0,1,IF(5/(L251-K251)&gt;10,1,0)),IF(L251&lt;=0,1,IF(10/L251&gt;10,1,0))),0)+IF(ISNUMBER(M251),IF(ISNUMBER(L251),IF(M251-L251&lt;=0,1,IF(20/(M251-L251)&gt;10,1,0)),IF(ISNUMBER(K251),IF(M251-K251&lt;=0,1,IF(25/(M251-K251)&gt;10,1,0)),IF(M251&lt;=0,1,IF(30/M251&gt;10,1,0)))),0)&gt;0,1,0))</f>
        <v/>
      </c>
      <c r="O251" s="22">
        <f>IF(AND(J251=1,N251=0),1,0)</f>
        <v/>
      </c>
      <c r="P251" s="22">
        <f>INDEX(Personendaten!$J$2:$J$32,MATCH(A251,Personendaten!$A$2:$A$32,0))</f>
        <v/>
      </c>
      <c r="Q251" s="22">
        <f>IF(O251=1,"",IF(AND(B251="post",P251="nicht angetreten"),"NANG",IF(N251=1,"AUSL",IFERROR(VLOOKUP(H251,Vokabular!$A$2:$B$8,2,FALSE),"UNBEKANNT"))))</f>
        <v/>
      </c>
    </row>
    <row r="252">
      <c r="A252" s="5" t="inlineStr">
        <is>
          <t>HL-03</t>
        </is>
      </c>
      <c r="B252" s="5" t="inlineStr">
        <is>
          <t>prä</t>
        </is>
      </c>
      <c r="C252" s="5" t="inlineStr">
        <is>
          <t>COD_505</t>
        </is>
      </c>
      <c r="D252" s="5" t="inlineStr">
        <is>
          <t>R</t>
        </is>
      </c>
      <c r="E252" s="5" t="n">
        <v>2</v>
      </c>
      <c r="F252" s="5" t="n">
        <v>2.47</v>
      </c>
      <c r="G252" s="5" t="n"/>
      <c r="H252" s="5" t="n"/>
      <c r="I252" s="22">
        <f>INDEX(Personendaten!$C$2:$C$32,MATCH(A252,Personendaten!$A$2:$A$32,0))</f>
        <v/>
      </c>
      <c r="J252" s="22">
        <f>IF(AND(F252&lt;&gt;"",G252=""),1,0)</f>
        <v/>
      </c>
      <c r="K252" s="22">
        <f>IF(LEFT(C252,7)&lt;&gt;"Sprint_","",IF(COUNTIFS(Versuchsdaten!$A$2:$A$1117,$A252,Versuchsdaten!$B$2:$B$1117,$B252,Versuchsdaten!$C$2:$C$1117,"Sprint_5m",Versuchsdaten!$E$2:$E$1117,$E252,Versuchsdaten!$J$2:$J$1117,1)=1,SUMIFS(Versuchsdaten!$F$2:$F$1117,Versuchsdaten!$A$2:$A$1117,$A252,Versuchsdaten!$B$2:$B$1117,$B252,Versuchsdaten!$C$2:$C$1117,"Sprint_5m",Versuchsdaten!$E$2:$E$1117,$E252,Versuchsdaten!$J$2:$J$1117,1),""))</f>
        <v/>
      </c>
      <c r="L252" s="22">
        <f>IF(LEFT(C252,7)&lt;&gt;"Sprint_","",IF(COUNTIFS(Versuchsdaten!$A$2:$A$1117,$A252,Versuchsdaten!$B$2:$B$1117,$B252,Versuchsdaten!$C$2:$C$1117,"Sprint_10m",Versuchsdaten!$E$2:$E$1117,$E252,Versuchsdaten!$J$2:$J$1117,1)=1,SUMIFS(Versuchsdaten!$F$2:$F$1117,Versuchsdaten!$A$2:$A$1117,$A252,Versuchsdaten!$B$2:$B$1117,$B252,Versuchsdaten!$C$2:$C$1117,"Sprint_10m",Versuchsdaten!$E$2:$E$1117,$E252,Versuchsdaten!$J$2:$J$1117,1),""))</f>
        <v/>
      </c>
      <c r="M252" s="22">
        <f>IF(LEFT(C252,7)&lt;&gt;"Sprint_","",IF(COUNTIFS(Versuchsdaten!$A$2:$A$1117,$A252,Versuchsdaten!$B$2:$B$1117,$B252,Versuchsdaten!$C$2:$C$1117,"Sprint_30m",Versuchsdaten!$E$2:$E$1117,$E252,Versuchsdaten!$J$2:$J$1117,1)=1,SUMIFS(Versuchsdaten!$F$2:$F$1117,Versuchsdaten!$A$2:$A$1117,$A252,Versuchsdaten!$B$2:$B$1117,$B252,Versuchsdaten!$C$2:$C$1117,"Sprint_30m",Versuchsdaten!$E$2:$E$1117,$E252,Versuchsdaten!$J$2:$J$1117,1),""))</f>
        <v/>
      </c>
      <c r="N252" s="22">
        <f>IF(LEFT(C252,7)&lt;&gt;"Sprint_",0,IF(IF(ISNUMBER(K252),IF(K252&lt;=0,1,IF(5/K252&gt;10,1,0)),0)+IF(ISNUMBER(L252),IF(ISNUMBER(K252),IF(L252-K252&lt;=0,1,IF(5/(L252-K252)&gt;10,1,0)),IF(L252&lt;=0,1,IF(10/L252&gt;10,1,0))),0)+IF(ISNUMBER(M252),IF(ISNUMBER(L252),IF(M252-L252&lt;=0,1,IF(20/(M252-L252)&gt;10,1,0)),IF(ISNUMBER(K252),IF(M252-K252&lt;=0,1,IF(25/(M252-K252)&gt;10,1,0)),IF(M252&lt;=0,1,IF(30/M252&gt;10,1,0)))),0)&gt;0,1,0))</f>
        <v/>
      </c>
      <c r="O252" s="22">
        <f>IF(AND(J252=1,N252=0),1,0)</f>
        <v/>
      </c>
      <c r="P252" s="22">
        <f>INDEX(Personendaten!$J$2:$J$32,MATCH(A252,Personendaten!$A$2:$A$32,0))</f>
        <v/>
      </c>
      <c r="Q252" s="22">
        <f>IF(O252=1,"",IF(AND(B252="post",P252="nicht angetreten"),"NANG",IF(N252=1,"AUSL",IFERROR(VLOOKUP(H252,Vokabular!$A$2:$B$8,2,FALSE),"UNBEKANNT"))))</f>
        <v/>
      </c>
    </row>
    <row r="253">
      <c r="A253" s="5" t="inlineStr">
        <is>
          <t>HL-03</t>
        </is>
      </c>
      <c r="B253" s="5" t="inlineStr">
        <is>
          <t>prä</t>
        </is>
      </c>
      <c r="C253" s="5" t="inlineStr">
        <is>
          <t>COD_505</t>
        </is>
      </c>
      <c r="D253" s="5" t="inlineStr">
        <is>
          <t>R</t>
        </is>
      </c>
      <c r="E253" s="5" t="n">
        <v>3</v>
      </c>
      <c r="F253" s="5" t="n">
        <v>2.56</v>
      </c>
      <c r="G253" s="5" t="n"/>
      <c r="H253" s="5" t="n"/>
      <c r="I253" s="22">
        <f>INDEX(Personendaten!$C$2:$C$32,MATCH(A253,Personendaten!$A$2:$A$32,0))</f>
        <v/>
      </c>
      <c r="J253" s="22">
        <f>IF(AND(F253&lt;&gt;"",G253=""),1,0)</f>
        <v/>
      </c>
      <c r="K253" s="22">
        <f>IF(LEFT(C253,7)&lt;&gt;"Sprint_","",IF(COUNTIFS(Versuchsdaten!$A$2:$A$1117,$A253,Versuchsdaten!$B$2:$B$1117,$B253,Versuchsdaten!$C$2:$C$1117,"Sprint_5m",Versuchsdaten!$E$2:$E$1117,$E253,Versuchsdaten!$J$2:$J$1117,1)=1,SUMIFS(Versuchsdaten!$F$2:$F$1117,Versuchsdaten!$A$2:$A$1117,$A253,Versuchsdaten!$B$2:$B$1117,$B253,Versuchsdaten!$C$2:$C$1117,"Sprint_5m",Versuchsdaten!$E$2:$E$1117,$E253,Versuchsdaten!$J$2:$J$1117,1),""))</f>
        <v/>
      </c>
      <c r="L253" s="22">
        <f>IF(LEFT(C253,7)&lt;&gt;"Sprint_","",IF(COUNTIFS(Versuchsdaten!$A$2:$A$1117,$A253,Versuchsdaten!$B$2:$B$1117,$B253,Versuchsdaten!$C$2:$C$1117,"Sprint_10m",Versuchsdaten!$E$2:$E$1117,$E253,Versuchsdaten!$J$2:$J$1117,1)=1,SUMIFS(Versuchsdaten!$F$2:$F$1117,Versuchsdaten!$A$2:$A$1117,$A253,Versuchsdaten!$B$2:$B$1117,$B253,Versuchsdaten!$C$2:$C$1117,"Sprint_10m",Versuchsdaten!$E$2:$E$1117,$E253,Versuchsdaten!$J$2:$J$1117,1),""))</f>
        <v/>
      </c>
      <c r="M253" s="22">
        <f>IF(LEFT(C253,7)&lt;&gt;"Sprint_","",IF(COUNTIFS(Versuchsdaten!$A$2:$A$1117,$A253,Versuchsdaten!$B$2:$B$1117,$B253,Versuchsdaten!$C$2:$C$1117,"Sprint_30m",Versuchsdaten!$E$2:$E$1117,$E253,Versuchsdaten!$J$2:$J$1117,1)=1,SUMIFS(Versuchsdaten!$F$2:$F$1117,Versuchsdaten!$A$2:$A$1117,$A253,Versuchsdaten!$B$2:$B$1117,$B253,Versuchsdaten!$C$2:$C$1117,"Sprint_30m",Versuchsdaten!$E$2:$E$1117,$E253,Versuchsdaten!$J$2:$J$1117,1),""))</f>
        <v/>
      </c>
      <c r="N253" s="22">
        <f>IF(LEFT(C253,7)&lt;&gt;"Sprint_",0,IF(IF(ISNUMBER(K253),IF(K253&lt;=0,1,IF(5/K253&gt;10,1,0)),0)+IF(ISNUMBER(L253),IF(ISNUMBER(K253),IF(L253-K253&lt;=0,1,IF(5/(L253-K253)&gt;10,1,0)),IF(L253&lt;=0,1,IF(10/L253&gt;10,1,0))),0)+IF(ISNUMBER(M253),IF(ISNUMBER(L253),IF(M253-L253&lt;=0,1,IF(20/(M253-L253)&gt;10,1,0)),IF(ISNUMBER(K253),IF(M253-K253&lt;=0,1,IF(25/(M253-K253)&gt;10,1,0)),IF(M253&lt;=0,1,IF(30/M253&gt;10,1,0)))),0)&gt;0,1,0))</f>
        <v/>
      </c>
      <c r="O253" s="22">
        <f>IF(AND(J253=1,N253=0),1,0)</f>
        <v/>
      </c>
      <c r="P253" s="22">
        <f>INDEX(Personendaten!$J$2:$J$32,MATCH(A253,Personendaten!$A$2:$A$32,0))</f>
        <v/>
      </c>
      <c r="Q253" s="22">
        <f>IF(O253=1,"",IF(AND(B253="post",P253="nicht angetreten"),"NANG",IF(N253=1,"AUSL",IFERROR(VLOOKUP(H253,Vokabular!$A$2:$B$8,2,FALSE),"UNBEKANNT"))))</f>
        <v/>
      </c>
    </row>
    <row r="254">
      <c r="A254" s="5" t="inlineStr">
        <is>
          <t>HL-05</t>
        </is>
      </c>
      <c r="B254" s="5" t="inlineStr">
        <is>
          <t>prä</t>
        </is>
      </c>
      <c r="C254" s="5" t="inlineStr">
        <is>
          <t>Sprint_5m</t>
        </is>
      </c>
      <c r="D254" s="5" t="inlineStr">
        <is>
          <t>–</t>
        </is>
      </c>
      <c r="E254" s="5" t="n">
        <v>1</v>
      </c>
      <c r="F254" s="5" t="n"/>
      <c r="G254" s="5" t="n"/>
      <c r="H254" s="5" t="inlineStr">
        <is>
          <t>System nicht aufgenommen</t>
        </is>
      </c>
      <c r="I254" s="22">
        <f>INDEX(Personendaten!$C$2:$C$32,MATCH(A254,Personendaten!$A$2:$A$32,0))</f>
        <v/>
      </c>
      <c r="J254" s="22">
        <f>IF(AND(F254&lt;&gt;"",G254=""),1,0)</f>
        <v/>
      </c>
      <c r="K254" s="22">
        <f>IF(LEFT(C254,7)&lt;&gt;"Sprint_","",IF(COUNTIFS(Versuchsdaten!$A$2:$A$1117,$A254,Versuchsdaten!$B$2:$B$1117,$B254,Versuchsdaten!$C$2:$C$1117,"Sprint_5m",Versuchsdaten!$E$2:$E$1117,$E254,Versuchsdaten!$J$2:$J$1117,1)=1,SUMIFS(Versuchsdaten!$F$2:$F$1117,Versuchsdaten!$A$2:$A$1117,$A254,Versuchsdaten!$B$2:$B$1117,$B254,Versuchsdaten!$C$2:$C$1117,"Sprint_5m",Versuchsdaten!$E$2:$E$1117,$E254,Versuchsdaten!$J$2:$J$1117,1),""))</f>
        <v/>
      </c>
      <c r="L254" s="22">
        <f>IF(LEFT(C254,7)&lt;&gt;"Sprint_","",IF(COUNTIFS(Versuchsdaten!$A$2:$A$1117,$A254,Versuchsdaten!$B$2:$B$1117,$B254,Versuchsdaten!$C$2:$C$1117,"Sprint_10m",Versuchsdaten!$E$2:$E$1117,$E254,Versuchsdaten!$J$2:$J$1117,1)=1,SUMIFS(Versuchsdaten!$F$2:$F$1117,Versuchsdaten!$A$2:$A$1117,$A254,Versuchsdaten!$B$2:$B$1117,$B254,Versuchsdaten!$C$2:$C$1117,"Sprint_10m",Versuchsdaten!$E$2:$E$1117,$E254,Versuchsdaten!$J$2:$J$1117,1),""))</f>
        <v/>
      </c>
      <c r="M254" s="22">
        <f>IF(LEFT(C254,7)&lt;&gt;"Sprint_","",IF(COUNTIFS(Versuchsdaten!$A$2:$A$1117,$A254,Versuchsdaten!$B$2:$B$1117,$B254,Versuchsdaten!$C$2:$C$1117,"Sprint_30m",Versuchsdaten!$E$2:$E$1117,$E254,Versuchsdaten!$J$2:$J$1117,1)=1,SUMIFS(Versuchsdaten!$F$2:$F$1117,Versuchsdaten!$A$2:$A$1117,$A254,Versuchsdaten!$B$2:$B$1117,$B254,Versuchsdaten!$C$2:$C$1117,"Sprint_30m",Versuchsdaten!$E$2:$E$1117,$E254,Versuchsdaten!$J$2:$J$1117,1),""))</f>
        <v/>
      </c>
      <c r="N254" s="22">
        <f>IF(LEFT(C254,7)&lt;&gt;"Sprint_",0,IF(IF(ISNUMBER(K254),IF(K254&lt;=0,1,IF(5/K254&gt;10,1,0)),0)+IF(ISNUMBER(L254),IF(ISNUMBER(K254),IF(L254-K254&lt;=0,1,IF(5/(L254-K254)&gt;10,1,0)),IF(L254&lt;=0,1,IF(10/L254&gt;10,1,0))),0)+IF(ISNUMBER(M254),IF(ISNUMBER(L254),IF(M254-L254&lt;=0,1,IF(20/(M254-L254)&gt;10,1,0)),IF(ISNUMBER(K254),IF(M254-K254&lt;=0,1,IF(25/(M254-K254)&gt;10,1,0)),IF(M254&lt;=0,1,IF(30/M254&gt;10,1,0)))),0)&gt;0,1,0))</f>
        <v/>
      </c>
      <c r="O254" s="22">
        <f>IF(AND(J254=1,N254=0),1,0)</f>
        <v/>
      </c>
      <c r="P254" s="22">
        <f>INDEX(Personendaten!$J$2:$J$32,MATCH(A254,Personendaten!$A$2:$A$32,0))</f>
        <v/>
      </c>
      <c r="Q254" s="22">
        <f>IF(O254=1,"",IF(AND(B254="post",P254="nicht angetreten"),"NANG",IF(N254=1,"AUSL",IFERROR(VLOOKUP(H254,Vokabular!$A$2:$B$8,2,FALSE),"UNBEKANNT"))))</f>
        <v/>
      </c>
    </row>
    <row r="255">
      <c r="A255" s="5" t="inlineStr">
        <is>
          <t>HL-05</t>
        </is>
      </c>
      <c r="B255" s="5" t="inlineStr">
        <is>
          <t>prä</t>
        </is>
      </c>
      <c r="C255" s="5" t="inlineStr">
        <is>
          <t>Sprint_5m</t>
        </is>
      </c>
      <c r="D255" s="5" t="inlineStr">
        <is>
          <t>–</t>
        </is>
      </c>
      <c r="E255" s="5" t="n">
        <v>2</v>
      </c>
      <c r="F255" s="5" t="n">
        <v>1</v>
      </c>
      <c r="G255" s="5" t="n"/>
      <c r="H255" s="5" t="n"/>
      <c r="I255" s="22">
        <f>INDEX(Personendaten!$C$2:$C$32,MATCH(A255,Personendaten!$A$2:$A$32,0))</f>
        <v/>
      </c>
      <c r="J255" s="22">
        <f>IF(AND(F255&lt;&gt;"",G255=""),1,0)</f>
        <v/>
      </c>
      <c r="K255" s="22">
        <f>IF(LEFT(C255,7)&lt;&gt;"Sprint_","",IF(COUNTIFS(Versuchsdaten!$A$2:$A$1117,$A255,Versuchsdaten!$B$2:$B$1117,$B255,Versuchsdaten!$C$2:$C$1117,"Sprint_5m",Versuchsdaten!$E$2:$E$1117,$E255,Versuchsdaten!$J$2:$J$1117,1)=1,SUMIFS(Versuchsdaten!$F$2:$F$1117,Versuchsdaten!$A$2:$A$1117,$A255,Versuchsdaten!$B$2:$B$1117,$B255,Versuchsdaten!$C$2:$C$1117,"Sprint_5m",Versuchsdaten!$E$2:$E$1117,$E255,Versuchsdaten!$J$2:$J$1117,1),""))</f>
        <v/>
      </c>
      <c r="L255" s="22">
        <f>IF(LEFT(C255,7)&lt;&gt;"Sprint_","",IF(COUNTIFS(Versuchsdaten!$A$2:$A$1117,$A255,Versuchsdaten!$B$2:$B$1117,$B255,Versuchsdaten!$C$2:$C$1117,"Sprint_10m",Versuchsdaten!$E$2:$E$1117,$E255,Versuchsdaten!$J$2:$J$1117,1)=1,SUMIFS(Versuchsdaten!$F$2:$F$1117,Versuchsdaten!$A$2:$A$1117,$A255,Versuchsdaten!$B$2:$B$1117,$B255,Versuchsdaten!$C$2:$C$1117,"Sprint_10m",Versuchsdaten!$E$2:$E$1117,$E255,Versuchsdaten!$J$2:$J$1117,1),""))</f>
        <v/>
      </c>
      <c r="M255" s="22">
        <f>IF(LEFT(C255,7)&lt;&gt;"Sprint_","",IF(COUNTIFS(Versuchsdaten!$A$2:$A$1117,$A255,Versuchsdaten!$B$2:$B$1117,$B255,Versuchsdaten!$C$2:$C$1117,"Sprint_30m",Versuchsdaten!$E$2:$E$1117,$E255,Versuchsdaten!$J$2:$J$1117,1)=1,SUMIFS(Versuchsdaten!$F$2:$F$1117,Versuchsdaten!$A$2:$A$1117,$A255,Versuchsdaten!$B$2:$B$1117,$B255,Versuchsdaten!$C$2:$C$1117,"Sprint_30m",Versuchsdaten!$E$2:$E$1117,$E255,Versuchsdaten!$J$2:$J$1117,1),""))</f>
        <v/>
      </c>
      <c r="N255" s="22">
        <f>IF(LEFT(C255,7)&lt;&gt;"Sprint_",0,IF(IF(ISNUMBER(K255),IF(K255&lt;=0,1,IF(5/K255&gt;10,1,0)),0)+IF(ISNUMBER(L255),IF(ISNUMBER(K255),IF(L255-K255&lt;=0,1,IF(5/(L255-K255)&gt;10,1,0)),IF(L255&lt;=0,1,IF(10/L255&gt;10,1,0))),0)+IF(ISNUMBER(M255),IF(ISNUMBER(L255),IF(M255-L255&lt;=0,1,IF(20/(M255-L255)&gt;10,1,0)),IF(ISNUMBER(K255),IF(M255-K255&lt;=0,1,IF(25/(M255-K255)&gt;10,1,0)),IF(M255&lt;=0,1,IF(30/M255&gt;10,1,0)))),0)&gt;0,1,0))</f>
        <v/>
      </c>
      <c r="O255" s="22">
        <f>IF(AND(J255=1,N255=0),1,0)</f>
        <v/>
      </c>
      <c r="P255" s="22">
        <f>INDEX(Personendaten!$J$2:$J$32,MATCH(A255,Personendaten!$A$2:$A$32,0))</f>
        <v/>
      </c>
      <c r="Q255" s="22">
        <f>IF(O255=1,"",IF(AND(B255="post",P255="nicht angetreten"),"NANG",IF(N255=1,"AUSL",IFERROR(VLOOKUP(H255,Vokabular!$A$2:$B$8,2,FALSE),"UNBEKANNT"))))</f>
        <v/>
      </c>
    </row>
    <row r="256">
      <c r="A256" s="5" t="inlineStr">
        <is>
          <t>HL-05</t>
        </is>
      </c>
      <c r="B256" s="5" t="inlineStr">
        <is>
          <t>prä</t>
        </is>
      </c>
      <c r="C256" s="5" t="inlineStr">
        <is>
          <t>Sprint_5m</t>
        </is>
      </c>
      <c r="D256" s="5" t="inlineStr">
        <is>
          <t>–</t>
        </is>
      </c>
      <c r="E256" s="5" t="n">
        <v>3</v>
      </c>
      <c r="F256" s="5" t="n">
        <v>0.97</v>
      </c>
      <c r="G256" s="5" t="n"/>
      <c r="H256" s="5" t="n"/>
      <c r="I256" s="22">
        <f>INDEX(Personendaten!$C$2:$C$32,MATCH(A256,Personendaten!$A$2:$A$32,0))</f>
        <v/>
      </c>
      <c r="J256" s="22">
        <f>IF(AND(F256&lt;&gt;"",G256=""),1,0)</f>
        <v/>
      </c>
      <c r="K256" s="22">
        <f>IF(LEFT(C256,7)&lt;&gt;"Sprint_","",IF(COUNTIFS(Versuchsdaten!$A$2:$A$1117,$A256,Versuchsdaten!$B$2:$B$1117,$B256,Versuchsdaten!$C$2:$C$1117,"Sprint_5m",Versuchsdaten!$E$2:$E$1117,$E256,Versuchsdaten!$J$2:$J$1117,1)=1,SUMIFS(Versuchsdaten!$F$2:$F$1117,Versuchsdaten!$A$2:$A$1117,$A256,Versuchsdaten!$B$2:$B$1117,$B256,Versuchsdaten!$C$2:$C$1117,"Sprint_5m",Versuchsdaten!$E$2:$E$1117,$E256,Versuchsdaten!$J$2:$J$1117,1),""))</f>
        <v/>
      </c>
      <c r="L256" s="22">
        <f>IF(LEFT(C256,7)&lt;&gt;"Sprint_","",IF(COUNTIFS(Versuchsdaten!$A$2:$A$1117,$A256,Versuchsdaten!$B$2:$B$1117,$B256,Versuchsdaten!$C$2:$C$1117,"Sprint_10m",Versuchsdaten!$E$2:$E$1117,$E256,Versuchsdaten!$J$2:$J$1117,1)=1,SUMIFS(Versuchsdaten!$F$2:$F$1117,Versuchsdaten!$A$2:$A$1117,$A256,Versuchsdaten!$B$2:$B$1117,$B256,Versuchsdaten!$C$2:$C$1117,"Sprint_10m",Versuchsdaten!$E$2:$E$1117,$E256,Versuchsdaten!$J$2:$J$1117,1),""))</f>
        <v/>
      </c>
      <c r="M256" s="22">
        <f>IF(LEFT(C256,7)&lt;&gt;"Sprint_","",IF(COUNTIFS(Versuchsdaten!$A$2:$A$1117,$A256,Versuchsdaten!$B$2:$B$1117,$B256,Versuchsdaten!$C$2:$C$1117,"Sprint_30m",Versuchsdaten!$E$2:$E$1117,$E256,Versuchsdaten!$J$2:$J$1117,1)=1,SUMIFS(Versuchsdaten!$F$2:$F$1117,Versuchsdaten!$A$2:$A$1117,$A256,Versuchsdaten!$B$2:$B$1117,$B256,Versuchsdaten!$C$2:$C$1117,"Sprint_30m",Versuchsdaten!$E$2:$E$1117,$E256,Versuchsdaten!$J$2:$J$1117,1),""))</f>
        <v/>
      </c>
      <c r="N256" s="22">
        <f>IF(LEFT(C256,7)&lt;&gt;"Sprint_",0,IF(IF(ISNUMBER(K256),IF(K256&lt;=0,1,IF(5/K256&gt;10,1,0)),0)+IF(ISNUMBER(L256),IF(ISNUMBER(K256),IF(L256-K256&lt;=0,1,IF(5/(L256-K256)&gt;10,1,0)),IF(L256&lt;=0,1,IF(10/L256&gt;10,1,0))),0)+IF(ISNUMBER(M256),IF(ISNUMBER(L256),IF(M256-L256&lt;=0,1,IF(20/(M256-L256)&gt;10,1,0)),IF(ISNUMBER(K256),IF(M256-K256&lt;=0,1,IF(25/(M256-K256)&gt;10,1,0)),IF(M256&lt;=0,1,IF(30/M256&gt;10,1,0)))),0)&gt;0,1,0))</f>
        <v/>
      </c>
      <c r="O256" s="22">
        <f>IF(AND(J256=1,N256=0),1,0)</f>
        <v/>
      </c>
      <c r="P256" s="22">
        <f>INDEX(Personendaten!$J$2:$J$32,MATCH(A256,Personendaten!$A$2:$A$32,0))</f>
        <v/>
      </c>
      <c r="Q256" s="22">
        <f>IF(O256=1,"",IF(AND(B256="post",P256="nicht angetreten"),"NANG",IF(N256=1,"AUSL",IFERROR(VLOOKUP(H256,Vokabular!$A$2:$B$8,2,FALSE),"UNBEKANNT"))))</f>
        <v/>
      </c>
    </row>
    <row r="257">
      <c r="A257" s="5" t="inlineStr">
        <is>
          <t>HL-05</t>
        </is>
      </c>
      <c r="B257" s="5" t="inlineStr">
        <is>
          <t>prä</t>
        </is>
      </c>
      <c r="C257" s="5" t="inlineStr">
        <is>
          <t>Sprint_10m</t>
        </is>
      </c>
      <c r="D257" s="5" t="inlineStr">
        <is>
          <t>–</t>
        </is>
      </c>
      <c r="E257" s="5" t="n">
        <v>1</v>
      </c>
      <c r="F257" s="5" t="n">
        <v>1.76</v>
      </c>
      <c r="G257" s="5" t="n"/>
      <c r="H257" s="5" t="n"/>
      <c r="I257" s="22">
        <f>INDEX(Personendaten!$C$2:$C$32,MATCH(A257,Personendaten!$A$2:$A$32,0))</f>
        <v/>
      </c>
      <c r="J257" s="22">
        <f>IF(AND(F257&lt;&gt;"",G257=""),1,0)</f>
        <v/>
      </c>
      <c r="K257" s="22">
        <f>IF(LEFT(C257,7)&lt;&gt;"Sprint_","",IF(COUNTIFS(Versuchsdaten!$A$2:$A$1117,$A257,Versuchsdaten!$B$2:$B$1117,$B257,Versuchsdaten!$C$2:$C$1117,"Sprint_5m",Versuchsdaten!$E$2:$E$1117,$E257,Versuchsdaten!$J$2:$J$1117,1)=1,SUMIFS(Versuchsdaten!$F$2:$F$1117,Versuchsdaten!$A$2:$A$1117,$A257,Versuchsdaten!$B$2:$B$1117,$B257,Versuchsdaten!$C$2:$C$1117,"Sprint_5m",Versuchsdaten!$E$2:$E$1117,$E257,Versuchsdaten!$J$2:$J$1117,1),""))</f>
        <v/>
      </c>
      <c r="L257" s="22">
        <f>IF(LEFT(C257,7)&lt;&gt;"Sprint_","",IF(COUNTIFS(Versuchsdaten!$A$2:$A$1117,$A257,Versuchsdaten!$B$2:$B$1117,$B257,Versuchsdaten!$C$2:$C$1117,"Sprint_10m",Versuchsdaten!$E$2:$E$1117,$E257,Versuchsdaten!$J$2:$J$1117,1)=1,SUMIFS(Versuchsdaten!$F$2:$F$1117,Versuchsdaten!$A$2:$A$1117,$A257,Versuchsdaten!$B$2:$B$1117,$B257,Versuchsdaten!$C$2:$C$1117,"Sprint_10m",Versuchsdaten!$E$2:$E$1117,$E257,Versuchsdaten!$J$2:$J$1117,1),""))</f>
        <v/>
      </c>
      <c r="M257" s="22">
        <f>IF(LEFT(C257,7)&lt;&gt;"Sprint_","",IF(COUNTIFS(Versuchsdaten!$A$2:$A$1117,$A257,Versuchsdaten!$B$2:$B$1117,$B257,Versuchsdaten!$C$2:$C$1117,"Sprint_30m",Versuchsdaten!$E$2:$E$1117,$E257,Versuchsdaten!$J$2:$J$1117,1)=1,SUMIFS(Versuchsdaten!$F$2:$F$1117,Versuchsdaten!$A$2:$A$1117,$A257,Versuchsdaten!$B$2:$B$1117,$B257,Versuchsdaten!$C$2:$C$1117,"Sprint_30m",Versuchsdaten!$E$2:$E$1117,$E257,Versuchsdaten!$J$2:$J$1117,1),""))</f>
        <v/>
      </c>
      <c r="N257" s="22">
        <f>IF(LEFT(C257,7)&lt;&gt;"Sprint_",0,IF(IF(ISNUMBER(K257),IF(K257&lt;=0,1,IF(5/K257&gt;10,1,0)),0)+IF(ISNUMBER(L257),IF(ISNUMBER(K257),IF(L257-K257&lt;=0,1,IF(5/(L257-K257)&gt;10,1,0)),IF(L257&lt;=0,1,IF(10/L257&gt;10,1,0))),0)+IF(ISNUMBER(M257),IF(ISNUMBER(L257),IF(M257-L257&lt;=0,1,IF(20/(M257-L257)&gt;10,1,0)),IF(ISNUMBER(K257),IF(M257-K257&lt;=0,1,IF(25/(M257-K257)&gt;10,1,0)),IF(M257&lt;=0,1,IF(30/M257&gt;10,1,0)))),0)&gt;0,1,0))</f>
        <v/>
      </c>
      <c r="O257" s="22">
        <f>IF(AND(J257=1,N257=0),1,0)</f>
        <v/>
      </c>
      <c r="P257" s="22">
        <f>INDEX(Personendaten!$J$2:$J$32,MATCH(A257,Personendaten!$A$2:$A$32,0))</f>
        <v/>
      </c>
      <c r="Q257" s="22">
        <f>IF(O257=1,"",IF(AND(B257="post",P257="nicht angetreten"),"NANG",IF(N257=1,"AUSL",IFERROR(VLOOKUP(H257,Vokabular!$A$2:$B$8,2,FALSE),"UNBEKANNT"))))</f>
        <v/>
      </c>
    </row>
    <row r="258">
      <c r="A258" s="5" t="inlineStr">
        <is>
          <t>HL-05</t>
        </is>
      </c>
      <c r="B258" s="5" t="inlineStr">
        <is>
          <t>prä</t>
        </is>
      </c>
      <c r="C258" s="5" t="inlineStr">
        <is>
          <t>Sprint_10m</t>
        </is>
      </c>
      <c r="D258" s="5" t="inlineStr">
        <is>
          <t>–</t>
        </is>
      </c>
      <c r="E258" s="5" t="n">
        <v>2</v>
      </c>
      <c r="F258" s="5" t="n">
        <v>1.73</v>
      </c>
      <c r="G258" s="5" t="n"/>
      <c r="H258" s="5" t="n"/>
      <c r="I258" s="22">
        <f>INDEX(Personendaten!$C$2:$C$32,MATCH(A258,Personendaten!$A$2:$A$32,0))</f>
        <v/>
      </c>
      <c r="J258" s="22">
        <f>IF(AND(F258&lt;&gt;"",G258=""),1,0)</f>
        <v/>
      </c>
      <c r="K258" s="22">
        <f>IF(LEFT(C258,7)&lt;&gt;"Sprint_","",IF(COUNTIFS(Versuchsdaten!$A$2:$A$1117,$A258,Versuchsdaten!$B$2:$B$1117,$B258,Versuchsdaten!$C$2:$C$1117,"Sprint_5m",Versuchsdaten!$E$2:$E$1117,$E258,Versuchsdaten!$J$2:$J$1117,1)=1,SUMIFS(Versuchsdaten!$F$2:$F$1117,Versuchsdaten!$A$2:$A$1117,$A258,Versuchsdaten!$B$2:$B$1117,$B258,Versuchsdaten!$C$2:$C$1117,"Sprint_5m",Versuchsdaten!$E$2:$E$1117,$E258,Versuchsdaten!$J$2:$J$1117,1),""))</f>
        <v/>
      </c>
      <c r="L258" s="22">
        <f>IF(LEFT(C258,7)&lt;&gt;"Sprint_","",IF(COUNTIFS(Versuchsdaten!$A$2:$A$1117,$A258,Versuchsdaten!$B$2:$B$1117,$B258,Versuchsdaten!$C$2:$C$1117,"Sprint_10m",Versuchsdaten!$E$2:$E$1117,$E258,Versuchsdaten!$J$2:$J$1117,1)=1,SUMIFS(Versuchsdaten!$F$2:$F$1117,Versuchsdaten!$A$2:$A$1117,$A258,Versuchsdaten!$B$2:$B$1117,$B258,Versuchsdaten!$C$2:$C$1117,"Sprint_10m",Versuchsdaten!$E$2:$E$1117,$E258,Versuchsdaten!$J$2:$J$1117,1),""))</f>
        <v/>
      </c>
      <c r="M258" s="22">
        <f>IF(LEFT(C258,7)&lt;&gt;"Sprint_","",IF(COUNTIFS(Versuchsdaten!$A$2:$A$1117,$A258,Versuchsdaten!$B$2:$B$1117,$B258,Versuchsdaten!$C$2:$C$1117,"Sprint_30m",Versuchsdaten!$E$2:$E$1117,$E258,Versuchsdaten!$J$2:$J$1117,1)=1,SUMIFS(Versuchsdaten!$F$2:$F$1117,Versuchsdaten!$A$2:$A$1117,$A258,Versuchsdaten!$B$2:$B$1117,$B258,Versuchsdaten!$C$2:$C$1117,"Sprint_30m",Versuchsdaten!$E$2:$E$1117,$E258,Versuchsdaten!$J$2:$J$1117,1),""))</f>
        <v/>
      </c>
      <c r="N258" s="22">
        <f>IF(LEFT(C258,7)&lt;&gt;"Sprint_",0,IF(IF(ISNUMBER(K258),IF(K258&lt;=0,1,IF(5/K258&gt;10,1,0)),0)+IF(ISNUMBER(L258),IF(ISNUMBER(K258),IF(L258-K258&lt;=0,1,IF(5/(L258-K258)&gt;10,1,0)),IF(L258&lt;=0,1,IF(10/L258&gt;10,1,0))),0)+IF(ISNUMBER(M258),IF(ISNUMBER(L258),IF(M258-L258&lt;=0,1,IF(20/(M258-L258)&gt;10,1,0)),IF(ISNUMBER(K258),IF(M258-K258&lt;=0,1,IF(25/(M258-K258)&gt;10,1,0)),IF(M258&lt;=0,1,IF(30/M258&gt;10,1,0)))),0)&gt;0,1,0))</f>
        <v/>
      </c>
      <c r="O258" s="22">
        <f>IF(AND(J258=1,N258=0),1,0)</f>
        <v/>
      </c>
      <c r="P258" s="22">
        <f>INDEX(Personendaten!$J$2:$J$32,MATCH(A258,Personendaten!$A$2:$A$32,0))</f>
        <v/>
      </c>
      <c r="Q258" s="22">
        <f>IF(O258=1,"",IF(AND(B258="post",P258="nicht angetreten"),"NANG",IF(N258=1,"AUSL",IFERROR(VLOOKUP(H258,Vokabular!$A$2:$B$8,2,FALSE),"UNBEKANNT"))))</f>
        <v/>
      </c>
    </row>
    <row r="259">
      <c r="A259" s="5" t="inlineStr">
        <is>
          <t>HL-05</t>
        </is>
      </c>
      <c r="B259" s="5" t="inlineStr">
        <is>
          <t>prä</t>
        </is>
      </c>
      <c r="C259" s="5" t="inlineStr">
        <is>
          <t>Sprint_10m</t>
        </is>
      </c>
      <c r="D259" s="5" t="inlineStr">
        <is>
          <t>–</t>
        </is>
      </c>
      <c r="E259" s="5" t="n">
        <v>3</v>
      </c>
      <c r="F259" s="5" t="n">
        <v>1.77</v>
      </c>
      <c r="G259" s="5" t="n"/>
      <c r="H259" s="5" t="n"/>
      <c r="I259" s="22">
        <f>INDEX(Personendaten!$C$2:$C$32,MATCH(A259,Personendaten!$A$2:$A$32,0))</f>
        <v/>
      </c>
      <c r="J259" s="22">
        <f>IF(AND(F259&lt;&gt;"",G259=""),1,0)</f>
        <v/>
      </c>
      <c r="K259" s="22">
        <f>IF(LEFT(C259,7)&lt;&gt;"Sprint_","",IF(COUNTIFS(Versuchsdaten!$A$2:$A$1117,$A259,Versuchsdaten!$B$2:$B$1117,$B259,Versuchsdaten!$C$2:$C$1117,"Sprint_5m",Versuchsdaten!$E$2:$E$1117,$E259,Versuchsdaten!$J$2:$J$1117,1)=1,SUMIFS(Versuchsdaten!$F$2:$F$1117,Versuchsdaten!$A$2:$A$1117,$A259,Versuchsdaten!$B$2:$B$1117,$B259,Versuchsdaten!$C$2:$C$1117,"Sprint_5m",Versuchsdaten!$E$2:$E$1117,$E259,Versuchsdaten!$J$2:$J$1117,1),""))</f>
        <v/>
      </c>
      <c r="L259" s="22">
        <f>IF(LEFT(C259,7)&lt;&gt;"Sprint_","",IF(COUNTIFS(Versuchsdaten!$A$2:$A$1117,$A259,Versuchsdaten!$B$2:$B$1117,$B259,Versuchsdaten!$C$2:$C$1117,"Sprint_10m",Versuchsdaten!$E$2:$E$1117,$E259,Versuchsdaten!$J$2:$J$1117,1)=1,SUMIFS(Versuchsdaten!$F$2:$F$1117,Versuchsdaten!$A$2:$A$1117,$A259,Versuchsdaten!$B$2:$B$1117,$B259,Versuchsdaten!$C$2:$C$1117,"Sprint_10m",Versuchsdaten!$E$2:$E$1117,$E259,Versuchsdaten!$J$2:$J$1117,1),""))</f>
        <v/>
      </c>
      <c r="M259" s="22">
        <f>IF(LEFT(C259,7)&lt;&gt;"Sprint_","",IF(COUNTIFS(Versuchsdaten!$A$2:$A$1117,$A259,Versuchsdaten!$B$2:$B$1117,$B259,Versuchsdaten!$C$2:$C$1117,"Sprint_30m",Versuchsdaten!$E$2:$E$1117,$E259,Versuchsdaten!$J$2:$J$1117,1)=1,SUMIFS(Versuchsdaten!$F$2:$F$1117,Versuchsdaten!$A$2:$A$1117,$A259,Versuchsdaten!$B$2:$B$1117,$B259,Versuchsdaten!$C$2:$C$1117,"Sprint_30m",Versuchsdaten!$E$2:$E$1117,$E259,Versuchsdaten!$J$2:$J$1117,1),""))</f>
        <v/>
      </c>
      <c r="N259" s="22">
        <f>IF(LEFT(C259,7)&lt;&gt;"Sprint_",0,IF(IF(ISNUMBER(K259),IF(K259&lt;=0,1,IF(5/K259&gt;10,1,0)),0)+IF(ISNUMBER(L259),IF(ISNUMBER(K259),IF(L259-K259&lt;=0,1,IF(5/(L259-K259)&gt;10,1,0)),IF(L259&lt;=0,1,IF(10/L259&gt;10,1,0))),0)+IF(ISNUMBER(M259),IF(ISNUMBER(L259),IF(M259-L259&lt;=0,1,IF(20/(M259-L259)&gt;10,1,0)),IF(ISNUMBER(K259),IF(M259-K259&lt;=0,1,IF(25/(M259-K259)&gt;10,1,0)),IF(M259&lt;=0,1,IF(30/M259&gt;10,1,0)))),0)&gt;0,1,0))</f>
        <v/>
      </c>
      <c r="O259" s="22">
        <f>IF(AND(J259=1,N259=0),1,0)</f>
        <v/>
      </c>
      <c r="P259" s="22">
        <f>INDEX(Personendaten!$J$2:$J$32,MATCH(A259,Personendaten!$A$2:$A$32,0))</f>
        <v/>
      </c>
      <c r="Q259" s="22">
        <f>IF(O259=1,"",IF(AND(B259="post",P259="nicht angetreten"),"NANG",IF(N259=1,"AUSL",IFERROR(VLOOKUP(H259,Vokabular!$A$2:$B$8,2,FALSE),"UNBEKANNT"))))</f>
        <v/>
      </c>
    </row>
    <row r="260">
      <c r="A260" s="5" t="inlineStr">
        <is>
          <t>HL-05</t>
        </is>
      </c>
      <c r="B260" s="5" t="inlineStr">
        <is>
          <t>prä</t>
        </is>
      </c>
      <c r="C260" s="5" t="inlineStr">
        <is>
          <t>Sprint_30m</t>
        </is>
      </c>
      <c r="D260" s="5" t="inlineStr">
        <is>
          <t>–</t>
        </is>
      </c>
      <c r="E260" s="5" t="n">
        <v>1</v>
      </c>
      <c r="F260" s="5" t="n">
        <v>4.29</v>
      </c>
      <c r="G260" s="5" t="n"/>
      <c r="H260" s="5" t="n"/>
      <c r="I260" s="22">
        <f>INDEX(Personendaten!$C$2:$C$32,MATCH(A260,Personendaten!$A$2:$A$32,0))</f>
        <v/>
      </c>
      <c r="J260" s="22">
        <f>IF(AND(F260&lt;&gt;"",G260=""),1,0)</f>
        <v/>
      </c>
      <c r="K260" s="22">
        <f>IF(LEFT(C260,7)&lt;&gt;"Sprint_","",IF(COUNTIFS(Versuchsdaten!$A$2:$A$1117,$A260,Versuchsdaten!$B$2:$B$1117,$B260,Versuchsdaten!$C$2:$C$1117,"Sprint_5m",Versuchsdaten!$E$2:$E$1117,$E260,Versuchsdaten!$J$2:$J$1117,1)=1,SUMIFS(Versuchsdaten!$F$2:$F$1117,Versuchsdaten!$A$2:$A$1117,$A260,Versuchsdaten!$B$2:$B$1117,$B260,Versuchsdaten!$C$2:$C$1117,"Sprint_5m",Versuchsdaten!$E$2:$E$1117,$E260,Versuchsdaten!$J$2:$J$1117,1),""))</f>
        <v/>
      </c>
      <c r="L260" s="22">
        <f>IF(LEFT(C260,7)&lt;&gt;"Sprint_","",IF(COUNTIFS(Versuchsdaten!$A$2:$A$1117,$A260,Versuchsdaten!$B$2:$B$1117,$B260,Versuchsdaten!$C$2:$C$1117,"Sprint_10m",Versuchsdaten!$E$2:$E$1117,$E260,Versuchsdaten!$J$2:$J$1117,1)=1,SUMIFS(Versuchsdaten!$F$2:$F$1117,Versuchsdaten!$A$2:$A$1117,$A260,Versuchsdaten!$B$2:$B$1117,$B260,Versuchsdaten!$C$2:$C$1117,"Sprint_10m",Versuchsdaten!$E$2:$E$1117,$E260,Versuchsdaten!$J$2:$J$1117,1),""))</f>
        <v/>
      </c>
      <c r="M260" s="22">
        <f>IF(LEFT(C260,7)&lt;&gt;"Sprint_","",IF(COUNTIFS(Versuchsdaten!$A$2:$A$1117,$A260,Versuchsdaten!$B$2:$B$1117,$B260,Versuchsdaten!$C$2:$C$1117,"Sprint_30m",Versuchsdaten!$E$2:$E$1117,$E260,Versuchsdaten!$J$2:$J$1117,1)=1,SUMIFS(Versuchsdaten!$F$2:$F$1117,Versuchsdaten!$A$2:$A$1117,$A260,Versuchsdaten!$B$2:$B$1117,$B260,Versuchsdaten!$C$2:$C$1117,"Sprint_30m",Versuchsdaten!$E$2:$E$1117,$E260,Versuchsdaten!$J$2:$J$1117,1),""))</f>
        <v/>
      </c>
      <c r="N260" s="22">
        <f>IF(LEFT(C260,7)&lt;&gt;"Sprint_",0,IF(IF(ISNUMBER(K260),IF(K260&lt;=0,1,IF(5/K260&gt;10,1,0)),0)+IF(ISNUMBER(L260),IF(ISNUMBER(K260),IF(L260-K260&lt;=0,1,IF(5/(L260-K260)&gt;10,1,0)),IF(L260&lt;=0,1,IF(10/L260&gt;10,1,0))),0)+IF(ISNUMBER(M260),IF(ISNUMBER(L260),IF(M260-L260&lt;=0,1,IF(20/(M260-L260)&gt;10,1,0)),IF(ISNUMBER(K260),IF(M260-K260&lt;=0,1,IF(25/(M260-K260)&gt;10,1,0)),IF(M260&lt;=0,1,IF(30/M260&gt;10,1,0)))),0)&gt;0,1,0))</f>
        <v/>
      </c>
      <c r="O260" s="22">
        <f>IF(AND(J260=1,N260=0),1,0)</f>
        <v/>
      </c>
      <c r="P260" s="22">
        <f>INDEX(Personendaten!$J$2:$J$32,MATCH(A260,Personendaten!$A$2:$A$32,0))</f>
        <v/>
      </c>
      <c r="Q260" s="22">
        <f>IF(O260=1,"",IF(AND(B260="post",P260="nicht angetreten"),"NANG",IF(N260=1,"AUSL",IFERROR(VLOOKUP(H260,Vokabular!$A$2:$B$8,2,FALSE),"UNBEKANNT"))))</f>
        <v/>
      </c>
    </row>
    <row r="261">
      <c r="A261" s="5" t="inlineStr">
        <is>
          <t>HL-05</t>
        </is>
      </c>
      <c r="B261" s="5" t="inlineStr">
        <is>
          <t>prä</t>
        </is>
      </c>
      <c r="C261" s="5" t="inlineStr">
        <is>
          <t>Sprint_30m</t>
        </is>
      </c>
      <c r="D261" s="5" t="inlineStr">
        <is>
          <t>–</t>
        </is>
      </c>
      <c r="E261" s="5" t="n">
        <v>2</v>
      </c>
      <c r="F261" s="5" t="n">
        <v>4.25</v>
      </c>
      <c r="G261" s="5" t="n"/>
      <c r="H261" s="5" t="n"/>
      <c r="I261" s="22">
        <f>INDEX(Personendaten!$C$2:$C$32,MATCH(A261,Personendaten!$A$2:$A$32,0))</f>
        <v/>
      </c>
      <c r="J261" s="22">
        <f>IF(AND(F261&lt;&gt;"",G261=""),1,0)</f>
        <v/>
      </c>
      <c r="K261" s="22">
        <f>IF(LEFT(C261,7)&lt;&gt;"Sprint_","",IF(COUNTIFS(Versuchsdaten!$A$2:$A$1117,$A261,Versuchsdaten!$B$2:$B$1117,$B261,Versuchsdaten!$C$2:$C$1117,"Sprint_5m",Versuchsdaten!$E$2:$E$1117,$E261,Versuchsdaten!$J$2:$J$1117,1)=1,SUMIFS(Versuchsdaten!$F$2:$F$1117,Versuchsdaten!$A$2:$A$1117,$A261,Versuchsdaten!$B$2:$B$1117,$B261,Versuchsdaten!$C$2:$C$1117,"Sprint_5m",Versuchsdaten!$E$2:$E$1117,$E261,Versuchsdaten!$J$2:$J$1117,1),""))</f>
        <v/>
      </c>
      <c r="L261" s="22">
        <f>IF(LEFT(C261,7)&lt;&gt;"Sprint_","",IF(COUNTIFS(Versuchsdaten!$A$2:$A$1117,$A261,Versuchsdaten!$B$2:$B$1117,$B261,Versuchsdaten!$C$2:$C$1117,"Sprint_10m",Versuchsdaten!$E$2:$E$1117,$E261,Versuchsdaten!$J$2:$J$1117,1)=1,SUMIFS(Versuchsdaten!$F$2:$F$1117,Versuchsdaten!$A$2:$A$1117,$A261,Versuchsdaten!$B$2:$B$1117,$B261,Versuchsdaten!$C$2:$C$1117,"Sprint_10m",Versuchsdaten!$E$2:$E$1117,$E261,Versuchsdaten!$J$2:$J$1117,1),""))</f>
        <v/>
      </c>
      <c r="M261" s="22">
        <f>IF(LEFT(C261,7)&lt;&gt;"Sprint_","",IF(COUNTIFS(Versuchsdaten!$A$2:$A$1117,$A261,Versuchsdaten!$B$2:$B$1117,$B261,Versuchsdaten!$C$2:$C$1117,"Sprint_30m",Versuchsdaten!$E$2:$E$1117,$E261,Versuchsdaten!$J$2:$J$1117,1)=1,SUMIFS(Versuchsdaten!$F$2:$F$1117,Versuchsdaten!$A$2:$A$1117,$A261,Versuchsdaten!$B$2:$B$1117,$B261,Versuchsdaten!$C$2:$C$1117,"Sprint_30m",Versuchsdaten!$E$2:$E$1117,$E261,Versuchsdaten!$J$2:$J$1117,1),""))</f>
        <v/>
      </c>
      <c r="N261" s="22">
        <f>IF(LEFT(C261,7)&lt;&gt;"Sprint_",0,IF(IF(ISNUMBER(K261),IF(K261&lt;=0,1,IF(5/K261&gt;10,1,0)),0)+IF(ISNUMBER(L261),IF(ISNUMBER(K261),IF(L261-K261&lt;=0,1,IF(5/(L261-K261)&gt;10,1,0)),IF(L261&lt;=0,1,IF(10/L261&gt;10,1,0))),0)+IF(ISNUMBER(M261),IF(ISNUMBER(L261),IF(M261-L261&lt;=0,1,IF(20/(M261-L261)&gt;10,1,0)),IF(ISNUMBER(K261),IF(M261-K261&lt;=0,1,IF(25/(M261-K261)&gt;10,1,0)),IF(M261&lt;=0,1,IF(30/M261&gt;10,1,0)))),0)&gt;0,1,0))</f>
        <v/>
      </c>
      <c r="O261" s="22">
        <f>IF(AND(J261=1,N261=0),1,0)</f>
        <v/>
      </c>
      <c r="P261" s="22">
        <f>INDEX(Personendaten!$J$2:$J$32,MATCH(A261,Personendaten!$A$2:$A$32,0))</f>
        <v/>
      </c>
      <c r="Q261" s="22">
        <f>IF(O261=1,"",IF(AND(B261="post",P261="nicht angetreten"),"NANG",IF(N261=1,"AUSL",IFERROR(VLOOKUP(H261,Vokabular!$A$2:$B$8,2,FALSE),"UNBEKANNT"))))</f>
        <v/>
      </c>
    </row>
    <row r="262">
      <c r="A262" s="5" t="inlineStr">
        <is>
          <t>HL-05</t>
        </is>
      </c>
      <c r="B262" s="5" t="inlineStr">
        <is>
          <t>prä</t>
        </is>
      </c>
      <c r="C262" s="5" t="inlineStr">
        <is>
          <t>Sprint_30m</t>
        </is>
      </c>
      <c r="D262" s="5" t="inlineStr">
        <is>
          <t>–</t>
        </is>
      </c>
      <c r="E262" s="5" t="n">
        <v>3</v>
      </c>
      <c r="F262" s="5" t="n">
        <v>4.32</v>
      </c>
      <c r="G262" s="5" t="n"/>
      <c r="H262" s="5" t="n"/>
      <c r="I262" s="22">
        <f>INDEX(Personendaten!$C$2:$C$32,MATCH(A262,Personendaten!$A$2:$A$32,0))</f>
        <v/>
      </c>
      <c r="J262" s="22">
        <f>IF(AND(F262&lt;&gt;"",G262=""),1,0)</f>
        <v/>
      </c>
      <c r="K262" s="22">
        <f>IF(LEFT(C262,7)&lt;&gt;"Sprint_","",IF(COUNTIFS(Versuchsdaten!$A$2:$A$1117,$A262,Versuchsdaten!$B$2:$B$1117,$B262,Versuchsdaten!$C$2:$C$1117,"Sprint_5m",Versuchsdaten!$E$2:$E$1117,$E262,Versuchsdaten!$J$2:$J$1117,1)=1,SUMIFS(Versuchsdaten!$F$2:$F$1117,Versuchsdaten!$A$2:$A$1117,$A262,Versuchsdaten!$B$2:$B$1117,$B262,Versuchsdaten!$C$2:$C$1117,"Sprint_5m",Versuchsdaten!$E$2:$E$1117,$E262,Versuchsdaten!$J$2:$J$1117,1),""))</f>
        <v/>
      </c>
      <c r="L262" s="22">
        <f>IF(LEFT(C262,7)&lt;&gt;"Sprint_","",IF(COUNTIFS(Versuchsdaten!$A$2:$A$1117,$A262,Versuchsdaten!$B$2:$B$1117,$B262,Versuchsdaten!$C$2:$C$1117,"Sprint_10m",Versuchsdaten!$E$2:$E$1117,$E262,Versuchsdaten!$J$2:$J$1117,1)=1,SUMIFS(Versuchsdaten!$F$2:$F$1117,Versuchsdaten!$A$2:$A$1117,$A262,Versuchsdaten!$B$2:$B$1117,$B262,Versuchsdaten!$C$2:$C$1117,"Sprint_10m",Versuchsdaten!$E$2:$E$1117,$E262,Versuchsdaten!$J$2:$J$1117,1),""))</f>
        <v/>
      </c>
      <c r="M262" s="22">
        <f>IF(LEFT(C262,7)&lt;&gt;"Sprint_","",IF(COUNTIFS(Versuchsdaten!$A$2:$A$1117,$A262,Versuchsdaten!$B$2:$B$1117,$B262,Versuchsdaten!$C$2:$C$1117,"Sprint_30m",Versuchsdaten!$E$2:$E$1117,$E262,Versuchsdaten!$J$2:$J$1117,1)=1,SUMIFS(Versuchsdaten!$F$2:$F$1117,Versuchsdaten!$A$2:$A$1117,$A262,Versuchsdaten!$B$2:$B$1117,$B262,Versuchsdaten!$C$2:$C$1117,"Sprint_30m",Versuchsdaten!$E$2:$E$1117,$E262,Versuchsdaten!$J$2:$J$1117,1),""))</f>
        <v/>
      </c>
      <c r="N262" s="22">
        <f>IF(LEFT(C262,7)&lt;&gt;"Sprint_",0,IF(IF(ISNUMBER(K262),IF(K262&lt;=0,1,IF(5/K262&gt;10,1,0)),0)+IF(ISNUMBER(L262),IF(ISNUMBER(K262),IF(L262-K262&lt;=0,1,IF(5/(L262-K262)&gt;10,1,0)),IF(L262&lt;=0,1,IF(10/L262&gt;10,1,0))),0)+IF(ISNUMBER(M262),IF(ISNUMBER(L262),IF(M262-L262&lt;=0,1,IF(20/(M262-L262)&gt;10,1,0)),IF(ISNUMBER(K262),IF(M262-K262&lt;=0,1,IF(25/(M262-K262)&gt;10,1,0)),IF(M262&lt;=0,1,IF(30/M262&gt;10,1,0)))),0)&gt;0,1,0))</f>
        <v/>
      </c>
      <c r="O262" s="22">
        <f>IF(AND(J262=1,N262=0),1,0)</f>
        <v/>
      </c>
      <c r="P262" s="22">
        <f>INDEX(Personendaten!$J$2:$J$32,MATCH(A262,Personendaten!$A$2:$A$32,0))</f>
        <v/>
      </c>
      <c r="Q262" s="22">
        <f>IF(O262=1,"",IF(AND(B262="post",P262="nicht angetreten"),"NANG",IF(N262=1,"AUSL",IFERROR(VLOOKUP(H262,Vokabular!$A$2:$B$8,2,FALSE),"UNBEKANNT"))))</f>
        <v/>
      </c>
    </row>
    <row r="263">
      <c r="A263" s="5" t="inlineStr">
        <is>
          <t>HL-05</t>
        </is>
      </c>
      <c r="B263" s="5" t="inlineStr">
        <is>
          <t>prä</t>
        </is>
      </c>
      <c r="C263" s="5" t="inlineStr">
        <is>
          <t>Standweitsprung</t>
        </is>
      </c>
      <c r="D263" s="5" t="inlineStr">
        <is>
          <t>–</t>
        </is>
      </c>
      <c r="E263" s="5" t="n">
        <v>1</v>
      </c>
      <c r="F263" s="5" t="n"/>
      <c r="G263" s="5" t="n"/>
      <c r="H263" s="5" t="inlineStr">
        <is>
          <t>System nicht aufgenommen</t>
        </is>
      </c>
      <c r="I263" s="22">
        <f>INDEX(Personendaten!$C$2:$C$32,MATCH(A263,Personendaten!$A$2:$A$32,0))</f>
        <v/>
      </c>
      <c r="J263" s="22">
        <f>IF(AND(F263&lt;&gt;"",G263=""),1,0)</f>
        <v/>
      </c>
      <c r="K263" s="22">
        <f>IF(LEFT(C263,7)&lt;&gt;"Sprint_","",IF(COUNTIFS(Versuchsdaten!$A$2:$A$1117,$A263,Versuchsdaten!$B$2:$B$1117,$B263,Versuchsdaten!$C$2:$C$1117,"Sprint_5m",Versuchsdaten!$E$2:$E$1117,$E263,Versuchsdaten!$J$2:$J$1117,1)=1,SUMIFS(Versuchsdaten!$F$2:$F$1117,Versuchsdaten!$A$2:$A$1117,$A263,Versuchsdaten!$B$2:$B$1117,$B263,Versuchsdaten!$C$2:$C$1117,"Sprint_5m",Versuchsdaten!$E$2:$E$1117,$E263,Versuchsdaten!$J$2:$J$1117,1),""))</f>
        <v/>
      </c>
      <c r="L263" s="22">
        <f>IF(LEFT(C263,7)&lt;&gt;"Sprint_","",IF(COUNTIFS(Versuchsdaten!$A$2:$A$1117,$A263,Versuchsdaten!$B$2:$B$1117,$B263,Versuchsdaten!$C$2:$C$1117,"Sprint_10m",Versuchsdaten!$E$2:$E$1117,$E263,Versuchsdaten!$J$2:$J$1117,1)=1,SUMIFS(Versuchsdaten!$F$2:$F$1117,Versuchsdaten!$A$2:$A$1117,$A263,Versuchsdaten!$B$2:$B$1117,$B263,Versuchsdaten!$C$2:$C$1117,"Sprint_10m",Versuchsdaten!$E$2:$E$1117,$E263,Versuchsdaten!$J$2:$J$1117,1),""))</f>
        <v/>
      </c>
      <c r="M263" s="22">
        <f>IF(LEFT(C263,7)&lt;&gt;"Sprint_","",IF(COUNTIFS(Versuchsdaten!$A$2:$A$1117,$A263,Versuchsdaten!$B$2:$B$1117,$B263,Versuchsdaten!$C$2:$C$1117,"Sprint_30m",Versuchsdaten!$E$2:$E$1117,$E263,Versuchsdaten!$J$2:$J$1117,1)=1,SUMIFS(Versuchsdaten!$F$2:$F$1117,Versuchsdaten!$A$2:$A$1117,$A263,Versuchsdaten!$B$2:$B$1117,$B263,Versuchsdaten!$C$2:$C$1117,"Sprint_30m",Versuchsdaten!$E$2:$E$1117,$E263,Versuchsdaten!$J$2:$J$1117,1),""))</f>
        <v/>
      </c>
      <c r="N263" s="22">
        <f>IF(LEFT(C263,7)&lt;&gt;"Sprint_",0,IF(IF(ISNUMBER(K263),IF(K263&lt;=0,1,IF(5/K263&gt;10,1,0)),0)+IF(ISNUMBER(L263),IF(ISNUMBER(K263),IF(L263-K263&lt;=0,1,IF(5/(L263-K263)&gt;10,1,0)),IF(L263&lt;=0,1,IF(10/L263&gt;10,1,0))),0)+IF(ISNUMBER(M263),IF(ISNUMBER(L263),IF(M263-L263&lt;=0,1,IF(20/(M263-L263)&gt;10,1,0)),IF(ISNUMBER(K263),IF(M263-K263&lt;=0,1,IF(25/(M263-K263)&gt;10,1,0)),IF(M263&lt;=0,1,IF(30/M263&gt;10,1,0)))),0)&gt;0,1,0))</f>
        <v/>
      </c>
      <c r="O263" s="22">
        <f>IF(AND(J263=1,N263=0),1,0)</f>
        <v/>
      </c>
      <c r="P263" s="22">
        <f>INDEX(Personendaten!$J$2:$J$32,MATCH(A263,Personendaten!$A$2:$A$32,0))</f>
        <v/>
      </c>
      <c r="Q263" s="22">
        <f>IF(O263=1,"",IF(AND(B263="post",P263="nicht angetreten"),"NANG",IF(N263=1,"AUSL",IFERROR(VLOOKUP(H263,Vokabular!$A$2:$B$8,2,FALSE),"UNBEKANNT"))))</f>
        <v/>
      </c>
    </row>
    <row r="264">
      <c r="A264" s="5" t="inlineStr">
        <is>
          <t>HL-05</t>
        </is>
      </c>
      <c r="B264" s="5" t="inlineStr">
        <is>
          <t>prä</t>
        </is>
      </c>
      <c r="C264" s="5" t="inlineStr">
        <is>
          <t>Standweitsprung</t>
        </is>
      </c>
      <c r="D264" s="5" t="inlineStr">
        <is>
          <t>–</t>
        </is>
      </c>
      <c r="E264" s="5" t="n">
        <v>2</v>
      </c>
      <c r="F264" s="5" t="n">
        <v>220</v>
      </c>
      <c r="G264" s="5" t="n"/>
      <c r="H264" s="5" t="n"/>
      <c r="I264" s="22">
        <f>INDEX(Personendaten!$C$2:$C$32,MATCH(A264,Personendaten!$A$2:$A$32,0))</f>
        <v/>
      </c>
      <c r="J264" s="22">
        <f>IF(AND(F264&lt;&gt;"",G264=""),1,0)</f>
        <v/>
      </c>
      <c r="K264" s="22">
        <f>IF(LEFT(C264,7)&lt;&gt;"Sprint_","",IF(COUNTIFS(Versuchsdaten!$A$2:$A$1117,$A264,Versuchsdaten!$B$2:$B$1117,$B264,Versuchsdaten!$C$2:$C$1117,"Sprint_5m",Versuchsdaten!$E$2:$E$1117,$E264,Versuchsdaten!$J$2:$J$1117,1)=1,SUMIFS(Versuchsdaten!$F$2:$F$1117,Versuchsdaten!$A$2:$A$1117,$A264,Versuchsdaten!$B$2:$B$1117,$B264,Versuchsdaten!$C$2:$C$1117,"Sprint_5m",Versuchsdaten!$E$2:$E$1117,$E264,Versuchsdaten!$J$2:$J$1117,1),""))</f>
        <v/>
      </c>
      <c r="L264" s="22">
        <f>IF(LEFT(C264,7)&lt;&gt;"Sprint_","",IF(COUNTIFS(Versuchsdaten!$A$2:$A$1117,$A264,Versuchsdaten!$B$2:$B$1117,$B264,Versuchsdaten!$C$2:$C$1117,"Sprint_10m",Versuchsdaten!$E$2:$E$1117,$E264,Versuchsdaten!$J$2:$J$1117,1)=1,SUMIFS(Versuchsdaten!$F$2:$F$1117,Versuchsdaten!$A$2:$A$1117,$A264,Versuchsdaten!$B$2:$B$1117,$B264,Versuchsdaten!$C$2:$C$1117,"Sprint_10m",Versuchsdaten!$E$2:$E$1117,$E264,Versuchsdaten!$J$2:$J$1117,1),""))</f>
        <v/>
      </c>
      <c r="M264" s="22">
        <f>IF(LEFT(C264,7)&lt;&gt;"Sprint_","",IF(COUNTIFS(Versuchsdaten!$A$2:$A$1117,$A264,Versuchsdaten!$B$2:$B$1117,$B264,Versuchsdaten!$C$2:$C$1117,"Sprint_30m",Versuchsdaten!$E$2:$E$1117,$E264,Versuchsdaten!$J$2:$J$1117,1)=1,SUMIFS(Versuchsdaten!$F$2:$F$1117,Versuchsdaten!$A$2:$A$1117,$A264,Versuchsdaten!$B$2:$B$1117,$B264,Versuchsdaten!$C$2:$C$1117,"Sprint_30m",Versuchsdaten!$E$2:$E$1117,$E264,Versuchsdaten!$J$2:$J$1117,1),""))</f>
        <v/>
      </c>
      <c r="N264" s="22">
        <f>IF(LEFT(C264,7)&lt;&gt;"Sprint_",0,IF(IF(ISNUMBER(K264),IF(K264&lt;=0,1,IF(5/K264&gt;10,1,0)),0)+IF(ISNUMBER(L264),IF(ISNUMBER(K264),IF(L264-K264&lt;=0,1,IF(5/(L264-K264)&gt;10,1,0)),IF(L264&lt;=0,1,IF(10/L264&gt;10,1,0))),0)+IF(ISNUMBER(M264),IF(ISNUMBER(L264),IF(M264-L264&lt;=0,1,IF(20/(M264-L264)&gt;10,1,0)),IF(ISNUMBER(K264),IF(M264-K264&lt;=0,1,IF(25/(M264-K264)&gt;10,1,0)),IF(M264&lt;=0,1,IF(30/M264&gt;10,1,0)))),0)&gt;0,1,0))</f>
        <v/>
      </c>
      <c r="O264" s="22">
        <f>IF(AND(J264=1,N264=0),1,0)</f>
        <v/>
      </c>
      <c r="P264" s="22">
        <f>INDEX(Personendaten!$J$2:$J$32,MATCH(A264,Personendaten!$A$2:$A$32,0))</f>
        <v/>
      </c>
      <c r="Q264" s="22">
        <f>IF(O264=1,"",IF(AND(B264="post",P264="nicht angetreten"),"NANG",IF(N264=1,"AUSL",IFERROR(VLOOKUP(H264,Vokabular!$A$2:$B$8,2,FALSE),"UNBEKANNT"))))</f>
        <v/>
      </c>
    </row>
    <row r="265">
      <c r="A265" s="5" t="inlineStr">
        <is>
          <t>HL-05</t>
        </is>
      </c>
      <c r="B265" s="5" t="inlineStr">
        <is>
          <t>prä</t>
        </is>
      </c>
      <c r="C265" s="5" t="inlineStr">
        <is>
          <t>Standweitsprung</t>
        </is>
      </c>
      <c r="D265" s="5" t="inlineStr">
        <is>
          <t>–</t>
        </is>
      </c>
      <c r="E265" s="5" t="n">
        <v>3</v>
      </c>
      <c r="F265" s="5" t="n">
        <v>232</v>
      </c>
      <c r="G265" s="5" t="n"/>
      <c r="H265" s="5" t="n"/>
      <c r="I265" s="22">
        <f>INDEX(Personendaten!$C$2:$C$32,MATCH(A265,Personendaten!$A$2:$A$32,0))</f>
        <v/>
      </c>
      <c r="J265" s="22">
        <f>IF(AND(F265&lt;&gt;"",G265=""),1,0)</f>
        <v/>
      </c>
      <c r="K265" s="22">
        <f>IF(LEFT(C265,7)&lt;&gt;"Sprint_","",IF(COUNTIFS(Versuchsdaten!$A$2:$A$1117,$A265,Versuchsdaten!$B$2:$B$1117,$B265,Versuchsdaten!$C$2:$C$1117,"Sprint_5m",Versuchsdaten!$E$2:$E$1117,$E265,Versuchsdaten!$J$2:$J$1117,1)=1,SUMIFS(Versuchsdaten!$F$2:$F$1117,Versuchsdaten!$A$2:$A$1117,$A265,Versuchsdaten!$B$2:$B$1117,$B265,Versuchsdaten!$C$2:$C$1117,"Sprint_5m",Versuchsdaten!$E$2:$E$1117,$E265,Versuchsdaten!$J$2:$J$1117,1),""))</f>
        <v/>
      </c>
      <c r="L265" s="22">
        <f>IF(LEFT(C265,7)&lt;&gt;"Sprint_","",IF(COUNTIFS(Versuchsdaten!$A$2:$A$1117,$A265,Versuchsdaten!$B$2:$B$1117,$B265,Versuchsdaten!$C$2:$C$1117,"Sprint_10m",Versuchsdaten!$E$2:$E$1117,$E265,Versuchsdaten!$J$2:$J$1117,1)=1,SUMIFS(Versuchsdaten!$F$2:$F$1117,Versuchsdaten!$A$2:$A$1117,$A265,Versuchsdaten!$B$2:$B$1117,$B265,Versuchsdaten!$C$2:$C$1117,"Sprint_10m",Versuchsdaten!$E$2:$E$1117,$E265,Versuchsdaten!$J$2:$J$1117,1),""))</f>
        <v/>
      </c>
      <c r="M265" s="22">
        <f>IF(LEFT(C265,7)&lt;&gt;"Sprint_","",IF(COUNTIFS(Versuchsdaten!$A$2:$A$1117,$A265,Versuchsdaten!$B$2:$B$1117,$B265,Versuchsdaten!$C$2:$C$1117,"Sprint_30m",Versuchsdaten!$E$2:$E$1117,$E265,Versuchsdaten!$J$2:$J$1117,1)=1,SUMIFS(Versuchsdaten!$F$2:$F$1117,Versuchsdaten!$A$2:$A$1117,$A265,Versuchsdaten!$B$2:$B$1117,$B265,Versuchsdaten!$C$2:$C$1117,"Sprint_30m",Versuchsdaten!$E$2:$E$1117,$E265,Versuchsdaten!$J$2:$J$1117,1),""))</f>
        <v/>
      </c>
      <c r="N265" s="22">
        <f>IF(LEFT(C265,7)&lt;&gt;"Sprint_",0,IF(IF(ISNUMBER(K265),IF(K265&lt;=0,1,IF(5/K265&gt;10,1,0)),0)+IF(ISNUMBER(L265),IF(ISNUMBER(K265),IF(L265-K265&lt;=0,1,IF(5/(L265-K265)&gt;10,1,0)),IF(L265&lt;=0,1,IF(10/L265&gt;10,1,0))),0)+IF(ISNUMBER(M265),IF(ISNUMBER(L265),IF(M265-L265&lt;=0,1,IF(20/(M265-L265)&gt;10,1,0)),IF(ISNUMBER(K265),IF(M265-K265&lt;=0,1,IF(25/(M265-K265)&gt;10,1,0)),IF(M265&lt;=0,1,IF(30/M265&gt;10,1,0)))),0)&gt;0,1,0))</f>
        <v/>
      </c>
      <c r="O265" s="22">
        <f>IF(AND(J265=1,N265=0),1,0)</f>
        <v/>
      </c>
      <c r="P265" s="22">
        <f>INDEX(Personendaten!$J$2:$J$32,MATCH(A265,Personendaten!$A$2:$A$32,0))</f>
        <v/>
      </c>
      <c r="Q265" s="22">
        <f>IF(O265=1,"",IF(AND(B265="post",P265="nicht angetreten"),"NANG",IF(N265=1,"AUSL",IFERROR(VLOOKUP(H265,Vokabular!$A$2:$B$8,2,FALSE),"UNBEKANNT"))))</f>
        <v/>
      </c>
    </row>
    <row r="266">
      <c r="A266" s="5" t="inlineStr">
        <is>
          <t>HL-05</t>
        </is>
      </c>
      <c r="B266" s="5" t="inlineStr">
        <is>
          <t>prä</t>
        </is>
      </c>
      <c r="C266" s="5" t="inlineStr">
        <is>
          <t>COD_505</t>
        </is>
      </c>
      <c r="D266" s="5" t="inlineStr">
        <is>
          <t>L</t>
        </is>
      </c>
      <c r="E266" s="5" t="n">
        <v>1</v>
      </c>
      <c r="F266" s="5" t="n"/>
      <c r="G266" s="5" t="n"/>
      <c r="H266" s="5" t="inlineStr">
        <is>
          <t>System nicht aufgenommen</t>
        </is>
      </c>
      <c r="I266" s="22">
        <f>INDEX(Personendaten!$C$2:$C$32,MATCH(A266,Personendaten!$A$2:$A$32,0))</f>
        <v/>
      </c>
      <c r="J266" s="22">
        <f>IF(AND(F266&lt;&gt;"",G266=""),1,0)</f>
        <v/>
      </c>
      <c r="K266" s="22">
        <f>IF(LEFT(C266,7)&lt;&gt;"Sprint_","",IF(COUNTIFS(Versuchsdaten!$A$2:$A$1117,$A266,Versuchsdaten!$B$2:$B$1117,$B266,Versuchsdaten!$C$2:$C$1117,"Sprint_5m",Versuchsdaten!$E$2:$E$1117,$E266,Versuchsdaten!$J$2:$J$1117,1)=1,SUMIFS(Versuchsdaten!$F$2:$F$1117,Versuchsdaten!$A$2:$A$1117,$A266,Versuchsdaten!$B$2:$B$1117,$B266,Versuchsdaten!$C$2:$C$1117,"Sprint_5m",Versuchsdaten!$E$2:$E$1117,$E266,Versuchsdaten!$J$2:$J$1117,1),""))</f>
        <v/>
      </c>
      <c r="L266" s="22">
        <f>IF(LEFT(C266,7)&lt;&gt;"Sprint_","",IF(COUNTIFS(Versuchsdaten!$A$2:$A$1117,$A266,Versuchsdaten!$B$2:$B$1117,$B266,Versuchsdaten!$C$2:$C$1117,"Sprint_10m",Versuchsdaten!$E$2:$E$1117,$E266,Versuchsdaten!$J$2:$J$1117,1)=1,SUMIFS(Versuchsdaten!$F$2:$F$1117,Versuchsdaten!$A$2:$A$1117,$A266,Versuchsdaten!$B$2:$B$1117,$B266,Versuchsdaten!$C$2:$C$1117,"Sprint_10m",Versuchsdaten!$E$2:$E$1117,$E266,Versuchsdaten!$J$2:$J$1117,1),""))</f>
        <v/>
      </c>
      <c r="M266" s="22">
        <f>IF(LEFT(C266,7)&lt;&gt;"Sprint_","",IF(COUNTIFS(Versuchsdaten!$A$2:$A$1117,$A266,Versuchsdaten!$B$2:$B$1117,$B266,Versuchsdaten!$C$2:$C$1117,"Sprint_30m",Versuchsdaten!$E$2:$E$1117,$E266,Versuchsdaten!$J$2:$J$1117,1)=1,SUMIFS(Versuchsdaten!$F$2:$F$1117,Versuchsdaten!$A$2:$A$1117,$A266,Versuchsdaten!$B$2:$B$1117,$B266,Versuchsdaten!$C$2:$C$1117,"Sprint_30m",Versuchsdaten!$E$2:$E$1117,$E266,Versuchsdaten!$J$2:$J$1117,1),""))</f>
        <v/>
      </c>
      <c r="N266" s="22">
        <f>IF(LEFT(C266,7)&lt;&gt;"Sprint_",0,IF(IF(ISNUMBER(K266),IF(K266&lt;=0,1,IF(5/K266&gt;10,1,0)),0)+IF(ISNUMBER(L266),IF(ISNUMBER(K266),IF(L266-K266&lt;=0,1,IF(5/(L266-K266)&gt;10,1,0)),IF(L266&lt;=0,1,IF(10/L266&gt;10,1,0))),0)+IF(ISNUMBER(M266),IF(ISNUMBER(L266),IF(M266-L266&lt;=0,1,IF(20/(M266-L266)&gt;10,1,0)),IF(ISNUMBER(K266),IF(M266-K266&lt;=0,1,IF(25/(M266-K266)&gt;10,1,0)),IF(M266&lt;=0,1,IF(30/M266&gt;10,1,0)))),0)&gt;0,1,0))</f>
        <v/>
      </c>
      <c r="O266" s="22">
        <f>IF(AND(J266=1,N266=0),1,0)</f>
        <v/>
      </c>
      <c r="P266" s="22">
        <f>INDEX(Personendaten!$J$2:$J$32,MATCH(A266,Personendaten!$A$2:$A$32,0))</f>
        <v/>
      </c>
      <c r="Q266" s="22">
        <f>IF(O266=1,"",IF(AND(B266="post",P266="nicht angetreten"),"NANG",IF(N266=1,"AUSL",IFERROR(VLOOKUP(H266,Vokabular!$A$2:$B$8,2,FALSE),"UNBEKANNT"))))</f>
        <v/>
      </c>
    </row>
    <row r="267">
      <c r="A267" s="5" t="inlineStr">
        <is>
          <t>HL-05</t>
        </is>
      </c>
      <c r="B267" s="5" t="inlineStr">
        <is>
          <t>prä</t>
        </is>
      </c>
      <c r="C267" s="5" t="inlineStr">
        <is>
          <t>COD_505</t>
        </is>
      </c>
      <c r="D267" s="5" t="inlineStr">
        <is>
          <t>L</t>
        </is>
      </c>
      <c r="E267" s="5" t="n">
        <v>2</v>
      </c>
      <c r="F267" s="5" t="n"/>
      <c r="G267" s="5" t="n"/>
      <c r="H267" s="5" t="inlineStr">
        <is>
          <t>System nicht aufgenommen</t>
        </is>
      </c>
      <c r="I267" s="22">
        <f>INDEX(Personendaten!$C$2:$C$32,MATCH(A267,Personendaten!$A$2:$A$32,0))</f>
        <v/>
      </c>
      <c r="J267" s="22">
        <f>IF(AND(F267&lt;&gt;"",G267=""),1,0)</f>
        <v/>
      </c>
      <c r="K267" s="22">
        <f>IF(LEFT(C267,7)&lt;&gt;"Sprint_","",IF(COUNTIFS(Versuchsdaten!$A$2:$A$1117,$A267,Versuchsdaten!$B$2:$B$1117,$B267,Versuchsdaten!$C$2:$C$1117,"Sprint_5m",Versuchsdaten!$E$2:$E$1117,$E267,Versuchsdaten!$J$2:$J$1117,1)=1,SUMIFS(Versuchsdaten!$F$2:$F$1117,Versuchsdaten!$A$2:$A$1117,$A267,Versuchsdaten!$B$2:$B$1117,$B267,Versuchsdaten!$C$2:$C$1117,"Sprint_5m",Versuchsdaten!$E$2:$E$1117,$E267,Versuchsdaten!$J$2:$J$1117,1),""))</f>
        <v/>
      </c>
      <c r="L267" s="22">
        <f>IF(LEFT(C267,7)&lt;&gt;"Sprint_","",IF(COUNTIFS(Versuchsdaten!$A$2:$A$1117,$A267,Versuchsdaten!$B$2:$B$1117,$B267,Versuchsdaten!$C$2:$C$1117,"Sprint_10m",Versuchsdaten!$E$2:$E$1117,$E267,Versuchsdaten!$J$2:$J$1117,1)=1,SUMIFS(Versuchsdaten!$F$2:$F$1117,Versuchsdaten!$A$2:$A$1117,$A267,Versuchsdaten!$B$2:$B$1117,$B267,Versuchsdaten!$C$2:$C$1117,"Sprint_10m",Versuchsdaten!$E$2:$E$1117,$E267,Versuchsdaten!$J$2:$J$1117,1),""))</f>
        <v/>
      </c>
      <c r="M267" s="22">
        <f>IF(LEFT(C267,7)&lt;&gt;"Sprint_","",IF(COUNTIFS(Versuchsdaten!$A$2:$A$1117,$A267,Versuchsdaten!$B$2:$B$1117,$B267,Versuchsdaten!$C$2:$C$1117,"Sprint_30m",Versuchsdaten!$E$2:$E$1117,$E267,Versuchsdaten!$J$2:$J$1117,1)=1,SUMIFS(Versuchsdaten!$F$2:$F$1117,Versuchsdaten!$A$2:$A$1117,$A267,Versuchsdaten!$B$2:$B$1117,$B267,Versuchsdaten!$C$2:$C$1117,"Sprint_30m",Versuchsdaten!$E$2:$E$1117,$E267,Versuchsdaten!$J$2:$J$1117,1),""))</f>
        <v/>
      </c>
      <c r="N267" s="22">
        <f>IF(LEFT(C267,7)&lt;&gt;"Sprint_",0,IF(IF(ISNUMBER(K267),IF(K267&lt;=0,1,IF(5/K267&gt;10,1,0)),0)+IF(ISNUMBER(L267),IF(ISNUMBER(K267),IF(L267-K267&lt;=0,1,IF(5/(L267-K267)&gt;10,1,0)),IF(L267&lt;=0,1,IF(10/L267&gt;10,1,0))),0)+IF(ISNUMBER(M267),IF(ISNUMBER(L267),IF(M267-L267&lt;=0,1,IF(20/(M267-L267)&gt;10,1,0)),IF(ISNUMBER(K267),IF(M267-K267&lt;=0,1,IF(25/(M267-K267)&gt;10,1,0)),IF(M267&lt;=0,1,IF(30/M267&gt;10,1,0)))),0)&gt;0,1,0))</f>
        <v/>
      </c>
      <c r="O267" s="22">
        <f>IF(AND(J267=1,N267=0),1,0)</f>
        <v/>
      </c>
      <c r="P267" s="22">
        <f>INDEX(Personendaten!$J$2:$J$32,MATCH(A267,Personendaten!$A$2:$A$32,0))</f>
        <v/>
      </c>
      <c r="Q267" s="22">
        <f>IF(O267=1,"",IF(AND(B267="post",P267="nicht angetreten"),"NANG",IF(N267=1,"AUSL",IFERROR(VLOOKUP(H267,Vokabular!$A$2:$B$8,2,FALSE),"UNBEKANNT"))))</f>
        <v/>
      </c>
    </row>
    <row r="268">
      <c r="A268" s="5" t="inlineStr">
        <is>
          <t>HL-05</t>
        </is>
      </c>
      <c r="B268" s="5" t="inlineStr">
        <is>
          <t>prä</t>
        </is>
      </c>
      <c r="C268" s="5" t="inlineStr">
        <is>
          <t>COD_505</t>
        </is>
      </c>
      <c r="D268" s="5" t="inlineStr">
        <is>
          <t>L</t>
        </is>
      </c>
      <c r="E268" s="5" t="n">
        <v>3</v>
      </c>
      <c r="F268" s="5" t="n">
        <v>2.45</v>
      </c>
      <c r="G268" s="5" t="n"/>
      <c r="H268" s="5" t="n"/>
      <c r="I268" s="22">
        <f>INDEX(Personendaten!$C$2:$C$32,MATCH(A268,Personendaten!$A$2:$A$32,0))</f>
        <v/>
      </c>
      <c r="J268" s="22">
        <f>IF(AND(F268&lt;&gt;"",G268=""),1,0)</f>
        <v/>
      </c>
      <c r="K268" s="22">
        <f>IF(LEFT(C268,7)&lt;&gt;"Sprint_","",IF(COUNTIFS(Versuchsdaten!$A$2:$A$1117,$A268,Versuchsdaten!$B$2:$B$1117,$B268,Versuchsdaten!$C$2:$C$1117,"Sprint_5m",Versuchsdaten!$E$2:$E$1117,$E268,Versuchsdaten!$J$2:$J$1117,1)=1,SUMIFS(Versuchsdaten!$F$2:$F$1117,Versuchsdaten!$A$2:$A$1117,$A268,Versuchsdaten!$B$2:$B$1117,$B268,Versuchsdaten!$C$2:$C$1117,"Sprint_5m",Versuchsdaten!$E$2:$E$1117,$E268,Versuchsdaten!$J$2:$J$1117,1),""))</f>
        <v/>
      </c>
      <c r="L268" s="22">
        <f>IF(LEFT(C268,7)&lt;&gt;"Sprint_","",IF(COUNTIFS(Versuchsdaten!$A$2:$A$1117,$A268,Versuchsdaten!$B$2:$B$1117,$B268,Versuchsdaten!$C$2:$C$1117,"Sprint_10m",Versuchsdaten!$E$2:$E$1117,$E268,Versuchsdaten!$J$2:$J$1117,1)=1,SUMIFS(Versuchsdaten!$F$2:$F$1117,Versuchsdaten!$A$2:$A$1117,$A268,Versuchsdaten!$B$2:$B$1117,$B268,Versuchsdaten!$C$2:$C$1117,"Sprint_10m",Versuchsdaten!$E$2:$E$1117,$E268,Versuchsdaten!$J$2:$J$1117,1),""))</f>
        <v/>
      </c>
      <c r="M268" s="22">
        <f>IF(LEFT(C268,7)&lt;&gt;"Sprint_","",IF(COUNTIFS(Versuchsdaten!$A$2:$A$1117,$A268,Versuchsdaten!$B$2:$B$1117,$B268,Versuchsdaten!$C$2:$C$1117,"Sprint_30m",Versuchsdaten!$E$2:$E$1117,$E268,Versuchsdaten!$J$2:$J$1117,1)=1,SUMIFS(Versuchsdaten!$F$2:$F$1117,Versuchsdaten!$A$2:$A$1117,$A268,Versuchsdaten!$B$2:$B$1117,$B268,Versuchsdaten!$C$2:$C$1117,"Sprint_30m",Versuchsdaten!$E$2:$E$1117,$E268,Versuchsdaten!$J$2:$J$1117,1),""))</f>
        <v/>
      </c>
      <c r="N268" s="22">
        <f>IF(LEFT(C268,7)&lt;&gt;"Sprint_",0,IF(IF(ISNUMBER(K268),IF(K268&lt;=0,1,IF(5/K268&gt;10,1,0)),0)+IF(ISNUMBER(L268),IF(ISNUMBER(K268),IF(L268-K268&lt;=0,1,IF(5/(L268-K268)&gt;10,1,0)),IF(L268&lt;=0,1,IF(10/L268&gt;10,1,0))),0)+IF(ISNUMBER(M268),IF(ISNUMBER(L268),IF(M268-L268&lt;=0,1,IF(20/(M268-L268)&gt;10,1,0)),IF(ISNUMBER(K268),IF(M268-K268&lt;=0,1,IF(25/(M268-K268)&gt;10,1,0)),IF(M268&lt;=0,1,IF(30/M268&gt;10,1,0)))),0)&gt;0,1,0))</f>
        <v/>
      </c>
      <c r="O268" s="22">
        <f>IF(AND(J268=1,N268=0),1,0)</f>
        <v/>
      </c>
      <c r="P268" s="22">
        <f>INDEX(Personendaten!$J$2:$J$32,MATCH(A268,Personendaten!$A$2:$A$32,0))</f>
        <v/>
      </c>
      <c r="Q268" s="22">
        <f>IF(O268=1,"",IF(AND(B268="post",P268="nicht angetreten"),"NANG",IF(N268=1,"AUSL",IFERROR(VLOOKUP(H268,Vokabular!$A$2:$B$8,2,FALSE),"UNBEKANNT"))))</f>
        <v/>
      </c>
    </row>
    <row r="269">
      <c r="A269" s="5" t="inlineStr">
        <is>
          <t>HL-05</t>
        </is>
      </c>
      <c r="B269" s="5" t="inlineStr">
        <is>
          <t>prä</t>
        </is>
      </c>
      <c r="C269" s="5" t="inlineStr">
        <is>
          <t>COD_505</t>
        </is>
      </c>
      <c r="D269" s="5" t="inlineStr">
        <is>
          <t>R</t>
        </is>
      </c>
      <c r="E269" s="5" t="n">
        <v>1</v>
      </c>
      <c r="F269" s="5" t="n">
        <v>2.66</v>
      </c>
      <c r="G269" s="5" t="n"/>
      <c r="H269" s="5" t="n"/>
      <c r="I269" s="22">
        <f>INDEX(Personendaten!$C$2:$C$32,MATCH(A269,Personendaten!$A$2:$A$32,0))</f>
        <v/>
      </c>
      <c r="J269" s="22">
        <f>IF(AND(F269&lt;&gt;"",G269=""),1,0)</f>
        <v/>
      </c>
      <c r="K269" s="22">
        <f>IF(LEFT(C269,7)&lt;&gt;"Sprint_","",IF(COUNTIFS(Versuchsdaten!$A$2:$A$1117,$A269,Versuchsdaten!$B$2:$B$1117,$B269,Versuchsdaten!$C$2:$C$1117,"Sprint_5m",Versuchsdaten!$E$2:$E$1117,$E269,Versuchsdaten!$J$2:$J$1117,1)=1,SUMIFS(Versuchsdaten!$F$2:$F$1117,Versuchsdaten!$A$2:$A$1117,$A269,Versuchsdaten!$B$2:$B$1117,$B269,Versuchsdaten!$C$2:$C$1117,"Sprint_5m",Versuchsdaten!$E$2:$E$1117,$E269,Versuchsdaten!$J$2:$J$1117,1),""))</f>
        <v/>
      </c>
      <c r="L269" s="22">
        <f>IF(LEFT(C269,7)&lt;&gt;"Sprint_","",IF(COUNTIFS(Versuchsdaten!$A$2:$A$1117,$A269,Versuchsdaten!$B$2:$B$1117,$B269,Versuchsdaten!$C$2:$C$1117,"Sprint_10m",Versuchsdaten!$E$2:$E$1117,$E269,Versuchsdaten!$J$2:$J$1117,1)=1,SUMIFS(Versuchsdaten!$F$2:$F$1117,Versuchsdaten!$A$2:$A$1117,$A269,Versuchsdaten!$B$2:$B$1117,$B269,Versuchsdaten!$C$2:$C$1117,"Sprint_10m",Versuchsdaten!$E$2:$E$1117,$E269,Versuchsdaten!$J$2:$J$1117,1),""))</f>
        <v/>
      </c>
      <c r="M269" s="22">
        <f>IF(LEFT(C269,7)&lt;&gt;"Sprint_","",IF(COUNTIFS(Versuchsdaten!$A$2:$A$1117,$A269,Versuchsdaten!$B$2:$B$1117,$B269,Versuchsdaten!$C$2:$C$1117,"Sprint_30m",Versuchsdaten!$E$2:$E$1117,$E269,Versuchsdaten!$J$2:$J$1117,1)=1,SUMIFS(Versuchsdaten!$F$2:$F$1117,Versuchsdaten!$A$2:$A$1117,$A269,Versuchsdaten!$B$2:$B$1117,$B269,Versuchsdaten!$C$2:$C$1117,"Sprint_30m",Versuchsdaten!$E$2:$E$1117,$E269,Versuchsdaten!$J$2:$J$1117,1),""))</f>
        <v/>
      </c>
      <c r="N269" s="22">
        <f>IF(LEFT(C269,7)&lt;&gt;"Sprint_",0,IF(IF(ISNUMBER(K269),IF(K269&lt;=0,1,IF(5/K269&gt;10,1,0)),0)+IF(ISNUMBER(L269),IF(ISNUMBER(K269),IF(L269-K269&lt;=0,1,IF(5/(L269-K269)&gt;10,1,0)),IF(L269&lt;=0,1,IF(10/L269&gt;10,1,0))),0)+IF(ISNUMBER(M269),IF(ISNUMBER(L269),IF(M269-L269&lt;=0,1,IF(20/(M269-L269)&gt;10,1,0)),IF(ISNUMBER(K269),IF(M269-K269&lt;=0,1,IF(25/(M269-K269)&gt;10,1,0)),IF(M269&lt;=0,1,IF(30/M269&gt;10,1,0)))),0)&gt;0,1,0))</f>
        <v/>
      </c>
      <c r="O269" s="22">
        <f>IF(AND(J269=1,N269=0),1,0)</f>
        <v/>
      </c>
      <c r="P269" s="22">
        <f>INDEX(Personendaten!$J$2:$J$32,MATCH(A269,Personendaten!$A$2:$A$32,0))</f>
        <v/>
      </c>
      <c r="Q269" s="22">
        <f>IF(O269=1,"",IF(AND(B269="post",P269="nicht angetreten"),"NANG",IF(N269=1,"AUSL",IFERROR(VLOOKUP(H269,Vokabular!$A$2:$B$8,2,FALSE),"UNBEKANNT"))))</f>
        <v/>
      </c>
    </row>
    <row r="270">
      <c r="A270" s="5" t="inlineStr">
        <is>
          <t>HL-05</t>
        </is>
      </c>
      <c r="B270" s="5" t="inlineStr">
        <is>
          <t>prä</t>
        </is>
      </c>
      <c r="C270" s="5" t="inlineStr">
        <is>
          <t>COD_505</t>
        </is>
      </c>
      <c r="D270" s="5" t="inlineStr">
        <is>
          <t>R</t>
        </is>
      </c>
      <c r="E270" s="5" t="n">
        <v>2</v>
      </c>
      <c r="F270" s="5" t="n">
        <v>2.58</v>
      </c>
      <c r="G270" s="5" t="n"/>
      <c r="H270" s="5" t="n"/>
      <c r="I270" s="22">
        <f>INDEX(Personendaten!$C$2:$C$32,MATCH(A270,Personendaten!$A$2:$A$32,0))</f>
        <v/>
      </c>
      <c r="J270" s="22">
        <f>IF(AND(F270&lt;&gt;"",G270=""),1,0)</f>
        <v/>
      </c>
      <c r="K270" s="22">
        <f>IF(LEFT(C270,7)&lt;&gt;"Sprint_","",IF(COUNTIFS(Versuchsdaten!$A$2:$A$1117,$A270,Versuchsdaten!$B$2:$B$1117,$B270,Versuchsdaten!$C$2:$C$1117,"Sprint_5m",Versuchsdaten!$E$2:$E$1117,$E270,Versuchsdaten!$J$2:$J$1117,1)=1,SUMIFS(Versuchsdaten!$F$2:$F$1117,Versuchsdaten!$A$2:$A$1117,$A270,Versuchsdaten!$B$2:$B$1117,$B270,Versuchsdaten!$C$2:$C$1117,"Sprint_5m",Versuchsdaten!$E$2:$E$1117,$E270,Versuchsdaten!$J$2:$J$1117,1),""))</f>
        <v/>
      </c>
      <c r="L270" s="22">
        <f>IF(LEFT(C270,7)&lt;&gt;"Sprint_","",IF(COUNTIFS(Versuchsdaten!$A$2:$A$1117,$A270,Versuchsdaten!$B$2:$B$1117,$B270,Versuchsdaten!$C$2:$C$1117,"Sprint_10m",Versuchsdaten!$E$2:$E$1117,$E270,Versuchsdaten!$J$2:$J$1117,1)=1,SUMIFS(Versuchsdaten!$F$2:$F$1117,Versuchsdaten!$A$2:$A$1117,$A270,Versuchsdaten!$B$2:$B$1117,$B270,Versuchsdaten!$C$2:$C$1117,"Sprint_10m",Versuchsdaten!$E$2:$E$1117,$E270,Versuchsdaten!$J$2:$J$1117,1),""))</f>
        <v/>
      </c>
      <c r="M270" s="22">
        <f>IF(LEFT(C270,7)&lt;&gt;"Sprint_","",IF(COUNTIFS(Versuchsdaten!$A$2:$A$1117,$A270,Versuchsdaten!$B$2:$B$1117,$B270,Versuchsdaten!$C$2:$C$1117,"Sprint_30m",Versuchsdaten!$E$2:$E$1117,$E270,Versuchsdaten!$J$2:$J$1117,1)=1,SUMIFS(Versuchsdaten!$F$2:$F$1117,Versuchsdaten!$A$2:$A$1117,$A270,Versuchsdaten!$B$2:$B$1117,$B270,Versuchsdaten!$C$2:$C$1117,"Sprint_30m",Versuchsdaten!$E$2:$E$1117,$E270,Versuchsdaten!$J$2:$J$1117,1),""))</f>
        <v/>
      </c>
      <c r="N270" s="22">
        <f>IF(LEFT(C270,7)&lt;&gt;"Sprint_",0,IF(IF(ISNUMBER(K270),IF(K270&lt;=0,1,IF(5/K270&gt;10,1,0)),0)+IF(ISNUMBER(L270),IF(ISNUMBER(K270),IF(L270-K270&lt;=0,1,IF(5/(L270-K270)&gt;10,1,0)),IF(L270&lt;=0,1,IF(10/L270&gt;10,1,0))),0)+IF(ISNUMBER(M270),IF(ISNUMBER(L270),IF(M270-L270&lt;=0,1,IF(20/(M270-L270)&gt;10,1,0)),IF(ISNUMBER(K270),IF(M270-K270&lt;=0,1,IF(25/(M270-K270)&gt;10,1,0)),IF(M270&lt;=0,1,IF(30/M270&gt;10,1,0)))),0)&gt;0,1,0))</f>
        <v/>
      </c>
      <c r="O270" s="22">
        <f>IF(AND(J270=1,N270=0),1,0)</f>
        <v/>
      </c>
      <c r="P270" s="22">
        <f>INDEX(Personendaten!$J$2:$J$32,MATCH(A270,Personendaten!$A$2:$A$32,0))</f>
        <v/>
      </c>
      <c r="Q270" s="22">
        <f>IF(O270=1,"",IF(AND(B270="post",P270="nicht angetreten"),"NANG",IF(N270=1,"AUSL",IFERROR(VLOOKUP(H270,Vokabular!$A$2:$B$8,2,FALSE),"UNBEKANNT"))))</f>
        <v/>
      </c>
    </row>
    <row r="271">
      <c r="A271" s="5" t="inlineStr">
        <is>
          <t>HL-05</t>
        </is>
      </c>
      <c r="B271" s="5" t="inlineStr">
        <is>
          <t>prä</t>
        </is>
      </c>
      <c r="C271" s="5" t="inlineStr">
        <is>
          <t>COD_505</t>
        </is>
      </c>
      <c r="D271" s="5" t="inlineStr">
        <is>
          <t>R</t>
        </is>
      </c>
      <c r="E271" s="5" t="n">
        <v>3</v>
      </c>
      <c r="F271" s="5" t="n">
        <v>2.45</v>
      </c>
      <c r="G271" s="5" t="n"/>
      <c r="H271" s="5" t="n"/>
      <c r="I271" s="22">
        <f>INDEX(Personendaten!$C$2:$C$32,MATCH(A271,Personendaten!$A$2:$A$32,0))</f>
        <v/>
      </c>
      <c r="J271" s="22">
        <f>IF(AND(F271&lt;&gt;"",G271=""),1,0)</f>
        <v/>
      </c>
      <c r="K271" s="22">
        <f>IF(LEFT(C271,7)&lt;&gt;"Sprint_","",IF(COUNTIFS(Versuchsdaten!$A$2:$A$1117,$A271,Versuchsdaten!$B$2:$B$1117,$B271,Versuchsdaten!$C$2:$C$1117,"Sprint_5m",Versuchsdaten!$E$2:$E$1117,$E271,Versuchsdaten!$J$2:$J$1117,1)=1,SUMIFS(Versuchsdaten!$F$2:$F$1117,Versuchsdaten!$A$2:$A$1117,$A271,Versuchsdaten!$B$2:$B$1117,$B271,Versuchsdaten!$C$2:$C$1117,"Sprint_5m",Versuchsdaten!$E$2:$E$1117,$E271,Versuchsdaten!$J$2:$J$1117,1),""))</f>
        <v/>
      </c>
      <c r="L271" s="22">
        <f>IF(LEFT(C271,7)&lt;&gt;"Sprint_","",IF(COUNTIFS(Versuchsdaten!$A$2:$A$1117,$A271,Versuchsdaten!$B$2:$B$1117,$B271,Versuchsdaten!$C$2:$C$1117,"Sprint_10m",Versuchsdaten!$E$2:$E$1117,$E271,Versuchsdaten!$J$2:$J$1117,1)=1,SUMIFS(Versuchsdaten!$F$2:$F$1117,Versuchsdaten!$A$2:$A$1117,$A271,Versuchsdaten!$B$2:$B$1117,$B271,Versuchsdaten!$C$2:$C$1117,"Sprint_10m",Versuchsdaten!$E$2:$E$1117,$E271,Versuchsdaten!$J$2:$J$1117,1),""))</f>
        <v/>
      </c>
      <c r="M271" s="22">
        <f>IF(LEFT(C271,7)&lt;&gt;"Sprint_","",IF(COUNTIFS(Versuchsdaten!$A$2:$A$1117,$A271,Versuchsdaten!$B$2:$B$1117,$B271,Versuchsdaten!$C$2:$C$1117,"Sprint_30m",Versuchsdaten!$E$2:$E$1117,$E271,Versuchsdaten!$J$2:$J$1117,1)=1,SUMIFS(Versuchsdaten!$F$2:$F$1117,Versuchsdaten!$A$2:$A$1117,$A271,Versuchsdaten!$B$2:$B$1117,$B271,Versuchsdaten!$C$2:$C$1117,"Sprint_30m",Versuchsdaten!$E$2:$E$1117,$E271,Versuchsdaten!$J$2:$J$1117,1),""))</f>
        <v/>
      </c>
      <c r="N271" s="22">
        <f>IF(LEFT(C271,7)&lt;&gt;"Sprint_",0,IF(IF(ISNUMBER(K271),IF(K271&lt;=0,1,IF(5/K271&gt;10,1,0)),0)+IF(ISNUMBER(L271),IF(ISNUMBER(K271),IF(L271-K271&lt;=0,1,IF(5/(L271-K271)&gt;10,1,0)),IF(L271&lt;=0,1,IF(10/L271&gt;10,1,0))),0)+IF(ISNUMBER(M271),IF(ISNUMBER(L271),IF(M271-L271&lt;=0,1,IF(20/(M271-L271)&gt;10,1,0)),IF(ISNUMBER(K271),IF(M271-K271&lt;=0,1,IF(25/(M271-K271)&gt;10,1,0)),IF(M271&lt;=0,1,IF(30/M271&gt;10,1,0)))),0)&gt;0,1,0))</f>
        <v/>
      </c>
      <c r="O271" s="22">
        <f>IF(AND(J271=1,N271=0),1,0)</f>
        <v/>
      </c>
      <c r="P271" s="22">
        <f>INDEX(Personendaten!$J$2:$J$32,MATCH(A271,Personendaten!$A$2:$A$32,0))</f>
        <v/>
      </c>
      <c r="Q271" s="22">
        <f>IF(O271=1,"",IF(AND(B271="post",P271="nicht angetreten"),"NANG",IF(N271=1,"AUSL",IFERROR(VLOOKUP(H271,Vokabular!$A$2:$B$8,2,FALSE),"UNBEKANNT"))))</f>
        <v/>
      </c>
    </row>
    <row r="272">
      <c r="A272" s="5" t="inlineStr">
        <is>
          <t>HL-06</t>
        </is>
      </c>
      <c r="B272" s="5" t="inlineStr">
        <is>
          <t>prä</t>
        </is>
      </c>
      <c r="C272" s="5" t="inlineStr">
        <is>
          <t>Sprint_5m</t>
        </is>
      </c>
      <c r="D272" s="5" t="inlineStr">
        <is>
          <t>–</t>
        </is>
      </c>
      <c r="E272" s="5" t="n">
        <v>1</v>
      </c>
      <c r="F272" s="5" t="n">
        <v>1.06</v>
      </c>
      <c r="G272" s="5" t="n"/>
      <c r="H272" s="5" t="n"/>
      <c r="I272" s="22">
        <f>INDEX(Personendaten!$C$2:$C$32,MATCH(A272,Personendaten!$A$2:$A$32,0))</f>
        <v/>
      </c>
      <c r="J272" s="22">
        <f>IF(AND(F272&lt;&gt;"",G272=""),1,0)</f>
        <v/>
      </c>
      <c r="K272" s="22">
        <f>IF(LEFT(C272,7)&lt;&gt;"Sprint_","",IF(COUNTIFS(Versuchsdaten!$A$2:$A$1117,$A272,Versuchsdaten!$B$2:$B$1117,$B272,Versuchsdaten!$C$2:$C$1117,"Sprint_5m",Versuchsdaten!$E$2:$E$1117,$E272,Versuchsdaten!$J$2:$J$1117,1)=1,SUMIFS(Versuchsdaten!$F$2:$F$1117,Versuchsdaten!$A$2:$A$1117,$A272,Versuchsdaten!$B$2:$B$1117,$B272,Versuchsdaten!$C$2:$C$1117,"Sprint_5m",Versuchsdaten!$E$2:$E$1117,$E272,Versuchsdaten!$J$2:$J$1117,1),""))</f>
        <v/>
      </c>
      <c r="L272" s="22">
        <f>IF(LEFT(C272,7)&lt;&gt;"Sprint_","",IF(COUNTIFS(Versuchsdaten!$A$2:$A$1117,$A272,Versuchsdaten!$B$2:$B$1117,$B272,Versuchsdaten!$C$2:$C$1117,"Sprint_10m",Versuchsdaten!$E$2:$E$1117,$E272,Versuchsdaten!$J$2:$J$1117,1)=1,SUMIFS(Versuchsdaten!$F$2:$F$1117,Versuchsdaten!$A$2:$A$1117,$A272,Versuchsdaten!$B$2:$B$1117,$B272,Versuchsdaten!$C$2:$C$1117,"Sprint_10m",Versuchsdaten!$E$2:$E$1117,$E272,Versuchsdaten!$J$2:$J$1117,1),""))</f>
        <v/>
      </c>
      <c r="M272" s="22">
        <f>IF(LEFT(C272,7)&lt;&gt;"Sprint_","",IF(COUNTIFS(Versuchsdaten!$A$2:$A$1117,$A272,Versuchsdaten!$B$2:$B$1117,$B272,Versuchsdaten!$C$2:$C$1117,"Sprint_30m",Versuchsdaten!$E$2:$E$1117,$E272,Versuchsdaten!$J$2:$J$1117,1)=1,SUMIFS(Versuchsdaten!$F$2:$F$1117,Versuchsdaten!$A$2:$A$1117,$A272,Versuchsdaten!$B$2:$B$1117,$B272,Versuchsdaten!$C$2:$C$1117,"Sprint_30m",Versuchsdaten!$E$2:$E$1117,$E272,Versuchsdaten!$J$2:$J$1117,1),""))</f>
        <v/>
      </c>
      <c r="N272" s="22">
        <f>IF(LEFT(C272,7)&lt;&gt;"Sprint_",0,IF(IF(ISNUMBER(K272),IF(K272&lt;=0,1,IF(5/K272&gt;10,1,0)),0)+IF(ISNUMBER(L272),IF(ISNUMBER(K272),IF(L272-K272&lt;=0,1,IF(5/(L272-K272)&gt;10,1,0)),IF(L272&lt;=0,1,IF(10/L272&gt;10,1,0))),0)+IF(ISNUMBER(M272),IF(ISNUMBER(L272),IF(M272-L272&lt;=0,1,IF(20/(M272-L272)&gt;10,1,0)),IF(ISNUMBER(K272),IF(M272-K272&lt;=0,1,IF(25/(M272-K272)&gt;10,1,0)),IF(M272&lt;=0,1,IF(30/M272&gt;10,1,0)))),0)&gt;0,1,0))</f>
        <v/>
      </c>
      <c r="O272" s="22">
        <f>IF(AND(J272=1,N272=0),1,0)</f>
        <v/>
      </c>
      <c r="P272" s="22">
        <f>INDEX(Personendaten!$J$2:$J$32,MATCH(A272,Personendaten!$A$2:$A$32,0))</f>
        <v/>
      </c>
      <c r="Q272" s="22">
        <f>IF(O272=1,"",IF(AND(B272="post",P272="nicht angetreten"),"NANG",IF(N272=1,"AUSL",IFERROR(VLOOKUP(H272,Vokabular!$A$2:$B$8,2,FALSE),"UNBEKANNT"))))</f>
        <v/>
      </c>
    </row>
    <row r="273">
      <c r="A273" s="5" t="inlineStr">
        <is>
          <t>HL-06</t>
        </is>
      </c>
      <c r="B273" s="5" t="inlineStr">
        <is>
          <t>prä</t>
        </is>
      </c>
      <c r="C273" s="5" t="inlineStr">
        <is>
          <t>Sprint_5m</t>
        </is>
      </c>
      <c r="D273" s="5" t="inlineStr">
        <is>
          <t>–</t>
        </is>
      </c>
      <c r="E273" s="5" t="n">
        <v>2</v>
      </c>
      <c r="F273" s="5" t="n">
        <v>1.08</v>
      </c>
      <c r="G273" s="5" t="n"/>
      <c r="H273" s="5" t="n"/>
      <c r="I273" s="22">
        <f>INDEX(Personendaten!$C$2:$C$32,MATCH(A273,Personendaten!$A$2:$A$32,0))</f>
        <v/>
      </c>
      <c r="J273" s="22">
        <f>IF(AND(F273&lt;&gt;"",G273=""),1,0)</f>
        <v/>
      </c>
      <c r="K273" s="22">
        <f>IF(LEFT(C273,7)&lt;&gt;"Sprint_","",IF(COUNTIFS(Versuchsdaten!$A$2:$A$1117,$A273,Versuchsdaten!$B$2:$B$1117,$B273,Versuchsdaten!$C$2:$C$1117,"Sprint_5m",Versuchsdaten!$E$2:$E$1117,$E273,Versuchsdaten!$J$2:$J$1117,1)=1,SUMIFS(Versuchsdaten!$F$2:$F$1117,Versuchsdaten!$A$2:$A$1117,$A273,Versuchsdaten!$B$2:$B$1117,$B273,Versuchsdaten!$C$2:$C$1117,"Sprint_5m",Versuchsdaten!$E$2:$E$1117,$E273,Versuchsdaten!$J$2:$J$1117,1),""))</f>
        <v/>
      </c>
      <c r="L273" s="22">
        <f>IF(LEFT(C273,7)&lt;&gt;"Sprint_","",IF(COUNTIFS(Versuchsdaten!$A$2:$A$1117,$A273,Versuchsdaten!$B$2:$B$1117,$B273,Versuchsdaten!$C$2:$C$1117,"Sprint_10m",Versuchsdaten!$E$2:$E$1117,$E273,Versuchsdaten!$J$2:$J$1117,1)=1,SUMIFS(Versuchsdaten!$F$2:$F$1117,Versuchsdaten!$A$2:$A$1117,$A273,Versuchsdaten!$B$2:$B$1117,$B273,Versuchsdaten!$C$2:$C$1117,"Sprint_10m",Versuchsdaten!$E$2:$E$1117,$E273,Versuchsdaten!$J$2:$J$1117,1),""))</f>
        <v/>
      </c>
      <c r="M273" s="22">
        <f>IF(LEFT(C273,7)&lt;&gt;"Sprint_","",IF(COUNTIFS(Versuchsdaten!$A$2:$A$1117,$A273,Versuchsdaten!$B$2:$B$1117,$B273,Versuchsdaten!$C$2:$C$1117,"Sprint_30m",Versuchsdaten!$E$2:$E$1117,$E273,Versuchsdaten!$J$2:$J$1117,1)=1,SUMIFS(Versuchsdaten!$F$2:$F$1117,Versuchsdaten!$A$2:$A$1117,$A273,Versuchsdaten!$B$2:$B$1117,$B273,Versuchsdaten!$C$2:$C$1117,"Sprint_30m",Versuchsdaten!$E$2:$E$1117,$E273,Versuchsdaten!$J$2:$J$1117,1),""))</f>
        <v/>
      </c>
      <c r="N273" s="22">
        <f>IF(LEFT(C273,7)&lt;&gt;"Sprint_",0,IF(IF(ISNUMBER(K273),IF(K273&lt;=0,1,IF(5/K273&gt;10,1,0)),0)+IF(ISNUMBER(L273),IF(ISNUMBER(K273),IF(L273-K273&lt;=0,1,IF(5/(L273-K273)&gt;10,1,0)),IF(L273&lt;=0,1,IF(10/L273&gt;10,1,0))),0)+IF(ISNUMBER(M273),IF(ISNUMBER(L273),IF(M273-L273&lt;=0,1,IF(20/(M273-L273)&gt;10,1,0)),IF(ISNUMBER(K273),IF(M273-K273&lt;=0,1,IF(25/(M273-K273)&gt;10,1,0)),IF(M273&lt;=0,1,IF(30/M273&gt;10,1,0)))),0)&gt;0,1,0))</f>
        <v/>
      </c>
      <c r="O273" s="22">
        <f>IF(AND(J273=1,N273=0),1,0)</f>
        <v/>
      </c>
      <c r="P273" s="22">
        <f>INDEX(Personendaten!$J$2:$J$32,MATCH(A273,Personendaten!$A$2:$A$32,0))</f>
        <v/>
      </c>
      <c r="Q273" s="22">
        <f>IF(O273=1,"",IF(AND(B273="post",P273="nicht angetreten"),"NANG",IF(N273=1,"AUSL",IFERROR(VLOOKUP(H273,Vokabular!$A$2:$B$8,2,FALSE),"UNBEKANNT"))))</f>
        <v/>
      </c>
    </row>
    <row r="274">
      <c r="A274" s="5" t="inlineStr">
        <is>
          <t>HL-06</t>
        </is>
      </c>
      <c r="B274" s="5" t="inlineStr">
        <is>
          <t>prä</t>
        </is>
      </c>
      <c r="C274" s="5" t="inlineStr">
        <is>
          <t>Sprint_5m</t>
        </is>
      </c>
      <c r="D274" s="5" t="inlineStr">
        <is>
          <t>–</t>
        </is>
      </c>
      <c r="E274" s="5" t="n">
        <v>3</v>
      </c>
      <c r="F274" s="5" t="n"/>
      <c r="G274" s="5" t="n"/>
      <c r="H274" s="5" t="inlineStr">
        <is>
          <t>System nicht aufgenommen</t>
        </is>
      </c>
      <c r="I274" s="22">
        <f>INDEX(Personendaten!$C$2:$C$32,MATCH(A274,Personendaten!$A$2:$A$32,0))</f>
        <v/>
      </c>
      <c r="J274" s="22">
        <f>IF(AND(F274&lt;&gt;"",G274=""),1,0)</f>
        <v/>
      </c>
      <c r="K274" s="22">
        <f>IF(LEFT(C274,7)&lt;&gt;"Sprint_","",IF(COUNTIFS(Versuchsdaten!$A$2:$A$1117,$A274,Versuchsdaten!$B$2:$B$1117,$B274,Versuchsdaten!$C$2:$C$1117,"Sprint_5m",Versuchsdaten!$E$2:$E$1117,$E274,Versuchsdaten!$J$2:$J$1117,1)=1,SUMIFS(Versuchsdaten!$F$2:$F$1117,Versuchsdaten!$A$2:$A$1117,$A274,Versuchsdaten!$B$2:$B$1117,$B274,Versuchsdaten!$C$2:$C$1117,"Sprint_5m",Versuchsdaten!$E$2:$E$1117,$E274,Versuchsdaten!$J$2:$J$1117,1),""))</f>
        <v/>
      </c>
      <c r="L274" s="22">
        <f>IF(LEFT(C274,7)&lt;&gt;"Sprint_","",IF(COUNTIFS(Versuchsdaten!$A$2:$A$1117,$A274,Versuchsdaten!$B$2:$B$1117,$B274,Versuchsdaten!$C$2:$C$1117,"Sprint_10m",Versuchsdaten!$E$2:$E$1117,$E274,Versuchsdaten!$J$2:$J$1117,1)=1,SUMIFS(Versuchsdaten!$F$2:$F$1117,Versuchsdaten!$A$2:$A$1117,$A274,Versuchsdaten!$B$2:$B$1117,$B274,Versuchsdaten!$C$2:$C$1117,"Sprint_10m",Versuchsdaten!$E$2:$E$1117,$E274,Versuchsdaten!$J$2:$J$1117,1),""))</f>
        <v/>
      </c>
      <c r="M274" s="22">
        <f>IF(LEFT(C274,7)&lt;&gt;"Sprint_","",IF(COUNTIFS(Versuchsdaten!$A$2:$A$1117,$A274,Versuchsdaten!$B$2:$B$1117,$B274,Versuchsdaten!$C$2:$C$1117,"Sprint_30m",Versuchsdaten!$E$2:$E$1117,$E274,Versuchsdaten!$J$2:$J$1117,1)=1,SUMIFS(Versuchsdaten!$F$2:$F$1117,Versuchsdaten!$A$2:$A$1117,$A274,Versuchsdaten!$B$2:$B$1117,$B274,Versuchsdaten!$C$2:$C$1117,"Sprint_30m",Versuchsdaten!$E$2:$E$1117,$E274,Versuchsdaten!$J$2:$J$1117,1),""))</f>
        <v/>
      </c>
      <c r="N274" s="22">
        <f>IF(LEFT(C274,7)&lt;&gt;"Sprint_",0,IF(IF(ISNUMBER(K274),IF(K274&lt;=0,1,IF(5/K274&gt;10,1,0)),0)+IF(ISNUMBER(L274),IF(ISNUMBER(K274),IF(L274-K274&lt;=0,1,IF(5/(L274-K274)&gt;10,1,0)),IF(L274&lt;=0,1,IF(10/L274&gt;10,1,0))),0)+IF(ISNUMBER(M274),IF(ISNUMBER(L274),IF(M274-L274&lt;=0,1,IF(20/(M274-L274)&gt;10,1,0)),IF(ISNUMBER(K274),IF(M274-K274&lt;=0,1,IF(25/(M274-K274)&gt;10,1,0)),IF(M274&lt;=0,1,IF(30/M274&gt;10,1,0)))),0)&gt;0,1,0))</f>
        <v/>
      </c>
      <c r="O274" s="22">
        <f>IF(AND(J274=1,N274=0),1,0)</f>
        <v/>
      </c>
      <c r="P274" s="22">
        <f>INDEX(Personendaten!$J$2:$J$32,MATCH(A274,Personendaten!$A$2:$A$32,0))</f>
        <v/>
      </c>
      <c r="Q274" s="22">
        <f>IF(O274=1,"",IF(AND(B274="post",P274="nicht angetreten"),"NANG",IF(N274=1,"AUSL",IFERROR(VLOOKUP(H274,Vokabular!$A$2:$B$8,2,FALSE),"UNBEKANNT"))))</f>
        <v/>
      </c>
    </row>
    <row r="275">
      <c r="A275" s="5" t="inlineStr">
        <is>
          <t>HL-06</t>
        </is>
      </c>
      <c r="B275" s="5" t="inlineStr">
        <is>
          <t>prä</t>
        </is>
      </c>
      <c r="C275" s="5" t="inlineStr">
        <is>
          <t>Sprint_10m</t>
        </is>
      </c>
      <c r="D275" s="5" t="inlineStr">
        <is>
          <t>–</t>
        </is>
      </c>
      <c r="E275" s="5" t="n">
        <v>1</v>
      </c>
      <c r="F275" s="5" t="n">
        <v>1.81</v>
      </c>
      <c r="G275" s="5" t="n"/>
      <c r="H275" s="5" t="n"/>
      <c r="I275" s="22">
        <f>INDEX(Personendaten!$C$2:$C$32,MATCH(A275,Personendaten!$A$2:$A$32,0))</f>
        <v/>
      </c>
      <c r="J275" s="22">
        <f>IF(AND(F275&lt;&gt;"",G275=""),1,0)</f>
        <v/>
      </c>
      <c r="K275" s="22">
        <f>IF(LEFT(C275,7)&lt;&gt;"Sprint_","",IF(COUNTIFS(Versuchsdaten!$A$2:$A$1117,$A275,Versuchsdaten!$B$2:$B$1117,$B275,Versuchsdaten!$C$2:$C$1117,"Sprint_5m",Versuchsdaten!$E$2:$E$1117,$E275,Versuchsdaten!$J$2:$J$1117,1)=1,SUMIFS(Versuchsdaten!$F$2:$F$1117,Versuchsdaten!$A$2:$A$1117,$A275,Versuchsdaten!$B$2:$B$1117,$B275,Versuchsdaten!$C$2:$C$1117,"Sprint_5m",Versuchsdaten!$E$2:$E$1117,$E275,Versuchsdaten!$J$2:$J$1117,1),""))</f>
        <v/>
      </c>
      <c r="L275" s="22">
        <f>IF(LEFT(C275,7)&lt;&gt;"Sprint_","",IF(COUNTIFS(Versuchsdaten!$A$2:$A$1117,$A275,Versuchsdaten!$B$2:$B$1117,$B275,Versuchsdaten!$C$2:$C$1117,"Sprint_10m",Versuchsdaten!$E$2:$E$1117,$E275,Versuchsdaten!$J$2:$J$1117,1)=1,SUMIFS(Versuchsdaten!$F$2:$F$1117,Versuchsdaten!$A$2:$A$1117,$A275,Versuchsdaten!$B$2:$B$1117,$B275,Versuchsdaten!$C$2:$C$1117,"Sprint_10m",Versuchsdaten!$E$2:$E$1117,$E275,Versuchsdaten!$J$2:$J$1117,1),""))</f>
        <v/>
      </c>
      <c r="M275" s="22">
        <f>IF(LEFT(C275,7)&lt;&gt;"Sprint_","",IF(COUNTIFS(Versuchsdaten!$A$2:$A$1117,$A275,Versuchsdaten!$B$2:$B$1117,$B275,Versuchsdaten!$C$2:$C$1117,"Sprint_30m",Versuchsdaten!$E$2:$E$1117,$E275,Versuchsdaten!$J$2:$J$1117,1)=1,SUMIFS(Versuchsdaten!$F$2:$F$1117,Versuchsdaten!$A$2:$A$1117,$A275,Versuchsdaten!$B$2:$B$1117,$B275,Versuchsdaten!$C$2:$C$1117,"Sprint_30m",Versuchsdaten!$E$2:$E$1117,$E275,Versuchsdaten!$J$2:$J$1117,1),""))</f>
        <v/>
      </c>
      <c r="N275" s="22">
        <f>IF(LEFT(C275,7)&lt;&gt;"Sprint_",0,IF(IF(ISNUMBER(K275),IF(K275&lt;=0,1,IF(5/K275&gt;10,1,0)),0)+IF(ISNUMBER(L275),IF(ISNUMBER(K275),IF(L275-K275&lt;=0,1,IF(5/(L275-K275)&gt;10,1,0)),IF(L275&lt;=0,1,IF(10/L275&gt;10,1,0))),0)+IF(ISNUMBER(M275),IF(ISNUMBER(L275),IF(M275-L275&lt;=0,1,IF(20/(M275-L275)&gt;10,1,0)),IF(ISNUMBER(K275),IF(M275-K275&lt;=0,1,IF(25/(M275-K275)&gt;10,1,0)),IF(M275&lt;=0,1,IF(30/M275&gt;10,1,0)))),0)&gt;0,1,0))</f>
        <v/>
      </c>
      <c r="O275" s="22">
        <f>IF(AND(J275=1,N275=0),1,0)</f>
        <v/>
      </c>
      <c r="P275" s="22">
        <f>INDEX(Personendaten!$J$2:$J$32,MATCH(A275,Personendaten!$A$2:$A$32,0))</f>
        <v/>
      </c>
      <c r="Q275" s="22">
        <f>IF(O275=1,"",IF(AND(B275="post",P275="nicht angetreten"),"NANG",IF(N275=1,"AUSL",IFERROR(VLOOKUP(H275,Vokabular!$A$2:$B$8,2,FALSE),"UNBEKANNT"))))</f>
        <v/>
      </c>
    </row>
    <row r="276">
      <c r="A276" s="5" t="inlineStr">
        <is>
          <t>HL-06</t>
        </is>
      </c>
      <c r="B276" s="5" t="inlineStr">
        <is>
          <t>prä</t>
        </is>
      </c>
      <c r="C276" s="5" t="inlineStr">
        <is>
          <t>Sprint_10m</t>
        </is>
      </c>
      <c r="D276" s="5" t="inlineStr">
        <is>
          <t>–</t>
        </is>
      </c>
      <c r="E276" s="5" t="n">
        <v>2</v>
      </c>
      <c r="F276" s="5" t="n">
        <v>1.85</v>
      </c>
      <c r="G276" s="5" t="n"/>
      <c r="H276" s="5" t="n"/>
      <c r="I276" s="22">
        <f>INDEX(Personendaten!$C$2:$C$32,MATCH(A276,Personendaten!$A$2:$A$32,0))</f>
        <v/>
      </c>
      <c r="J276" s="22">
        <f>IF(AND(F276&lt;&gt;"",G276=""),1,0)</f>
        <v/>
      </c>
      <c r="K276" s="22">
        <f>IF(LEFT(C276,7)&lt;&gt;"Sprint_","",IF(COUNTIFS(Versuchsdaten!$A$2:$A$1117,$A276,Versuchsdaten!$B$2:$B$1117,$B276,Versuchsdaten!$C$2:$C$1117,"Sprint_5m",Versuchsdaten!$E$2:$E$1117,$E276,Versuchsdaten!$J$2:$J$1117,1)=1,SUMIFS(Versuchsdaten!$F$2:$F$1117,Versuchsdaten!$A$2:$A$1117,$A276,Versuchsdaten!$B$2:$B$1117,$B276,Versuchsdaten!$C$2:$C$1117,"Sprint_5m",Versuchsdaten!$E$2:$E$1117,$E276,Versuchsdaten!$J$2:$J$1117,1),""))</f>
        <v/>
      </c>
      <c r="L276" s="22">
        <f>IF(LEFT(C276,7)&lt;&gt;"Sprint_","",IF(COUNTIFS(Versuchsdaten!$A$2:$A$1117,$A276,Versuchsdaten!$B$2:$B$1117,$B276,Versuchsdaten!$C$2:$C$1117,"Sprint_10m",Versuchsdaten!$E$2:$E$1117,$E276,Versuchsdaten!$J$2:$J$1117,1)=1,SUMIFS(Versuchsdaten!$F$2:$F$1117,Versuchsdaten!$A$2:$A$1117,$A276,Versuchsdaten!$B$2:$B$1117,$B276,Versuchsdaten!$C$2:$C$1117,"Sprint_10m",Versuchsdaten!$E$2:$E$1117,$E276,Versuchsdaten!$J$2:$J$1117,1),""))</f>
        <v/>
      </c>
      <c r="M276" s="22">
        <f>IF(LEFT(C276,7)&lt;&gt;"Sprint_","",IF(COUNTIFS(Versuchsdaten!$A$2:$A$1117,$A276,Versuchsdaten!$B$2:$B$1117,$B276,Versuchsdaten!$C$2:$C$1117,"Sprint_30m",Versuchsdaten!$E$2:$E$1117,$E276,Versuchsdaten!$J$2:$J$1117,1)=1,SUMIFS(Versuchsdaten!$F$2:$F$1117,Versuchsdaten!$A$2:$A$1117,$A276,Versuchsdaten!$B$2:$B$1117,$B276,Versuchsdaten!$C$2:$C$1117,"Sprint_30m",Versuchsdaten!$E$2:$E$1117,$E276,Versuchsdaten!$J$2:$J$1117,1),""))</f>
        <v/>
      </c>
      <c r="N276" s="22">
        <f>IF(LEFT(C276,7)&lt;&gt;"Sprint_",0,IF(IF(ISNUMBER(K276),IF(K276&lt;=0,1,IF(5/K276&gt;10,1,0)),0)+IF(ISNUMBER(L276),IF(ISNUMBER(K276),IF(L276-K276&lt;=0,1,IF(5/(L276-K276)&gt;10,1,0)),IF(L276&lt;=0,1,IF(10/L276&gt;10,1,0))),0)+IF(ISNUMBER(M276),IF(ISNUMBER(L276),IF(M276-L276&lt;=0,1,IF(20/(M276-L276)&gt;10,1,0)),IF(ISNUMBER(K276),IF(M276-K276&lt;=0,1,IF(25/(M276-K276)&gt;10,1,0)),IF(M276&lt;=0,1,IF(30/M276&gt;10,1,0)))),0)&gt;0,1,0))</f>
        <v/>
      </c>
      <c r="O276" s="22">
        <f>IF(AND(J276=1,N276=0),1,0)</f>
        <v/>
      </c>
      <c r="P276" s="22">
        <f>INDEX(Personendaten!$J$2:$J$32,MATCH(A276,Personendaten!$A$2:$A$32,0))</f>
        <v/>
      </c>
      <c r="Q276" s="22">
        <f>IF(O276=1,"",IF(AND(B276="post",P276="nicht angetreten"),"NANG",IF(N276=1,"AUSL",IFERROR(VLOOKUP(H276,Vokabular!$A$2:$B$8,2,FALSE),"UNBEKANNT"))))</f>
        <v/>
      </c>
    </row>
    <row r="277">
      <c r="A277" s="5" t="inlineStr">
        <is>
          <t>HL-06</t>
        </is>
      </c>
      <c r="B277" s="5" t="inlineStr">
        <is>
          <t>prä</t>
        </is>
      </c>
      <c r="C277" s="5" t="inlineStr">
        <is>
          <t>Sprint_10m</t>
        </is>
      </c>
      <c r="D277" s="5" t="inlineStr">
        <is>
          <t>–</t>
        </is>
      </c>
      <c r="E277" s="5" t="n">
        <v>3</v>
      </c>
      <c r="F277" s="5" t="n"/>
      <c r="G277" s="5" t="n"/>
      <c r="H277" s="5" t="inlineStr">
        <is>
          <t>System nicht aufgenommen</t>
        </is>
      </c>
      <c r="I277" s="22">
        <f>INDEX(Personendaten!$C$2:$C$32,MATCH(A277,Personendaten!$A$2:$A$32,0))</f>
        <v/>
      </c>
      <c r="J277" s="22">
        <f>IF(AND(F277&lt;&gt;"",G277=""),1,0)</f>
        <v/>
      </c>
      <c r="K277" s="22">
        <f>IF(LEFT(C277,7)&lt;&gt;"Sprint_","",IF(COUNTIFS(Versuchsdaten!$A$2:$A$1117,$A277,Versuchsdaten!$B$2:$B$1117,$B277,Versuchsdaten!$C$2:$C$1117,"Sprint_5m",Versuchsdaten!$E$2:$E$1117,$E277,Versuchsdaten!$J$2:$J$1117,1)=1,SUMIFS(Versuchsdaten!$F$2:$F$1117,Versuchsdaten!$A$2:$A$1117,$A277,Versuchsdaten!$B$2:$B$1117,$B277,Versuchsdaten!$C$2:$C$1117,"Sprint_5m",Versuchsdaten!$E$2:$E$1117,$E277,Versuchsdaten!$J$2:$J$1117,1),""))</f>
        <v/>
      </c>
      <c r="L277" s="22">
        <f>IF(LEFT(C277,7)&lt;&gt;"Sprint_","",IF(COUNTIFS(Versuchsdaten!$A$2:$A$1117,$A277,Versuchsdaten!$B$2:$B$1117,$B277,Versuchsdaten!$C$2:$C$1117,"Sprint_10m",Versuchsdaten!$E$2:$E$1117,$E277,Versuchsdaten!$J$2:$J$1117,1)=1,SUMIFS(Versuchsdaten!$F$2:$F$1117,Versuchsdaten!$A$2:$A$1117,$A277,Versuchsdaten!$B$2:$B$1117,$B277,Versuchsdaten!$C$2:$C$1117,"Sprint_10m",Versuchsdaten!$E$2:$E$1117,$E277,Versuchsdaten!$J$2:$J$1117,1),""))</f>
        <v/>
      </c>
      <c r="M277" s="22">
        <f>IF(LEFT(C277,7)&lt;&gt;"Sprint_","",IF(COUNTIFS(Versuchsdaten!$A$2:$A$1117,$A277,Versuchsdaten!$B$2:$B$1117,$B277,Versuchsdaten!$C$2:$C$1117,"Sprint_30m",Versuchsdaten!$E$2:$E$1117,$E277,Versuchsdaten!$J$2:$J$1117,1)=1,SUMIFS(Versuchsdaten!$F$2:$F$1117,Versuchsdaten!$A$2:$A$1117,$A277,Versuchsdaten!$B$2:$B$1117,$B277,Versuchsdaten!$C$2:$C$1117,"Sprint_30m",Versuchsdaten!$E$2:$E$1117,$E277,Versuchsdaten!$J$2:$J$1117,1),""))</f>
        <v/>
      </c>
      <c r="N277" s="22">
        <f>IF(LEFT(C277,7)&lt;&gt;"Sprint_",0,IF(IF(ISNUMBER(K277),IF(K277&lt;=0,1,IF(5/K277&gt;10,1,0)),0)+IF(ISNUMBER(L277),IF(ISNUMBER(K277),IF(L277-K277&lt;=0,1,IF(5/(L277-K277)&gt;10,1,0)),IF(L277&lt;=0,1,IF(10/L277&gt;10,1,0))),0)+IF(ISNUMBER(M277),IF(ISNUMBER(L277),IF(M277-L277&lt;=0,1,IF(20/(M277-L277)&gt;10,1,0)),IF(ISNUMBER(K277),IF(M277-K277&lt;=0,1,IF(25/(M277-K277)&gt;10,1,0)),IF(M277&lt;=0,1,IF(30/M277&gt;10,1,0)))),0)&gt;0,1,0))</f>
        <v/>
      </c>
      <c r="O277" s="22">
        <f>IF(AND(J277=1,N277=0),1,0)</f>
        <v/>
      </c>
      <c r="P277" s="22">
        <f>INDEX(Personendaten!$J$2:$J$32,MATCH(A277,Personendaten!$A$2:$A$32,0))</f>
        <v/>
      </c>
      <c r="Q277" s="22">
        <f>IF(O277=1,"",IF(AND(B277="post",P277="nicht angetreten"),"NANG",IF(N277=1,"AUSL",IFERROR(VLOOKUP(H277,Vokabular!$A$2:$B$8,2,FALSE),"UNBEKANNT"))))</f>
        <v/>
      </c>
    </row>
    <row r="278">
      <c r="A278" s="5" t="inlineStr">
        <is>
          <t>HL-06</t>
        </is>
      </c>
      <c r="B278" s="5" t="inlineStr">
        <is>
          <t>prä</t>
        </is>
      </c>
      <c r="C278" s="5" t="inlineStr">
        <is>
          <t>Sprint_30m</t>
        </is>
      </c>
      <c r="D278" s="5" t="inlineStr">
        <is>
          <t>–</t>
        </is>
      </c>
      <c r="E278" s="5" t="n">
        <v>1</v>
      </c>
      <c r="F278" s="5" t="n">
        <v>4.51</v>
      </c>
      <c r="G278" s="5" t="n"/>
      <c r="H278" s="5" t="n"/>
      <c r="I278" s="22">
        <f>INDEX(Personendaten!$C$2:$C$32,MATCH(A278,Personendaten!$A$2:$A$32,0))</f>
        <v/>
      </c>
      <c r="J278" s="22">
        <f>IF(AND(F278&lt;&gt;"",G278=""),1,0)</f>
        <v/>
      </c>
      <c r="K278" s="22">
        <f>IF(LEFT(C278,7)&lt;&gt;"Sprint_","",IF(COUNTIFS(Versuchsdaten!$A$2:$A$1117,$A278,Versuchsdaten!$B$2:$B$1117,$B278,Versuchsdaten!$C$2:$C$1117,"Sprint_5m",Versuchsdaten!$E$2:$E$1117,$E278,Versuchsdaten!$J$2:$J$1117,1)=1,SUMIFS(Versuchsdaten!$F$2:$F$1117,Versuchsdaten!$A$2:$A$1117,$A278,Versuchsdaten!$B$2:$B$1117,$B278,Versuchsdaten!$C$2:$C$1117,"Sprint_5m",Versuchsdaten!$E$2:$E$1117,$E278,Versuchsdaten!$J$2:$J$1117,1),""))</f>
        <v/>
      </c>
      <c r="L278" s="22">
        <f>IF(LEFT(C278,7)&lt;&gt;"Sprint_","",IF(COUNTIFS(Versuchsdaten!$A$2:$A$1117,$A278,Versuchsdaten!$B$2:$B$1117,$B278,Versuchsdaten!$C$2:$C$1117,"Sprint_10m",Versuchsdaten!$E$2:$E$1117,$E278,Versuchsdaten!$J$2:$J$1117,1)=1,SUMIFS(Versuchsdaten!$F$2:$F$1117,Versuchsdaten!$A$2:$A$1117,$A278,Versuchsdaten!$B$2:$B$1117,$B278,Versuchsdaten!$C$2:$C$1117,"Sprint_10m",Versuchsdaten!$E$2:$E$1117,$E278,Versuchsdaten!$J$2:$J$1117,1),""))</f>
        <v/>
      </c>
      <c r="M278" s="22">
        <f>IF(LEFT(C278,7)&lt;&gt;"Sprint_","",IF(COUNTIFS(Versuchsdaten!$A$2:$A$1117,$A278,Versuchsdaten!$B$2:$B$1117,$B278,Versuchsdaten!$C$2:$C$1117,"Sprint_30m",Versuchsdaten!$E$2:$E$1117,$E278,Versuchsdaten!$J$2:$J$1117,1)=1,SUMIFS(Versuchsdaten!$F$2:$F$1117,Versuchsdaten!$A$2:$A$1117,$A278,Versuchsdaten!$B$2:$B$1117,$B278,Versuchsdaten!$C$2:$C$1117,"Sprint_30m",Versuchsdaten!$E$2:$E$1117,$E278,Versuchsdaten!$J$2:$J$1117,1),""))</f>
        <v/>
      </c>
      <c r="N278" s="22">
        <f>IF(LEFT(C278,7)&lt;&gt;"Sprint_",0,IF(IF(ISNUMBER(K278),IF(K278&lt;=0,1,IF(5/K278&gt;10,1,0)),0)+IF(ISNUMBER(L278),IF(ISNUMBER(K278),IF(L278-K278&lt;=0,1,IF(5/(L278-K278)&gt;10,1,0)),IF(L278&lt;=0,1,IF(10/L278&gt;10,1,0))),0)+IF(ISNUMBER(M278),IF(ISNUMBER(L278),IF(M278-L278&lt;=0,1,IF(20/(M278-L278)&gt;10,1,0)),IF(ISNUMBER(K278),IF(M278-K278&lt;=0,1,IF(25/(M278-K278)&gt;10,1,0)),IF(M278&lt;=0,1,IF(30/M278&gt;10,1,0)))),0)&gt;0,1,0))</f>
        <v/>
      </c>
      <c r="O278" s="22">
        <f>IF(AND(J278=1,N278=0),1,0)</f>
        <v/>
      </c>
      <c r="P278" s="22">
        <f>INDEX(Personendaten!$J$2:$J$32,MATCH(A278,Personendaten!$A$2:$A$32,0))</f>
        <v/>
      </c>
      <c r="Q278" s="22">
        <f>IF(O278=1,"",IF(AND(B278="post",P278="nicht angetreten"),"NANG",IF(N278=1,"AUSL",IFERROR(VLOOKUP(H278,Vokabular!$A$2:$B$8,2,FALSE),"UNBEKANNT"))))</f>
        <v/>
      </c>
    </row>
    <row r="279">
      <c r="A279" s="5" t="inlineStr">
        <is>
          <t>HL-06</t>
        </is>
      </c>
      <c r="B279" s="5" t="inlineStr">
        <is>
          <t>prä</t>
        </is>
      </c>
      <c r="C279" s="5" t="inlineStr">
        <is>
          <t>Sprint_30m</t>
        </is>
      </c>
      <c r="D279" s="5" t="inlineStr">
        <is>
          <t>–</t>
        </is>
      </c>
      <c r="E279" s="5" t="n">
        <v>2</v>
      </c>
      <c r="F279" s="5" t="n">
        <v>4.54</v>
      </c>
      <c r="G279" s="5" t="n"/>
      <c r="H279" s="5" t="n"/>
      <c r="I279" s="22">
        <f>INDEX(Personendaten!$C$2:$C$32,MATCH(A279,Personendaten!$A$2:$A$32,0))</f>
        <v/>
      </c>
      <c r="J279" s="22">
        <f>IF(AND(F279&lt;&gt;"",G279=""),1,0)</f>
        <v/>
      </c>
      <c r="K279" s="22">
        <f>IF(LEFT(C279,7)&lt;&gt;"Sprint_","",IF(COUNTIFS(Versuchsdaten!$A$2:$A$1117,$A279,Versuchsdaten!$B$2:$B$1117,$B279,Versuchsdaten!$C$2:$C$1117,"Sprint_5m",Versuchsdaten!$E$2:$E$1117,$E279,Versuchsdaten!$J$2:$J$1117,1)=1,SUMIFS(Versuchsdaten!$F$2:$F$1117,Versuchsdaten!$A$2:$A$1117,$A279,Versuchsdaten!$B$2:$B$1117,$B279,Versuchsdaten!$C$2:$C$1117,"Sprint_5m",Versuchsdaten!$E$2:$E$1117,$E279,Versuchsdaten!$J$2:$J$1117,1),""))</f>
        <v/>
      </c>
      <c r="L279" s="22">
        <f>IF(LEFT(C279,7)&lt;&gt;"Sprint_","",IF(COUNTIFS(Versuchsdaten!$A$2:$A$1117,$A279,Versuchsdaten!$B$2:$B$1117,$B279,Versuchsdaten!$C$2:$C$1117,"Sprint_10m",Versuchsdaten!$E$2:$E$1117,$E279,Versuchsdaten!$J$2:$J$1117,1)=1,SUMIFS(Versuchsdaten!$F$2:$F$1117,Versuchsdaten!$A$2:$A$1117,$A279,Versuchsdaten!$B$2:$B$1117,$B279,Versuchsdaten!$C$2:$C$1117,"Sprint_10m",Versuchsdaten!$E$2:$E$1117,$E279,Versuchsdaten!$J$2:$J$1117,1),""))</f>
        <v/>
      </c>
      <c r="M279" s="22">
        <f>IF(LEFT(C279,7)&lt;&gt;"Sprint_","",IF(COUNTIFS(Versuchsdaten!$A$2:$A$1117,$A279,Versuchsdaten!$B$2:$B$1117,$B279,Versuchsdaten!$C$2:$C$1117,"Sprint_30m",Versuchsdaten!$E$2:$E$1117,$E279,Versuchsdaten!$J$2:$J$1117,1)=1,SUMIFS(Versuchsdaten!$F$2:$F$1117,Versuchsdaten!$A$2:$A$1117,$A279,Versuchsdaten!$B$2:$B$1117,$B279,Versuchsdaten!$C$2:$C$1117,"Sprint_30m",Versuchsdaten!$E$2:$E$1117,$E279,Versuchsdaten!$J$2:$J$1117,1),""))</f>
        <v/>
      </c>
      <c r="N279" s="22">
        <f>IF(LEFT(C279,7)&lt;&gt;"Sprint_",0,IF(IF(ISNUMBER(K279),IF(K279&lt;=0,1,IF(5/K279&gt;10,1,0)),0)+IF(ISNUMBER(L279),IF(ISNUMBER(K279),IF(L279-K279&lt;=0,1,IF(5/(L279-K279)&gt;10,1,0)),IF(L279&lt;=0,1,IF(10/L279&gt;10,1,0))),0)+IF(ISNUMBER(M279),IF(ISNUMBER(L279),IF(M279-L279&lt;=0,1,IF(20/(M279-L279)&gt;10,1,0)),IF(ISNUMBER(K279),IF(M279-K279&lt;=0,1,IF(25/(M279-K279)&gt;10,1,0)),IF(M279&lt;=0,1,IF(30/M279&gt;10,1,0)))),0)&gt;0,1,0))</f>
        <v/>
      </c>
      <c r="O279" s="22">
        <f>IF(AND(J279=1,N279=0),1,0)</f>
        <v/>
      </c>
      <c r="P279" s="22">
        <f>INDEX(Personendaten!$J$2:$J$32,MATCH(A279,Personendaten!$A$2:$A$32,0))</f>
        <v/>
      </c>
      <c r="Q279" s="22">
        <f>IF(O279=1,"",IF(AND(B279="post",P279="nicht angetreten"),"NANG",IF(N279=1,"AUSL",IFERROR(VLOOKUP(H279,Vokabular!$A$2:$B$8,2,FALSE),"UNBEKANNT"))))</f>
        <v/>
      </c>
    </row>
    <row r="280">
      <c r="A280" s="5" t="inlineStr">
        <is>
          <t>HL-06</t>
        </is>
      </c>
      <c r="B280" s="5" t="inlineStr">
        <is>
          <t>prä</t>
        </is>
      </c>
      <c r="C280" s="5" t="inlineStr">
        <is>
          <t>Sprint_30m</t>
        </is>
      </c>
      <c r="D280" s="5" t="inlineStr">
        <is>
          <t>–</t>
        </is>
      </c>
      <c r="E280" s="5" t="n">
        <v>3</v>
      </c>
      <c r="F280" s="5" t="n"/>
      <c r="G280" s="5" t="n"/>
      <c r="H280" s="5" t="inlineStr">
        <is>
          <t>System nicht aufgenommen</t>
        </is>
      </c>
      <c r="I280" s="22">
        <f>INDEX(Personendaten!$C$2:$C$32,MATCH(A280,Personendaten!$A$2:$A$32,0))</f>
        <v/>
      </c>
      <c r="J280" s="22">
        <f>IF(AND(F280&lt;&gt;"",G280=""),1,0)</f>
        <v/>
      </c>
      <c r="K280" s="22">
        <f>IF(LEFT(C280,7)&lt;&gt;"Sprint_","",IF(COUNTIFS(Versuchsdaten!$A$2:$A$1117,$A280,Versuchsdaten!$B$2:$B$1117,$B280,Versuchsdaten!$C$2:$C$1117,"Sprint_5m",Versuchsdaten!$E$2:$E$1117,$E280,Versuchsdaten!$J$2:$J$1117,1)=1,SUMIFS(Versuchsdaten!$F$2:$F$1117,Versuchsdaten!$A$2:$A$1117,$A280,Versuchsdaten!$B$2:$B$1117,$B280,Versuchsdaten!$C$2:$C$1117,"Sprint_5m",Versuchsdaten!$E$2:$E$1117,$E280,Versuchsdaten!$J$2:$J$1117,1),""))</f>
        <v/>
      </c>
      <c r="L280" s="22">
        <f>IF(LEFT(C280,7)&lt;&gt;"Sprint_","",IF(COUNTIFS(Versuchsdaten!$A$2:$A$1117,$A280,Versuchsdaten!$B$2:$B$1117,$B280,Versuchsdaten!$C$2:$C$1117,"Sprint_10m",Versuchsdaten!$E$2:$E$1117,$E280,Versuchsdaten!$J$2:$J$1117,1)=1,SUMIFS(Versuchsdaten!$F$2:$F$1117,Versuchsdaten!$A$2:$A$1117,$A280,Versuchsdaten!$B$2:$B$1117,$B280,Versuchsdaten!$C$2:$C$1117,"Sprint_10m",Versuchsdaten!$E$2:$E$1117,$E280,Versuchsdaten!$J$2:$J$1117,1),""))</f>
        <v/>
      </c>
      <c r="M280" s="22">
        <f>IF(LEFT(C280,7)&lt;&gt;"Sprint_","",IF(COUNTIFS(Versuchsdaten!$A$2:$A$1117,$A280,Versuchsdaten!$B$2:$B$1117,$B280,Versuchsdaten!$C$2:$C$1117,"Sprint_30m",Versuchsdaten!$E$2:$E$1117,$E280,Versuchsdaten!$J$2:$J$1117,1)=1,SUMIFS(Versuchsdaten!$F$2:$F$1117,Versuchsdaten!$A$2:$A$1117,$A280,Versuchsdaten!$B$2:$B$1117,$B280,Versuchsdaten!$C$2:$C$1117,"Sprint_30m",Versuchsdaten!$E$2:$E$1117,$E280,Versuchsdaten!$J$2:$J$1117,1),""))</f>
        <v/>
      </c>
      <c r="N280" s="22">
        <f>IF(LEFT(C280,7)&lt;&gt;"Sprint_",0,IF(IF(ISNUMBER(K280),IF(K280&lt;=0,1,IF(5/K280&gt;10,1,0)),0)+IF(ISNUMBER(L280),IF(ISNUMBER(K280),IF(L280-K280&lt;=0,1,IF(5/(L280-K280)&gt;10,1,0)),IF(L280&lt;=0,1,IF(10/L280&gt;10,1,0))),0)+IF(ISNUMBER(M280),IF(ISNUMBER(L280),IF(M280-L280&lt;=0,1,IF(20/(M280-L280)&gt;10,1,0)),IF(ISNUMBER(K280),IF(M280-K280&lt;=0,1,IF(25/(M280-K280)&gt;10,1,0)),IF(M280&lt;=0,1,IF(30/M280&gt;10,1,0)))),0)&gt;0,1,0))</f>
        <v/>
      </c>
      <c r="O280" s="22">
        <f>IF(AND(J280=1,N280=0),1,0)</f>
        <v/>
      </c>
      <c r="P280" s="22">
        <f>INDEX(Personendaten!$J$2:$J$32,MATCH(A280,Personendaten!$A$2:$A$32,0))</f>
        <v/>
      </c>
      <c r="Q280" s="22">
        <f>IF(O280=1,"",IF(AND(B280="post",P280="nicht angetreten"),"NANG",IF(N280=1,"AUSL",IFERROR(VLOOKUP(H280,Vokabular!$A$2:$B$8,2,FALSE),"UNBEKANNT"))))</f>
        <v/>
      </c>
    </row>
    <row r="281">
      <c r="A281" s="5" t="inlineStr">
        <is>
          <t>HL-06</t>
        </is>
      </c>
      <c r="B281" s="5" t="inlineStr">
        <is>
          <t>prä</t>
        </is>
      </c>
      <c r="C281" s="5" t="inlineStr">
        <is>
          <t>Standweitsprung</t>
        </is>
      </c>
      <c r="D281" s="5" t="inlineStr">
        <is>
          <t>–</t>
        </is>
      </c>
      <c r="E281" s="5" t="n">
        <v>1</v>
      </c>
      <c r="F281" s="5" t="n">
        <v>243</v>
      </c>
      <c r="G281" s="5" t="n"/>
      <c r="H281" s="5" t="n"/>
      <c r="I281" s="22">
        <f>INDEX(Personendaten!$C$2:$C$32,MATCH(A281,Personendaten!$A$2:$A$32,0))</f>
        <v/>
      </c>
      <c r="J281" s="22">
        <f>IF(AND(F281&lt;&gt;"",G281=""),1,0)</f>
        <v/>
      </c>
      <c r="K281" s="22">
        <f>IF(LEFT(C281,7)&lt;&gt;"Sprint_","",IF(COUNTIFS(Versuchsdaten!$A$2:$A$1117,$A281,Versuchsdaten!$B$2:$B$1117,$B281,Versuchsdaten!$C$2:$C$1117,"Sprint_5m",Versuchsdaten!$E$2:$E$1117,$E281,Versuchsdaten!$J$2:$J$1117,1)=1,SUMIFS(Versuchsdaten!$F$2:$F$1117,Versuchsdaten!$A$2:$A$1117,$A281,Versuchsdaten!$B$2:$B$1117,$B281,Versuchsdaten!$C$2:$C$1117,"Sprint_5m",Versuchsdaten!$E$2:$E$1117,$E281,Versuchsdaten!$J$2:$J$1117,1),""))</f>
        <v/>
      </c>
      <c r="L281" s="22">
        <f>IF(LEFT(C281,7)&lt;&gt;"Sprint_","",IF(COUNTIFS(Versuchsdaten!$A$2:$A$1117,$A281,Versuchsdaten!$B$2:$B$1117,$B281,Versuchsdaten!$C$2:$C$1117,"Sprint_10m",Versuchsdaten!$E$2:$E$1117,$E281,Versuchsdaten!$J$2:$J$1117,1)=1,SUMIFS(Versuchsdaten!$F$2:$F$1117,Versuchsdaten!$A$2:$A$1117,$A281,Versuchsdaten!$B$2:$B$1117,$B281,Versuchsdaten!$C$2:$C$1117,"Sprint_10m",Versuchsdaten!$E$2:$E$1117,$E281,Versuchsdaten!$J$2:$J$1117,1),""))</f>
        <v/>
      </c>
      <c r="M281" s="22">
        <f>IF(LEFT(C281,7)&lt;&gt;"Sprint_","",IF(COUNTIFS(Versuchsdaten!$A$2:$A$1117,$A281,Versuchsdaten!$B$2:$B$1117,$B281,Versuchsdaten!$C$2:$C$1117,"Sprint_30m",Versuchsdaten!$E$2:$E$1117,$E281,Versuchsdaten!$J$2:$J$1117,1)=1,SUMIFS(Versuchsdaten!$F$2:$F$1117,Versuchsdaten!$A$2:$A$1117,$A281,Versuchsdaten!$B$2:$B$1117,$B281,Versuchsdaten!$C$2:$C$1117,"Sprint_30m",Versuchsdaten!$E$2:$E$1117,$E281,Versuchsdaten!$J$2:$J$1117,1),""))</f>
        <v/>
      </c>
      <c r="N281" s="22">
        <f>IF(LEFT(C281,7)&lt;&gt;"Sprint_",0,IF(IF(ISNUMBER(K281),IF(K281&lt;=0,1,IF(5/K281&gt;10,1,0)),0)+IF(ISNUMBER(L281),IF(ISNUMBER(K281),IF(L281-K281&lt;=0,1,IF(5/(L281-K281)&gt;10,1,0)),IF(L281&lt;=0,1,IF(10/L281&gt;10,1,0))),0)+IF(ISNUMBER(M281),IF(ISNUMBER(L281),IF(M281-L281&lt;=0,1,IF(20/(M281-L281)&gt;10,1,0)),IF(ISNUMBER(K281),IF(M281-K281&lt;=0,1,IF(25/(M281-K281)&gt;10,1,0)),IF(M281&lt;=0,1,IF(30/M281&gt;10,1,0)))),0)&gt;0,1,0))</f>
        <v/>
      </c>
      <c r="O281" s="22">
        <f>IF(AND(J281=1,N281=0),1,0)</f>
        <v/>
      </c>
      <c r="P281" s="22">
        <f>INDEX(Personendaten!$J$2:$J$32,MATCH(A281,Personendaten!$A$2:$A$32,0))</f>
        <v/>
      </c>
      <c r="Q281" s="22">
        <f>IF(O281=1,"",IF(AND(B281="post",P281="nicht angetreten"),"NANG",IF(N281=1,"AUSL",IFERROR(VLOOKUP(H281,Vokabular!$A$2:$B$8,2,FALSE),"UNBEKANNT"))))</f>
        <v/>
      </c>
    </row>
    <row r="282">
      <c r="A282" s="5" t="inlineStr">
        <is>
          <t>HL-06</t>
        </is>
      </c>
      <c r="B282" s="5" t="inlineStr">
        <is>
          <t>prä</t>
        </is>
      </c>
      <c r="C282" s="5" t="inlineStr">
        <is>
          <t>Standweitsprung</t>
        </is>
      </c>
      <c r="D282" s="5" t="inlineStr">
        <is>
          <t>–</t>
        </is>
      </c>
      <c r="E282" s="5" t="n">
        <v>2</v>
      </c>
      <c r="F282" s="5" t="n">
        <v>237</v>
      </c>
      <c r="G282" s="5" t="n"/>
      <c r="H282" s="5" t="n"/>
      <c r="I282" s="22">
        <f>INDEX(Personendaten!$C$2:$C$32,MATCH(A282,Personendaten!$A$2:$A$32,0))</f>
        <v/>
      </c>
      <c r="J282" s="22">
        <f>IF(AND(F282&lt;&gt;"",G282=""),1,0)</f>
        <v/>
      </c>
      <c r="K282" s="22">
        <f>IF(LEFT(C282,7)&lt;&gt;"Sprint_","",IF(COUNTIFS(Versuchsdaten!$A$2:$A$1117,$A282,Versuchsdaten!$B$2:$B$1117,$B282,Versuchsdaten!$C$2:$C$1117,"Sprint_5m",Versuchsdaten!$E$2:$E$1117,$E282,Versuchsdaten!$J$2:$J$1117,1)=1,SUMIFS(Versuchsdaten!$F$2:$F$1117,Versuchsdaten!$A$2:$A$1117,$A282,Versuchsdaten!$B$2:$B$1117,$B282,Versuchsdaten!$C$2:$C$1117,"Sprint_5m",Versuchsdaten!$E$2:$E$1117,$E282,Versuchsdaten!$J$2:$J$1117,1),""))</f>
        <v/>
      </c>
      <c r="L282" s="22">
        <f>IF(LEFT(C282,7)&lt;&gt;"Sprint_","",IF(COUNTIFS(Versuchsdaten!$A$2:$A$1117,$A282,Versuchsdaten!$B$2:$B$1117,$B282,Versuchsdaten!$C$2:$C$1117,"Sprint_10m",Versuchsdaten!$E$2:$E$1117,$E282,Versuchsdaten!$J$2:$J$1117,1)=1,SUMIFS(Versuchsdaten!$F$2:$F$1117,Versuchsdaten!$A$2:$A$1117,$A282,Versuchsdaten!$B$2:$B$1117,$B282,Versuchsdaten!$C$2:$C$1117,"Sprint_10m",Versuchsdaten!$E$2:$E$1117,$E282,Versuchsdaten!$J$2:$J$1117,1),""))</f>
        <v/>
      </c>
      <c r="M282" s="22">
        <f>IF(LEFT(C282,7)&lt;&gt;"Sprint_","",IF(COUNTIFS(Versuchsdaten!$A$2:$A$1117,$A282,Versuchsdaten!$B$2:$B$1117,$B282,Versuchsdaten!$C$2:$C$1117,"Sprint_30m",Versuchsdaten!$E$2:$E$1117,$E282,Versuchsdaten!$J$2:$J$1117,1)=1,SUMIFS(Versuchsdaten!$F$2:$F$1117,Versuchsdaten!$A$2:$A$1117,$A282,Versuchsdaten!$B$2:$B$1117,$B282,Versuchsdaten!$C$2:$C$1117,"Sprint_30m",Versuchsdaten!$E$2:$E$1117,$E282,Versuchsdaten!$J$2:$J$1117,1),""))</f>
        <v/>
      </c>
      <c r="N282" s="22">
        <f>IF(LEFT(C282,7)&lt;&gt;"Sprint_",0,IF(IF(ISNUMBER(K282),IF(K282&lt;=0,1,IF(5/K282&gt;10,1,0)),0)+IF(ISNUMBER(L282),IF(ISNUMBER(K282),IF(L282-K282&lt;=0,1,IF(5/(L282-K282)&gt;10,1,0)),IF(L282&lt;=0,1,IF(10/L282&gt;10,1,0))),0)+IF(ISNUMBER(M282),IF(ISNUMBER(L282),IF(M282-L282&lt;=0,1,IF(20/(M282-L282)&gt;10,1,0)),IF(ISNUMBER(K282),IF(M282-K282&lt;=0,1,IF(25/(M282-K282)&gt;10,1,0)),IF(M282&lt;=0,1,IF(30/M282&gt;10,1,0)))),0)&gt;0,1,0))</f>
        <v/>
      </c>
      <c r="O282" s="22">
        <f>IF(AND(J282=1,N282=0),1,0)</f>
        <v/>
      </c>
      <c r="P282" s="22">
        <f>INDEX(Personendaten!$J$2:$J$32,MATCH(A282,Personendaten!$A$2:$A$32,0))</f>
        <v/>
      </c>
      <c r="Q282" s="22">
        <f>IF(O282=1,"",IF(AND(B282="post",P282="nicht angetreten"),"NANG",IF(N282=1,"AUSL",IFERROR(VLOOKUP(H282,Vokabular!$A$2:$B$8,2,FALSE),"UNBEKANNT"))))</f>
        <v/>
      </c>
    </row>
    <row r="283">
      <c r="A283" s="5" t="inlineStr">
        <is>
          <t>HL-06</t>
        </is>
      </c>
      <c r="B283" s="5" t="inlineStr">
        <is>
          <t>prä</t>
        </is>
      </c>
      <c r="C283" s="5" t="inlineStr">
        <is>
          <t>Standweitsprung</t>
        </is>
      </c>
      <c r="D283" s="5" t="inlineStr">
        <is>
          <t>–</t>
        </is>
      </c>
      <c r="E283" s="5" t="n">
        <v>3</v>
      </c>
      <c r="F283" s="5" t="n">
        <v>234</v>
      </c>
      <c r="G283" s="5" t="n"/>
      <c r="H283" s="5" t="n"/>
      <c r="I283" s="22">
        <f>INDEX(Personendaten!$C$2:$C$32,MATCH(A283,Personendaten!$A$2:$A$32,0))</f>
        <v/>
      </c>
      <c r="J283" s="22">
        <f>IF(AND(F283&lt;&gt;"",G283=""),1,0)</f>
        <v/>
      </c>
      <c r="K283" s="22">
        <f>IF(LEFT(C283,7)&lt;&gt;"Sprint_","",IF(COUNTIFS(Versuchsdaten!$A$2:$A$1117,$A283,Versuchsdaten!$B$2:$B$1117,$B283,Versuchsdaten!$C$2:$C$1117,"Sprint_5m",Versuchsdaten!$E$2:$E$1117,$E283,Versuchsdaten!$J$2:$J$1117,1)=1,SUMIFS(Versuchsdaten!$F$2:$F$1117,Versuchsdaten!$A$2:$A$1117,$A283,Versuchsdaten!$B$2:$B$1117,$B283,Versuchsdaten!$C$2:$C$1117,"Sprint_5m",Versuchsdaten!$E$2:$E$1117,$E283,Versuchsdaten!$J$2:$J$1117,1),""))</f>
        <v/>
      </c>
      <c r="L283" s="22">
        <f>IF(LEFT(C283,7)&lt;&gt;"Sprint_","",IF(COUNTIFS(Versuchsdaten!$A$2:$A$1117,$A283,Versuchsdaten!$B$2:$B$1117,$B283,Versuchsdaten!$C$2:$C$1117,"Sprint_10m",Versuchsdaten!$E$2:$E$1117,$E283,Versuchsdaten!$J$2:$J$1117,1)=1,SUMIFS(Versuchsdaten!$F$2:$F$1117,Versuchsdaten!$A$2:$A$1117,$A283,Versuchsdaten!$B$2:$B$1117,$B283,Versuchsdaten!$C$2:$C$1117,"Sprint_10m",Versuchsdaten!$E$2:$E$1117,$E283,Versuchsdaten!$J$2:$J$1117,1),""))</f>
        <v/>
      </c>
      <c r="M283" s="22">
        <f>IF(LEFT(C283,7)&lt;&gt;"Sprint_","",IF(COUNTIFS(Versuchsdaten!$A$2:$A$1117,$A283,Versuchsdaten!$B$2:$B$1117,$B283,Versuchsdaten!$C$2:$C$1117,"Sprint_30m",Versuchsdaten!$E$2:$E$1117,$E283,Versuchsdaten!$J$2:$J$1117,1)=1,SUMIFS(Versuchsdaten!$F$2:$F$1117,Versuchsdaten!$A$2:$A$1117,$A283,Versuchsdaten!$B$2:$B$1117,$B283,Versuchsdaten!$C$2:$C$1117,"Sprint_30m",Versuchsdaten!$E$2:$E$1117,$E283,Versuchsdaten!$J$2:$J$1117,1),""))</f>
        <v/>
      </c>
      <c r="N283" s="22">
        <f>IF(LEFT(C283,7)&lt;&gt;"Sprint_",0,IF(IF(ISNUMBER(K283),IF(K283&lt;=0,1,IF(5/K283&gt;10,1,0)),0)+IF(ISNUMBER(L283),IF(ISNUMBER(K283),IF(L283-K283&lt;=0,1,IF(5/(L283-K283)&gt;10,1,0)),IF(L283&lt;=0,1,IF(10/L283&gt;10,1,0))),0)+IF(ISNUMBER(M283),IF(ISNUMBER(L283),IF(M283-L283&lt;=0,1,IF(20/(M283-L283)&gt;10,1,0)),IF(ISNUMBER(K283),IF(M283-K283&lt;=0,1,IF(25/(M283-K283)&gt;10,1,0)),IF(M283&lt;=0,1,IF(30/M283&gt;10,1,0)))),0)&gt;0,1,0))</f>
        <v/>
      </c>
      <c r="O283" s="22">
        <f>IF(AND(J283=1,N283=0),1,0)</f>
        <v/>
      </c>
      <c r="P283" s="22">
        <f>INDEX(Personendaten!$J$2:$J$32,MATCH(A283,Personendaten!$A$2:$A$32,0))</f>
        <v/>
      </c>
      <c r="Q283" s="22">
        <f>IF(O283=1,"",IF(AND(B283="post",P283="nicht angetreten"),"NANG",IF(N283=1,"AUSL",IFERROR(VLOOKUP(H283,Vokabular!$A$2:$B$8,2,FALSE),"UNBEKANNT"))))</f>
        <v/>
      </c>
    </row>
    <row r="284">
      <c r="A284" s="5" t="inlineStr">
        <is>
          <t>HL-06</t>
        </is>
      </c>
      <c r="B284" s="5" t="inlineStr">
        <is>
          <t>prä</t>
        </is>
      </c>
      <c r="C284" s="5" t="inlineStr">
        <is>
          <t>COD_505</t>
        </is>
      </c>
      <c r="D284" s="5" t="inlineStr">
        <is>
          <t>L</t>
        </is>
      </c>
      <c r="E284" s="5" t="n">
        <v>1</v>
      </c>
      <c r="F284" s="5" t="n">
        <v>2.47</v>
      </c>
      <c r="G284" s="5" t="n"/>
      <c r="H284" s="5" t="n"/>
      <c r="I284" s="22">
        <f>INDEX(Personendaten!$C$2:$C$32,MATCH(A284,Personendaten!$A$2:$A$32,0))</f>
        <v/>
      </c>
      <c r="J284" s="22">
        <f>IF(AND(F284&lt;&gt;"",G284=""),1,0)</f>
        <v/>
      </c>
      <c r="K284" s="22">
        <f>IF(LEFT(C284,7)&lt;&gt;"Sprint_","",IF(COUNTIFS(Versuchsdaten!$A$2:$A$1117,$A284,Versuchsdaten!$B$2:$B$1117,$B284,Versuchsdaten!$C$2:$C$1117,"Sprint_5m",Versuchsdaten!$E$2:$E$1117,$E284,Versuchsdaten!$J$2:$J$1117,1)=1,SUMIFS(Versuchsdaten!$F$2:$F$1117,Versuchsdaten!$A$2:$A$1117,$A284,Versuchsdaten!$B$2:$B$1117,$B284,Versuchsdaten!$C$2:$C$1117,"Sprint_5m",Versuchsdaten!$E$2:$E$1117,$E284,Versuchsdaten!$J$2:$J$1117,1),""))</f>
        <v/>
      </c>
      <c r="L284" s="22">
        <f>IF(LEFT(C284,7)&lt;&gt;"Sprint_","",IF(COUNTIFS(Versuchsdaten!$A$2:$A$1117,$A284,Versuchsdaten!$B$2:$B$1117,$B284,Versuchsdaten!$C$2:$C$1117,"Sprint_10m",Versuchsdaten!$E$2:$E$1117,$E284,Versuchsdaten!$J$2:$J$1117,1)=1,SUMIFS(Versuchsdaten!$F$2:$F$1117,Versuchsdaten!$A$2:$A$1117,$A284,Versuchsdaten!$B$2:$B$1117,$B284,Versuchsdaten!$C$2:$C$1117,"Sprint_10m",Versuchsdaten!$E$2:$E$1117,$E284,Versuchsdaten!$J$2:$J$1117,1),""))</f>
        <v/>
      </c>
      <c r="M284" s="22">
        <f>IF(LEFT(C284,7)&lt;&gt;"Sprint_","",IF(COUNTIFS(Versuchsdaten!$A$2:$A$1117,$A284,Versuchsdaten!$B$2:$B$1117,$B284,Versuchsdaten!$C$2:$C$1117,"Sprint_30m",Versuchsdaten!$E$2:$E$1117,$E284,Versuchsdaten!$J$2:$J$1117,1)=1,SUMIFS(Versuchsdaten!$F$2:$F$1117,Versuchsdaten!$A$2:$A$1117,$A284,Versuchsdaten!$B$2:$B$1117,$B284,Versuchsdaten!$C$2:$C$1117,"Sprint_30m",Versuchsdaten!$E$2:$E$1117,$E284,Versuchsdaten!$J$2:$J$1117,1),""))</f>
        <v/>
      </c>
      <c r="N284" s="22">
        <f>IF(LEFT(C284,7)&lt;&gt;"Sprint_",0,IF(IF(ISNUMBER(K284),IF(K284&lt;=0,1,IF(5/K284&gt;10,1,0)),0)+IF(ISNUMBER(L284),IF(ISNUMBER(K284),IF(L284-K284&lt;=0,1,IF(5/(L284-K284)&gt;10,1,0)),IF(L284&lt;=0,1,IF(10/L284&gt;10,1,0))),0)+IF(ISNUMBER(M284),IF(ISNUMBER(L284),IF(M284-L284&lt;=0,1,IF(20/(M284-L284)&gt;10,1,0)),IF(ISNUMBER(K284),IF(M284-K284&lt;=0,1,IF(25/(M284-K284)&gt;10,1,0)),IF(M284&lt;=0,1,IF(30/M284&gt;10,1,0)))),0)&gt;0,1,0))</f>
        <v/>
      </c>
      <c r="O284" s="22">
        <f>IF(AND(J284=1,N284=0),1,0)</f>
        <v/>
      </c>
      <c r="P284" s="22">
        <f>INDEX(Personendaten!$J$2:$J$32,MATCH(A284,Personendaten!$A$2:$A$32,0))</f>
        <v/>
      </c>
      <c r="Q284" s="22">
        <f>IF(O284=1,"",IF(AND(B284="post",P284="nicht angetreten"),"NANG",IF(N284=1,"AUSL",IFERROR(VLOOKUP(H284,Vokabular!$A$2:$B$8,2,FALSE),"UNBEKANNT"))))</f>
        <v/>
      </c>
    </row>
    <row r="285">
      <c r="A285" s="5" t="inlineStr">
        <is>
          <t>HL-06</t>
        </is>
      </c>
      <c r="B285" s="5" t="inlineStr">
        <is>
          <t>prä</t>
        </is>
      </c>
      <c r="C285" s="5" t="inlineStr">
        <is>
          <t>COD_505</t>
        </is>
      </c>
      <c r="D285" s="5" t="inlineStr">
        <is>
          <t>L</t>
        </is>
      </c>
      <c r="E285" s="5" t="n">
        <v>2</v>
      </c>
      <c r="F285" s="5" t="n">
        <v>2.45</v>
      </c>
      <c r="G285" s="5" t="n"/>
      <c r="H285" s="5" t="n"/>
      <c r="I285" s="22">
        <f>INDEX(Personendaten!$C$2:$C$32,MATCH(A285,Personendaten!$A$2:$A$32,0))</f>
        <v/>
      </c>
      <c r="J285" s="22">
        <f>IF(AND(F285&lt;&gt;"",G285=""),1,0)</f>
        <v/>
      </c>
      <c r="K285" s="22">
        <f>IF(LEFT(C285,7)&lt;&gt;"Sprint_","",IF(COUNTIFS(Versuchsdaten!$A$2:$A$1117,$A285,Versuchsdaten!$B$2:$B$1117,$B285,Versuchsdaten!$C$2:$C$1117,"Sprint_5m",Versuchsdaten!$E$2:$E$1117,$E285,Versuchsdaten!$J$2:$J$1117,1)=1,SUMIFS(Versuchsdaten!$F$2:$F$1117,Versuchsdaten!$A$2:$A$1117,$A285,Versuchsdaten!$B$2:$B$1117,$B285,Versuchsdaten!$C$2:$C$1117,"Sprint_5m",Versuchsdaten!$E$2:$E$1117,$E285,Versuchsdaten!$J$2:$J$1117,1),""))</f>
        <v/>
      </c>
      <c r="L285" s="22">
        <f>IF(LEFT(C285,7)&lt;&gt;"Sprint_","",IF(COUNTIFS(Versuchsdaten!$A$2:$A$1117,$A285,Versuchsdaten!$B$2:$B$1117,$B285,Versuchsdaten!$C$2:$C$1117,"Sprint_10m",Versuchsdaten!$E$2:$E$1117,$E285,Versuchsdaten!$J$2:$J$1117,1)=1,SUMIFS(Versuchsdaten!$F$2:$F$1117,Versuchsdaten!$A$2:$A$1117,$A285,Versuchsdaten!$B$2:$B$1117,$B285,Versuchsdaten!$C$2:$C$1117,"Sprint_10m",Versuchsdaten!$E$2:$E$1117,$E285,Versuchsdaten!$J$2:$J$1117,1),""))</f>
        <v/>
      </c>
      <c r="M285" s="22">
        <f>IF(LEFT(C285,7)&lt;&gt;"Sprint_","",IF(COUNTIFS(Versuchsdaten!$A$2:$A$1117,$A285,Versuchsdaten!$B$2:$B$1117,$B285,Versuchsdaten!$C$2:$C$1117,"Sprint_30m",Versuchsdaten!$E$2:$E$1117,$E285,Versuchsdaten!$J$2:$J$1117,1)=1,SUMIFS(Versuchsdaten!$F$2:$F$1117,Versuchsdaten!$A$2:$A$1117,$A285,Versuchsdaten!$B$2:$B$1117,$B285,Versuchsdaten!$C$2:$C$1117,"Sprint_30m",Versuchsdaten!$E$2:$E$1117,$E285,Versuchsdaten!$J$2:$J$1117,1),""))</f>
        <v/>
      </c>
      <c r="N285" s="22">
        <f>IF(LEFT(C285,7)&lt;&gt;"Sprint_",0,IF(IF(ISNUMBER(K285),IF(K285&lt;=0,1,IF(5/K285&gt;10,1,0)),0)+IF(ISNUMBER(L285),IF(ISNUMBER(K285),IF(L285-K285&lt;=0,1,IF(5/(L285-K285)&gt;10,1,0)),IF(L285&lt;=0,1,IF(10/L285&gt;10,1,0))),0)+IF(ISNUMBER(M285),IF(ISNUMBER(L285),IF(M285-L285&lt;=0,1,IF(20/(M285-L285)&gt;10,1,0)),IF(ISNUMBER(K285),IF(M285-K285&lt;=0,1,IF(25/(M285-K285)&gt;10,1,0)),IF(M285&lt;=0,1,IF(30/M285&gt;10,1,0)))),0)&gt;0,1,0))</f>
        <v/>
      </c>
      <c r="O285" s="22">
        <f>IF(AND(J285=1,N285=0),1,0)</f>
        <v/>
      </c>
      <c r="P285" s="22">
        <f>INDEX(Personendaten!$J$2:$J$32,MATCH(A285,Personendaten!$A$2:$A$32,0))</f>
        <v/>
      </c>
      <c r="Q285" s="22">
        <f>IF(O285=1,"",IF(AND(B285="post",P285="nicht angetreten"),"NANG",IF(N285=1,"AUSL",IFERROR(VLOOKUP(H285,Vokabular!$A$2:$B$8,2,FALSE),"UNBEKANNT"))))</f>
        <v/>
      </c>
    </row>
    <row r="286">
      <c r="A286" s="5" t="inlineStr">
        <is>
          <t>HL-06</t>
        </is>
      </c>
      <c r="B286" s="5" t="inlineStr">
        <is>
          <t>prä</t>
        </is>
      </c>
      <c r="C286" s="5" t="inlineStr">
        <is>
          <t>COD_505</t>
        </is>
      </c>
      <c r="D286" s="5" t="inlineStr">
        <is>
          <t>L</t>
        </is>
      </c>
      <c r="E286" s="5" t="n">
        <v>3</v>
      </c>
      <c r="F286" s="5" t="n">
        <v>2.46</v>
      </c>
      <c r="G286" s="5" t="n"/>
      <c r="H286" s="5" t="n"/>
      <c r="I286" s="22">
        <f>INDEX(Personendaten!$C$2:$C$32,MATCH(A286,Personendaten!$A$2:$A$32,0))</f>
        <v/>
      </c>
      <c r="J286" s="22">
        <f>IF(AND(F286&lt;&gt;"",G286=""),1,0)</f>
        <v/>
      </c>
      <c r="K286" s="22">
        <f>IF(LEFT(C286,7)&lt;&gt;"Sprint_","",IF(COUNTIFS(Versuchsdaten!$A$2:$A$1117,$A286,Versuchsdaten!$B$2:$B$1117,$B286,Versuchsdaten!$C$2:$C$1117,"Sprint_5m",Versuchsdaten!$E$2:$E$1117,$E286,Versuchsdaten!$J$2:$J$1117,1)=1,SUMIFS(Versuchsdaten!$F$2:$F$1117,Versuchsdaten!$A$2:$A$1117,$A286,Versuchsdaten!$B$2:$B$1117,$B286,Versuchsdaten!$C$2:$C$1117,"Sprint_5m",Versuchsdaten!$E$2:$E$1117,$E286,Versuchsdaten!$J$2:$J$1117,1),""))</f>
        <v/>
      </c>
      <c r="L286" s="22">
        <f>IF(LEFT(C286,7)&lt;&gt;"Sprint_","",IF(COUNTIFS(Versuchsdaten!$A$2:$A$1117,$A286,Versuchsdaten!$B$2:$B$1117,$B286,Versuchsdaten!$C$2:$C$1117,"Sprint_10m",Versuchsdaten!$E$2:$E$1117,$E286,Versuchsdaten!$J$2:$J$1117,1)=1,SUMIFS(Versuchsdaten!$F$2:$F$1117,Versuchsdaten!$A$2:$A$1117,$A286,Versuchsdaten!$B$2:$B$1117,$B286,Versuchsdaten!$C$2:$C$1117,"Sprint_10m",Versuchsdaten!$E$2:$E$1117,$E286,Versuchsdaten!$J$2:$J$1117,1),""))</f>
        <v/>
      </c>
      <c r="M286" s="22">
        <f>IF(LEFT(C286,7)&lt;&gt;"Sprint_","",IF(COUNTIFS(Versuchsdaten!$A$2:$A$1117,$A286,Versuchsdaten!$B$2:$B$1117,$B286,Versuchsdaten!$C$2:$C$1117,"Sprint_30m",Versuchsdaten!$E$2:$E$1117,$E286,Versuchsdaten!$J$2:$J$1117,1)=1,SUMIFS(Versuchsdaten!$F$2:$F$1117,Versuchsdaten!$A$2:$A$1117,$A286,Versuchsdaten!$B$2:$B$1117,$B286,Versuchsdaten!$C$2:$C$1117,"Sprint_30m",Versuchsdaten!$E$2:$E$1117,$E286,Versuchsdaten!$J$2:$J$1117,1),""))</f>
        <v/>
      </c>
      <c r="N286" s="22">
        <f>IF(LEFT(C286,7)&lt;&gt;"Sprint_",0,IF(IF(ISNUMBER(K286),IF(K286&lt;=0,1,IF(5/K286&gt;10,1,0)),0)+IF(ISNUMBER(L286),IF(ISNUMBER(K286),IF(L286-K286&lt;=0,1,IF(5/(L286-K286)&gt;10,1,0)),IF(L286&lt;=0,1,IF(10/L286&gt;10,1,0))),0)+IF(ISNUMBER(M286),IF(ISNUMBER(L286),IF(M286-L286&lt;=0,1,IF(20/(M286-L286)&gt;10,1,0)),IF(ISNUMBER(K286),IF(M286-K286&lt;=0,1,IF(25/(M286-K286)&gt;10,1,0)),IF(M286&lt;=0,1,IF(30/M286&gt;10,1,0)))),0)&gt;0,1,0))</f>
        <v/>
      </c>
      <c r="O286" s="22">
        <f>IF(AND(J286=1,N286=0),1,0)</f>
        <v/>
      </c>
      <c r="P286" s="22">
        <f>INDEX(Personendaten!$J$2:$J$32,MATCH(A286,Personendaten!$A$2:$A$32,0))</f>
        <v/>
      </c>
      <c r="Q286" s="22">
        <f>IF(O286=1,"",IF(AND(B286="post",P286="nicht angetreten"),"NANG",IF(N286=1,"AUSL",IFERROR(VLOOKUP(H286,Vokabular!$A$2:$B$8,2,FALSE),"UNBEKANNT"))))</f>
        <v/>
      </c>
    </row>
    <row r="287">
      <c r="A287" s="5" t="inlineStr">
        <is>
          <t>HL-06</t>
        </is>
      </c>
      <c r="B287" s="5" t="inlineStr">
        <is>
          <t>prä</t>
        </is>
      </c>
      <c r="C287" s="5" t="inlineStr">
        <is>
          <t>COD_505</t>
        </is>
      </c>
      <c r="D287" s="5" t="inlineStr">
        <is>
          <t>R</t>
        </is>
      </c>
      <c r="E287" s="5" t="n">
        <v>1</v>
      </c>
      <c r="F287" s="5" t="n">
        <v>2.52</v>
      </c>
      <c r="G287" s="5" t="n"/>
      <c r="H287" s="5" t="n"/>
      <c r="I287" s="22">
        <f>INDEX(Personendaten!$C$2:$C$32,MATCH(A287,Personendaten!$A$2:$A$32,0))</f>
        <v/>
      </c>
      <c r="J287" s="22">
        <f>IF(AND(F287&lt;&gt;"",G287=""),1,0)</f>
        <v/>
      </c>
      <c r="K287" s="22">
        <f>IF(LEFT(C287,7)&lt;&gt;"Sprint_","",IF(COUNTIFS(Versuchsdaten!$A$2:$A$1117,$A287,Versuchsdaten!$B$2:$B$1117,$B287,Versuchsdaten!$C$2:$C$1117,"Sprint_5m",Versuchsdaten!$E$2:$E$1117,$E287,Versuchsdaten!$J$2:$J$1117,1)=1,SUMIFS(Versuchsdaten!$F$2:$F$1117,Versuchsdaten!$A$2:$A$1117,$A287,Versuchsdaten!$B$2:$B$1117,$B287,Versuchsdaten!$C$2:$C$1117,"Sprint_5m",Versuchsdaten!$E$2:$E$1117,$E287,Versuchsdaten!$J$2:$J$1117,1),""))</f>
        <v/>
      </c>
      <c r="L287" s="22">
        <f>IF(LEFT(C287,7)&lt;&gt;"Sprint_","",IF(COUNTIFS(Versuchsdaten!$A$2:$A$1117,$A287,Versuchsdaten!$B$2:$B$1117,$B287,Versuchsdaten!$C$2:$C$1117,"Sprint_10m",Versuchsdaten!$E$2:$E$1117,$E287,Versuchsdaten!$J$2:$J$1117,1)=1,SUMIFS(Versuchsdaten!$F$2:$F$1117,Versuchsdaten!$A$2:$A$1117,$A287,Versuchsdaten!$B$2:$B$1117,$B287,Versuchsdaten!$C$2:$C$1117,"Sprint_10m",Versuchsdaten!$E$2:$E$1117,$E287,Versuchsdaten!$J$2:$J$1117,1),""))</f>
        <v/>
      </c>
      <c r="M287" s="22">
        <f>IF(LEFT(C287,7)&lt;&gt;"Sprint_","",IF(COUNTIFS(Versuchsdaten!$A$2:$A$1117,$A287,Versuchsdaten!$B$2:$B$1117,$B287,Versuchsdaten!$C$2:$C$1117,"Sprint_30m",Versuchsdaten!$E$2:$E$1117,$E287,Versuchsdaten!$J$2:$J$1117,1)=1,SUMIFS(Versuchsdaten!$F$2:$F$1117,Versuchsdaten!$A$2:$A$1117,$A287,Versuchsdaten!$B$2:$B$1117,$B287,Versuchsdaten!$C$2:$C$1117,"Sprint_30m",Versuchsdaten!$E$2:$E$1117,$E287,Versuchsdaten!$J$2:$J$1117,1),""))</f>
        <v/>
      </c>
      <c r="N287" s="22">
        <f>IF(LEFT(C287,7)&lt;&gt;"Sprint_",0,IF(IF(ISNUMBER(K287),IF(K287&lt;=0,1,IF(5/K287&gt;10,1,0)),0)+IF(ISNUMBER(L287),IF(ISNUMBER(K287),IF(L287-K287&lt;=0,1,IF(5/(L287-K287)&gt;10,1,0)),IF(L287&lt;=0,1,IF(10/L287&gt;10,1,0))),0)+IF(ISNUMBER(M287),IF(ISNUMBER(L287),IF(M287-L287&lt;=0,1,IF(20/(M287-L287)&gt;10,1,0)),IF(ISNUMBER(K287),IF(M287-K287&lt;=0,1,IF(25/(M287-K287)&gt;10,1,0)),IF(M287&lt;=0,1,IF(30/M287&gt;10,1,0)))),0)&gt;0,1,0))</f>
        <v/>
      </c>
      <c r="O287" s="22">
        <f>IF(AND(J287=1,N287=0),1,0)</f>
        <v/>
      </c>
      <c r="P287" s="22">
        <f>INDEX(Personendaten!$J$2:$J$32,MATCH(A287,Personendaten!$A$2:$A$32,0))</f>
        <v/>
      </c>
      <c r="Q287" s="22">
        <f>IF(O287=1,"",IF(AND(B287="post",P287="nicht angetreten"),"NANG",IF(N287=1,"AUSL",IFERROR(VLOOKUP(H287,Vokabular!$A$2:$B$8,2,FALSE),"UNBEKANNT"))))</f>
        <v/>
      </c>
    </row>
    <row r="288">
      <c r="A288" s="5" t="inlineStr">
        <is>
          <t>HL-06</t>
        </is>
      </c>
      <c r="B288" s="5" t="inlineStr">
        <is>
          <t>prä</t>
        </is>
      </c>
      <c r="C288" s="5" t="inlineStr">
        <is>
          <t>COD_505</t>
        </is>
      </c>
      <c r="D288" s="5" t="inlineStr">
        <is>
          <t>R</t>
        </is>
      </c>
      <c r="E288" s="5" t="n">
        <v>2</v>
      </c>
      <c r="F288" s="5" t="n">
        <v>2.59</v>
      </c>
      <c r="G288" s="5" t="n"/>
      <c r="H288" s="5" t="n"/>
      <c r="I288" s="22">
        <f>INDEX(Personendaten!$C$2:$C$32,MATCH(A288,Personendaten!$A$2:$A$32,0))</f>
        <v/>
      </c>
      <c r="J288" s="22">
        <f>IF(AND(F288&lt;&gt;"",G288=""),1,0)</f>
        <v/>
      </c>
      <c r="K288" s="22">
        <f>IF(LEFT(C288,7)&lt;&gt;"Sprint_","",IF(COUNTIFS(Versuchsdaten!$A$2:$A$1117,$A288,Versuchsdaten!$B$2:$B$1117,$B288,Versuchsdaten!$C$2:$C$1117,"Sprint_5m",Versuchsdaten!$E$2:$E$1117,$E288,Versuchsdaten!$J$2:$J$1117,1)=1,SUMIFS(Versuchsdaten!$F$2:$F$1117,Versuchsdaten!$A$2:$A$1117,$A288,Versuchsdaten!$B$2:$B$1117,$B288,Versuchsdaten!$C$2:$C$1117,"Sprint_5m",Versuchsdaten!$E$2:$E$1117,$E288,Versuchsdaten!$J$2:$J$1117,1),""))</f>
        <v/>
      </c>
      <c r="L288" s="22">
        <f>IF(LEFT(C288,7)&lt;&gt;"Sprint_","",IF(COUNTIFS(Versuchsdaten!$A$2:$A$1117,$A288,Versuchsdaten!$B$2:$B$1117,$B288,Versuchsdaten!$C$2:$C$1117,"Sprint_10m",Versuchsdaten!$E$2:$E$1117,$E288,Versuchsdaten!$J$2:$J$1117,1)=1,SUMIFS(Versuchsdaten!$F$2:$F$1117,Versuchsdaten!$A$2:$A$1117,$A288,Versuchsdaten!$B$2:$B$1117,$B288,Versuchsdaten!$C$2:$C$1117,"Sprint_10m",Versuchsdaten!$E$2:$E$1117,$E288,Versuchsdaten!$J$2:$J$1117,1),""))</f>
        <v/>
      </c>
      <c r="M288" s="22">
        <f>IF(LEFT(C288,7)&lt;&gt;"Sprint_","",IF(COUNTIFS(Versuchsdaten!$A$2:$A$1117,$A288,Versuchsdaten!$B$2:$B$1117,$B288,Versuchsdaten!$C$2:$C$1117,"Sprint_30m",Versuchsdaten!$E$2:$E$1117,$E288,Versuchsdaten!$J$2:$J$1117,1)=1,SUMIFS(Versuchsdaten!$F$2:$F$1117,Versuchsdaten!$A$2:$A$1117,$A288,Versuchsdaten!$B$2:$B$1117,$B288,Versuchsdaten!$C$2:$C$1117,"Sprint_30m",Versuchsdaten!$E$2:$E$1117,$E288,Versuchsdaten!$J$2:$J$1117,1),""))</f>
        <v/>
      </c>
      <c r="N288" s="22">
        <f>IF(LEFT(C288,7)&lt;&gt;"Sprint_",0,IF(IF(ISNUMBER(K288),IF(K288&lt;=0,1,IF(5/K288&gt;10,1,0)),0)+IF(ISNUMBER(L288),IF(ISNUMBER(K288),IF(L288-K288&lt;=0,1,IF(5/(L288-K288)&gt;10,1,0)),IF(L288&lt;=0,1,IF(10/L288&gt;10,1,0))),0)+IF(ISNUMBER(M288),IF(ISNUMBER(L288),IF(M288-L288&lt;=0,1,IF(20/(M288-L288)&gt;10,1,0)),IF(ISNUMBER(K288),IF(M288-K288&lt;=0,1,IF(25/(M288-K288)&gt;10,1,0)),IF(M288&lt;=0,1,IF(30/M288&gt;10,1,0)))),0)&gt;0,1,0))</f>
        <v/>
      </c>
      <c r="O288" s="22">
        <f>IF(AND(J288=1,N288=0),1,0)</f>
        <v/>
      </c>
      <c r="P288" s="22">
        <f>INDEX(Personendaten!$J$2:$J$32,MATCH(A288,Personendaten!$A$2:$A$32,0))</f>
        <v/>
      </c>
      <c r="Q288" s="22">
        <f>IF(O288=1,"",IF(AND(B288="post",P288="nicht angetreten"),"NANG",IF(N288=1,"AUSL",IFERROR(VLOOKUP(H288,Vokabular!$A$2:$B$8,2,FALSE),"UNBEKANNT"))))</f>
        <v/>
      </c>
    </row>
    <row r="289">
      <c r="A289" s="5" t="inlineStr">
        <is>
          <t>HL-06</t>
        </is>
      </c>
      <c r="B289" s="5" t="inlineStr">
        <is>
          <t>prä</t>
        </is>
      </c>
      <c r="C289" s="5" t="inlineStr">
        <is>
          <t>COD_505</t>
        </is>
      </c>
      <c r="D289" s="5" t="inlineStr">
        <is>
          <t>R</t>
        </is>
      </c>
      <c r="E289" s="5" t="n">
        <v>3</v>
      </c>
      <c r="F289" s="5" t="n">
        <v>2.37</v>
      </c>
      <c r="G289" s="5" t="n"/>
      <c r="H289" s="5" t="n"/>
      <c r="I289" s="22">
        <f>INDEX(Personendaten!$C$2:$C$32,MATCH(A289,Personendaten!$A$2:$A$32,0))</f>
        <v/>
      </c>
      <c r="J289" s="22">
        <f>IF(AND(F289&lt;&gt;"",G289=""),1,0)</f>
        <v/>
      </c>
      <c r="K289" s="22">
        <f>IF(LEFT(C289,7)&lt;&gt;"Sprint_","",IF(COUNTIFS(Versuchsdaten!$A$2:$A$1117,$A289,Versuchsdaten!$B$2:$B$1117,$B289,Versuchsdaten!$C$2:$C$1117,"Sprint_5m",Versuchsdaten!$E$2:$E$1117,$E289,Versuchsdaten!$J$2:$J$1117,1)=1,SUMIFS(Versuchsdaten!$F$2:$F$1117,Versuchsdaten!$A$2:$A$1117,$A289,Versuchsdaten!$B$2:$B$1117,$B289,Versuchsdaten!$C$2:$C$1117,"Sprint_5m",Versuchsdaten!$E$2:$E$1117,$E289,Versuchsdaten!$J$2:$J$1117,1),""))</f>
        <v/>
      </c>
      <c r="L289" s="22">
        <f>IF(LEFT(C289,7)&lt;&gt;"Sprint_","",IF(COUNTIFS(Versuchsdaten!$A$2:$A$1117,$A289,Versuchsdaten!$B$2:$B$1117,$B289,Versuchsdaten!$C$2:$C$1117,"Sprint_10m",Versuchsdaten!$E$2:$E$1117,$E289,Versuchsdaten!$J$2:$J$1117,1)=1,SUMIFS(Versuchsdaten!$F$2:$F$1117,Versuchsdaten!$A$2:$A$1117,$A289,Versuchsdaten!$B$2:$B$1117,$B289,Versuchsdaten!$C$2:$C$1117,"Sprint_10m",Versuchsdaten!$E$2:$E$1117,$E289,Versuchsdaten!$J$2:$J$1117,1),""))</f>
        <v/>
      </c>
      <c r="M289" s="22">
        <f>IF(LEFT(C289,7)&lt;&gt;"Sprint_","",IF(COUNTIFS(Versuchsdaten!$A$2:$A$1117,$A289,Versuchsdaten!$B$2:$B$1117,$B289,Versuchsdaten!$C$2:$C$1117,"Sprint_30m",Versuchsdaten!$E$2:$E$1117,$E289,Versuchsdaten!$J$2:$J$1117,1)=1,SUMIFS(Versuchsdaten!$F$2:$F$1117,Versuchsdaten!$A$2:$A$1117,$A289,Versuchsdaten!$B$2:$B$1117,$B289,Versuchsdaten!$C$2:$C$1117,"Sprint_30m",Versuchsdaten!$E$2:$E$1117,$E289,Versuchsdaten!$J$2:$J$1117,1),""))</f>
        <v/>
      </c>
      <c r="N289" s="22">
        <f>IF(LEFT(C289,7)&lt;&gt;"Sprint_",0,IF(IF(ISNUMBER(K289),IF(K289&lt;=0,1,IF(5/K289&gt;10,1,0)),0)+IF(ISNUMBER(L289),IF(ISNUMBER(K289),IF(L289-K289&lt;=0,1,IF(5/(L289-K289)&gt;10,1,0)),IF(L289&lt;=0,1,IF(10/L289&gt;10,1,0))),0)+IF(ISNUMBER(M289),IF(ISNUMBER(L289),IF(M289-L289&lt;=0,1,IF(20/(M289-L289)&gt;10,1,0)),IF(ISNUMBER(K289),IF(M289-K289&lt;=0,1,IF(25/(M289-K289)&gt;10,1,0)),IF(M289&lt;=0,1,IF(30/M289&gt;10,1,0)))),0)&gt;0,1,0))</f>
        <v/>
      </c>
      <c r="O289" s="22">
        <f>IF(AND(J289=1,N289=0),1,0)</f>
        <v/>
      </c>
      <c r="P289" s="22">
        <f>INDEX(Personendaten!$J$2:$J$32,MATCH(A289,Personendaten!$A$2:$A$32,0))</f>
        <v/>
      </c>
      <c r="Q289" s="22">
        <f>IF(O289=1,"",IF(AND(B289="post",P289="nicht angetreten"),"NANG",IF(N289=1,"AUSL",IFERROR(VLOOKUP(H289,Vokabular!$A$2:$B$8,2,FALSE),"UNBEKANNT"))))</f>
        <v/>
      </c>
    </row>
    <row r="290">
      <c r="A290" s="5" t="inlineStr">
        <is>
          <t>HL-07</t>
        </is>
      </c>
      <c r="B290" s="5" t="inlineStr">
        <is>
          <t>prä</t>
        </is>
      </c>
      <c r="C290" s="5" t="inlineStr">
        <is>
          <t>Sprint_5m</t>
        </is>
      </c>
      <c r="D290" s="5" t="inlineStr">
        <is>
          <t>–</t>
        </is>
      </c>
      <c r="E290" s="5" t="n">
        <v>1</v>
      </c>
      <c r="F290" s="5" t="n">
        <v>1.03</v>
      </c>
      <c r="G290" s="5" t="n"/>
      <c r="H290" s="5" t="n"/>
      <c r="I290" s="22">
        <f>INDEX(Personendaten!$C$2:$C$32,MATCH(A290,Personendaten!$A$2:$A$32,0))</f>
        <v/>
      </c>
      <c r="J290" s="22">
        <f>IF(AND(F290&lt;&gt;"",G290=""),1,0)</f>
        <v/>
      </c>
      <c r="K290" s="22">
        <f>IF(LEFT(C290,7)&lt;&gt;"Sprint_","",IF(COUNTIFS(Versuchsdaten!$A$2:$A$1117,$A290,Versuchsdaten!$B$2:$B$1117,$B290,Versuchsdaten!$C$2:$C$1117,"Sprint_5m",Versuchsdaten!$E$2:$E$1117,$E290,Versuchsdaten!$J$2:$J$1117,1)=1,SUMIFS(Versuchsdaten!$F$2:$F$1117,Versuchsdaten!$A$2:$A$1117,$A290,Versuchsdaten!$B$2:$B$1117,$B290,Versuchsdaten!$C$2:$C$1117,"Sprint_5m",Versuchsdaten!$E$2:$E$1117,$E290,Versuchsdaten!$J$2:$J$1117,1),""))</f>
        <v/>
      </c>
      <c r="L290" s="22">
        <f>IF(LEFT(C290,7)&lt;&gt;"Sprint_","",IF(COUNTIFS(Versuchsdaten!$A$2:$A$1117,$A290,Versuchsdaten!$B$2:$B$1117,$B290,Versuchsdaten!$C$2:$C$1117,"Sprint_10m",Versuchsdaten!$E$2:$E$1117,$E290,Versuchsdaten!$J$2:$J$1117,1)=1,SUMIFS(Versuchsdaten!$F$2:$F$1117,Versuchsdaten!$A$2:$A$1117,$A290,Versuchsdaten!$B$2:$B$1117,$B290,Versuchsdaten!$C$2:$C$1117,"Sprint_10m",Versuchsdaten!$E$2:$E$1117,$E290,Versuchsdaten!$J$2:$J$1117,1),""))</f>
        <v/>
      </c>
      <c r="M290" s="22">
        <f>IF(LEFT(C290,7)&lt;&gt;"Sprint_","",IF(COUNTIFS(Versuchsdaten!$A$2:$A$1117,$A290,Versuchsdaten!$B$2:$B$1117,$B290,Versuchsdaten!$C$2:$C$1117,"Sprint_30m",Versuchsdaten!$E$2:$E$1117,$E290,Versuchsdaten!$J$2:$J$1117,1)=1,SUMIFS(Versuchsdaten!$F$2:$F$1117,Versuchsdaten!$A$2:$A$1117,$A290,Versuchsdaten!$B$2:$B$1117,$B290,Versuchsdaten!$C$2:$C$1117,"Sprint_30m",Versuchsdaten!$E$2:$E$1117,$E290,Versuchsdaten!$J$2:$J$1117,1),""))</f>
        <v/>
      </c>
      <c r="N290" s="22">
        <f>IF(LEFT(C290,7)&lt;&gt;"Sprint_",0,IF(IF(ISNUMBER(K290),IF(K290&lt;=0,1,IF(5/K290&gt;10,1,0)),0)+IF(ISNUMBER(L290),IF(ISNUMBER(K290),IF(L290-K290&lt;=0,1,IF(5/(L290-K290)&gt;10,1,0)),IF(L290&lt;=0,1,IF(10/L290&gt;10,1,0))),0)+IF(ISNUMBER(M290),IF(ISNUMBER(L290),IF(M290-L290&lt;=0,1,IF(20/(M290-L290)&gt;10,1,0)),IF(ISNUMBER(K290),IF(M290-K290&lt;=0,1,IF(25/(M290-K290)&gt;10,1,0)),IF(M290&lt;=0,1,IF(30/M290&gt;10,1,0)))),0)&gt;0,1,0))</f>
        <v/>
      </c>
      <c r="O290" s="22">
        <f>IF(AND(J290=1,N290=0),1,0)</f>
        <v/>
      </c>
      <c r="P290" s="22">
        <f>INDEX(Personendaten!$J$2:$J$32,MATCH(A290,Personendaten!$A$2:$A$32,0))</f>
        <v/>
      </c>
      <c r="Q290" s="22">
        <f>IF(O290=1,"",IF(AND(B290="post",P290="nicht angetreten"),"NANG",IF(N290=1,"AUSL",IFERROR(VLOOKUP(H290,Vokabular!$A$2:$B$8,2,FALSE),"UNBEKANNT"))))</f>
        <v/>
      </c>
    </row>
    <row r="291">
      <c r="A291" s="5" t="inlineStr">
        <is>
          <t>HL-07</t>
        </is>
      </c>
      <c r="B291" s="5" t="inlineStr">
        <is>
          <t>prä</t>
        </is>
      </c>
      <c r="C291" s="5" t="inlineStr">
        <is>
          <t>Sprint_5m</t>
        </is>
      </c>
      <c r="D291" s="5" t="inlineStr">
        <is>
          <t>–</t>
        </is>
      </c>
      <c r="E291" s="5" t="n">
        <v>2</v>
      </c>
      <c r="F291" s="5" t="n">
        <v>1.04</v>
      </c>
      <c r="G291" s="5" t="n"/>
      <c r="H291" s="5" t="n"/>
      <c r="I291" s="22">
        <f>INDEX(Personendaten!$C$2:$C$32,MATCH(A291,Personendaten!$A$2:$A$32,0))</f>
        <v/>
      </c>
      <c r="J291" s="22">
        <f>IF(AND(F291&lt;&gt;"",G291=""),1,0)</f>
        <v/>
      </c>
      <c r="K291" s="22">
        <f>IF(LEFT(C291,7)&lt;&gt;"Sprint_","",IF(COUNTIFS(Versuchsdaten!$A$2:$A$1117,$A291,Versuchsdaten!$B$2:$B$1117,$B291,Versuchsdaten!$C$2:$C$1117,"Sprint_5m",Versuchsdaten!$E$2:$E$1117,$E291,Versuchsdaten!$J$2:$J$1117,1)=1,SUMIFS(Versuchsdaten!$F$2:$F$1117,Versuchsdaten!$A$2:$A$1117,$A291,Versuchsdaten!$B$2:$B$1117,$B291,Versuchsdaten!$C$2:$C$1117,"Sprint_5m",Versuchsdaten!$E$2:$E$1117,$E291,Versuchsdaten!$J$2:$J$1117,1),""))</f>
        <v/>
      </c>
      <c r="L291" s="22">
        <f>IF(LEFT(C291,7)&lt;&gt;"Sprint_","",IF(COUNTIFS(Versuchsdaten!$A$2:$A$1117,$A291,Versuchsdaten!$B$2:$B$1117,$B291,Versuchsdaten!$C$2:$C$1117,"Sprint_10m",Versuchsdaten!$E$2:$E$1117,$E291,Versuchsdaten!$J$2:$J$1117,1)=1,SUMIFS(Versuchsdaten!$F$2:$F$1117,Versuchsdaten!$A$2:$A$1117,$A291,Versuchsdaten!$B$2:$B$1117,$B291,Versuchsdaten!$C$2:$C$1117,"Sprint_10m",Versuchsdaten!$E$2:$E$1117,$E291,Versuchsdaten!$J$2:$J$1117,1),""))</f>
        <v/>
      </c>
      <c r="M291" s="22">
        <f>IF(LEFT(C291,7)&lt;&gt;"Sprint_","",IF(COUNTIFS(Versuchsdaten!$A$2:$A$1117,$A291,Versuchsdaten!$B$2:$B$1117,$B291,Versuchsdaten!$C$2:$C$1117,"Sprint_30m",Versuchsdaten!$E$2:$E$1117,$E291,Versuchsdaten!$J$2:$J$1117,1)=1,SUMIFS(Versuchsdaten!$F$2:$F$1117,Versuchsdaten!$A$2:$A$1117,$A291,Versuchsdaten!$B$2:$B$1117,$B291,Versuchsdaten!$C$2:$C$1117,"Sprint_30m",Versuchsdaten!$E$2:$E$1117,$E291,Versuchsdaten!$J$2:$J$1117,1),""))</f>
        <v/>
      </c>
      <c r="N291" s="22">
        <f>IF(LEFT(C291,7)&lt;&gt;"Sprint_",0,IF(IF(ISNUMBER(K291),IF(K291&lt;=0,1,IF(5/K291&gt;10,1,0)),0)+IF(ISNUMBER(L291),IF(ISNUMBER(K291),IF(L291-K291&lt;=0,1,IF(5/(L291-K291)&gt;10,1,0)),IF(L291&lt;=0,1,IF(10/L291&gt;10,1,0))),0)+IF(ISNUMBER(M291),IF(ISNUMBER(L291),IF(M291-L291&lt;=0,1,IF(20/(M291-L291)&gt;10,1,0)),IF(ISNUMBER(K291),IF(M291-K291&lt;=0,1,IF(25/(M291-K291)&gt;10,1,0)),IF(M291&lt;=0,1,IF(30/M291&gt;10,1,0)))),0)&gt;0,1,0))</f>
        <v/>
      </c>
      <c r="O291" s="22">
        <f>IF(AND(J291=1,N291=0),1,0)</f>
        <v/>
      </c>
      <c r="P291" s="22">
        <f>INDEX(Personendaten!$J$2:$J$32,MATCH(A291,Personendaten!$A$2:$A$32,0))</f>
        <v/>
      </c>
      <c r="Q291" s="22">
        <f>IF(O291=1,"",IF(AND(B291="post",P291="nicht angetreten"),"NANG",IF(N291=1,"AUSL",IFERROR(VLOOKUP(H291,Vokabular!$A$2:$B$8,2,FALSE),"UNBEKANNT"))))</f>
        <v/>
      </c>
    </row>
    <row r="292">
      <c r="A292" s="5" t="inlineStr">
        <is>
          <t>HL-07</t>
        </is>
      </c>
      <c r="B292" s="5" t="inlineStr">
        <is>
          <t>prä</t>
        </is>
      </c>
      <c r="C292" s="5" t="inlineStr">
        <is>
          <t>Sprint_5m</t>
        </is>
      </c>
      <c r="D292" s="5" t="inlineStr">
        <is>
          <t>–</t>
        </is>
      </c>
      <c r="E292" s="5" t="n">
        <v>3</v>
      </c>
      <c r="F292" s="5" t="n">
        <v>1.09</v>
      </c>
      <c r="G292" s="5" t="n"/>
      <c r="H292" s="5" t="n"/>
      <c r="I292" s="22">
        <f>INDEX(Personendaten!$C$2:$C$32,MATCH(A292,Personendaten!$A$2:$A$32,0))</f>
        <v/>
      </c>
      <c r="J292" s="22">
        <f>IF(AND(F292&lt;&gt;"",G292=""),1,0)</f>
        <v/>
      </c>
      <c r="K292" s="22">
        <f>IF(LEFT(C292,7)&lt;&gt;"Sprint_","",IF(COUNTIFS(Versuchsdaten!$A$2:$A$1117,$A292,Versuchsdaten!$B$2:$B$1117,$B292,Versuchsdaten!$C$2:$C$1117,"Sprint_5m",Versuchsdaten!$E$2:$E$1117,$E292,Versuchsdaten!$J$2:$J$1117,1)=1,SUMIFS(Versuchsdaten!$F$2:$F$1117,Versuchsdaten!$A$2:$A$1117,$A292,Versuchsdaten!$B$2:$B$1117,$B292,Versuchsdaten!$C$2:$C$1117,"Sprint_5m",Versuchsdaten!$E$2:$E$1117,$E292,Versuchsdaten!$J$2:$J$1117,1),""))</f>
        <v/>
      </c>
      <c r="L292" s="22">
        <f>IF(LEFT(C292,7)&lt;&gt;"Sprint_","",IF(COUNTIFS(Versuchsdaten!$A$2:$A$1117,$A292,Versuchsdaten!$B$2:$B$1117,$B292,Versuchsdaten!$C$2:$C$1117,"Sprint_10m",Versuchsdaten!$E$2:$E$1117,$E292,Versuchsdaten!$J$2:$J$1117,1)=1,SUMIFS(Versuchsdaten!$F$2:$F$1117,Versuchsdaten!$A$2:$A$1117,$A292,Versuchsdaten!$B$2:$B$1117,$B292,Versuchsdaten!$C$2:$C$1117,"Sprint_10m",Versuchsdaten!$E$2:$E$1117,$E292,Versuchsdaten!$J$2:$J$1117,1),""))</f>
        <v/>
      </c>
      <c r="M292" s="22">
        <f>IF(LEFT(C292,7)&lt;&gt;"Sprint_","",IF(COUNTIFS(Versuchsdaten!$A$2:$A$1117,$A292,Versuchsdaten!$B$2:$B$1117,$B292,Versuchsdaten!$C$2:$C$1117,"Sprint_30m",Versuchsdaten!$E$2:$E$1117,$E292,Versuchsdaten!$J$2:$J$1117,1)=1,SUMIFS(Versuchsdaten!$F$2:$F$1117,Versuchsdaten!$A$2:$A$1117,$A292,Versuchsdaten!$B$2:$B$1117,$B292,Versuchsdaten!$C$2:$C$1117,"Sprint_30m",Versuchsdaten!$E$2:$E$1117,$E292,Versuchsdaten!$J$2:$J$1117,1),""))</f>
        <v/>
      </c>
      <c r="N292" s="22">
        <f>IF(LEFT(C292,7)&lt;&gt;"Sprint_",0,IF(IF(ISNUMBER(K292),IF(K292&lt;=0,1,IF(5/K292&gt;10,1,0)),0)+IF(ISNUMBER(L292),IF(ISNUMBER(K292),IF(L292-K292&lt;=0,1,IF(5/(L292-K292)&gt;10,1,0)),IF(L292&lt;=0,1,IF(10/L292&gt;10,1,0))),0)+IF(ISNUMBER(M292),IF(ISNUMBER(L292),IF(M292-L292&lt;=0,1,IF(20/(M292-L292)&gt;10,1,0)),IF(ISNUMBER(K292),IF(M292-K292&lt;=0,1,IF(25/(M292-K292)&gt;10,1,0)),IF(M292&lt;=0,1,IF(30/M292&gt;10,1,0)))),0)&gt;0,1,0))</f>
        <v/>
      </c>
      <c r="O292" s="22">
        <f>IF(AND(J292=1,N292=0),1,0)</f>
        <v/>
      </c>
      <c r="P292" s="22">
        <f>INDEX(Personendaten!$J$2:$J$32,MATCH(A292,Personendaten!$A$2:$A$32,0))</f>
        <v/>
      </c>
      <c r="Q292" s="22">
        <f>IF(O292=1,"",IF(AND(B292="post",P292="nicht angetreten"),"NANG",IF(N292=1,"AUSL",IFERROR(VLOOKUP(H292,Vokabular!$A$2:$B$8,2,FALSE),"UNBEKANNT"))))</f>
        <v/>
      </c>
    </row>
    <row r="293">
      <c r="A293" s="5" t="inlineStr">
        <is>
          <t>HL-07</t>
        </is>
      </c>
      <c r="B293" s="5" t="inlineStr">
        <is>
          <t>prä</t>
        </is>
      </c>
      <c r="C293" s="5" t="inlineStr">
        <is>
          <t>Sprint_10m</t>
        </is>
      </c>
      <c r="D293" s="5" t="inlineStr">
        <is>
          <t>–</t>
        </is>
      </c>
      <c r="E293" s="5" t="n">
        <v>1</v>
      </c>
      <c r="F293" s="5" t="n">
        <v>1.82</v>
      </c>
      <c r="G293" s="5" t="n"/>
      <c r="H293" s="5" t="n"/>
      <c r="I293" s="22">
        <f>INDEX(Personendaten!$C$2:$C$32,MATCH(A293,Personendaten!$A$2:$A$32,0))</f>
        <v/>
      </c>
      <c r="J293" s="22">
        <f>IF(AND(F293&lt;&gt;"",G293=""),1,0)</f>
        <v/>
      </c>
      <c r="K293" s="22">
        <f>IF(LEFT(C293,7)&lt;&gt;"Sprint_","",IF(COUNTIFS(Versuchsdaten!$A$2:$A$1117,$A293,Versuchsdaten!$B$2:$B$1117,$B293,Versuchsdaten!$C$2:$C$1117,"Sprint_5m",Versuchsdaten!$E$2:$E$1117,$E293,Versuchsdaten!$J$2:$J$1117,1)=1,SUMIFS(Versuchsdaten!$F$2:$F$1117,Versuchsdaten!$A$2:$A$1117,$A293,Versuchsdaten!$B$2:$B$1117,$B293,Versuchsdaten!$C$2:$C$1117,"Sprint_5m",Versuchsdaten!$E$2:$E$1117,$E293,Versuchsdaten!$J$2:$J$1117,1),""))</f>
        <v/>
      </c>
      <c r="L293" s="22">
        <f>IF(LEFT(C293,7)&lt;&gt;"Sprint_","",IF(COUNTIFS(Versuchsdaten!$A$2:$A$1117,$A293,Versuchsdaten!$B$2:$B$1117,$B293,Versuchsdaten!$C$2:$C$1117,"Sprint_10m",Versuchsdaten!$E$2:$E$1117,$E293,Versuchsdaten!$J$2:$J$1117,1)=1,SUMIFS(Versuchsdaten!$F$2:$F$1117,Versuchsdaten!$A$2:$A$1117,$A293,Versuchsdaten!$B$2:$B$1117,$B293,Versuchsdaten!$C$2:$C$1117,"Sprint_10m",Versuchsdaten!$E$2:$E$1117,$E293,Versuchsdaten!$J$2:$J$1117,1),""))</f>
        <v/>
      </c>
      <c r="M293" s="22">
        <f>IF(LEFT(C293,7)&lt;&gt;"Sprint_","",IF(COUNTIFS(Versuchsdaten!$A$2:$A$1117,$A293,Versuchsdaten!$B$2:$B$1117,$B293,Versuchsdaten!$C$2:$C$1117,"Sprint_30m",Versuchsdaten!$E$2:$E$1117,$E293,Versuchsdaten!$J$2:$J$1117,1)=1,SUMIFS(Versuchsdaten!$F$2:$F$1117,Versuchsdaten!$A$2:$A$1117,$A293,Versuchsdaten!$B$2:$B$1117,$B293,Versuchsdaten!$C$2:$C$1117,"Sprint_30m",Versuchsdaten!$E$2:$E$1117,$E293,Versuchsdaten!$J$2:$J$1117,1),""))</f>
        <v/>
      </c>
      <c r="N293" s="22">
        <f>IF(LEFT(C293,7)&lt;&gt;"Sprint_",0,IF(IF(ISNUMBER(K293),IF(K293&lt;=0,1,IF(5/K293&gt;10,1,0)),0)+IF(ISNUMBER(L293),IF(ISNUMBER(K293),IF(L293-K293&lt;=0,1,IF(5/(L293-K293)&gt;10,1,0)),IF(L293&lt;=0,1,IF(10/L293&gt;10,1,0))),0)+IF(ISNUMBER(M293),IF(ISNUMBER(L293),IF(M293-L293&lt;=0,1,IF(20/(M293-L293)&gt;10,1,0)),IF(ISNUMBER(K293),IF(M293-K293&lt;=0,1,IF(25/(M293-K293)&gt;10,1,0)),IF(M293&lt;=0,1,IF(30/M293&gt;10,1,0)))),0)&gt;0,1,0))</f>
        <v/>
      </c>
      <c r="O293" s="22">
        <f>IF(AND(J293=1,N293=0),1,0)</f>
        <v/>
      </c>
      <c r="P293" s="22">
        <f>INDEX(Personendaten!$J$2:$J$32,MATCH(A293,Personendaten!$A$2:$A$32,0))</f>
        <v/>
      </c>
      <c r="Q293" s="22">
        <f>IF(O293=1,"",IF(AND(B293="post",P293="nicht angetreten"),"NANG",IF(N293=1,"AUSL",IFERROR(VLOOKUP(H293,Vokabular!$A$2:$B$8,2,FALSE),"UNBEKANNT"))))</f>
        <v/>
      </c>
    </row>
    <row r="294">
      <c r="A294" s="5" t="inlineStr">
        <is>
          <t>HL-07</t>
        </is>
      </c>
      <c r="B294" s="5" t="inlineStr">
        <is>
          <t>prä</t>
        </is>
      </c>
      <c r="C294" s="5" t="inlineStr">
        <is>
          <t>Sprint_10m</t>
        </is>
      </c>
      <c r="D294" s="5" t="inlineStr">
        <is>
          <t>–</t>
        </is>
      </c>
      <c r="E294" s="5" t="n">
        <v>2</v>
      </c>
      <c r="F294" s="5" t="n">
        <v>1.84</v>
      </c>
      <c r="G294" s="5" t="n"/>
      <c r="H294" s="5" t="n"/>
      <c r="I294" s="22">
        <f>INDEX(Personendaten!$C$2:$C$32,MATCH(A294,Personendaten!$A$2:$A$32,0))</f>
        <v/>
      </c>
      <c r="J294" s="22">
        <f>IF(AND(F294&lt;&gt;"",G294=""),1,0)</f>
        <v/>
      </c>
      <c r="K294" s="22">
        <f>IF(LEFT(C294,7)&lt;&gt;"Sprint_","",IF(COUNTIFS(Versuchsdaten!$A$2:$A$1117,$A294,Versuchsdaten!$B$2:$B$1117,$B294,Versuchsdaten!$C$2:$C$1117,"Sprint_5m",Versuchsdaten!$E$2:$E$1117,$E294,Versuchsdaten!$J$2:$J$1117,1)=1,SUMIFS(Versuchsdaten!$F$2:$F$1117,Versuchsdaten!$A$2:$A$1117,$A294,Versuchsdaten!$B$2:$B$1117,$B294,Versuchsdaten!$C$2:$C$1117,"Sprint_5m",Versuchsdaten!$E$2:$E$1117,$E294,Versuchsdaten!$J$2:$J$1117,1),""))</f>
        <v/>
      </c>
      <c r="L294" s="22">
        <f>IF(LEFT(C294,7)&lt;&gt;"Sprint_","",IF(COUNTIFS(Versuchsdaten!$A$2:$A$1117,$A294,Versuchsdaten!$B$2:$B$1117,$B294,Versuchsdaten!$C$2:$C$1117,"Sprint_10m",Versuchsdaten!$E$2:$E$1117,$E294,Versuchsdaten!$J$2:$J$1117,1)=1,SUMIFS(Versuchsdaten!$F$2:$F$1117,Versuchsdaten!$A$2:$A$1117,$A294,Versuchsdaten!$B$2:$B$1117,$B294,Versuchsdaten!$C$2:$C$1117,"Sprint_10m",Versuchsdaten!$E$2:$E$1117,$E294,Versuchsdaten!$J$2:$J$1117,1),""))</f>
        <v/>
      </c>
      <c r="M294" s="22">
        <f>IF(LEFT(C294,7)&lt;&gt;"Sprint_","",IF(COUNTIFS(Versuchsdaten!$A$2:$A$1117,$A294,Versuchsdaten!$B$2:$B$1117,$B294,Versuchsdaten!$C$2:$C$1117,"Sprint_30m",Versuchsdaten!$E$2:$E$1117,$E294,Versuchsdaten!$J$2:$J$1117,1)=1,SUMIFS(Versuchsdaten!$F$2:$F$1117,Versuchsdaten!$A$2:$A$1117,$A294,Versuchsdaten!$B$2:$B$1117,$B294,Versuchsdaten!$C$2:$C$1117,"Sprint_30m",Versuchsdaten!$E$2:$E$1117,$E294,Versuchsdaten!$J$2:$J$1117,1),""))</f>
        <v/>
      </c>
      <c r="N294" s="22">
        <f>IF(LEFT(C294,7)&lt;&gt;"Sprint_",0,IF(IF(ISNUMBER(K294),IF(K294&lt;=0,1,IF(5/K294&gt;10,1,0)),0)+IF(ISNUMBER(L294),IF(ISNUMBER(K294),IF(L294-K294&lt;=0,1,IF(5/(L294-K294)&gt;10,1,0)),IF(L294&lt;=0,1,IF(10/L294&gt;10,1,0))),0)+IF(ISNUMBER(M294),IF(ISNUMBER(L294),IF(M294-L294&lt;=0,1,IF(20/(M294-L294)&gt;10,1,0)),IF(ISNUMBER(K294),IF(M294-K294&lt;=0,1,IF(25/(M294-K294)&gt;10,1,0)),IF(M294&lt;=0,1,IF(30/M294&gt;10,1,0)))),0)&gt;0,1,0))</f>
        <v/>
      </c>
      <c r="O294" s="22">
        <f>IF(AND(J294=1,N294=0),1,0)</f>
        <v/>
      </c>
      <c r="P294" s="22">
        <f>INDEX(Personendaten!$J$2:$J$32,MATCH(A294,Personendaten!$A$2:$A$32,0))</f>
        <v/>
      </c>
      <c r="Q294" s="22">
        <f>IF(O294=1,"",IF(AND(B294="post",P294="nicht angetreten"),"NANG",IF(N294=1,"AUSL",IFERROR(VLOOKUP(H294,Vokabular!$A$2:$B$8,2,FALSE),"UNBEKANNT"))))</f>
        <v/>
      </c>
    </row>
    <row r="295">
      <c r="A295" s="5" t="inlineStr">
        <is>
          <t>HL-07</t>
        </is>
      </c>
      <c r="B295" s="5" t="inlineStr">
        <is>
          <t>prä</t>
        </is>
      </c>
      <c r="C295" s="5" t="inlineStr">
        <is>
          <t>Sprint_10m</t>
        </is>
      </c>
      <c r="D295" s="5" t="inlineStr">
        <is>
          <t>–</t>
        </is>
      </c>
      <c r="E295" s="5" t="n">
        <v>3</v>
      </c>
      <c r="F295" s="5" t="n">
        <v>1.86</v>
      </c>
      <c r="G295" s="5" t="n"/>
      <c r="H295" s="5" t="n"/>
      <c r="I295" s="22">
        <f>INDEX(Personendaten!$C$2:$C$32,MATCH(A295,Personendaten!$A$2:$A$32,0))</f>
        <v/>
      </c>
      <c r="J295" s="22">
        <f>IF(AND(F295&lt;&gt;"",G295=""),1,0)</f>
        <v/>
      </c>
      <c r="K295" s="22">
        <f>IF(LEFT(C295,7)&lt;&gt;"Sprint_","",IF(COUNTIFS(Versuchsdaten!$A$2:$A$1117,$A295,Versuchsdaten!$B$2:$B$1117,$B295,Versuchsdaten!$C$2:$C$1117,"Sprint_5m",Versuchsdaten!$E$2:$E$1117,$E295,Versuchsdaten!$J$2:$J$1117,1)=1,SUMIFS(Versuchsdaten!$F$2:$F$1117,Versuchsdaten!$A$2:$A$1117,$A295,Versuchsdaten!$B$2:$B$1117,$B295,Versuchsdaten!$C$2:$C$1117,"Sprint_5m",Versuchsdaten!$E$2:$E$1117,$E295,Versuchsdaten!$J$2:$J$1117,1),""))</f>
        <v/>
      </c>
      <c r="L295" s="22">
        <f>IF(LEFT(C295,7)&lt;&gt;"Sprint_","",IF(COUNTIFS(Versuchsdaten!$A$2:$A$1117,$A295,Versuchsdaten!$B$2:$B$1117,$B295,Versuchsdaten!$C$2:$C$1117,"Sprint_10m",Versuchsdaten!$E$2:$E$1117,$E295,Versuchsdaten!$J$2:$J$1117,1)=1,SUMIFS(Versuchsdaten!$F$2:$F$1117,Versuchsdaten!$A$2:$A$1117,$A295,Versuchsdaten!$B$2:$B$1117,$B295,Versuchsdaten!$C$2:$C$1117,"Sprint_10m",Versuchsdaten!$E$2:$E$1117,$E295,Versuchsdaten!$J$2:$J$1117,1),""))</f>
        <v/>
      </c>
      <c r="M295" s="22">
        <f>IF(LEFT(C295,7)&lt;&gt;"Sprint_","",IF(COUNTIFS(Versuchsdaten!$A$2:$A$1117,$A295,Versuchsdaten!$B$2:$B$1117,$B295,Versuchsdaten!$C$2:$C$1117,"Sprint_30m",Versuchsdaten!$E$2:$E$1117,$E295,Versuchsdaten!$J$2:$J$1117,1)=1,SUMIFS(Versuchsdaten!$F$2:$F$1117,Versuchsdaten!$A$2:$A$1117,$A295,Versuchsdaten!$B$2:$B$1117,$B295,Versuchsdaten!$C$2:$C$1117,"Sprint_30m",Versuchsdaten!$E$2:$E$1117,$E295,Versuchsdaten!$J$2:$J$1117,1),""))</f>
        <v/>
      </c>
      <c r="N295" s="22">
        <f>IF(LEFT(C295,7)&lt;&gt;"Sprint_",0,IF(IF(ISNUMBER(K295),IF(K295&lt;=0,1,IF(5/K295&gt;10,1,0)),0)+IF(ISNUMBER(L295),IF(ISNUMBER(K295),IF(L295-K295&lt;=0,1,IF(5/(L295-K295)&gt;10,1,0)),IF(L295&lt;=0,1,IF(10/L295&gt;10,1,0))),0)+IF(ISNUMBER(M295),IF(ISNUMBER(L295),IF(M295-L295&lt;=0,1,IF(20/(M295-L295)&gt;10,1,0)),IF(ISNUMBER(K295),IF(M295-K295&lt;=0,1,IF(25/(M295-K295)&gt;10,1,0)),IF(M295&lt;=0,1,IF(30/M295&gt;10,1,0)))),0)&gt;0,1,0))</f>
        <v/>
      </c>
      <c r="O295" s="22">
        <f>IF(AND(J295=1,N295=0),1,0)</f>
        <v/>
      </c>
      <c r="P295" s="22">
        <f>INDEX(Personendaten!$J$2:$J$32,MATCH(A295,Personendaten!$A$2:$A$32,0))</f>
        <v/>
      </c>
      <c r="Q295" s="22">
        <f>IF(O295=1,"",IF(AND(B295="post",P295="nicht angetreten"),"NANG",IF(N295=1,"AUSL",IFERROR(VLOOKUP(H295,Vokabular!$A$2:$B$8,2,FALSE),"UNBEKANNT"))))</f>
        <v/>
      </c>
    </row>
    <row r="296">
      <c r="A296" s="5" t="inlineStr">
        <is>
          <t>HL-07</t>
        </is>
      </c>
      <c r="B296" s="5" t="inlineStr">
        <is>
          <t>prä</t>
        </is>
      </c>
      <c r="C296" s="5" t="inlineStr">
        <is>
          <t>Sprint_30m</t>
        </is>
      </c>
      <c r="D296" s="5" t="inlineStr">
        <is>
          <t>–</t>
        </is>
      </c>
      <c r="E296" s="5" t="n">
        <v>1</v>
      </c>
      <c r="F296" s="5" t="n">
        <v>4.48</v>
      </c>
      <c r="G296" s="5" t="n"/>
      <c r="H296" s="5" t="n"/>
      <c r="I296" s="22">
        <f>INDEX(Personendaten!$C$2:$C$32,MATCH(A296,Personendaten!$A$2:$A$32,0))</f>
        <v/>
      </c>
      <c r="J296" s="22">
        <f>IF(AND(F296&lt;&gt;"",G296=""),1,0)</f>
        <v/>
      </c>
      <c r="K296" s="22">
        <f>IF(LEFT(C296,7)&lt;&gt;"Sprint_","",IF(COUNTIFS(Versuchsdaten!$A$2:$A$1117,$A296,Versuchsdaten!$B$2:$B$1117,$B296,Versuchsdaten!$C$2:$C$1117,"Sprint_5m",Versuchsdaten!$E$2:$E$1117,$E296,Versuchsdaten!$J$2:$J$1117,1)=1,SUMIFS(Versuchsdaten!$F$2:$F$1117,Versuchsdaten!$A$2:$A$1117,$A296,Versuchsdaten!$B$2:$B$1117,$B296,Versuchsdaten!$C$2:$C$1117,"Sprint_5m",Versuchsdaten!$E$2:$E$1117,$E296,Versuchsdaten!$J$2:$J$1117,1),""))</f>
        <v/>
      </c>
      <c r="L296" s="22">
        <f>IF(LEFT(C296,7)&lt;&gt;"Sprint_","",IF(COUNTIFS(Versuchsdaten!$A$2:$A$1117,$A296,Versuchsdaten!$B$2:$B$1117,$B296,Versuchsdaten!$C$2:$C$1117,"Sprint_10m",Versuchsdaten!$E$2:$E$1117,$E296,Versuchsdaten!$J$2:$J$1117,1)=1,SUMIFS(Versuchsdaten!$F$2:$F$1117,Versuchsdaten!$A$2:$A$1117,$A296,Versuchsdaten!$B$2:$B$1117,$B296,Versuchsdaten!$C$2:$C$1117,"Sprint_10m",Versuchsdaten!$E$2:$E$1117,$E296,Versuchsdaten!$J$2:$J$1117,1),""))</f>
        <v/>
      </c>
      <c r="M296" s="22">
        <f>IF(LEFT(C296,7)&lt;&gt;"Sprint_","",IF(COUNTIFS(Versuchsdaten!$A$2:$A$1117,$A296,Versuchsdaten!$B$2:$B$1117,$B296,Versuchsdaten!$C$2:$C$1117,"Sprint_30m",Versuchsdaten!$E$2:$E$1117,$E296,Versuchsdaten!$J$2:$J$1117,1)=1,SUMIFS(Versuchsdaten!$F$2:$F$1117,Versuchsdaten!$A$2:$A$1117,$A296,Versuchsdaten!$B$2:$B$1117,$B296,Versuchsdaten!$C$2:$C$1117,"Sprint_30m",Versuchsdaten!$E$2:$E$1117,$E296,Versuchsdaten!$J$2:$J$1117,1),""))</f>
        <v/>
      </c>
      <c r="N296" s="22">
        <f>IF(LEFT(C296,7)&lt;&gt;"Sprint_",0,IF(IF(ISNUMBER(K296),IF(K296&lt;=0,1,IF(5/K296&gt;10,1,0)),0)+IF(ISNUMBER(L296),IF(ISNUMBER(K296),IF(L296-K296&lt;=0,1,IF(5/(L296-K296)&gt;10,1,0)),IF(L296&lt;=0,1,IF(10/L296&gt;10,1,0))),0)+IF(ISNUMBER(M296),IF(ISNUMBER(L296),IF(M296-L296&lt;=0,1,IF(20/(M296-L296)&gt;10,1,0)),IF(ISNUMBER(K296),IF(M296-K296&lt;=0,1,IF(25/(M296-K296)&gt;10,1,0)),IF(M296&lt;=0,1,IF(30/M296&gt;10,1,0)))),0)&gt;0,1,0))</f>
        <v/>
      </c>
      <c r="O296" s="22">
        <f>IF(AND(J296=1,N296=0),1,0)</f>
        <v/>
      </c>
      <c r="P296" s="22">
        <f>INDEX(Personendaten!$J$2:$J$32,MATCH(A296,Personendaten!$A$2:$A$32,0))</f>
        <v/>
      </c>
      <c r="Q296" s="22">
        <f>IF(O296=1,"",IF(AND(B296="post",P296="nicht angetreten"),"NANG",IF(N296=1,"AUSL",IFERROR(VLOOKUP(H296,Vokabular!$A$2:$B$8,2,FALSE),"UNBEKANNT"))))</f>
        <v/>
      </c>
    </row>
    <row r="297">
      <c r="A297" s="5" t="inlineStr">
        <is>
          <t>HL-07</t>
        </is>
      </c>
      <c r="B297" s="5" t="inlineStr">
        <is>
          <t>prä</t>
        </is>
      </c>
      <c r="C297" s="5" t="inlineStr">
        <is>
          <t>Sprint_30m</t>
        </is>
      </c>
      <c r="D297" s="5" t="inlineStr">
        <is>
          <t>–</t>
        </is>
      </c>
      <c r="E297" s="5" t="n">
        <v>2</v>
      </c>
      <c r="F297" s="5" t="n">
        <v>4.51</v>
      </c>
      <c r="G297" s="5" t="n"/>
      <c r="H297" s="5" t="n"/>
      <c r="I297" s="22">
        <f>INDEX(Personendaten!$C$2:$C$32,MATCH(A297,Personendaten!$A$2:$A$32,0))</f>
        <v/>
      </c>
      <c r="J297" s="22">
        <f>IF(AND(F297&lt;&gt;"",G297=""),1,0)</f>
        <v/>
      </c>
      <c r="K297" s="22">
        <f>IF(LEFT(C297,7)&lt;&gt;"Sprint_","",IF(COUNTIFS(Versuchsdaten!$A$2:$A$1117,$A297,Versuchsdaten!$B$2:$B$1117,$B297,Versuchsdaten!$C$2:$C$1117,"Sprint_5m",Versuchsdaten!$E$2:$E$1117,$E297,Versuchsdaten!$J$2:$J$1117,1)=1,SUMIFS(Versuchsdaten!$F$2:$F$1117,Versuchsdaten!$A$2:$A$1117,$A297,Versuchsdaten!$B$2:$B$1117,$B297,Versuchsdaten!$C$2:$C$1117,"Sprint_5m",Versuchsdaten!$E$2:$E$1117,$E297,Versuchsdaten!$J$2:$J$1117,1),""))</f>
        <v/>
      </c>
      <c r="L297" s="22">
        <f>IF(LEFT(C297,7)&lt;&gt;"Sprint_","",IF(COUNTIFS(Versuchsdaten!$A$2:$A$1117,$A297,Versuchsdaten!$B$2:$B$1117,$B297,Versuchsdaten!$C$2:$C$1117,"Sprint_10m",Versuchsdaten!$E$2:$E$1117,$E297,Versuchsdaten!$J$2:$J$1117,1)=1,SUMIFS(Versuchsdaten!$F$2:$F$1117,Versuchsdaten!$A$2:$A$1117,$A297,Versuchsdaten!$B$2:$B$1117,$B297,Versuchsdaten!$C$2:$C$1117,"Sprint_10m",Versuchsdaten!$E$2:$E$1117,$E297,Versuchsdaten!$J$2:$J$1117,1),""))</f>
        <v/>
      </c>
      <c r="M297" s="22">
        <f>IF(LEFT(C297,7)&lt;&gt;"Sprint_","",IF(COUNTIFS(Versuchsdaten!$A$2:$A$1117,$A297,Versuchsdaten!$B$2:$B$1117,$B297,Versuchsdaten!$C$2:$C$1117,"Sprint_30m",Versuchsdaten!$E$2:$E$1117,$E297,Versuchsdaten!$J$2:$J$1117,1)=1,SUMIFS(Versuchsdaten!$F$2:$F$1117,Versuchsdaten!$A$2:$A$1117,$A297,Versuchsdaten!$B$2:$B$1117,$B297,Versuchsdaten!$C$2:$C$1117,"Sprint_30m",Versuchsdaten!$E$2:$E$1117,$E297,Versuchsdaten!$J$2:$J$1117,1),""))</f>
        <v/>
      </c>
      <c r="N297" s="22">
        <f>IF(LEFT(C297,7)&lt;&gt;"Sprint_",0,IF(IF(ISNUMBER(K297),IF(K297&lt;=0,1,IF(5/K297&gt;10,1,0)),0)+IF(ISNUMBER(L297),IF(ISNUMBER(K297),IF(L297-K297&lt;=0,1,IF(5/(L297-K297)&gt;10,1,0)),IF(L297&lt;=0,1,IF(10/L297&gt;10,1,0))),0)+IF(ISNUMBER(M297),IF(ISNUMBER(L297),IF(M297-L297&lt;=0,1,IF(20/(M297-L297)&gt;10,1,0)),IF(ISNUMBER(K297),IF(M297-K297&lt;=0,1,IF(25/(M297-K297)&gt;10,1,0)),IF(M297&lt;=0,1,IF(30/M297&gt;10,1,0)))),0)&gt;0,1,0))</f>
        <v/>
      </c>
      <c r="O297" s="22">
        <f>IF(AND(J297=1,N297=0),1,0)</f>
        <v/>
      </c>
      <c r="P297" s="22">
        <f>INDEX(Personendaten!$J$2:$J$32,MATCH(A297,Personendaten!$A$2:$A$32,0))</f>
        <v/>
      </c>
      <c r="Q297" s="22">
        <f>IF(O297=1,"",IF(AND(B297="post",P297="nicht angetreten"),"NANG",IF(N297=1,"AUSL",IFERROR(VLOOKUP(H297,Vokabular!$A$2:$B$8,2,FALSE),"UNBEKANNT"))))</f>
        <v/>
      </c>
    </row>
    <row r="298">
      <c r="A298" s="5" t="inlineStr">
        <is>
          <t>HL-07</t>
        </is>
      </c>
      <c r="B298" s="5" t="inlineStr">
        <is>
          <t>prä</t>
        </is>
      </c>
      <c r="C298" s="5" t="inlineStr">
        <is>
          <t>Sprint_30m</t>
        </is>
      </c>
      <c r="D298" s="5" t="inlineStr">
        <is>
          <t>–</t>
        </is>
      </c>
      <c r="E298" s="5" t="n">
        <v>3</v>
      </c>
      <c r="F298" s="5" t="n"/>
      <c r="G298" s="5" t="n"/>
      <c r="H298" s="5" t="inlineStr">
        <is>
          <t>System nicht aufgenommen</t>
        </is>
      </c>
      <c r="I298" s="22">
        <f>INDEX(Personendaten!$C$2:$C$32,MATCH(A298,Personendaten!$A$2:$A$32,0))</f>
        <v/>
      </c>
      <c r="J298" s="22">
        <f>IF(AND(F298&lt;&gt;"",G298=""),1,0)</f>
        <v/>
      </c>
      <c r="K298" s="22">
        <f>IF(LEFT(C298,7)&lt;&gt;"Sprint_","",IF(COUNTIFS(Versuchsdaten!$A$2:$A$1117,$A298,Versuchsdaten!$B$2:$B$1117,$B298,Versuchsdaten!$C$2:$C$1117,"Sprint_5m",Versuchsdaten!$E$2:$E$1117,$E298,Versuchsdaten!$J$2:$J$1117,1)=1,SUMIFS(Versuchsdaten!$F$2:$F$1117,Versuchsdaten!$A$2:$A$1117,$A298,Versuchsdaten!$B$2:$B$1117,$B298,Versuchsdaten!$C$2:$C$1117,"Sprint_5m",Versuchsdaten!$E$2:$E$1117,$E298,Versuchsdaten!$J$2:$J$1117,1),""))</f>
        <v/>
      </c>
      <c r="L298" s="22">
        <f>IF(LEFT(C298,7)&lt;&gt;"Sprint_","",IF(COUNTIFS(Versuchsdaten!$A$2:$A$1117,$A298,Versuchsdaten!$B$2:$B$1117,$B298,Versuchsdaten!$C$2:$C$1117,"Sprint_10m",Versuchsdaten!$E$2:$E$1117,$E298,Versuchsdaten!$J$2:$J$1117,1)=1,SUMIFS(Versuchsdaten!$F$2:$F$1117,Versuchsdaten!$A$2:$A$1117,$A298,Versuchsdaten!$B$2:$B$1117,$B298,Versuchsdaten!$C$2:$C$1117,"Sprint_10m",Versuchsdaten!$E$2:$E$1117,$E298,Versuchsdaten!$J$2:$J$1117,1),""))</f>
        <v/>
      </c>
      <c r="M298" s="22">
        <f>IF(LEFT(C298,7)&lt;&gt;"Sprint_","",IF(COUNTIFS(Versuchsdaten!$A$2:$A$1117,$A298,Versuchsdaten!$B$2:$B$1117,$B298,Versuchsdaten!$C$2:$C$1117,"Sprint_30m",Versuchsdaten!$E$2:$E$1117,$E298,Versuchsdaten!$J$2:$J$1117,1)=1,SUMIFS(Versuchsdaten!$F$2:$F$1117,Versuchsdaten!$A$2:$A$1117,$A298,Versuchsdaten!$B$2:$B$1117,$B298,Versuchsdaten!$C$2:$C$1117,"Sprint_30m",Versuchsdaten!$E$2:$E$1117,$E298,Versuchsdaten!$J$2:$J$1117,1),""))</f>
        <v/>
      </c>
      <c r="N298" s="22">
        <f>IF(LEFT(C298,7)&lt;&gt;"Sprint_",0,IF(IF(ISNUMBER(K298),IF(K298&lt;=0,1,IF(5/K298&gt;10,1,0)),0)+IF(ISNUMBER(L298),IF(ISNUMBER(K298),IF(L298-K298&lt;=0,1,IF(5/(L298-K298)&gt;10,1,0)),IF(L298&lt;=0,1,IF(10/L298&gt;10,1,0))),0)+IF(ISNUMBER(M298),IF(ISNUMBER(L298),IF(M298-L298&lt;=0,1,IF(20/(M298-L298)&gt;10,1,0)),IF(ISNUMBER(K298),IF(M298-K298&lt;=0,1,IF(25/(M298-K298)&gt;10,1,0)),IF(M298&lt;=0,1,IF(30/M298&gt;10,1,0)))),0)&gt;0,1,0))</f>
        <v/>
      </c>
      <c r="O298" s="22">
        <f>IF(AND(J298=1,N298=0),1,0)</f>
        <v/>
      </c>
      <c r="P298" s="22">
        <f>INDEX(Personendaten!$J$2:$J$32,MATCH(A298,Personendaten!$A$2:$A$32,0))</f>
        <v/>
      </c>
      <c r="Q298" s="22">
        <f>IF(O298=1,"",IF(AND(B298="post",P298="nicht angetreten"),"NANG",IF(N298=1,"AUSL",IFERROR(VLOOKUP(H298,Vokabular!$A$2:$B$8,2,FALSE),"UNBEKANNT"))))</f>
        <v/>
      </c>
    </row>
    <row r="299">
      <c r="A299" s="5" t="inlineStr">
        <is>
          <t>HL-07</t>
        </is>
      </c>
      <c r="B299" s="5" t="inlineStr">
        <is>
          <t>prä</t>
        </is>
      </c>
      <c r="C299" s="5" t="inlineStr">
        <is>
          <t>Standweitsprung</t>
        </is>
      </c>
      <c r="D299" s="5" t="inlineStr">
        <is>
          <t>–</t>
        </is>
      </c>
      <c r="E299" s="5" t="n">
        <v>1</v>
      </c>
      <c r="F299" s="5" t="n">
        <v>252</v>
      </c>
      <c r="G299" s="5" t="n"/>
      <c r="H299" s="5" t="n"/>
      <c r="I299" s="22">
        <f>INDEX(Personendaten!$C$2:$C$32,MATCH(A299,Personendaten!$A$2:$A$32,0))</f>
        <v/>
      </c>
      <c r="J299" s="22">
        <f>IF(AND(F299&lt;&gt;"",G299=""),1,0)</f>
        <v/>
      </c>
      <c r="K299" s="22">
        <f>IF(LEFT(C299,7)&lt;&gt;"Sprint_","",IF(COUNTIFS(Versuchsdaten!$A$2:$A$1117,$A299,Versuchsdaten!$B$2:$B$1117,$B299,Versuchsdaten!$C$2:$C$1117,"Sprint_5m",Versuchsdaten!$E$2:$E$1117,$E299,Versuchsdaten!$J$2:$J$1117,1)=1,SUMIFS(Versuchsdaten!$F$2:$F$1117,Versuchsdaten!$A$2:$A$1117,$A299,Versuchsdaten!$B$2:$B$1117,$B299,Versuchsdaten!$C$2:$C$1117,"Sprint_5m",Versuchsdaten!$E$2:$E$1117,$E299,Versuchsdaten!$J$2:$J$1117,1),""))</f>
        <v/>
      </c>
      <c r="L299" s="22">
        <f>IF(LEFT(C299,7)&lt;&gt;"Sprint_","",IF(COUNTIFS(Versuchsdaten!$A$2:$A$1117,$A299,Versuchsdaten!$B$2:$B$1117,$B299,Versuchsdaten!$C$2:$C$1117,"Sprint_10m",Versuchsdaten!$E$2:$E$1117,$E299,Versuchsdaten!$J$2:$J$1117,1)=1,SUMIFS(Versuchsdaten!$F$2:$F$1117,Versuchsdaten!$A$2:$A$1117,$A299,Versuchsdaten!$B$2:$B$1117,$B299,Versuchsdaten!$C$2:$C$1117,"Sprint_10m",Versuchsdaten!$E$2:$E$1117,$E299,Versuchsdaten!$J$2:$J$1117,1),""))</f>
        <v/>
      </c>
      <c r="M299" s="22">
        <f>IF(LEFT(C299,7)&lt;&gt;"Sprint_","",IF(COUNTIFS(Versuchsdaten!$A$2:$A$1117,$A299,Versuchsdaten!$B$2:$B$1117,$B299,Versuchsdaten!$C$2:$C$1117,"Sprint_30m",Versuchsdaten!$E$2:$E$1117,$E299,Versuchsdaten!$J$2:$J$1117,1)=1,SUMIFS(Versuchsdaten!$F$2:$F$1117,Versuchsdaten!$A$2:$A$1117,$A299,Versuchsdaten!$B$2:$B$1117,$B299,Versuchsdaten!$C$2:$C$1117,"Sprint_30m",Versuchsdaten!$E$2:$E$1117,$E299,Versuchsdaten!$J$2:$J$1117,1),""))</f>
        <v/>
      </c>
      <c r="N299" s="22">
        <f>IF(LEFT(C299,7)&lt;&gt;"Sprint_",0,IF(IF(ISNUMBER(K299),IF(K299&lt;=0,1,IF(5/K299&gt;10,1,0)),0)+IF(ISNUMBER(L299),IF(ISNUMBER(K299),IF(L299-K299&lt;=0,1,IF(5/(L299-K299)&gt;10,1,0)),IF(L299&lt;=0,1,IF(10/L299&gt;10,1,0))),0)+IF(ISNUMBER(M299),IF(ISNUMBER(L299),IF(M299-L299&lt;=0,1,IF(20/(M299-L299)&gt;10,1,0)),IF(ISNUMBER(K299),IF(M299-K299&lt;=0,1,IF(25/(M299-K299)&gt;10,1,0)),IF(M299&lt;=0,1,IF(30/M299&gt;10,1,0)))),0)&gt;0,1,0))</f>
        <v/>
      </c>
      <c r="O299" s="22">
        <f>IF(AND(J299=1,N299=0),1,0)</f>
        <v/>
      </c>
      <c r="P299" s="22">
        <f>INDEX(Personendaten!$J$2:$J$32,MATCH(A299,Personendaten!$A$2:$A$32,0))</f>
        <v/>
      </c>
      <c r="Q299" s="22">
        <f>IF(O299=1,"",IF(AND(B299="post",P299="nicht angetreten"),"NANG",IF(N299=1,"AUSL",IFERROR(VLOOKUP(H299,Vokabular!$A$2:$B$8,2,FALSE),"UNBEKANNT"))))</f>
        <v/>
      </c>
    </row>
    <row r="300">
      <c r="A300" s="5" t="inlineStr">
        <is>
          <t>HL-07</t>
        </is>
      </c>
      <c r="B300" s="5" t="inlineStr">
        <is>
          <t>prä</t>
        </is>
      </c>
      <c r="C300" s="5" t="inlineStr">
        <is>
          <t>Standweitsprung</t>
        </is>
      </c>
      <c r="D300" s="5" t="inlineStr">
        <is>
          <t>–</t>
        </is>
      </c>
      <c r="E300" s="5" t="n">
        <v>2</v>
      </c>
      <c r="F300" s="5" t="n">
        <v>255</v>
      </c>
      <c r="G300" s="5" t="n"/>
      <c r="H300" s="5" t="n"/>
      <c r="I300" s="22">
        <f>INDEX(Personendaten!$C$2:$C$32,MATCH(A300,Personendaten!$A$2:$A$32,0))</f>
        <v/>
      </c>
      <c r="J300" s="22">
        <f>IF(AND(F300&lt;&gt;"",G300=""),1,0)</f>
        <v/>
      </c>
      <c r="K300" s="22">
        <f>IF(LEFT(C300,7)&lt;&gt;"Sprint_","",IF(COUNTIFS(Versuchsdaten!$A$2:$A$1117,$A300,Versuchsdaten!$B$2:$B$1117,$B300,Versuchsdaten!$C$2:$C$1117,"Sprint_5m",Versuchsdaten!$E$2:$E$1117,$E300,Versuchsdaten!$J$2:$J$1117,1)=1,SUMIFS(Versuchsdaten!$F$2:$F$1117,Versuchsdaten!$A$2:$A$1117,$A300,Versuchsdaten!$B$2:$B$1117,$B300,Versuchsdaten!$C$2:$C$1117,"Sprint_5m",Versuchsdaten!$E$2:$E$1117,$E300,Versuchsdaten!$J$2:$J$1117,1),""))</f>
        <v/>
      </c>
      <c r="L300" s="22">
        <f>IF(LEFT(C300,7)&lt;&gt;"Sprint_","",IF(COUNTIFS(Versuchsdaten!$A$2:$A$1117,$A300,Versuchsdaten!$B$2:$B$1117,$B300,Versuchsdaten!$C$2:$C$1117,"Sprint_10m",Versuchsdaten!$E$2:$E$1117,$E300,Versuchsdaten!$J$2:$J$1117,1)=1,SUMIFS(Versuchsdaten!$F$2:$F$1117,Versuchsdaten!$A$2:$A$1117,$A300,Versuchsdaten!$B$2:$B$1117,$B300,Versuchsdaten!$C$2:$C$1117,"Sprint_10m",Versuchsdaten!$E$2:$E$1117,$E300,Versuchsdaten!$J$2:$J$1117,1),""))</f>
        <v/>
      </c>
      <c r="M300" s="22">
        <f>IF(LEFT(C300,7)&lt;&gt;"Sprint_","",IF(COUNTIFS(Versuchsdaten!$A$2:$A$1117,$A300,Versuchsdaten!$B$2:$B$1117,$B300,Versuchsdaten!$C$2:$C$1117,"Sprint_30m",Versuchsdaten!$E$2:$E$1117,$E300,Versuchsdaten!$J$2:$J$1117,1)=1,SUMIFS(Versuchsdaten!$F$2:$F$1117,Versuchsdaten!$A$2:$A$1117,$A300,Versuchsdaten!$B$2:$B$1117,$B300,Versuchsdaten!$C$2:$C$1117,"Sprint_30m",Versuchsdaten!$E$2:$E$1117,$E300,Versuchsdaten!$J$2:$J$1117,1),""))</f>
        <v/>
      </c>
      <c r="N300" s="22">
        <f>IF(LEFT(C300,7)&lt;&gt;"Sprint_",0,IF(IF(ISNUMBER(K300),IF(K300&lt;=0,1,IF(5/K300&gt;10,1,0)),0)+IF(ISNUMBER(L300),IF(ISNUMBER(K300),IF(L300-K300&lt;=0,1,IF(5/(L300-K300)&gt;10,1,0)),IF(L300&lt;=0,1,IF(10/L300&gt;10,1,0))),0)+IF(ISNUMBER(M300),IF(ISNUMBER(L300),IF(M300-L300&lt;=0,1,IF(20/(M300-L300)&gt;10,1,0)),IF(ISNUMBER(K300),IF(M300-K300&lt;=0,1,IF(25/(M300-K300)&gt;10,1,0)),IF(M300&lt;=0,1,IF(30/M300&gt;10,1,0)))),0)&gt;0,1,0))</f>
        <v/>
      </c>
      <c r="O300" s="22">
        <f>IF(AND(J300=1,N300=0),1,0)</f>
        <v/>
      </c>
      <c r="P300" s="22">
        <f>INDEX(Personendaten!$J$2:$J$32,MATCH(A300,Personendaten!$A$2:$A$32,0))</f>
        <v/>
      </c>
      <c r="Q300" s="22">
        <f>IF(O300=1,"",IF(AND(B300="post",P300="nicht angetreten"),"NANG",IF(N300=1,"AUSL",IFERROR(VLOOKUP(H300,Vokabular!$A$2:$B$8,2,FALSE),"UNBEKANNT"))))</f>
        <v/>
      </c>
    </row>
    <row r="301">
      <c r="A301" s="5" t="inlineStr">
        <is>
          <t>HL-07</t>
        </is>
      </c>
      <c r="B301" s="5" t="inlineStr">
        <is>
          <t>prä</t>
        </is>
      </c>
      <c r="C301" s="5" t="inlineStr">
        <is>
          <t>Standweitsprung</t>
        </is>
      </c>
      <c r="D301" s="5" t="inlineStr">
        <is>
          <t>–</t>
        </is>
      </c>
      <c r="E301" s="5" t="n">
        <v>3</v>
      </c>
      <c r="F301" s="5" t="n">
        <v>243</v>
      </c>
      <c r="G301" s="5" t="n"/>
      <c r="H301" s="5" t="n"/>
      <c r="I301" s="22">
        <f>INDEX(Personendaten!$C$2:$C$32,MATCH(A301,Personendaten!$A$2:$A$32,0))</f>
        <v/>
      </c>
      <c r="J301" s="22">
        <f>IF(AND(F301&lt;&gt;"",G301=""),1,0)</f>
        <v/>
      </c>
      <c r="K301" s="22">
        <f>IF(LEFT(C301,7)&lt;&gt;"Sprint_","",IF(COUNTIFS(Versuchsdaten!$A$2:$A$1117,$A301,Versuchsdaten!$B$2:$B$1117,$B301,Versuchsdaten!$C$2:$C$1117,"Sprint_5m",Versuchsdaten!$E$2:$E$1117,$E301,Versuchsdaten!$J$2:$J$1117,1)=1,SUMIFS(Versuchsdaten!$F$2:$F$1117,Versuchsdaten!$A$2:$A$1117,$A301,Versuchsdaten!$B$2:$B$1117,$B301,Versuchsdaten!$C$2:$C$1117,"Sprint_5m",Versuchsdaten!$E$2:$E$1117,$E301,Versuchsdaten!$J$2:$J$1117,1),""))</f>
        <v/>
      </c>
      <c r="L301" s="22">
        <f>IF(LEFT(C301,7)&lt;&gt;"Sprint_","",IF(COUNTIFS(Versuchsdaten!$A$2:$A$1117,$A301,Versuchsdaten!$B$2:$B$1117,$B301,Versuchsdaten!$C$2:$C$1117,"Sprint_10m",Versuchsdaten!$E$2:$E$1117,$E301,Versuchsdaten!$J$2:$J$1117,1)=1,SUMIFS(Versuchsdaten!$F$2:$F$1117,Versuchsdaten!$A$2:$A$1117,$A301,Versuchsdaten!$B$2:$B$1117,$B301,Versuchsdaten!$C$2:$C$1117,"Sprint_10m",Versuchsdaten!$E$2:$E$1117,$E301,Versuchsdaten!$J$2:$J$1117,1),""))</f>
        <v/>
      </c>
      <c r="M301" s="22">
        <f>IF(LEFT(C301,7)&lt;&gt;"Sprint_","",IF(COUNTIFS(Versuchsdaten!$A$2:$A$1117,$A301,Versuchsdaten!$B$2:$B$1117,$B301,Versuchsdaten!$C$2:$C$1117,"Sprint_30m",Versuchsdaten!$E$2:$E$1117,$E301,Versuchsdaten!$J$2:$J$1117,1)=1,SUMIFS(Versuchsdaten!$F$2:$F$1117,Versuchsdaten!$A$2:$A$1117,$A301,Versuchsdaten!$B$2:$B$1117,$B301,Versuchsdaten!$C$2:$C$1117,"Sprint_30m",Versuchsdaten!$E$2:$E$1117,$E301,Versuchsdaten!$J$2:$J$1117,1),""))</f>
        <v/>
      </c>
      <c r="N301" s="22">
        <f>IF(LEFT(C301,7)&lt;&gt;"Sprint_",0,IF(IF(ISNUMBER(K301),IF(K301&lt;=0,1,IF(5/K301&gt;10,1,0)),0)+IF(ISNUMBER(L301),IF(ISNUMBER(K301),IF(L301-K301&lt;=0,1,IF(5/(L301-K301)&gt;10,1,0)),IF(L301&lt;=0,1,IF(10/L301&gt;10,1,0))),0)+IF(ISNUMBER(M301),IF(ISNUMBER(L301),IF(M301-L301&lt;=0,1,IF(20/(M301-L301)&gt;10,1,0)),IF(ISNUMBER(K301),IF(M301-K301&lt;=0,1,IF(25/(M301-K301)&gt;10,1,0)),IF(M301&lt;=0,1,IF(30/M301&gt;10,1,0)))),0)&gt;0,1,0))</f>
        <v/>
      </c>
      <c r="O301" s="22">
        <f>IF(AND(J301=1,N301=0),1,0)</f>
        <v/>
      </c>
      <c r="P301" s="22">
        <f>INDEX(Personendaten!$J$2:$J$32,MATCH(A301,Personendaten!$A$2:$A$32,0))</f>
        <v/>
      </c>
      <c r="Q301" s="22">
        <f>IF(O301=1,"",IF(AND(B301="post",P301="nicht angetreten"),"NANG",IF(N301=1,"AUSL",IFERROR(VLOOKUP(H301,Vokabular!$A$2:$B$8,2,FALSE),"UNBEKANNT"))))</f>
        <v/>
      </c>
    </row>
    <row r="302">
      <c r="A302" s="5" t="inlineStr">
        <is>
          <t>HL-07</t>
        </is>
      </c>
      <c r="B302" s="5" t="inlineStr">
        <is>
          <t>prä</t>
        </is>
      </c>
      <c r="C302" s="5" t="inlineStr">
        <is>
          <t>COD_505</t>
        </is>
      </c>
      <c r="D302" s="5" t="inlineStr">
        <is>
          <t>L</t>
        </is>
      </c>
      <c r="E302" s="5" t="n">
        <v>1</v>
      </c>
      <c r="F302" s="5" t="n"/>
      <c r="G302" s="5" t="n"/>
      <c r="H302" s="5" t="inlineStr">
        <is>
          <t>System nicht aufgenommen</t>
        </is>
      </c>
      <c r="I302" s="22">
        <f>INDEX(Personendaten!$C$2:$C$32,MATCH(A302,Personendaten!$A$2:$A$32,0))</f>
        <v/>
      </c>
      <c r="J302" s="22">
        <f>IF(AND(F302&lt;&gt;"",G302=""),1,0)</f>
        <v/>
      </c>
      <c r="K302" s="22">
        <f>IF(LEFT(C302,7)&lt;&gt;"Sprint_","",IF(COUNTIFS(Versuchsdaten!$A$2:$A$1117,$A302,Versuchsdaten!$B$2:$B$1117,$B302,Versuchsdaten!$C$2:$C$1117,"Sprint_5m",Versuchsdaten!$E$2:$E$1117,$E302,Versuchsdaten!$J$2:$J$1117,1)=1,SUMIFS(Versuchsdaten!$F$2:$F$1117,Versuchsdaten!$A$2:$A$1117,$A302,Versuchsdaten!$B$2:$B$1117,$B302,Versuchsdaten!$C$2:$C$1117,"Sprint_5m",Versuchsdaten!$E$2:$E$1117,$E302,Versuchsdaten!$J$2:$J$1117,1),""))</f>
        <v/>
      </c>
      <c r="L302" s="22">
        <f>IF(LEFT(C302,7)&lt;&gt;"Sprint_","",IF(COUNTIFS(Versuchsdaten!$A$2:$A$1117,$A302,Versuchsdaten!$B$2:$B$1117,$B302,Versuchsdaten!$C$2:$C$1117,"Sprint_10m",Versuchsdaten!$E$2:$E$1117,$E302,Versuchsdaten!$J$2:$J$1117,1)=1,SUMIFS(Versuchsdaten!$F$2:$F$1117,Versuchsdaten!$A$2:$A$1117,$A302,Versuchsdaten!$B$2:$B$1117,$B302,Versuchsdaten!$C$2:$C$1117,"Sprint_10m",Versuchsdaten!$E$2:$E$1117,$E302,Versuchsdaten!$J$2:$J$1117,1),""))</f>
        <v/>
      </c>
      <c r="M302" s="22">
        <f>IF(LEFT(C302,7)&lt;&gt;"Sprint_","",IF(COUNTIFS(Versuchsdaten!$A$2:$A$1117,$A302,Versuchsdaten!$B$2:$B$1117,$B302,Versuchsdaten!$C$2:$C$1117,"Sprint_30m",Versuchsdaten!$E$2:$E$1117,$E302,Versuchsdaten!$J$2:$J$1117,1)=1,SUMIFS(Versuchsdaten!$F$2:$F$1117,Versuchsdaten!$A$2:$A$1117,$A302,Versuchsdaten!$B$2:$B$1117,$B302,Versuchsdaten!$C$2:$C$1117,"Sprint_30m",Versuchsdaten!$E$2:$E$1117,$E302,Versuchsdaten!$J$2:$J$1117,1),""))</f>
        <v/>
      </c>
      <c r="N302" s="22">
        <f>IF(LEFT(C302,7)&lt;&gt;"Sprint_",0,IF(IF(ISNUMBER(K302),IF(K302&lt;=0,1,IF(5/K302&gt;10,1,0)),0)+IF(ISNUMBER(L302),IF(ISNUMBER(K302),IF(L302-K302&lt;=0,1,IF(5/(L302-K302)&gt;10,1,0)),IF(L302&lt;=0,1,IF(10/L302&gt;10,1,0))),0)+IF(ISNUMBER(M302),IF(ISNUMBER(L302),IF(M302-L302&lt;=0,1,IF(20/(M302-L302)&gt;10,1,0)),IF(ISNUMBER(K302),IF(M302-K302&lt;=0,1,IF(25/(M302-K302)&gt;10,1,0)),IF(M302&lt;=0,1,IF(30/M302&gt;10,1,0)))),0)&gt;0,1,0))</f>
        <v/>
      </c>
      <c r="O302" s="22">
        <f>IF(AND(J302=1,N302=0),1,0)</f>
        <v/>
      </c>
      <c r="P302" s="22">
        <f>INDEX(Personendaten!$J$2:$J$32,MATCH(A302,Personendaten!$A$2:$A$32,0))</f>
        <v/>
      </c>
      <c r="Q302" s="22">
        <f>IF(O302=1,"",IF(AND(B302="post",P302="nicht angetreten"),"NANG",IF(N302=1,"AUSL",IFERROR(VLOOKUP(H302,Vokabular!$A$2:$B$8,2,FALSE),"UNBEKANNT"))))</f>
        <v/>
      </c>
    </row>
    <row r="303">
      <c r="A303" s="5" t="inlineStr">
        <is>
          <t>HL-07</t>
        </is>
      </c>
      <c r="B303" s="5" t="inlineStr">
        <is>
          <t>prä</t>
        </is>
      </c>
      <c r="C303" s="5" t="inlineStr">
        <is>
          <t>COD_505</t>
        </is>
      </c>
      <c r="D303" s="5" t="inlineStr">
        <is>
          <t>L</t>
        </is>
      </c>
      <c r="E303" s="5" t="n">
        <v>2</v>
      </c>
      <c r="F303" s="5" t="n"/>
      <c r="G303" s="5" t="n"/>
      <c r="H303" s="5" t="inlineStr">
        <is>
          <t>System nicht aufgenommen</t>
        </is>
      </c>
      <c r="I303" s="22">
        <f>INDEX(Personendaten!$C$2:$C$32,MATCH(A303,Personendaten!$A$2:$A$32,0))</f>
        <v/>
      </c>
      <c r="J303" s="22">
        <f>IF(AND(F303&lt;&gt;"",G303=""),1,0)</f>
        <v/>
      </c>
      <c r="K303" s="22">
        <f>IF(LEFT(C303,7)&lt;&gt;"Sprint_","",IF(COUNTIFS(Versuchsdaten!$A$2:$A$1117,$A303,Versuchsdaten!$B$2:$B$1117,$B303,Versuchsdaten!$C$2:$C$1117,"Sprint_5m",Versuchsdaten!$E$2:$E$1117,$E303,Versuchsdaten!$J$2:$J$1117,1)=1,SUMIFS(Versuchsdaten!$F$2:$F$1117,Versuchsdaten!$A$2:$A$1117,$A303,Versuchsdaten!$B$2:$B$1117,$B303,Versuchsdaten!$C$2:$C$1117,"Sprint_5m",Versuchsdaten!$E$2:$E$1117,$E303,Versuchsdaten!$J$2:$J$1117,1),""))</f>
        <v/>
      </c>
      <c r="L303" s="22">
        <f>IF(LEFT(C303,7)&lt;&gt;"Sprint_","",IF(COUNTIFS(Versuchsdaten!$A$2:$A$1117,$A303,Versuchsdaten!$B$2:$B$1117,$B303,Versuchsdaten!$C$2:$C$1117,"Sprint_10m",Versuchsdaten!$E$2:$E$1117,$E303,Versuchsdaten!$J$2:$J$1117,1)=1,SUMIFS(Versuchsdaten!$F$2:$F$1117,Versuchsdaten!$A$2:$A$1117,$A303,Versuchsdaten!$B$2:$B$1117,$B303,Versuchsdaten!$C$2:$C$1117,"Sprint_10m",Versuchsdaten!$E$2:$E$1117,$E303,Versuchsdaten!$J$2:$J$1117,1),""))</f>
        <v/>
      </c>
      <c r="M303" s="22">
        <f>IF(LEFT(C303,7)&lt;&gt;"Sprint_","",IF(COUNTIFS(Versuchsdaten!$A$2:$A$1117,$A303,Versuchsdaten!$B$2:$B$1117,$B303,Versuchsdaten!$C$2:$C$1117,"Sprint_30m",Versuchsdaten!$E$2:$E$1117,$E303,Versuchsdaten!$J$2:$J$1117,1)=1,SUMIFS(Versuchsdaten!$F$2:$F$1117,Versuchsdaten!$A$2:$A$1117,$A303,Versuchsdaten!$B$2:$B$1117,$B303,Versuchsdaten!$C$2:$C$1117,"Sprint_30m",Versuchsdaten!$E$2:$E$1117,$E303,Versuchsdaten!$J$2:$J$1117,1),""))</f>
        <v/>
      </c>
      <c r="N303" s="22">
        <f>IF(LEFT(C303,7)&lt;&gt;"Sprint_",0,IF(IF(ISNUMBER(K303),IF(K303&lt;=0,1,IF(5/K303&gt;10,1,0)),0)+IF(ISNUMBER(L303),IF(ISNUMBER(K303),IF(L303-K303&lt;=0,1,IF(5/(L303-K303)&gt;10,1,0)),IF(L303&lt;=0,1,IF(10/L303&gt;10,1,0))),0)+IF(ISNUMBER(M303),IF(ISNUMBER(L303),IF(M303-L303&lt;=0,1,IF(20/(M303-L303)&gt;10,1,0)),IF(ISNUMBER(K303),IF(M303-K303&lt;=0,1,IF(25/(M303-K303)&gt;10,1,0)),IF(M303&lt;=0,1,IF(30/M303&gt;10,1,0)))),0)&gt;0,1,0))</f>
        <v/>
      </c>
      <c r="O303" s="22">
        <f>IF(AND(J303=1,N303=0),1,0)</f>
        <v/>
      </c>
      <c r="P303" s="22">
        <f>INDEX(Personendaten!$J$2:$J$32,MATCH(A303,Personendaten!$A$2:$A$32,0))</f>
        <v/>
      </c>
      <c r="Q303" s="22">
        <f>IF(O303=1,"",IF(AND(B303="post",P303="nicht angetreten"),"NANG",IF(N303=1,"AUSL",IFERROR(VLOOKUP(H303,Vokabular!$A$2:$B$8,2,FALSE),"UNBEKANNT"))))</f>
        <v/>
      </c>
    </row>
    <row r="304">
      <c r="A304" s="5" t="inlineStr">
        <is>
          <t>HL-07</t>
        </is>
      </c>
      <c r="B304" s="5" t="inlineStr">
        <is>
          <t>prä</t>
        </is>
      </c>
      <c r="C304" s="5" t="inlineStr">
        <is>
          <t>COD_505</t>
        </is>
      </c>
      <c r="D304" s="5" t="inlineStr">
        <is>
          <t>L</t>
        </is>
      </c>
      <c r="E304" s="5" t="n">
        <v>3</v>
      </c>
      <c r="F304" s="5" t="n"/>
      <c r="G304" s="5" t="n"/>
      <c r="H304" s="5" t="inlineStr">
        <is>
          <t>System nicht aufgenommen</t>
        </is>
      </c>
      <c r="I304" s="22">
        <f>INDEX(Personendaten!$C$2:$C$32,MATCH(A304,Personendaten!$A$2:$A$32,0))</f>
        <v/>
      </c>
      <c r="J304" s="22">
        <f>IF(AND(F304&lt;&gt;"",G304=""),1,0)</f>
        <v/>
      </c>
      <c r="K304" s="22">
        <f>IF(LEFT(C304,7)&lt;&gt;"Sprint_","",IF(COUNTIFS(Versuchsdaten!$A$2:$A$1117,$A304,Versuchsdaten!$B$2:$B$1117,$B304,Versuchsdaten!$C$2:$C$1117,"Sprint_5m",Versuchsdaten!$E$2:$E$1117,$E304,Versuchsdaten!$J$2:$J$1117,1)=1,SUMIFS(Versuchsdaten!$F$2:$F$1117,Versuchsdaten!$A$2:$A$1117,$A304,Versuchsdaten!$B$2:$B$1117,$B304,Versuchsdaten!$C$2:$C$1117,"Sprint_5m",Versuchsdaten!$E$2:$E$1117,$E304,Versuchsdaten!$J$2:$J$1117,1),""))</f>
        <v/>
      </c>
      <c r="L304" s="22">
        <f>IF(LEFT(C304,7)&lt;&gt;"Sprint_","",IF(COUNTIFS(Versuchsdaten!$A$2:$A$1117,$A304,Versuchsdaten!$B$2:$B$1117,$B304,Versuchsdaten!$C$2:$C$1117,"Sprint_10m",Versuchsdaten!$E$2:$E$1117,$E304,Versuchsdaten!$J$2:$J$1117,1)=1,SUMIFS(Versuchsdaten!$F$2:$F$1117,Versuchsdaten!$A$2:$A$1117,$A304,Versuchsdaten!$B$2:$B$1117,$B304,Versuchsdaten!$C$2:$C$1117,"Sprint_10m",Versuchsdaten!$E$2:$E$1117,$E304,Versuchsdaten!$J$2:$J$1117,1),""))</f>
        <v/>
      </c>
      <c r="M304" s="22">
        <f>IF(LEFT(C304,7)&lt;&gt;"Sprint_","",IF(COUNTIFS(Versuchsdaten!$A$2:$A$1117,$A304,Versuchsdaten!$B$2:$B$1117,$B304,Versuchsdaten!$C$2:$C$1117,"Sprint_30m",Versuchsdaten!$E$2:$E$1117,$E304,Versuchsdaten!$J$2:$J$1117,1)=1,SUMIFS(Versuchsdaten!$F$2:$F$1117,Versuchsdaten!$A$2:$A$1117,$A304,Versuchsdaten!$B$2:$B$1117,$B304,Versuchsdaten!$C$2:$C$1117,"Sprint_30m",Versuchsdaten!$E$2:$E$1117,$E304,Versuchsdaten!$J$2:$J$1117,1),""))</f>
        <v/>
      </c>
      <c r="N304" s="22">
        <f>IF(LEFT(C304,7)&lt;&gt;"Sprint_",0,IF(IF(ISNUMBER(K304),IF(K304&lt;=0,1,IF(5/K304&gt;10,1,0)),0)+IF(ISNUMBER(L304),IF(ISNUMBER(K304),IF(L304-K304&lt;=0,1,IF(5/(L304-K304)&gt;10,1,0)),IF(L304&lt;=0,1,IF(10/L304&gt;10,1,0))),0)+IF(ISNUMBER(M304),IF(ISNUMBER(L304),IF(M304-L304&lt;=0,1,IF(20/(M304-L304)&gt;10,1,0)),IF(ISNUMBER(K304),IF(M304-K304&lt;=0,1,IF(25/(M304-K304)&gt;10,1,0)),IF(M304&lt;=0,1,IF(30/M304&gt;10,1,0)))),0)&gt;0,1,0))</f>
        <v/>
      </c>
      <c r="O304" s="22">
        <f>IF(AND(J304=1,N304=0),1,0)</f>
        <v/>
      </c>
      <c r="P304" s="22">
        <f>INDEX(Personendaten!$J$2:$J$32,MATCH(A304,Personendaten!$A$2:$A$32,0))</f>
        <v/>
      </c>
      <c r="Q304" s="22">
        <f>IF(O304=1,"",IF(AND(B304="post",P304="nicht angetreten"),"NANG",IF(N304=1,"AUSL",IFERROR(VLOOKUP(H304,Vokabular!$A$2:$B$8,2,FALSE),"UNBEKANNT"))))</f>
        <v/>
      </c>
    </row>
    <row r="305">
      <c r="A305" s="5" t="inlineStr">
        <is>
          <t>HL-07</t>
        </is>
      </c>
      <c r="B305" s="5" t="inlineStr">
        <is>
          <t>prä</t>
        </is>
      </c>
      <c r="C305" s="5" t="inlineStr">
        <is>
          <t>COD_505</t>
        </is>
      </c>
      <c r="D305" s="5" t="inlineStr">
        <is>
          <t>R</t>
        </is>
      </c>
      <c r="E305" s="5" t="n">
        <v>1</v>
      </c>
      <c r="F305" s="5" t="n">
        <v>2.42</v>
      </c>
      <c r="G305" s="5" t="n"/>
      <c r="H305" s="5" t="n"/>
      <c r="I305" s="22">
        <f>INDEX(Personendaten!$C$2:$C$32,MATCH(A305,Personendaten!$A$2:$A$32,0))</f>
        <v/>
      </c>
      <c r="J305" s="22">
        <f>IF(AND(F305&lt;&gt;"",G305=""),1,0)</f>
        <v/>
      </c>
      <c r="K305" s="22">
        <f>IF(LEFT(C305,7)&lt;&gt;"Sprint_","",IF(COUNTIFS(Versuchsdaten!$A$2:$A$1117,$A305,Versuchsdaten!$B$2:$B$1117,$B305,Versuchsdaten!$C$2:$C$1117,"Sprint_5m",Versuchsdaten!$E$2:$E$1117,$E305,Versuchsdaten!$J$2:$J$1117,1)=1,SUMIFS(Versuchsdaten!$F$2:$F$1117,Versuchsdaten!$A$2:$A$1117,$A305,Versuchsdaten!$B$2:$B$1117,$B305,Versuchsdaten!$C$2:$C$1117,"Sprint_5m",Versuchsdaten!$E$2:$E$1117,$E305,Versuchsdaten!$J$2:$J$1117,1),""))</f>
        <v/>
      </c>
      <c r="L305" s="22">
        <f>IF(LEFT(C305,7)&lt;&gt;"Sprint_","",IF(COUNTIFS(Versuchsdaten!$A$2:$A$1117,$A305,Versuchsdaten!$B$2:$B$1117,$B305,Versuchsdaten!$C$2:$C$1117,"Sprint_10m",Versuchsdaten!$E$2:$E$1117,$E305,Versuchsdaten!$J$2:$J$1117,1)=1,SUMIFS(Versuchsdaten!$F$2:$F$1117,Versuchsdaten!$A$2:$A$1117,$A305,Versuchsdaten!$B$2:$B$1117,$B305,Versuchsdaten!$C$2:$C$1117,"Sprint_10m",Versuchsdaten!$E$2:$E$1117,$E305,Versuchsdaten!$J$2:$J$1117,1),""))</f>
        <v/>
      </c>
      <c r="M305" s="22">
        <f>IF(LEFT(C305,7)&lt;&gt;"Sprint_","",IF(COUNTIFS(Versuchsdaten!$A$2:$A$1117,$A305,Versuchsdaten!$B$2:$B$1117,$B305,Versuchsdaten!$C$2:$C$1117,"Sprint_30m",Versuchsdaten!$E$2:$E$1117,$E305,Versuchsdaten!$J$2:$J$1117,1)=1,SUMIFS(Versuchsdaten!$F$2:$F$1117,Versuchsdaten!$A$2:$A$1117,$A305,Versuchsdaten!$B$2:$B$1117,$B305,Versuchsdaten!$C$2:$C$1117,"Sprint_30m",Versuchsdaten!$E$2:$E$1117,$E305,Versuchsdaten!$J$2:$J$1117,1),""))</f>
        <v/>
      </c>
      <c r="N305" s="22">
        <f>IF(LEFT(C305,7)&lt;&gt;"Sprint_",0,IF(IF(ISNUMBER(K305),IF(K305&lt;=0,1,IF(5/K305&gt;10,1,0)),0)+IF(ISNUMBER(L305),IF(ISNUMBER(K305),IF(L305-K305&lt;=0,1,IF(5/(L305-K305)&gt;10,1,0)),IF(L305&lt;=0,1,IF(10/L305&gt;10,1,0))),0)+IF(ISNUMBER(M305),IF(ISNUMBER(L305),IF(M305-L305&lt;=0,1,IF(20/(M305-L305)&gt;10,1,0)),IF(ISNUMBER(K305),IF(M305-K305&lt;=0,1,IF(25/(M305-K305)&gt;10,1,0)),IF(M305&lt;=0,1,IF(30/M305&gt;10,1,0)))),0)&gt;0,1,0))</f>
        <v/>
      </c>
      <c r="O305" s="22">
        <f>IF(AND(J305=1,N305=0),1,0)</f>
        <v/>
      </c>
      <c r="P305" s="22">
        <f>INDEX(Personendaten!$J$2:$J$32,MATCH(A305,Personendaten!$A$2:$A$32,0))</f>
        <v/>
      </c>
      <c r="Q305" s="22">
        <f>IF(O305=1,"",IF(AND(B305="post",P305="nicht angetreten"),"NANG",IF(N305=1,"AUSL",IFERROR(VLOOKUP(H305,Vokabular!$A$2:$B$8,2,FALSE),"UNBEKANNT"))))</f>
        <v/>
      </c>
    </row>
    <row r="306">
      <c r="A306" s="5" t="inlineStr">
        <is>
          <t>HL-07</t>
        </is>
      </c>
      <c r="B306" s="5" t="inlineStr">
        <is>
          <t>prä</t>
        </is>
      </c>
      <c r="C306" s="5" t="inlineStr">
        <is>
          <t>COD_505</t>
        </is>
      </c>
      <c r="D306" s="5" t="inlineStr">
        <is>
          <t>R</t>
        </is>
      </c>
      <c r="E306" s="5" t="n">
        <v>2</v>
      </c>
      <c r="F306" s="5" t="n"/>
      <c r="G306" s="5" t="n"/>
      <c r="H306" s="5" t="inlineStr">
        <is>
          <t>System nicht aufgenommen</t>
        </is>
      </c>
      <c r="I306" s="22">
        <f>INDEX(Personendaten!$C$2:$C$32,MATCH(A306,Personendaten!$A$2:$A$32,0))</f>
        <v/>
      </c>
      <c r="J306" s="22">
        <f>IF(AND(F306&lt;&gt;"",G306=""),1,0)</f>
        <v/>
      </c>
      <c r="K306" s="22">
        <f>IF(LEFT(C306,7)&lt;&gt;"Sprint_","",IF(COUNTIFS(Versuchsdaten!$A$2:$A$1117,$A306,Versuchsdaten!$B$2:$B$1117,$B306,Versuchsdaten!$C$2:$C$1117,"Sprint_5m",Versuchsdaten!$E$2:$E$1117,$E306,Versuchsdaten!$J$2:$J$1117,1)=1,SUMIFS(Versuchsdaten!$F$2:$F$1117,Versuchsdaten!$A$2:$A$1117,$A306,Versuchsdaten!$B$2:$B$1117,$B306,Versuchsdaten!$C$2:$C$1117,"Sprint_5m",Versuchsdaten!$E$2:$E$1117,$E306,Versuchsdaten!$J$2:$J$1117,1),""))</f>
        <v/>
      </c>
      <c r="L306" s="22">
        <f>IF(LEFT(C306,7)&lt;&gt;"Sprint_","",IF(COUNTIFS(Versuchsdaten!$A$2:$A$1117,$A306,Versuchsdaten!$B$2:$B$1117,$B306,Versuchsdaten!$C$2:$C$1117,"Sprint_10m",Versuchsdaten!$E$2:$E$1117,$E306,Versuchsdaten!$J$2:$J$1117,1)=1,SUMIFS(Versuchsdaten!$F$2:$F$1117,Versuchsdaten!$A$2:$A$1117,$A306,Versuchsdaten!$B$2:$B$1117,$B306,Versuchsdaten!$C$2:$C$1117,"Sprint_10m",Versuchsdaten!$E$2:$E$1117,$E306,Versuchsdaten!$J$2:$J$1117,1),""))</f>
        <v/>
      </c>
      <c r="M306" s="22">
        <f>IF(LEFT(C306,7)&lt;&gt;"Sprint_","",IF(COUNTIFS(Versuchsdaten!$A$2:$A$1117,$A306,Versuchsdaten!$B$2:$B$1117,$B306,Versuchsdaten!$C$2:$C$1117,"Sprint_30m",Versuchsdaten!$E$2:$E$1117,$E306,Versuchsdaten!$J$2:$J$1117,1)=1,SUMIFS(Versuchsdaten!$F$2:$F$1117,Versuchsdaten!$A$2:$A$1117,$A306,Versuchsdaten!$B$2:$B$1117,$B306,Versuchsdaten!$C$2:$C$1117,"Sprint_30m",Versuchsdaten!$E$2:$E$1117,$E306,Versuchsdaten!$J$2:$J$1117,1),""))</f>
        <v/>
      </c>
      <c r="N306" s="22">
        <f>IF(LEFT(C306,7)&lt;&gt;"Sprint_",0,IF(IF(ISNUMBER(K306),IF(K306&lt;=0,1,IF(5/K306&gt;10,1,0)),0)+IF(ISNUMBER(L306),IF(ISNUMBER(K306),IF(L306-K306&lt;=0,1,IF(5/(L306-K306)&gt;10,1,0)),IF(L306&lt;=0,1,IF(10/L306&gt;10,1,0))),0)+IF(ISNUMBER(M306),IF(ISNUMBER(L306),IF(M306-L306&lt;=0,1,IF(20/(M306-L306)&gt;10,1,0)),IF(ISNUMBER(K306),IF(M306-K306&lt;=0,1,IF(25/(M306-K306)&gt;10,1,0)),IF(M306&lt;=0,1,IF(30/M306&gt;10,1,0)))),0)&gt;0,1,0))</f>
        <v/>
      </c>
      <c r="O306" s="22">
        <f>IF(AND(J306=1,N306=0),1,0)</f>
        <v/>
      </c>
      <c r="P306" s="22">
        <f>INDEX(Personendaten!$J$2:$J$32,MATCH(A306,Personendaten!$A$2:$A$32,0))</f>
        <v/>
      </c>
      <c r="Q306" s="22">
        <f>IF(O306=1,"",IF(AND(B306="post",P306="nicht angetreten"),"NANG",IF(N306=1,"AUSL",IFERROR(VLOOKUP(H306,Vokabular!$A$2:$B$8,2,FALSE),"UNBEKANNT"))))</f>
        <v/>
      </c>
    </row>
    <row r="307">
      <c r="A307" s="5" t="inlineStr">
        <is>
          <t>HL-07</t>
        </is>
      </c>
      <c r="B307" s="5" t="inlineStr">
        <is>
          <t>prä</t>
        </is>
      </c>
      <c r="C307" s="5" t="inlineStr">
        <is>
          <t>COD_505</t>
        </is>
      </c>
      <c r="D307" s="5" t="inlineStr">
        <is>
          <t>R</t>
        </is>
      </c>
      <c r="E307" s="5" t="n">
        <v>3</v>
      </c>
      <c r="F307" s="5" t="n">
        <v>2.54</v>
      </c>
      <c r="G307" s="5" t="n"/>
      <c r="H307" s="5" t="n"/>
      <c r="I307" s="22">
        <f>INDEX(Personendaten!$C$2:$C$32,MATCH(A307,Personendaten!$A$2:$A$32,0))</f>
        <v/>
      </c>
      <c r="J307" s="22">
        <f>IF(AND(F307&lt;&gt;"",G307=""),1,0)</f>
        <v/>
      </c>
      <c r="K307" s="22">
        <f>IF(LEFT(C307,7)&lt;&gt;"Sprint_","",IF(COUNTIFS(Versuchsdaten!$A$2:$A$1117,$A307,Versuchsdaten!$B$2:$B$1117,$B307,Versuchsdaten!$C$2:$C$1117,"Sprint_5m",Versuchsdaten!$E$2:$E$1117,$E307,Versuchsdaten!$J$2:$J$1117,1)=1,SUMIFS(Versuchsdaten!$F$2:$F$1117,Versuchsdaten!$A$2:$A$1117,$A307,Versuchsdaten!$B$2:$B$1117,$B307,Versuchsdaten!$C$2:$C$1117,"Sprint_5m",Versuchsdaten!$E$2:$E$1117,$E307,Versuchsdaten!$J$2:$J$1117,1),""))</f>
        <v/>
      </c>
      <c r="L307" s="22">
        <f>IF(LEFT(C307,7)&lt;&gt;"Sprint_","",IF(COUNTIFS(Versuchsdaten!$A$2:$A$1117,$A307,Versuchsdaten!$B$2:$B$1117,$B307,Versuchsdaten!$C$2:$C$1117,"Sprint_10m",Versuchsdaten!$E$2:$E$1117,$E307,Versuchsdaten!$J$2:$J$1117,1)=1,SUMIFS(Versuchsdaten!$F$2:$F$1117,Versuchsdaten!$A$2:$A$1117,$A307,Versuchsdaten!$B$2:$B$1117,$B307,Versuchsdaten!$C$2:$C$1117,"Sprint_10m",Versuchsdaten!$E$2:$E$1117,$E307,Versuchsdaten!$J$2:$J$1117,1),""))</f>
        <v/>
      </c>
      <c r="M307" s="22">
        <f>IF(LEFT(C307,7)&lt;&gt;"Sprint_","",IF(COUNTIFS(Versuchsdaten!$A$2:$A$1117,$A307,Versuchsdaten!$B$2:$B$1117,$B307,Versuchsdaten!$C$2:$C$1117,"Sprint_30m",Versuchsdaten!$E$2:$E$1117,$E307,Versuchsdaten!$J$2:$J$1117,1)=1,SUMIFS(Versuchsdaten!$F$2:$F$1117,Versuchsdaten!$A$2:$A$1117,$A307,Versuchsdaten!$B$2:$B$1117,$B307,Versuchsdaten!$C$2:$C$1117,"Sprint_30m",Versuchsdaten!$E$2:$E$1117,$E307,Versuchsdaten!$J$2:$J$1117,1),""))</f>
        <v/>
      </c>
      <c r="N307" s="22">
        <f>IF(LEFT(C307,7)&lt;&gt;"Sprint_",0,IF(IF(ISNUMBER(K307),IF(K307&lt;=0,1,IF(5/K307&gt;10,1,0)),0)+IF(ISNUMBER(L307),IF(ISNUMBER(K307),IF(L307-K307&lt;=0,1,IF(5/(L307-K307)&gt;10,1,0)),IF(L307&lt;=0,1,IF(10/L307&gt;10,1,0))),0)+IF(ISNUMBER(M307),IF(ISNUMBER(L307),IF(M307-L307&lt;=0,1,IF(20/(M307-L307)&gt;10,1,0)),IF(ISNUMBER(K307),IF(M307-K307&lt;=0,1,IF(25/(M307-K307)&gt;10,1,0)),IF(M307&lt;=0,1,IF(30/M307&gt;10,1,0)))),0)&gt;0,1,0))</f>
        <v/>
      </c>
      <c r="O307" s="22">
        <f>IF(AND(J307=1,N307=0),1,0)</f>
        <v/>
      </c>
      <c r="P307" s="22">
        <f>INDEX(Personendaten!$J$2:$J$32,MATCH(A307,Personendaten!$A$2:$A$32,0))</f>
        <v/>
      </c>
      <c r="Q307" s="22">
        <f>IF(O307=1,"",IF(AND(B307="post",P307="nicht angetreten"),"NANG",IF(N307=1,"AUSL",IFERROR(VLOOKUP(H307,Vokabular!$A$2:$B$8,2,FALSE),"UNBEKANNT"))))</f>
        <v/>
      </c>
    </row>
    <row r="308">
      <c r="A308" s="5" t="inlineStr">
        <is>
          <t>HL-08</t>
        </is>
      </c>
      <c r="B308" s="5" t="inlineStr">
        <is>
          <t>prä</t>
        </is>
      </c>
      <c r="C308" s="5" t="inlineStr">
        <is>
          <t>Sprint_5m</t>
        </is>
      </c>
      <c r="D308" s="5" t="inlineStr">
        <is>
          <t>–</t>
        </is>
      </c>
      <c r="E308" s="5" t="n">
        <v>1</v>
      </c>
      <c r="F308" s="5" t="n">
        <v>1.05</v>
      </c>
      <c r="G308" s="5" t="n"/>
      <c r="H308" s="5" t="n"/>
      <c r="I308" s="22">
        <f>INDEX(Personendaten!$C$2:$C$32,MATCH(A308,Personendaten!$A$2:$A$32,0))</f>
        <v/>
      </c>
      <c r="J308" s="22">
        <f>IF(AND(F308&lt;&gt;"",G308=""),1,0)</f>
        <v/>
      </c>
      <c r="K308" s="22">
        <f>IF(LEFT(C308,7)&lt;&gt;"Sprint_","",IF(COUNTIFS(Versuchsdaten!$A$2:$A$1117,$A308,Versuchsdaten!$B$2:$B$1117,$B308,Versuchsdaten!$C$2:$C$1117,"Sprint_5m",Versuchsdaten!$E$2:$E$1117,$E308,Versuchsdaten!$J$2:$J$1117,1)=1,SUMIFS(Versuchsdaten!$F$2:$F$1117,Versuchsdaten!$A$2:$A$1117,$A308,Versuchsdaten!$B$2:$B$1117,$B308,Versuchsdaten!$C$2:$C$1117,"Sprint_5m",Versuchsdaten!$E$2:$E$1117,$E308,Versuchsdaten!$J$2:$J$1117,1),""))</f>
        <v/>
      </c>
      <c r="L308" s="22">
        <f>IF(LEFT(C308,7)&lt;&gt;"Sprint_","",IF(COUNTIFS(Versuchsdaten!$A$2:$A$1117,$A308,Versuchsdaten!$B$2:$B$1117,$B308,Versuchsdaten!$C$2:$C$1117,"Sprint_10m",Versuchsdaten!$E$2:$E$1117,$E308,Versuchsdaten!$J$2:$J$1117,1)=1,SUMIFS(Versuchsdaten!$F$2:$F$1117,Versuchsdaten!$A$2:$A$1117,$A308,Versuchsdaten!$B$2:$B$1117,$B308,Versuchsdaten!$C$2:$C$1117,"Sprint_10m",Versuchsdaten!$E$2:$E$1117,$E308,Versuchsdaten!$J$2:$J$1117,1),""))</f>
        <v/>
      </c>
      <c r="M308" s="22">
        <f>IF(LEFT(C308,7)&lt;&gt;"Sprint_","",IF(COUNTIFS(Versuchsdaten!$A$2:$A$1117,$A308,Versuchsdaten!$B$2:$B$1117,$B308,Versuchsdaten!$C$2:$C$1117,"Sprint_30m",Versuchsdaten!$E$2:$E$1117,$E308,Versuchsdaten!$J$2:$J$1117,1)=1,SUMIFS(Versuchsdaten!$F$2:$F$1117,Versuchsdaten!$A$2:$A$1117,$A308,Versuchsdaten!$B$2:$B$1117,$B308,Versuchsdaten!$C$2:$C$1117,"Sprint_30m",Versuchsdaten!$E$2:$E$1117,$E308,Versuchsdaten!$J$2:$J$1117,1),""))</f>
        <v/>
      </c>
      <c r="N308" s="22">
        <f>IF(LEFT(C308,7)&lt;&gt;"Sprint_",0,IF(IF(ISNUMBER(K308),IF(K308&lt;=0,1,IF(5/K308&gt;10,1,0)),0)+IF(ISNUMBER(L308),IF(ISNUMBER(K308),IF(L308-K308&lt;=0,1,IF(5/(L308-K308)&gt;10,1,0)),IF(L308&lt;=0,1,IF(10/L308&gt;10,1,0))),0)+IF(ISNUMBER(M308),IF(ISNUMBER(L308),IF(M308-L308&lt;=0,1,IF(20/(M308-L308)&gt;10,1,0)),IF(ISNUMBER(K308),IF(M308-K308&lt;=0,1,IF(25/(M308-K308)&gt;10,1,0)),IF(M308&lt;=0,1,IF(30/M308&gt;10,1,0)))),0)&gt;0,1,0))</f>
        <v/>
      </c>
      <c r="O308" s="22">
        <f>IF(AND(J308=1,N308=0),1,0)</f>
        <v/>
      </c>
      <c r="P308" s="22">
        <f>INDEX(Personendaten!$J$2:$J$32,MATCH(A308,Personendaten!$A$2:$A$32,0))</f>
        <v/>
      </c>
      <c r="Q308" s="22">
        <f>IF(O308=1,"",IF(AND(B308="post",P308="nicht angetreten"),"NANG",IF(N308=1,"AUSL",IFERROR(VLOOKUP(H308,Vokabular!$A$2:$B$8,2,FALSE),"UNBEKANNT"))))</f>
        <v/>
      </c>
    </row>
    <row r="309">
      <c r="A309" s="5" t="inlineStr">
        <is>
          <t>HL-08</t>
        </is>
      </c>
      <c r="B309" s="5" t="inlineStr">
        <is>
          <t>prä</t>
        </is>
      </c>
      <c r="C309" s="5" t="inlineStr">
        <is>
          <t>Sprint_5m</t>
        </is>
      </c>
      <c r="D309" s="5" t="inlineStr">
        <is>
          <t>–</t>
        </is>
      </c>
      <c r="E309" s="5" t="n">
        <v>2</v>
      </c>
      <c r="F309" s="5" t="n">
        <v>1.02</v>
      </c>
      <c r="G309" s="5" t="n"/>
      <c r="H309" s="5" t="n"/>
      <c r="I309" s="22">
        <f>INDEX(Personendaten!$C$2:$C$32,MATCH(A309,Personendaten!$A$2:$A$32,0))</f>
        <v/>
      </c>
      <c r="J309" s="22">
        <f>IF(AND(F309&lt;&gt;"",G309=""),1,0)</f>
        <v/>
      </c>
      <c r="K309" s="22">
        <f>IF(LEFT(C309,7)&lt;&gt;"Sprint_","",IF(COUNTIFS(Versuchsdaten!$A$2:$A$1117,$A309,Versuchsdaten!$B$2:$B$1117,$B309,Versuchsdaten!$C$2:$C$1117,"Sprint_5m",Versuchsdaten!$E$2:$E$1117,$E309,Versuchsdaten!$J$2:$J$1117,1)=1,SUMIFS(Versuchsdaten!$F$2:$F$1117,Versuchsdaten!$A$2:$A$1117,$A309,Versuchsdaten!$B$2:$B$1117,$B309,Versuchsdaten!$C$2:$C$1117,"Sprint_5m",Versuchsdaten!$E$2:$E$1117,$E309,Versuchsdaten!$J$2:$J$1117,1),""))</f>
        <v/>
      </c>
      <c r="L309" s="22">
        <f>IF(LEFT(C309,7)&lt;&gt;"Sprint_","",IF(COUNTIFS(Versuchsdaten!$A$2:$A$1117,$A309,Versuchsdaten!$B$2:$B$1117,$B309,Versuchsdaten!$C$2:$C$1117,"Sprint_10m",Versuchsdaten!$E$2:$E$1117,$E309,Versuchsdaten!$J$2:$J$1117,1)=1,SUMIFS(Versuchsdaten!$F$2:$F$1117,Versuchsdaten!$A$2:$A$1117,$A309,Versuchsdaten!$B$2:$B$1117,$B309,Versuchsdaten!$C$2:$C$1117,"Sprint_10m",Versuchsdaten!$E$2:$E$1117,$E309,Versuchsdaten!$J$2:$J$1117,1),""))</f>
        <v/>
      </c>
      <c r="M309" s="22">
        <f>IF(LEFT(C309,7)&lt;&gt;"Sprint_","",IF(COUNTIFS(Versuchsdaten!$A$2:$A$1117,$A309,Versuchsdaten!$B$2:$B$1117,$B309,Versuchsdaten!$C$2:$C$1117,"Sprint_30m",Versuchsdaten!$E$2:$E$1117,$E309,Versuchsdaten!$J$2:$J$1117,1)=1,SUMIFS(Versuchsdaten!$F$2:$F$1117,Versuchsdaten!$A$2:$A$1117,$A309,Versuchsdaten!$B$2:$B$1117,$B309,Versuchsdaten!$C$2:$C$1117,"Sprint_30m",Versuchsdaten!$E$2:$E$1117,$E309,Versuchsdaten!$J$2:$J$1117,1),""))</f>
        <v/>
      </c>
      <c r="N309" s="22">
        <f>IF(LEFT(C309,7)&lt;&gt;"Sprint_",0,IF(IF(ISNUMBER(K309),IF(K309&lt;=0,1,IF(5/K309&gt;10,1,0)),0)+IF(ISNUMBER(L309),IF(ISNUMBER(K309),IF(L309-K309&lt;=0,1,IF(5/(L309-K309)&gt;10,1,0)),IF(L309&lt;=0,1,IF(10/L309&gt;10,1,0))),0)+IF(ISNUMBER(M309),IF(ISNUMBER(L309),IF(M309-L309&lt;=0,1,IF(20/(M309-L309)&gt;10,1,0)),IF(ISNUMBER(K309),IF(M309-K309&lt;=0,1,IF(25/(M309-K309)&gt;10,1,0)),IF(M309&lt;=0,1,IF(30/M309&gt;10,1,0)))),0)&gt;0,1,0))</f>
        <v/>
      </c>
      <c r="O309" s="22">
        <f>IF(AND(J309=1,N309=0),1,0)</f>
        <v/>
      </c>
      <c r="P309" s="22">
        <f>INDEX(Personendaten!$J$2:$J$32,MATCH(A309,Personendaten!$A$2:$A$32,0))</f>
        <v/>
      </c>
      <c r="Q309" s="22">
        <f>IF(O309=1,"",IF(AND(B309="post",P309="nicht angetreten"),"NANG",IF(N309=1,"AUSL",IFERROR(VLOOKUP(H309,Vokabular!$A$2:$B$8,2,FALSE),"UNBEKANNT"))))</f>
        <v/>
      </c>
    </row>
    <row r="310">
      <c r="A310" s="5" t="inlineStr">
        <is>
          <t>HL-08</t>
        </is>
      </c>
      <c r="B310" s="5" t="inlineStr">
        <is>
          <t>prä</t>
        </is>
      </c>
      <c r="C310" s="5" t="inlineStr">
        <is>
          <t>Sprint_5m</t>
        </is>
      </c>
      <c r="D310" s="5" t="inlineStr">
        <is>
          <t>–</t>
        </is>
      </c>
      <c r="E310" s="5" t="n">
        <v>3</v>
      </c>
      <c r="F310" s="5" t="n">
        <v>0.93</v>
      </c>
      <c r="G310" s="5" t="n"/>
      <c r="H310" s="5" t="n"/>
      <c r="I310" s="22">
        <f>INDEX(Personendaten!$C$2:$C$32,MATCH(A310,Personendaten!$A$2:$A$32,0))</f>
        <v/>
      </c>
      <c r="J310" s="22">
        <f>IF(AND(F310&lt;&gt;"",G310=""),1,0)</f>
        <v/>
      </c>
      <c r="K310" s="22">
        <f>IF(LEFT(C310,7)&lt;&gt;"Sprint_","",IF(COUNTIFS(Versuchsdaten!$A$2:$A$1117,$A310,Versuchsdaten!$B$2:$B$1117,$B310,Versuchsdaten!$C$2:$C$1117,"Sprint_5m",Versuchsdaten!$E$2:$E$1117,$E310,Versuchsdaten!$J$2:$J$1117,1)=1,SUMIFS(Versuchsdaten!$F$2:$F$1117,Versuchsdaten!$A$2:$A$1117,$A310,Versuchsdaten!$B$2:$B$1117,$B310,Versuchsdaten!$C$2:$C$1117,"Sprint_5m",Versuchsdaten!$E$2:$E$1117,$E310,Versuchsdaten!$J$2:$J$1117,1),""))</f>
        <v/>
      </c>
      <c r="L310" s="22">
        <f>IF(LEFT(C310,7)&lt;&gt;"Sprint_","",IF(COUNTIFS(Versuchsdaten!$A$2:$A$1117,$A310,Versuchsdaten!$B$2:$B$1117,$B310,Versuchsdaten!$C$2:$C$1117,"Sprint_10m",Versuchsdaten!$E$2:$E$1117,$E310,Versuchsdaten!$J$2:$J$1117,1)=1,SUMIFS(Versuchsdaten!$F$2:$F$1117,Versuchsdaten!$A$2:$A$1117,$A310,Versuchsdaten!$B$2:$B$1117,$B310,Versuchsdaten!$C$2:$C$1117,"Sprint_10m",Versuchsdaten!$E$2:$E$1117,$E310,Versuchsdaten!$J$2:$J$1117,1),""))</f>
        <v/>
      </c>
      <c r="M310" s="22">
        <f>IF(LEFT(C310,7)&lt;&gt;"Sprint_","",IF(COUNTIFS(Versuchsdaten!$A$2:$A$1117,$A310,Versuchsdaten!$B$2:$B$1117,$B310,Versuchsdaten!$C$2:$C$1117,"Sprint_30m",Versuchsdaten!$E$2:$E$1117,$E310,Versuchsdaten!$J$2:$J$1117,1)=1,SUMIFS(Versuchsdaten!$F$2:$F$1117,Versuchsdaten!$A$2:$A$1117,$A310,Versuchsdaten!$B$2:$B$1117,$B310,Versuchsdaten!$C$2:$C$1117,"Sprint_30m",Versuchsdaten!$E$2:$E$1117,$E310,Versuchsdaten!$J$2:$J$1117,1),""))</f>
        <v/>
      </c>
      <c r="N310" s="22">
        <f>IF(LEFT(C310,7)&lt;&gt;"Sprint_",0,IF(IF(ISNUMBER(K310),IF(K310&lt;=0,1,IF(5/K310&gt;10,1,0)),0)+IF(ISNUMBER(L310),IF(ISNUMBER(K310),IF(L310-K310&lt;=0,1,IF(5/(L310-K310)&gt;10,1,0)),IF(L310&lt;=0,1,IF(10/L310&gt;10,1,0))),0)+IF(ISNUMBER(M310),IF(ISNUMBER(L310),IF(M310-L310&lt;=0,1,IF(20/(M310-L310)&gt;10,1,0)),IF(ISNUMBER(K310),IF(M310-K310&lt;=0,1,IF(25/(M310-K310)&gt;10,1,0)),IF(M310&lt;=0,1,IF(30/M310&gt;10,1,0)))),0)&gt;0,1,0))</f>
        <v/>
      </c>
      <c r="O310" s="22">
        <f>IF(AND(J310=1,N310=0),1,0)</f>
        <v/>
      </c>
      <c r="P310" s="22">
        <f>INDEX(Personendaten!$J$2:$J$32,MATCH(A310,Personendaten!$A$2:$A$32,0))</f>
        <v/>
      </c>
      <c r="Q310" s="22">
        <f>IF(O310=1,"",IF(AND(B310="post",P310="nicht angetreten"),"NANG",IF(N310=1,"AUSL",IFERROR(VLOOKUP(H310,Vokabular!$A$2:$B$8,2,FALSE),"UNBEKANNT"))))</f>
        <v/>
      </c>
    </row>
    <row r="311">
      <c r="A311" s="5" t="inlineStr">
        <is>
          <t>HL-08</t>
        </is>
      </c>
      <c r="B311" s="5" t="inlineStr">
        <is>
          <t>prä</t>
        </is>
      </c>
      <c r="C311" s="5" t="inlineStr">
        <is>
          <t>Sprint_10m</t>
        </is>
      </c>
      <c r="D311" s="5" t="inlineStr">
        <is>
          <t>–</t>
        </is>
      </c>
      <c r="E311" s="5" t="n">
        <v>1</v>
      </c>
      <c r="F311" s="5" t="n">
        <v>1.9</v>
      </c>
      <c r="G311" s="5" t="n"/>
      <c r="H311" s="5" t="n"/>
      <c r="I311" s="22">
        <f>INDEX(Personendaten!$C$2:$C$32,MATCH(A311,Personendaten!$A$2:$A$32,0))</f>
        <v/>
      </c>
      <c r="J311" s="22">
        <f>IF(AND(F311&lt;&gt;"",G311=""),1,0)</f>
        <v/>
      </c>
      <c r="K311" s="22">
        <f>IF(LEFT(C311,7)&lt;&gt;"Sprint_","",IF(COUNTIFS(Versuchsdaten!$A$2:$A$1117,$A311,Versuchsdaten!$B$2:$B$1117,$B311,Versuchsdaten!$C$2:$C$1117,"Sprint_5m",Versuchsdaten!$E$2:$E$1117,$E311,Versuchsdaten!$J$2:$J$1117,1)=1,SUMIFS(Versuchsdaten!$F$2:$F$1117,Versuchsdaten!$A$2:$A$1117,$A311,Versuchsdaten!$B$2:$B$1117,$B311,Versuchsdaten!$C$2:$C$1117,"Sprint_5m",Versuchsdaten!$E$2:$E$1117,$E311,Versuchsdaten!$J$2:$J$1117,1),""))</f>
        <v/>
      </c>
      <c r="L311" s="22">
        <f>IF(LEFT(C311,7)&lt;&gt;"Sprint_","",IF(COUNTIFS(Versuchsdaten!$A$2:$A$1117,$A311,Versuchsdaten!$B$2:$B$1117,$B311,Versuchsdaten!$C$2:$C$1117,"Sprint_10m",Versuchsdaten!$E$2:$E$1117,$E311,Versuchsdaten!$J$2:$J$1117,1)=1,SUMIFS(Versuchsdaten!$F$2:$F$1117,Versuchsdaten!$A$2:$A$1117,$A311,Versuchsdaten!$B$2:$B$1117,$B311,Versuchsdaten!$C$2:$C$1117,"Sprint_10m",Versuchsdaten!$E$2:$E$1117,$E311,Versuchsdaten!$J$2:$J$1117,1),""))</f>
        <v/>
      </c>
      <c r="M311" s="22">
        <f>IF(LEFT(C311,7)&lt;&gt;"Sprint_","",IF(COUNTIFS(Versuchsdaten!$A$2:$A$1117,$A311,Versuchsdaten!$B$2:$B$1117,$B311,Versuchsdaten!$C$2:$C$1117,"Sprint_30m",Versuchsdaten!$E$2:$E$1117,$E311,Versuchsdaten!$J$2:$J$1117,1)=1,SUMIFS(Versuchsdaten!$F$2:$F$1117,Versuchsdaten!$A$2:$A$1117,$A311,Versuchsdaten!$B$2:$B$1117,$B311,Versuchsdaten!$C$2:$C$1117,"Sprint_30m",Versuchsdaten!$E$2:$E$1117,$E311,Versuchsdaten!$J$2:$J$1117,1),""))</f>
        <v/>
      </c>
      <c r="N311" s="22">
        <f>IF(LEFT(C311,7)&lt;&gt;"Sprint_",0,IF(IF(ISNUMBER(K311),IF(K311&lt;=0,1,IF(5/K311&gt;10,1,0)),0)+IF(ISNUMBER(L311),IF(ISNUMBER(K311),IF(L311-K311&lt;=0,1,IF(5/(L311-K311)&gt;10,1,0)),IF(L311&lt;=0,1,IF(10/L311&gt;10,1,0))),0)+IF(ISNUMBER(M311),IF(ISNUMBER(L311),IF(M311-L311&lt;=0,1,IF(20/(M311-L311)&gt;10,1,0)),IF(ISNUMBER(K311),IF(M311-K311&lt;=0,1,IF(25/(M311-K311)&gt;10,1,0)),IF(M311&lt;=0,1,IF(30/M311&gt;10,1,0)))),0)&gt;0,1,0))</f>
        <v/>
      </c>
      <c r="O311" s="22">
        <f>IF(AND(J311=1,N311=0),1,0)</f>
        <v/>
      </c>
      <c r="P311" s="22">
        <f>INDEX(Personendaten!$J$2:$J$32,MATCH(A311,Personendaten!$A$2:$A$32,0))</f>
        <v/>
      </c>
      <c r="Q311" s="22">
        <f>IF(O311=1,"",IF(AND(B311="post",P311="nicht angetreten"),"NANG",IF(N311=1,"AUSL",IFERROR(VLOOKUP(H311,Vokabular!$A$2:$B$8,2,FALSE),"UNBEKANNT"))))</f>
        <v/>
      </c>
    </row>
    <row r="312">
      <c r="A312" s="5" t="inlineStr">
        <is>
          <t>HL-08</t>
        </is>
      </c>
      <c r="B312" s="5" t="inlineStr">
        <is>
          <t>prä</t>
        </is>
      </c>
      <c r="C312" s="5" t="inlineStr">
        <is>
          <t>Sprint_10m</t>
        </is>
      </c>
      <c r="D312" s="5" t="inlineStr">
        <is>
          <t>–</t>
        </is>
      </c>
      <c r="E312" s="5" t="n">
        <v>2</v>
      </c>
      <c r="F312" s="5" t="n">
        <v>1.8</v>
      </c>
      <c r="G312" s="5" t="n"/>
      <c r="H312" s="5" t="n"/>
      <c r="I312" s="22">
        <f>INDEX(Personendaten!$C$2:$C$32,MATCH(A312,Personendaten!$A$2:$A$32,0))</f>
        <v/>
      </c>
      <c r="J312" s="22">
        <f>IF(AND(F312&lt;&gt;"",G312=""),1,0)</f>
        <v/>
      </c>
      <c r="K312" s="22">
        <f>IF(LEFT(C312,7)&lt;&gt;"Sprint_","",IF(COUNTIFS(Versuchsdaten!$A$2:$A$1117,$A312,Versuchsdaten!$B$2:$B$1117,$B312,Versuchsdaten!$C$2:$C$1117,"Sprint_5m",Versuchsdaten!$E$2:$E$1117,$E312,Versuchsdaten!$J$2:$J$1117,1)=1,SUMIFS(Versuchsdaten!$F$2:$F$1117,Versuchsdaten!$A$2:$A$1117,$A312,Versuchsdaten!$B$2:$B$1117,$B312,Versuchsdaten!$C$2:$C$1117,"Sprint_5m",Versuchsdaten!$E$2:$E$1117,$E312,Versuchsdaten!$J$2:$J$1117,1),""))</f>
        <v/>
      </c>
      <c r="L312" s="22">
        <f>IF(LEFT(C312,7)&lt;&gt;"Sprint_","",IF(COUNTIFS(Versuchsdaten!$A$2:$A$1117,$A312,Versuchsdaten!$B$2:$B$1117,$B312,Versuchsdaten!$C$2:$C$1117,"Sprint_10m",Versuchsdaten!$E$2:$E$1117,$E312,Versuchsdaten!$J$2:$J$1117,1)=1,SUMIFS(Versuchsdaten!$F$2:$F$1117,Versuchsdaten!$A$2:$A$1117,$A312,Versuchsdaten!$B$2:$B$1117,$B312,Versuchsdaten!$C$2:$C$1117,"Sprint_10m",Versuchsdaten!$E$2:$E$1117,$E312,Versuchsdaten!$J$2:$J$1117,1),""))</f>
        <v/>
      </c>
      <c r="M312" s="22">
        <f>IF(LEFT(C312,7)&lt;&gt;"Sprint_","",IF(COUNTIFS(Versuchsdaten!$A$2:$A$1117,$A312,Versuchsdaten!$B$2:$B$1117,$B312,Versuchsdaten!$C$2:$C$1117,"Sprint_30m",Versuchsdaten!$E$2:$E$1117,$E312,Versuchsdaten!$J$2:$J$1117,1)=1,SUMIFS(Versuchsdaten!$F$2:$F$1117,Versuchsdaten!$A$2:$A$1117,$A312,Versuchsdaten!$B$2:$B$1117,$B312,Versuchsdaten!$C$2:$C$1117,"Sprint_30m",Versuchsdaten!$E$2:$E$1117,$E312,Versuchsdaten!$J$2:$J$1117,1),""))</f>
        <v/>
      </c>
      <c r="N312" s="22">
        <f>IF(LEFT(C312,7)&lt;&gt;"Sprint_",0,IF(IF(ISNUMBER(K312),IF(K312&lt;=0,1,IF(5/K312&gt;10,1,0)),0)+IF(ISNUMBER(L312),IF(ISNUMBER(K312),IF(L312-K312&lt;=0,1,IF(5/(L312-K312)&gt;10,1,0)),IF(L312&lt;=0,1,IF(10/L312&gt;10,1,0))),0)+IF(ISNUMBER(M312),IF(ISNUMBER(L312),IF(M312-L312&lt;=0,1,IF(20/(M312-L312)&gt;10,1,0)),IF(ISNUMBER(K312),IF(M312-K312&lt;=0,1,IF(25/(M312-K312)&gt;10,1,0)),IF(M312&lt;=0,1,IF(30/M312&gt;10,1,0)))),0)&gt;0,1,0))</f>
        <v/>
      </c>
      <c r="O312" s="22">
        <f>IF(AND(J312=1,N312=0),1,0)</f>
        <v/>
      </c>
      <c r="P312" s="22">
        <f>INDEX(Personendaten!$J$2:$J$32,MATCH(A312,Personendaten!$A$2:$A$32,0))</f>
        <v/>
      </c>
      <c r="Q312" s="22">
        <f>IF(O312=1,"",IF(AND(B312="post",P312="nicht angetreten"),"NANG",IF(N312=1,"AUSL",IFERROR(VLOOKUP(H312,Vokabular!$A$2:$B$8,2,FALSE),"UNBEKANNT"))))</f>
        <v/>
      </c>
    </row>
    <row r="313">
      <c r="A313" s="5" t="inlineStr">
        <is>
          <t>HL-08</t>
        </is>
      </c>
      <c r="B313" s="5" t="inlineStr">
        <is>
          <t>prä</t>
        </is>
      </c>
      <c r="C313" s="5" t="inlineStr">
        <is>
          <t>Sprint_10m</t>
        </is>
      </c>
      <c r="D313" s="5" t="inlineStr">
        <is>
          <t>–</t>
        </is>
      </c>
      <c r="E313" s="5" t="n">
        <v>3</v>
      </c>
      <c r="F313" s="5" t="n"/>
      <c r="G313" s="5" t="n"/>
      <c r="H313" s="5" t="inlineStr">
        <is>
          <t>System nicht aufgenommen</t>
        </is>
      </c>
      <c r="I313" s="22">
        <f>INDEX(Personendaten!$C$2:$C$32,MATCH(A313,Personendaten!$A$2:$A$32,0))</f>
        <v/>
      </c>
      <c r="J313" s="22">
        <f>IF(AND(F313&lt;&gt;"",G313=""),1,0)</f>
        <v/>
      </c>
      <c r="K313" s="22">
        <f>IF(LEFT(C313,7)&lt;&gt;"Sprint_","",IF(COUNTIFS(Versuchsdaten!$A$2:$A$1117,$A313,Versuchsdaten!$B$2:$B$1117,$B313,Versuchsdaten!$C$2:$C$1117,"Sprint_5m",Versuchsdaten!$E$2:$E$1117,$E313,Versuchsdaten!$J$2:$J$1117,1)=1,SUMIFS(Versuchsdaten!$F$2:$F$1117,Versuchsdaten!$A$2:$A$1117,$A313,Versuchsdaten!$B$2:$B$1117,$B313,Versuchsdaten!$C$2:$C$1117,"Sprint_5m",Versuchsdaten!$E$2:$E$1117,$E313,Versuchsdaten!$J$2:$J$1117,1),""))</f>
        <v/>
      </c>
      <c r="L313" s="22">
        <f>IF(LEFT(C313,7)&lt;&gt;"Sprint_","",IF(COUNTIFS(Versuchsdaten!$A$2:$A$1117,$A313,Versuchsdaten!$B$2:$B$1117,$B313,Versuchsdaten!$C$2:$C$1117,"Sprint_10m",Versuchsdaten!$E$2:$E$1117,$E313,Versuchsdaten!$J$2:$J$1117,1)=1,SUMIFS(Versuchsdaten!$F$2:$F$1117,Versuchsdaten!$A$2:$A$1117,$A313,Versuchsdaten!$B$2:$B$1117,$B313,Versuchsdaten!$C$2:$C$1117,"Sprint_10m",Versuchsdaten!$E$2:$E$1117,$E313,Versuchsdaten!$J$2:$J$1117,1),""))</f>
        <v/>
      </c>
      <c r="M313" s="22">
        <f>IF(LEFT(C313,7)&lt;&gt;"Sprint_","",IF(COUNTIFS(Versuchsdaten!$A$2:$A$1117,$A313,Versuchsdaten!$B$2:$B$1117,$B313,Versuchsdaten!$C$2:$C$1117,"Sprint_30m",Versuchsdaten!$E$2:$E$1117,$E313,Versuchsdaten!$J$2:$J$1117,1)=1,SUMIFS(Versuchsdaten!$F$2:$F$1117,Versuchsdaten!$A$2:$A$1117,$A313,Versuchsdaten!$B$2:$B$1117,$B313,Versuchsdaten!$C$2:$C$1117,"Sprint_30m",Versuchsdaten!$E$2:$E$1117,$E313,Versuchsdaten!$J$2:$J$1117,1),""))</f>
        <v/>
      </c>
      <c r="N313" s="22">
        <f>IF(LEFT(C313,7)&lt;&gt;"Sprint_",0,IF(IF(ISNUMBER(K313),IF(K313&lt;=0,1,IF(5/K313&gt;10,1,0)),0)+IF(ISNUMBER(L313),IF(ISNUMBER(K313),IF(L313-K313&lt;=0,1,IF(5/(L313-K313)&gt;10,1,0)),IF(L313&lt;=0,1,IF(10/L313&gt;10,1,0))),0)+IF(ISNUMBER(M313),IF(ISNUMBER(L313),IF(M313-L313&lt;=0,1,IF(20/(M313-L313)&gt;10,1,0)),IF(ISNUMBER(K313),IF(M313-K313&lt;=0,1,IF(25/(M313-K313)&gt;10,1,0)),IF(M313&lt;=0,1,IF(30/M313&gt;10,1,0)))),0)&gt;0,1,0))</f>
        <v/>
      </c>
      <c r="O313" s="22">
        <f>IF(AND(J313=1,N313=0),1,0)</f>
        <v/>
      </c>
      <c r="P313" s="22">
        <f>INDEX(Personendaten!$J$2:$J$32,MATCH(A313,Personendaten!$A$2:$A$32,0))</f>
        <v/>
      </c>
      <c r="Q313" s="22">
        <f>IF(O313=1,"",IF(AND(B313="post",P313="nicht angetreten"),"NANG",IF(N313=1,"AUSL",IFERROR(VLOOKUP(H313,Vokabular!$A$2:$B$8,2,FALSE),"UNBEKANNT"))))</f>
        <v/>
      </c>
    </row>
    <row r="314">
      <c r="A314" s="5" t="inlineStr">
        <is>
          <t>HL-08</t>
        </is>
      </c>
      <c r="B314" s="5" t="inlineStr">
        <is>
          <t>prä</t>
        </is>
      </c>
      <c r="C314" s="5" t="inlineStr">
        <is>
          <t>Sprint_30m</t>
        </is>
      </c>
      <c r="D314" s="5" t="inlineStr">
        <is>
          <t>–</t>
        </is>
      </c>
      <c r="E314" s="5" t="n">
        <v>1</v>
      </c>
      <c r="F314" s="5" t="n">
        <v>4.59</v>
      </c>
      <c r="G314" s="5" t="n"/>
      <c r="H314" s="5" t="n"/>
      <c r="I314" s="22">
        <f>INDEX(Personendaten!$C$2:$C$32,MATCH(A314,Personendaten!$A$2:$A$32,0))</f>
        <v/>
      </c>
      <c r="J314" s="22">
        <f>IF(AND(F314&lt;&gt;"",G314=""),1,0)</f>
        <v/>
      </c>
      <c r="K314" s="22">
        <f>IF(LEFT(C314,7)&lt;&gt;"Sprint_","",IF(COUNTIFS(Versuchsdaten!$A$2:$A$1117,$A314,Versuchsdaten!$B$2:$B$1117,$B314,Versuchsdaten!$C$2:$C$1117,"Sprint_5m",Versuchsdaten!$E$2:$E$1117,$E314,Versuchsdaten!$J$2:$J$1117,1)=1,SUMIFS(Versuchsdaten!$F$2:$F$1117,Versuchsdaten!$A$2:$A$1117,$A314,Versuchsdaten!$B$2:$B$1117,$B314,Versuchsdaten!$C$2:$C$1117,"Sprint_5m",Versuchsdaten!$E$2:$E$1117,$E314,Versuchsdaten!$J$2:$J$1117,1),""))</f>
        <v/>
      </c>
      <c r="L314" s="22">
        <f>IF(LEFT(C314,7)&lt;&gt;"Sprint_","",IF(COUNTIFS(Versuchsdaten!$A$2:$A$1117,$A314,Versuchsdaten!$B$2:$B$1117,$B314,Versuchsdaten!$C$2:$C$1117,"Sprint_10m",Versuchsdaten!$E$2:$E$1117,$E314,Versuchsdaten!$J$2:$J$1117,1)=1,SUMIFS(Versuchsdaten!$F$2:$F$1117,Versuchsdaten!$A$2:$A$1117,$A314,Versuchsdaten!$B$2:$B$1117,$B314,Versuchsdaten!$C$2:$C$1117,"Sprint_10m",Versuchsdaten!$E$2:$E$1117,$E314,Versuchsdaten!$J$2:$J$1117,1),""))</f>
        <v/>
      </c>
      <c r="M314" s="22">
        <f>IF(LEFT(C314,7)&lt;&gt;"Sprint_","",IF(COUNTIFS(Versuchsdaten!$A$2:$A$1117,$A314,Versuchsdaten!$B$2:$B$1117,$B314,Versuchsdaten!$C$2:$C$1117,"Sprint_30m",Versuchsdaten!$E$2:$E$1117,$E314,Versuchsdaten!$J$2:$J$1117,1)=1,SUMIFS(Versuchsdaten!$F$2:$F$1117,Versuchsdaten!$A$2:$A$1117,$A314,Versuchsdaten!$B$2:$B$1117,$B314,Versuchsdaten!$C$2:$C$1117,"Sprint_30m",Versuchsdaten!$E$2:$E$1117,$E314,Versuchsdaten!$J$2:$J$1117,1),""))</f>
        <v/>
      </c>
      <c r="N314" s="22">
        <f>IF(LEFT(C314,7)&lt;&gt;"Sprint_",0,IF(IF(ISNUMBER(K314),IF(K314&lt;=0,1,IF(5/K314&gt;10,1,0)),0)+IF(ISNUMBER(L314),IF(ISNUMBER(K314),IF(L314-K314&lt;=0,1,IF(5/(L314-K314)&gt;10,1,0)),IF(L314&lt;=0,1,IF(10/L314&gt;10,1,0))),0)+IF(ISNUMBER(M314),IF(ISNUMBER(L314),IF(M314-L314&lt;=0,1,IF(20/(M314-L314)&gt;10,1,0)),IF(ISNUMBER(K314),IF(M314-K314&lt;=0,1,IF(25/(M314-K314)&gt;10,1,0)),IF(M314&lt;=0,1,IF(30/M314&gt;10,1,0)))),0)&gt;0,1,0))</f>
        <v/>
      </c>
      <c r="O314" s="22">
        <f>IF(AND(J314=1,N314=0),1,0)</f>
        <v/>
      </c>
      <c r="P314" s="22">
        <f>INDEX(Personendaten!$J$2:$J$32,MATCH(A314,Personendaten!$A$2:$A$32,0))</f>
        <v/>
      </c>
      <c r="Q314" s="22">
        <f>IF(O314=1,"",IF(AND(B314="post",P314="nicht angetreten"),"NANG",IF(N314=1,"AUSL",IFERROR(VLOOKUP(H314,Vokabular!$A$2:$B$8,2,FALSE),"UNBEKANNT"))))</f>
        <v/>
      </c>
    </row>
    <row r="315">
      <c r="A315" s="5" t="inlineStr">
        <is>
          <t>HL-08</t>
        </is>
      </c>
      <c r="B315" s="5" t="inlineStr">
        <is>
          <t>prä</t>
        </is>
      </c>
      <c r="C315" s="5" t="inlineStr">
        <is>
          <t>Sprint_30m</t>
        </is>
      </c>
      <c r="D315" s="5" t="inlineStr">
        <is>
          <t>–</t>
        </is>
      </c>
      <c r="E315" s="5" t="n">
        <v>2</v>
      </c>
      <c r="F315" s="5" t="n">
        <v>4.49</v>
      </c>
      <c r="G315" s="5" t="n"/>
      <c r="H315" s="5" t="n"/>
      <c r="I315" s="22">
        <f>INDEX(Personendaten!$C$2:$C$32,MATCH(A315,Personendaten!$A$2:$A$32,0))</f>
        <v/>
      </c>
      <c r="J315" s="22">
        <f>IF(AND(F315&lt;&gt;"",G315=""),1,0)</f>
        <v/>
      </c>
      <c r="K315" s="22">
        <f>IF(LEFT(C315,7)&lt;&gt;"Sprint_","",IF(COUNTIFS(Versuchsdaten!$A$2:$A$1117,$A315,Versuchsdaten!$B$2:$B$1117,$B315,Versuchsdaten!$C$2:$C$1117,"Sprint_5m",Versuchsdaten!$E$2:$E$1117,$E315,Versuchsdaten!$J$2:$J$1117,1)=1,SUMIFS(Versuchsdaten!$F$2:$F$1117,Versuchsdaten!$A$2:$A$1117,$A315,Versuchsdaten!$B$2:$B$1117,$B315,Versuchsdaten!$C$2:$C$1117,"Sprint_5m",Versuchsdaten!$E$2:$E$1117,$E315,Versuchsdaten!$J$2:$J$1117,1),""))</f>
        <v/>
      </c>
      <c r="L315" s="22">
        <f>IF(LEFT(C315,7)&lt;&gt;"Sprint_","",IF(COUNTIFS(Versuchsdaten!$A$2:$A$1117,$A315,Versuchsdaten!$B$2:$B$1117,$B315,Versuchsdaten!$C$2:$C$1117,"Sprint_10m",Versuchsdaten!$E$2:$E$1117,$E315,Versuchsdaten!$J$2:$J$1117,1)=1,SUMIFS(Versuchsdaten!$F$2:$F$1117,Versuchsdaten!$A$2:$A$1117,$A315,Versuchsdaten!$B$2:$B$1117,$B315,Versuchsdaten!$C$2:$C$1117,"Sprint_10m",Versuchsdaten!$E$2:$E$1117,$E315,Versuchsdaten!$J$2:$J$1117,1),""))</f>
        <v/>
      </c>
      <c r="M315" s="22">
        <f>IF(LEFT(C315,7)&lt;&gt;"Sprint_","",IF(COUNTIFS(Versuchsdaten!$A$2:$A$1117,$A315,Versuchsdaten!$B$2:$B$1117,$B315,Versuchsdaten!$C$2:$C$1117,"Sprint_30m",Versuchsdaten!$E$2:$E$1117,$E315,Versuchsdaten!$J$2:$J$1117,1)=1,SUMIFS(Versuchsdaten!$F$2:$F$1117,Versuchsdaten!$A$2:$A$1117,$A315,Versuchsdaten!$B$2:$B$1117,$B315,Versuchsdaten!$C$2:$C$1117,"Sprint_30m",Versuchsdaten!$E$2:$E$1117,$E315,Versuchsdaten!$J$2:$J$1117,1),""))</f>
        <v/>
      </c>
      <c r="N315" s="22">
        <f>IF(LEFT(C315,7)&lt;&gt;"Sprint_",0,IF(IF(ISNUMBER(K315),IF(K315&lt;=0,1,IF(5/K315&gt;10,1,0)),0)+IF(ISNUMBER(L315),IF(ISNUMBER(K315),IF(L315-K315&lt;=0,1,IF(5/(L315-K315)&gt;10,1,0)),IF(L315&lt;=0,1,IF(10/L315&gt;10,1,0))),0)+IF(ISNUMBER(M315),IF(ISNUMBER(L315),IF(M315-L315&lt;=0,1,IF(20/(M315-L315)&gt;10,1,0)),IF(ISNUMBER(K315),IF(M315-K315&lt;=0,1,IF(25/(M315-K315)&gt;10,1,0)),IF(M315&lt;=0,1,IF(30/M315&gt;10,1,0)))),0)&gt;0,1,0))</f>
        <v/>
      </c>
      <c r="O315" s="22">
        <f>IF(AND(J315=1,N315=0),1,0)</f>
        <v/>
      </c>
      <c r="P315" s="22">
        <f>INDEX(Personendaten!$J$2:$J$32,MATCH(A315,Personendaten!$A$2:$A$32,0))</f>
        <v/>
      </c>
      <c r="Q315" s="22">
        <f>IF(O315=1,"",IF(AND(B315="post",P315="nicht angetreten"),"NANG",IF(N315=1,"AUSL",IFERROR(VLOOKUP(H315,Vokabular!$A$2:$B$8,2,FALSE),"UNBEKANNT"))))</f>
        <v/>
      </c>
    </row>
    <row r="316">
      <c r="A316" s="5" t="inlineStr">
        <is>
          <t>HL-08</t>
        </is>
      </c>
      <c r="B316" s="5" t="inlineStr">
        <is>
          <t>prä</t>
        </is>
      </c>
      <c r="C316" s="5" t="inlineStr">
        <is>
          <t>Sprint_30m</t>
        </is>
      </c>
      <c r="D316" s="5" t="inlineStr">
        <is>
          <t>–</t>
        </is>
      </c>
      <c r="E316" s="5" t="n">
        <v>3</v>
      </c>
      <c r="F316" s="5" t="n">
        <v>4.48</v>
      </c>
      <c r="G316" s="5" t="n"/>
      <c r="H316" s="5" t="n"/>
      <c r="I316" s="22">
        <f>INDEX(Personendaten!$C$2:$C$32,MATCH(A316,Personendaten!$A$2:$A$32,0))</f>
        <v/>
      </c>
      <c r="J316" s="22">
        <f>IF(AND(F316&lt;&gt;"",G316=""),1,0)</f>
        <v/>
      </c>
      <c r="K316" s="22">
        <f>IF(LEFT(C316,7)&lt;&gt;"Sprint_","",IF(COUNTIFS(Versuchsdaten!$A$2:$A$1117,$A316,Versuchsdaten!$B$2:$B$1117,$B316,Versuchsdaten!$C$2:$C$1117,"Sprint_5m",Versuchsdaten!$E$2:$E$1117,$E316,Versuchsdaten!$J$2:$J$1117,1)=1,SUMIFS(Versuchsdaten!$F$2:$F$1117,Versuchsdaten!$A$2:$A$1117,$A316,Versuchsdaten!$B$2:$B$1117,$B316,Versuchsdaten!$C$2:$C$1117,"Sprint_5m",Versuchsdaten!$E$2:$E$1117,$E316,Versuchsdaten!$J$2:$J$1117,1),""))</f>
        <v/>
      </c>
      <c r="L316" s="22">
        <f>IF(LEFT(C316,7)&lt;&gt;"Sprint_","",IF(COUNTIFS(Versuchsdaten!$A$2:$A$1117,$A316,Versuchsdaten!$B$2:$B$1117,$B316,Versuchsdaten!$C$2:$C$1117,"Sprint_10m",Versuchsdaten!$E$2:$E$1117,$E316,Versuchsdaten!$J$2:$J$1117,1)=1,SUMIFS(Versuchsdaten!$F$2:$F$1117,Versuchsdaten!$A$2:$A$1117,$A316,Versuchsdaten!$B$2:$B$1117,$B316,Versuchsdaten!$C$2:$C$1117,"Sprint_10m",Versuchsdaten!$E$2:$E$1117,$E316,Versuchsdaten!$J$2:$J$1117,1),""))</f>
        <v/>
      </c>
      <c r="M316" s="22">
        <f>IF(LEFT(C316,7)&lt;&gt;"Sprint_","",IF(COUNTIFS(Versuchsdaten!$A$2:$A$1117,$A316,Versuchsdaten!$B$2:$B$1117,$B316,Versuchsdaten!$C$2:$C$1117,"Sprint_30m",Versuchsdaten!$E$2:$E$1117,$E316,Versuchsdaten!$J$2:$J$1117,1)=1,SUMIFS(Versuchsdaten!$F$2:$F$1117,Versuchsdaten!$A$2:$A$1117,$A316,Versuchsdaten!$B$2:$B$1117,$B316,Versuchsdaten!$C$2:$C$1117,"Sprint_30m",Versuchsdaten!$E$2:$E$1117,$E316,Versuchsdaten!$J$2:$J$1117,1),""))</f>
        <v/>
      </c>
      <c r="N316" s="22">
        <f>IF(LEFT(C316,7)&lt;&gt;"Sprint_",0,IF(IF(ISNUMBER(K316),IF(K316&lt;=0,1,IF(5/K316&gt;10,1,0)),0)+IF(ISNUMBER(L316),IF(ISNUMBER(K316),IF(L316-K316&lt;=0,1,IF(5/(L316-K316)&gt;10,1,0)),IF(L316&lt;=0,1,IF(10/L316&gt;10,1,0))),0)+IF(ISNUMBER(M316),IF(ISNUMBER(L316),IF(M316-L316&lt;=0,1,IF(20/(M316-L316)&gt;10,1,0)),IF(ISNUMBER(K316),IF(M316-K316&lt;=0,1,IF(25/(M316-K316)&gt;10,1,0)),IF(M316&lt;=0,1,IF(30/M316&gt;10,1,0)))),0)&gt;0,1,0))</f>
        <v/>
      </c>
      <c r="O316" s="22">
        <f>IF(AND(J316=1,N316=0),1,0)</f>
        <v/>
      </c>
      <c r="P316" s="22">
        <f>INDEX(Personendaten!$J$2:$J$32,MATCH(A316,Personendaten!$A$2:$A$32,0))</f>
        <v/>
      </c>
      <c r="Q316" s="22">
        <f>IF(O316=1,"",IF(AND(B316="post",P316="nicht angetreten"),"NANG",IF(N316=1,"AUSL",IFERROR(VLOOKUP(H316,Vokabular!$A$2:$B$8,2,FALSE),"UNBEKANNT"))))</f>
        <v/>
      </c>
    </row>
    <row r="317">
      <c r="A317" s="5" t="inlineStr">
        <is>
          <t>HL-08</t>
        </is>
      </c>
      <c r="B317" s="5" t="inlineStr">
        <is>
          <t>prä</t>
        </is>
      </c>
      <c r="C317" s="5" t="inlineStr">
        <is>
          <t>Standweitsprung</t>
        </is>
      </c>
      <c r="D317" s="5" t="inlineStr">
        <is>
          <t>–</t>
        </is>
      </c>
      <c r="E317" s="5" t="n">
        <v>1</v>
      </c>
      <c r="F317" s="5" t="n">
        <v>232</v>
      </c>
      <c r="G317" s="5" t="n"/>
      <c r="H317" s="5" t="n"/>
      <c r="I317" s="22">
        <f>INDEX(Personendaten!$C$2:$C$32,MATCH(A317,Personendaten!$A$2:$A$32,0))</f>
        <v/>
      </c>
      <c r="J317" s="22">
        <f>IF(AND(F317&lt;&gt;"",G317=""),1,0)</f>
        <v/>
      </c>
      <c r="K317" s="22">
        <f>IF(LEFT(C317,7)&lt;&gt;"Sprint_","",IF(COUNTIFS(Versuchsdaten!$A$2:$A$1117,$A317,Versuchsdaten!$B$2:$B$1117,$B317,Versuchsdaten!$C$2:$C$1117,"Sprint_5m",Versuchsdaten!$E$2:$E$1117,$E317,Versuchsdaten!$J$2:$J$1117,1)=1,SUMIFS(Versuchsdaten!$F$2:$F$1117,Versuchsdaten!$A$2:$A$1117,$A317,Versuchsdaten!$B$2:$B$1117,$B317,Versuchsdaten!$C$2:$C$1117,"Sprint_5m",Versuchsdaten!$E$2:$E$1117,$E317,Versuchsdaten!$J$2:$J$1117,1),""))</f>
        <v/>
      </c>
      <c r="L317" s="22">
        <f>IF(LEFT(C317,7)&lt;&gt;"Sprint_","",IF(COUNTIFS(Versuchsdaten!$A$2:$A$1117,$A317,Versuchsdaten!$B$2:$B$1117,$B317,Versuchsdaten!$C$2:$C$1117,"Sprint_10m",Versuchsdaten!$E$2:$E$1117,$E317,Versuchsdaten!$J$2:$J$1117,1)=1,SUMIFS(Versuchsdaten!$F$2:$F$1117,Versuchsdaten!$A$2:$A$1117,$A317,Versuchsdaten!$B$2:$B$1117,$B317,Versuchsdaten!$C$2:$C$1117,"Sprint_10m",Versuchsdaten!$E$2:$E$1117,$E317,Versuchsdaten!$J$2:$J$1117,1),""))</f>
        <v/>
      </c>
      <c r="M317" s="22">
        <f>IF(LEFT(C317,7)&lt;&gt;"Sprint_","",IF(COUNTIFS(Versuchsdaten!$A$2:$A$1117,$A317,Versuchsdaten!$B$2:$B$1117,$B317,Versuchsdaten!$C$2:$C$1117,"Sprint_30m",Versuchsdaten!$E$2:$E$1117,$E317,Versuchsdaten!$J$2:$J$1117,1)=1,SUMIFS(Versuchsdaten!$F$2:$F$1117,Versuchsdaten!$A$2:$A$1117,$A317,Versuchsdaten!$B$2:$B$1117,$B317,Versuchsdaten!$C$2:$C$1117,"Sprint_30m",Versuchsdaten!$E$2:$E$1117,$E317,Versuchsdaten!$J$2:$J$1117,1),""))</f>
        <v/>
      </c>
      <c r="N317" s="22">
        <f>IF(LEFT(C317,7)&lt;&gt;"Sprint_",0,IF(IF(ISNUMBER(K317),IF(K317&lt;=0,1,IF(5/K317&gt;10,1,0)),0)+IF(ISNUMBER(L317),IF(ISNUMBER(K317),IF(L317-K317&lt;=0,1,IF(5/(L317-K317)&gt;10,1,0)),IF(L317&lt;=0,1,IF(10/L317&gt;10,1,0))),0)+IF(ISNUMBER(M317),IF(ISNUMBER(L317),IF(M317-L317&lt;=0,1,IF(20/(M317-L317)&gt;10,1,0)),IF(ISNUMBER(K317),IF(M317-K317&lt;=0,1,IF(25/(M317-K317)&gt;10,1,0)),IF(M317&lt;=0,1,IF(30/M317&gt;10,1,0)))),0)&gt;0,1,0))</f>
        <v/>
      </c>
      <c r="O317" s="22">
        <f>IF(AND(J317=1,N317=0),1,0)</f>
        <v/>
      </c>
      <c r="P317" s="22">
        <f>INDEX(Personendaten!$J$2:$J$32,MATCH(A317,Personendaten!$A$2:$A$32,0))</f>
        <v/>
      </c>
      <c r="Q317" s="22">
        <f>IF(O317=1,"",IF(AND(B317="post",P317="nicht angetreten"),"NANG",IF(N317=1,"AUSL",IFERROR(VLOOKUP(H317,Vokabular!$A$2:$B$8,2,FALSE),"UNBEKANNT"))))</f>
        <v/>
      </c>
    </row>
    <row r="318">
      <c r="A318" s="5" t="inlineStr">
        <is>
          <t>HL-08</t>
        </is>
      </c>
      <c r="B318" s="5" t="inlineStr">
        <is>
          <t>prä</t>
        </is>
      </c>
      <c r="C318" s="5" t="inlineStr">
        <is>
          <t>Standweitsprung</t>
        </is>
      </c>
      <c r="D318" s="5" t="inlineStr">
        <is>
          <t>–</t>
        </is>
      </c>
      <c r="E318" s="5" t="n">
        <v>2</v>
      </c>
      <c r="F318" s="5" t="n">
        <v>245</v>
      </c>
      <c r="G318" s="5" t="n"/>
      <c r="H318" s="5" t="n"/>
      <c r="I318" s="22">
        <f>INDEX(Personendaten!$C$2:$C$32,MATCH(A318,Personendaten!$A$2:$A$32,0))</f>
        <v/>
      </c>
      <c r="J318" s="22">
        <f>IF(AND(F318&lt;&gt;"",G318=""),1,0)</f>
        <v/>
      </c>
      <c r="K318" s="22">
        <f>IF(LEFT(C318,7)&lt;&gt;"Sprint_","",IF(COUNTIFS(Versuchsdaten!$A$2:$A$1117,$A318,Versuchsdaten!$B$2:$B$1117,$B318,Versuchsdaten!$C$2:$C$1117,"Sprint_5m",Versuchsdaten!$E$2:$E$1117,$E318,Versuchsdaten!$J$2:$J$1117,1)=1,SUMIFS(Versuchsdaten!$F$2:$F$1117,Versuchsdaten!$A$2:$A$1117,$A318,Versuchsdaten!$B$2:$B$1117,$B318,Versuchsdaten!$C$2:$C$1117,"Sprint_5m",Versuchsdaten!$E$2:$E$1117,$E318,Versuchsdaten!$J$2:$J$1117,1),""))</f>
        <v/>
      </c>
      <c r="L318" s="22">
        <f>IF(LEFT(C318,7)&lt;&gt;"Sprint_","",IF(COUNTIFS(Versuchsdaten!$A$2:$A$1117,$A318,Versuchsdaten!$B$2:$B$1117,$B318,Versuchsdaten!$C$2:$C$1117,"Sprint_10m",Versuchsdaten!$E$2:$E$1117,$E318,Versuchsdaten!$J$2:$J$1117,1)=1,SUMIFS(Versuchsdaten!$F$2:$F$1117,Versuchsdaten!$A$2:$A$1117,$A318,Versuchsdaten!$B$2:$B$1117,$B318,Versuchsdaten!$C$2:$C$1117,"Sprint_10m",Versuchsdaten!$E$2:$E$1117,$E318,Versuchsdaten!$J$2:$J$1117,1),""))</f>
        <v/>
      </c>
      <c r="M318" s="22">
        <f>IF(LEFT(C318,7)&lt;&gt;"Sprint_","",IF(COUNTIFS(Versuchsdaten!$A$2:$A$1117,$A318,Versuchsdaten!$B$2:$B$1117,$B318,Versuchsdaten!$C$2:$C$1117,"Sprint_30m",Versuchsdaten!$E$2:$E$1117,$E318,Versuchsdaten!$J$2:$J$1117,1)=1,SUMIFS(Versuchsdaten!$F$2:$F$1117,Versuchsdaten!$A$2:$A$1117,$A318,Versuchsdaten!$B$2:$B$1117,$B318,Versuchsdaten!$C$2:$C$1117,"Sprint_30m",Versuchsdaten!$E$2:$E$1117,$E318,Versuchsdaten!$J$2:$J$1117,1),""))</f>
        <v/>
      </c>
      <c r="N318" s="22">
        <f>IF(LEFT(C318,7)&lt;&gt;"Sprint_",0,IF(IF(ISNUMBER(K318),IF(K318&lt;=0,1,IF(5/K318&gt;10,1,0)),0)+IF(ISNUMBER(L318),IF(ISNUMBER(K318),IF(L318-K318&lt;=0,1,IF(5/(L318-K318)&gt;10,1,0)),IF(L318&lt;=0,1,IF(10/L318&gt;10,1,0))),0)+IF(ISNUMBER(M318),IF(ISNUMBER(L318),IF(M318-L318&lt;=0,1,IF(20/(M318-L318)&gt;10,1,0)),IF(ISNUMBER(K318),IF(M318-K318&lt;=0,1,IF(25/(M318-K318)&gt;10,1,0)),IF(M318&lt;=0,1,IF(30/M318&gt;10,1,0)))),0)&gt;0,1,0))</f>
        <v/>
      </c>
      <c r="O318" s="22">
        <f>IF(AND(J318=1,N318=0),1,0)</f>
        <v/>
      </c>
      <c r="P318" s="22">
        <f>INDEX(Personendaten!$J$2:$J$32,MATCH(A318,Personendaten!$A$2:$A$32,0))</f>
        <v/>
      </c>
      <c r="Q318" s="22">
        <f>IF(O318=1,"",IF(AND(B318="post",P318="nicht angetreten"),"NANG",IF(N318=1,"AUSL",IFERROR(VLOOKUP(H318,Vokabular!$A$2:$B$8,2,FALSE),"UNBEKANNT"))))</f>
        <v/>
      </c>
    </row>
    <row r="319">
      <c r="A319" s="5" t="inlineStr">
        <is>
          <t>HL-08</t>
        </is>
      </c>
      <c r="B319" s="5" t="inlineStr">
        <is>
          <t>prä</t>
        </is>
      </c>
      <c r="C319" s="5" t="inlineStr">
        <is>
          <t>Standweitsprung</t>
        </is>
      </c>
      <c r="D319" s="5" t="inlineStr">
        <is>
          <t>–</t>
        </is>
      </c>
      <c r="E319" s="5" t="n">
        <v>3</v>
      </c>
      <c r="F319" s="5" t="n">
        <v>238</v>
      </c>
      <c r="G319" s="5" t="n"/>
      <c r="H319" s="5" t="n"/>
      <c r="I319" s="22">
        <f>INDEX(Personendaten!$C$2:$C$32,MATCH(A319,Personendaten!$A$2:$A$32,0))</f>
        <v/>
      </c>
      <c r="J319" s="22">
        <f>IF(AND(F319&lt;&gt;"",G319=""),1,0)</f>
        <v/>
      </c>
      <c r="K319" s="22">
        <f>IF(LEFT(C319,7)&lt;&gt;"Sprint_","",IF(COUNTIFS(Versuchsdaten!$A$2:$A$1117,$A319,Versuchsdaten!$B$2:$B$1117,$B319,Versuchsdaten!$C$2:$C$1117,"Sprint_5m",Versuchsdaten!$E$2:$E$1117,$E319,Versuchsdaten!$J$2:$J$1117,1)=1,SUMIFS(Versuchsdaten!$F$2:$F$1117,Versuchsdaten!$A$2:$A$1117,$A319,Versuchsdaten!$B$2:$B$1117,$B319,Versuchsdaten!$C$2:$C$1117,"Sprint_5m",Versuchsdaten!$E$2:$E$1117,$E319,Versuchsdaten!$J$2:$J$1117,1),""))</f>
        <v/>
      </c>
      <c r="L319" s="22">
        <f>IF(LEFT(C319,7)&lt;&gt;"Sprint_","",IF(COUNTIFS(Versuchsdaten!$A$2:$A$1117,$A319,Versuchsdaten!$B$2:$B$1117,$B319,Versuchsdaten!$C$2:$C$1117,"Sprint_10m",Versuchsdaten!$E$2:$E$1117,$E319,Versuchsdaten!$J$2:$J$1117,1)=1,SUMIFS(Versuchsdaten!$F$2:$F$1117,Versuchsdaten!$A$2:$A$1117,$A319,Versuchsdaten!$B$2:$B$1117,$B319,Versuchsdaten!$C$2:$C$1117,"Sprint_10m",Versuchsdaten!$E$2:$E$1117,$E319,Versuchsdaten!$J$2:$J$1117,1),""))</f>
        <v/>
      </c>
      <c r="M319" s="22">
        <f>IF(LEFT(C319,7)&lt;&gt;"Sprint_","",IF(COUNTIFS(Versuchsdaten!$A$2:$A$1117,$A319,Versuchsdaten!$B$2:$B$1117,$B319,Versuchsdaten!$C$2:$C$1117,"Sprint_30m",Versuchsdaten!$E$2:$E$1117,$E319,Versuchsdaten!$J$2:$J$1117,1)=1,SUMIFS(Versuchsdaten!$F$2:$F$1117,Versuchsdaten!$A$2:$A$1117,$A319,Versuchsdaten!$B$2:$B$1117,$B319,Versuchsdaten!$C$2:$C$1117,"Sprint_30m",Versuchsdaten!$E$2:$E$1117,$E319,Versuchsdaten!$J$2:$J$1117,1),""))</f>
        <v/>
      </c>
      <c r="N319" s="22">
        <f>IF(LEFT(C319,7)&lt;&gt;"Sprint_",0,IF(IF(ISNUMBER(K319),IF(K319&lt;=0,1,IF(5/K319&gt;10,1,0)),0)+IF(ISNUMBER(L319),IF(ISNUMBER(K319),IF(L319-K319&lt;=0,1,IF(5/(L319-K319)&gt;10,1,0)),IF(L319&lt;=0,1,IF(10/L319&gt;10,1,0))),0)+IF(ISNUMBER(M319),IF(ISNUMBER(L319),IF(M319-L319&lt;=0,1,IF(20/(M319-L319)&gt;10,1,0)),IF(ISNUMBER(K319),IF(M319-K319&lt;=0,1,IF(25/(M319-K319)&gt;10,1,0)),IF(M319&lt;=0,1,IF(30/M319&gt;10,1,0)))),0)&gt;0,1,0))</f>
        <v/>
      </c>
      <c r="O319" s="22">
        <f>IF(AND(J319=1,N319=0),1,0)</f>
        <v/>
      </c>
      <c r="P319" s="22">
        <f>INDEX(Personendaten!$J$2:$J$32,MATCH(A319,Personendaten!$A$2:$A$32,0))</f>
        <v/>
      </c>
      <c r="Q319" s="22">
        <f>IF(O319=1,"",IF(AND(B319="post",P319="nicht angetreten"),"NANG",IF(N319=1,"AUSL",IFERROR(VLOOKUP(H319,Vokabular!$A$2:$B$8,2,FALSE),"UNBEKANNT"))))</f>
        <v/>
      </c>
    </row>
    <row r="320">
      <c r="A320" s="5" t="inlineStr">
        <is>
          <t>HL-08</t>
        </is>
      </c>
      <c r="B320" s="5" t="inlineStr">
        <is>
          <t>prä</t>
        </is>
      </c>
      <c r="C320" s="5" t="inlineStr">
        <is>
          <t>COD_505</t>
        </is>
      </c>
      <c r="D320" s="5" t="inlineStr">
        <is>
          <t>L</t>
        </is>
      </c>
      <c r="E320" s="5" t="n">
        <v>1</v>
      </c>
      <c r="F320" s="5" t="n">
        <v>2.47</v>
      </c>
      <c r="G320" s="5" t="n"/>
      <c r="H320" s="5" t="n"/>
      <c r="I320" s="22">
        <f>INDEX(Personendaten!$C$2:$C$32,MATCH(A320,Personendaten!$A$2:$A$32,0))</f>
        <v/>
      </c>
      <c r="J320" s="22">
        <f>IF(AND(F320&lt;&gt;"",G320=""),1,0)</f>
        <v/>
      </c>
      <c r="K320" s="22">
        <f>IF(LEFT(C320,7)&lt;&gt;"Sprint_","",IF(COUNTIFS(Versuchsdaten!$A$2:$A$1117,$A320,Versuchsdaten!$B$2:$B$1117,$B320,Versuchsdaten!$C$2:$C$1117,"Sprint_5m",Versuchsdaten!$E$2:$E$1117,$E320,Versuchsdaten!$J$2:$J$1117,1)=1,SUMIFS(Versuchsdaten!$F$2:$F$1117,Versuchsdaten!$A$2:$A$1117,$A320,Versuchsdaten!$B$2:$B$1117,$B320,Versuchsdaten!$C$2:$C$1117,"Sprint_5m",Versuchsdaten!$E$2:$E$1117,$E320,Versuchsdaten!$J$2:$J$1117,1),""))</f>
        <v/>
      </c>
      <c r="L320" s="22">
        <f>IF(LEFT(C320,7)&lt;&gt;"Sprint_","",IF(COUNTIFS(Versuchsdaten!$A$2:$A$1117,$A320,Versuchsdaten!$B$2:$B$1117,$B320,Versuchsdaten!$C$2:$C$1117,"Sprint_10m",Versuchsdaten!$E$2:$E$1117,$E320,Versuchsdaten!$J$2:$J$1117,1)=1,SUMIFS(Versuchsdaten!$F$2:$F$1117,Versuchsdaten!$A$2:$A$1117,$A320,Versuchsdaten!$B$2:$B$1117,$B320,Versuchsdaten!$C$2:$C$1117,"Sprint_10m",Versuchsdaten!$E$2:$E$1117,$E320,Versuchsdaten!$J$2:$J$1117,1),""))</f>
        <v/>
      </c>
      <c r="M320" s="22">
        <f>IF(LEFT(C320,7)&lt;&gt;"Sprint_","",IF(COUNTIFS(Versuchsdaten!$A$2:$A$1117,$A320,Versuchsdaten!$B$2:$B$1117,$B320,Versuchsdaten!$C$2:$C$1117,"Sprint_30m",Versuchsdaten!$E$2:$E$1117,$E320,Versuchsdaten!$J$2:$J$1117,1)=1,SUMIFS(Versuchsdaten!$F$2:$F$1117,Versuchsdaten!$A$2:$A$1117,$A320,Versuchsdaten!$B$2:$B$1117,$B320,Versuchsdaten!$C$2:$C$1117,"Sprint_30m",Versuchsdaten!$E$2:$E$1117,$E320,Versuchsdaten!$J$2:$J$1117,1),""))</f>
        <v/>
      </c>
      <c r="N320" s="22">
        <f>IF(LEFT(C320,7)&lt;&gt;"Sprint_",0,IF(IF(ISNUMBER(K320),IF(K320&lt;=0,1,IF(5/K320&gt;10,1,0)),0)+IF(ISNUMBER(L320),IF(ISNUMBER(K320),IF(L320-K320&lt;=0,1,IF(5/(L320-K320)&gt;10,1,0)),IF(L320&lt;=0,1,IF(10/L320&gt;10,1,0))),0)+IF(ISNUMBER(M320),IF(ISNUMBER(L320),IF(M320-L320&lt;=0,1,IF(20/(M320-L320)&gt;10,1,0)),IF(ISNUMBER(K320),IF(M320-K320&lt;=0,1,IF(25/(M320-K320)&gt;10,1,0)),IF(M320&lt;=0,1,IF(30/M320&gt;10,1,0)))),0)&gt;0,1,0))</f>
        <v/>
      </c>
      <c r="O320" s="22">
        <f>IF(AND(J320=1,N320=0),1,0)</f>
        <v/>
      </c>
      <c r="P320" s="22">
        <f>INDEX(Personendaten!$J$2:$J$32,MATCH(A320,Personendaten!$A$2:$A$32,0))</f>
        <v/>
      </c>
      <c r="Q320" s="22">
        <f>IF(O320=1,"",IF(AND(B320="post",P320="nicht angetreten"),"NANG",IF(N320=1,"AUSL",IFERROR(VLOOKUP(H320,Vokabular!$A$2:$B$8,2,FALSE),"UNBEKANNT"))))</f>
        <v/>
      </c>
    </row>
    <row r="321">
      <c r="A321" s="5" t="inlineStr">
        <is>
          <t>HL-08</t>
        </is>
      </c>
      <c r="B321" s="5" t="inlineStr">
        <is>
          <t>prä</t>
        </is>
      </c>
      <c r="C321" s="5" t="inlineStr">
        <is>
          <t>COD_505</t>
        </is>
      </c>
      <c r="D321" s="5" t="inlineStr">
        <is>
          <t>L</t>
        </is>
      </c>
      <c r="E321" s="5" t="n">
        <v>2</v>
      </c>
      <c r="F321" s="5" t="n"/>
      <c r="G321" s="5" t="n"/>
      <c r="H321" s="5" t="inlineStr">
        <is>
          <t>System nicht aufgenommen</t>
        </is>
      </c>
      <c r="I321" s="22">
        <f>INDEX(Personendaten!$C$2:$C$32,MATCH(A321,Personendaten!$A$2:$A$32,0))</f>
        <v/>
      </c>
      <c r="J321" s="22">
        <f>IF(AND(F321&lt;&gt;"",G321=""),1,0)</f>
        <v/>
      </c>
      <c r="K321" s="22">
        <f>IF(LEFT(C321,7)&lt;&gt;"Sprint_","",IF(COUNTIFS(Versuchsdaten!$A$2:$A$1117,$A321,Versuchsdaten!$B$2:$B$1117,$B321,Versuchsdaten!$C$2:$C$1117,"Sprint_5m",Versuchsdaten!$E$2:$E$1117,$E321,Versuchsdaten!$J$2:$J$1117,1)=1,SUMIFS(Versuchsdaten!$F$2:$F$1117,Versuchsdaten!$A$2:$A$1117,$A321,Versuchsdaten!$B$2:$B$1117,$B321,Versuchsdaten!$C$2:$C$1117,"Sprint_5m",Versuchsdaten!$E$2:$E$1117,$E321,Versuchsdaten!$J$2:$J$1117,1),""))</f>
        <v/>
      </c>
      <c r="L321" s="22">
        <f>IF(LEFT(C321,7)&lt;&gt;"Sprint_","",IF(COUNTIFS(Versuchsdaten!$A$2:$A$1117,$A321,Versuchsdaten!$B$2:$B$1117,$B321,Versuchsdaten!$C$2:$C$1117,"Sprint_10m",Versuchsdaten!$E$2:$E$1117,$E321,Versuchsdaten!$J$2:$J$1117,1)=1,SUMIFS(Versuchsdaten!$F$2:$F$1117,Versuchsdaten!$A$2:$A$1117,$A321,Versuchsdaten!$B$2:$B$1117,$B321,Versuchsdaten!$C$2:$C$1117,"Sprint_10m",Versuchsdaten!$E$2:$E$1117,$E321,Versuchsdaten!$J$2:$J$1117,1),""))</f>
        <v/>
      </c>
      <c r="M321" s="22">
        <f>IF(LEFT(C321,7)&lt;&gt;"Sprint_","",IF(COUNTIFS(Versuchsdaten!$A$2:$A$1117,$A321,Versuchsdaten!$B$2:$B$1117,$B321,Versuchsdaten!$C$2:$C$1117,"Sprint_30m",Versuchsdaten!$E$2:$E$1117,$E321,Versuchsdaten!$J$2:$J$1117,1)=1,SUMIFS(Versuchsdaten!$F$2:$F$1117,Versuchsdaten!$A$2:$A$1117,$A321,Versuchsdaten!$B$2:$B$1117,$B321,Versuchsdaten!$C$2:$C$1117,"Sprint_30m",Versuchsdaten!$E$2:$E$1117,$E321,Versuchsdaten!$J$2:$J$1117,1),""))</f>
        <v/>
      </c>
      <c r="N321" s="22">
        <f>IF(LEFT(C321,7)&lt;&gt;"Sprint_",0,IF(IF(ISNUMBER(K321),IF(K321&lt;=0,1,IF(5/K321&gt;10,1,0)),0)+IF(ISNUMBER(L321),IF(ISNUMBER(K321),IF(L321-K321&lt;=0,1,IF(5/(L321-K321)&gt;10,1,0)),IF(L321&lt;=0,1,IF(10/L321&gt;10,1,0))),0)+IF(ISNUMBER(M321),IF(ISNUMBER(L321),IF(M321-L321&lt;=0,1,IF(20/(M321-L321)&gt;10,1,0)),IF(ISNUMBER(K321),IF(M321-K321&lt;=0,1,IF(25/(M321-K321)&gt;10,1,0)),IF(M321&lt;=0,1,IF(30/M321&gt;10,1,0)))),0)&gt;0,1,0))</f>
        <v/>
      </c>
      <c r="O321" s="22">
        <f>IF(AND(J321=1,N321=0),1,0)</f>
        <v/>
      </c>
      <c r="P321" s="22">
        <f>INDEX(Personendaten!$J$2:$J$32,MATCH(A321,Personendaten!$A$2:$A$32,0))</f>
        <v/>
      </c>
      <c r="Q321" s="22">
        <f>IF(O321=1,"",IF(AND(B321="post",P321="nicht angetreten"),"NANG",IF(N321=1,"AUSL",IFERROR(VLOOKUP(H321,Vokabular!$A$2:$B$8,2,FALSE),"UNBEKANNT"))))</f>
        <v/>
      </c>
    </row>
    <row r="322">
      <c r="A322" s="5" t="inlineStr">
        <is>
          <t>HL-08</t>
        </is>
      </c>
      <c r="B322" s="5" t="inlineStr">
        <is>
          <t>prä</t>
        </is>
      </c>
      <c r="C322" s="5" t="inlineStr">
        <is>
          <t>COD_505</t>
        </is>
      </c>
      <c r="D322" s="5" t="inlineStr">
        <is>
          <t>L</t>
        </is>
      </c>
      <c r="E322" s="5" t="n">
        <v>3</v>
      </c>
      <c r="F322" s="5" t="n"/>
      <c r="G322" s="5" t="n"/>
      <c r="H322" s="5" t="inlineStr">
        <is>
          <t>System nicht aufgenommen</t>
        </is>
      </c>
      <c r="I322" s="22">
        <f>INDEX(Personendaten!$C$2:$C$32,MATCH(A322,Personendaten!$A$2:$A$32,0))</f>
        <v/>
      </c>
      <c r="J322" s="22">
        <f>IF(AND(F322&lt;&gt;"",G322=""),1,0)</f>
        <v/>
      </c>
      <c r="K322" s="22">
        <f>IF(LEFT(C322,7)&lt;&gt;"Sprint_","",IF(COUNTIFS(Versuchsdaten!$A$2:$A$1117,$A322,Versuchsdaten!$B$2:$B$1117,$B322,Versuchsdaten!$C$2:$C$1117,"Sprint_5m",Versuchsdaten!$E$2:$E$1117,$E322,Versuchsdaten!$J$2:$J$1117,1)=1,SUMIFS(Versuchsdaten!$F$2:$F$1117,Versuchsdaten!$A$2:$A$1117,$A322,Versuchsdaten!$B$2:$B$1117,$B322,Versuchsdaten!$C$2:$C$1117,"Sprint_5m",Versuchsdaten!$E$2:$E$1117,$E322,Versuchsdaten!$J$2:$J$1117,1),""))</f>
        <v/>
      </c>
      <c r="L322" s="22">
        <f>IF(LEFT(C322,7)&lt;&gt;"Sprint_","",IF(COUNTIFS(Versuchsdaten!$A$2:$A$1117,$A322,Versuchsdaten!$B$2:$B$1117,$B322,Versuchsdaten!$C$2:$C$1117,"Sprint_10m",Versuchsdaten!$E$2:$E$1117,$E322,Versuchsdaten!$J$2:$J$1117,1)=1,SUMIFS(Versuchsdaten!$F$2:$F$1117,Versuchsdaten!$A$2:$A$1117,$A322,Versuchsdaten!$B$2:$B$1117,$B322,Versuchsdaten!$C$2:$C$1117,"Sprint_10m",Versuchsdaten!$E$2:$E$1117,$E322,Versuchsdaten!$J$2:$J$1117,1),""))</f>
        <v/>
      </c>
      <c r="M322" s="22">
        <f>IF(LEFT(C322,7)&lt;&gt;"Sprint_","",IF(COUNTIFS(Versuchsdaten!$A$2:$A$1117,$A322,Versuchsdaten!$B$2:$B$1117,$B322,Versuchsdaten!$C$2:$C$1117,"Sprint_30m",Versuchsdaten!$E$2:$E$1117,$E322,Versuchsdaten!$J$2:$J$1117,1)=1,SUMIFS(Versuchsdaten!$F$2:$F$1117,Versuchsdaten!$A$2:$A$1117,$A322,Versuchsdaten!$B$2:$B$1117,$B322,Versuchsdaten!$C$2:$C$1117,"Sprint_30m",Versuchsdaten!$E$2:$E$1117,$E322,Versuchsdaten!$J$2:$J$1117,1),""))</f>
        <v/>
      </c>
      <c r="N322" s="22">
        <f>IF(LEFT(C322,7)&lt;&gt;"Sprint_",0,IF(IF(ISNUMBER(K322),IF(K322&lt;=0,1,IF(5/K322&gt;10,1,0)),0)+IF(ISNUMBER(L322),IF(ISNUMBER(K322),IF(L322-K322&lt;=0,1,IF(5/(L322-K322)&gt;10,1,0)),IF(L322&lt;=0,1,IF(10/L322&gt;10,1,0))),0)+IF(ISNUMBER(M322),IF(ISNUMBER(L322),IF(M322-L322&lt;=0,1,IF(20/(M322-L322)&gt;10,1,0)),IF(ISNUMBER(K322),IF(M322-K322&lt;=0,1,IF(25/(M322-K322)&gt;10,1,0)),IF(M322&lt;=0,1,IF(30/M322&gt;10,1,0)))),0)&gt;0,1,0))</f>
        <v/>
      </c>
      <c r="O322" s="22">
        <f>IF(AND(J322=1,N322=0),1,0)</f>
        <v/>
      </c>
      <c r="P322" s="22">
        <f>INDEX(Personendaten!$J$2:$J$32,MATCH(A322,Personendaten!$A$2:$A$32,0))</f>
        <v/>
      </c>
      <c r="Q322" s="22">
        <f>IF(O322=1,"",IF(AND(B322="post",P322="nicht angetreten"),"NANG",IF(N322=1,"AUSL",IFERROR(VLOOKUP(H322,Vokabular!$A$2:$B$8,2,FALSE),"UNBEKANNT"))))</f>
        <v/>
      </c>
    </row>
    <row r="323">
      <c r="A323" s="5" t="inlineStr">
        <is>
          <t>HL-08</t>
        </is>
      </c>
      <c r="B323" s="5" t="inlineStr">
        <is>
          <t>prä</t>
        </is>
      </c>
      <c r="C323" s="5" t="inlineStr">
        <is>
          <t>COD_505</t>
        </is>
      </c>
      <c r="D323" s="5" t="inlineStr">
        <is>
          <t>R</t>
        </is>
      </c>
      <c r="E323" s="5" t="n">
        <v>1</v>
      </c>
      <c r="F323" s="5" t="n"/>
      <c r="G323" s="5" t="n"/>
      <c r="H323" s="5" t="inlineStr">
        <is>
          <t>System nicht aufgenommen</t>
        </is>
      </c>
      <c r="I323" s="22">
        <f>INDEX(Personendaten!$C$2:$C$32,MATCH(A323,Personendaten!$A$2:$A$32,0))</f>
        <v/>
      </c>
      <c r="J323" s="22">
        <f>IF(AND(F323&lt;&gt;"",G323=""),1,0)</f>
        <v/>
      </c>
      <c r="K323" s="22">
        <f>IF(LEFT(C323,7)&lt;&gt;"Sprint_","",IF(COUNTIFS(Versuchsdaten!$A$2:$A$1117,$A323,Versuchsdaten!$B$2:$B$1117,$B323,Versuchsdaten!$C$2:$C$1117,"Sprint_5m",Versuchsdaten!$E$2:$E$1117,$E323,Versuchsdaten!$J$2:$J$1117,1)=1,SUMIFS(Versuchsdaten!$F$2:$F$1117,Versuchsdaten!$A$2:$A$1117,$A323,Versuchsdaten!$B$2:$B$1117,$B323,Versuchsdaten!$C$2:$C$1117,"Sprint_5m",Versuchsdaten!$E$2:$E$1117,$E323,Versuchsdaten!$J$2:$J$1117,1),""))</f>
        <v/>
      </c>
      <c r="L323" s="22">
        <f>IF(LEFT(C323,7)&lt;&gt;"Sprint_","",IF(COUNTIFS(Versuchsdaten!$A$2:$A$1117,$A323,Versuchsdaten!$B$2:$B$1117,$B323,Versuchsdaten!$C$2:$C$1117,"Sprint_10m",Versuchsdaten!$E$2:$E$1117,$E323,Versuchsdaten!$J$2:$J$1117,1)=1,SUMIFS(Versuchsdaten!$F$2:$F$1117,Versuchsdaten!$A$2:$A$1117,$A323,Versuchsdaten!$B$2:$B$1117,$B323,Versuchsdaten!$C$2:$C$1117,"Sprint_10m",Versuchsdaten!$E$2:$E$1117,$E323,Versuchsdaten!$J$2:$J$1117,1),""))</f>
        <v/>
      </c>
      <c r="M323" s="22">
        <f>IF(LEFT(C323,7)&lt;&gt;"Sprint_","",IF(COUNTIFS(Versuchsdaten!$A$2:$A$1117,$A323,Versuchsdaten!$B$2:$B$1117,$B323,Versuchsdaten!$C$2:$C$1117,"Sprint_30m",Versuchsdaten!$E$2:$E$1117,$E323,Versuchsdaten!$J$2:$J$1117,1)=1,SUMIFS(Versuchsdaten!$F$2:$F$1117,Versuchsdaten!$A$2:$A$1117,$A323,Versuchsdaten!$B$2:$B$1117,$B323,Versuchsdaten!$C$2:$C$1117,"Sprint_30m",Versuchsdaten!$E$2:$E$1117,$E323,Versuchsdaten!$J$2:$J$1117,1),""))</f>
        <v/>
      </c>
      <c r="N323" s="22">
        <f>IF(LEFT(C323,7)&lt;&gt;"Sprint_",0,IF(IF(ISNUMBER(K323),IF(K323&lt;=0,1,IF(5/K323&gt;10,1,0)),0)+IF(ISNUMBER(L323),IF(ISNUMBER(K323),IF(L323-K323&lt;=0,1,IF(5/(L323-K323)&gt;10,1,0)),IF(L323&lt;=0,1,IF(10/L323&gt;10,1,0))),0)+IF(ISNUMBER(M323),IF(ISNUMBER(L323),IF(M323-L323&lt;=0,1,IF(20/(M323-L323)&gt;10,1,0)),IF(ISNUMBER(K323),IF(M323-K323&lt;=0,1,IF(25/(M323-K323)&gt;10,1,0)),IF(M323&lt;=0,1,IF(30/M323&gt;10,1,0)))),0)&gt;0,1,0))</f>
        <v/>
      </c>
      <c r="O323" s="22">
        <f>IF(AND(J323=1,N323=0),1,0)</f>
        <v/>
      </c>
      <c r="P323" s="22">
        <f>INDEX(Personendaten!$J$2:$J$32,MATCH(A323,Personendaten!$A$2:$A$32,0))</f>
        <v/>
      </c>
      <c r="Q323" s="22">
        <f>IF(O323=1,"",IF(AND(B323="post",P323="nicht angetreten"),"NANG",IF(N323=1,"AUSL",IFERROR(VLOOKUP(H323,Vokabular!$A$2:$B$8,2,FALSE),"UNBEKANNT"))))</f>
        <v/>
      </c>
    </row>
    <row r="324">
      <c r="A324" s="5" t="inlineStr">
        <is>
          <t>HL-08</t>
        </is>
      </c>
      <c r="B324" s="5" t="inlineStr">
        <is>
          <t>prä</t>
        </is>
      </c>
      <c r="C324" s="5" t="inlineStr">
        <is>
          <t>COD_505</t>
        </is>
      </c>
      <c r="D324" s="5" t="inlineStr">
        <is>
          <t>R</t>
        </is>
      </c>
      <c r="E324" s="5" t="n">
        <v>2</v>
      </c>
      <c r="F324" s="5" t="n">
        <v>2.49</v>
      </c>
      <c r="G324" s="5" t="n"/>
      <c r="H324" s="5" t="n"/>
      <c r="I324" s="22">
        <f>INDEX(Personendaten!$C$2:$C$32,MATCH(A324,Personendaten!$A$2:$A$32,0))</f>
        <v/>
      </c>
      <c r="J324" s="22">
        <f>IF(AND(F324&lt;&gt;"",G324=""),1,0)</f>
        <v/>
      </c>
      <c r="K324" s="22">
        <f>IF(LEFT(C324,7)&lt;&gt;"Sprint_","",IF(COUNTIFS(Versuchsdaten!$A$2:$A$1117,$A324,Versuchsdaten!$B$2:$B$1117,$B324,Versuchsdaten!$C$2:$C$1117,"Sprint_5m",Versuchsdaten!$E$2:$E$1117,$E324,Versuchsdaten!$J$2:$J$1117,1)=1,SUMIFS(Versuchsdaten!$F$2:$F$1117,Versuchsdaten!$A$2:$A$1117,$A324,Versuchsdaten!$B$2:$B$1117,$B324,Versuchsdaten!$C$2:$C$1117,"Sprint_5m",Versuchsdaten!$E$2:$E$1117,$E324,Versuchsdaten!$J$2:$J$1117,1),""))</f>
        <v/>
      </c>
      <c r="L324" s="22">
        <f>IF(LEFT(C324,7)&lt;&gt;"Sprint_","",IF(COUNTIFS(Versuchsdaten!$A$2:$A$1117,$A324,Versuchsdaten!$B$2:$B$1117,$B324,Versuchsdaten!$C$2:$C$1117,"Sprint_10m",Versuchsdaten!$E$2:$E$1117,$E324,Versuchsdaten!$J$2:$J$1117,1)=1,SUMIFS(Versuchsdaten!$F$2:$F$1117,Versuchsdaten!$A$2:$A$1117,$A324,Versuchsdaten!$B$2:$B$1117,$B324,Versuchsdaten!$C$2:$C$1117,"Sprint_10m",Versuchsdaten!$E$2:$E$1117,$E324,Versuchsdaten!$J$2:$J$1117,1),""))</f>
        <v/>
      </c>
      <c r="M324" s="22">
        <f>IF(LEFT(C324,7)&lt;&gt;"Sprint_","",IF(COUNTIFS(Versuchsdaten!$A$2:$A$1117,$A324,Versuchsdaten!$B$2:$B$1117,$B324,Versuchsdaten!$C$2:$C$1117,"Sprint_30m",Versuchsdaten!$E$2:$E$1117,$E324,Versuchsdaten!$J$2:$J$1117,1)=1,SUMIFS(Versuchsdaten!$F$2:$F$1117,Versuchsdaten!$A$2:$A$1117,$A324,Versuchsdaten!$B$2:$B$1117,$B324,Versuchsdaten!$C$2:$C$1117,"Sprint_30m",Versuchsdaten!$E$2:$E$1117,$E324,Versuchsdaten!$J$2:$J$1117,1),""))</f>
        <v/>
      </c>
      <c r="N324" s="22">
        <f>IF(LEFT(C324,7)&lt;&gt;"Sprint_",0,IF(IF(ISNUMBER(K324),IF(K324&lt;=0,1,IF(5/K324&gt;10,1,0)),0)+IF(ISNUMBER(L324),IF(ISNUMBER(K324),IF(L324-K324&lt;=0,1,IF(5/(L324-K324)&gt;10,1,0)),IF(L324&lt;=0,1,IF(10/L324&gt;10,1,0))),0)+IF(ISNUMBER(M324),IF(ISNUMBER(L324),IF(M324-L324&lt;=0,1,IF(20/(M324-L324)&gt;10,1,0)),IF(ISNUMBER(K324),IF(M324-K324&lt;=0,1,IF(25/(M324-K324)&gt;10,1,0)),IF(M324&lt;=0,1,IF(30/M324&gt;10,1,0)))),0)&gt;0,1,0))</f>
        <v/>
      </c>
      <c r="O324" s="22">
        <f>IF(AND(J324=1,N324=0),1,0)</f>
        <v/>
      </c>
      <c r="P324" s="22">
        <f>INDEX(Personendaten!$J$2:$J$32,MATCH(A324,Personendaten!$A$2:$A$32,0))</f>
        <v/>
      </c>
      <c r="Q324" s="22">
        <f>IF(O324=1,"",IF(AND(B324="post",P324="nicht angetreten"),"NANG",IF(N324=1,"AUSL",IFERROR(VLOOKUP(H324,Vokabular!$A$2:$B$8,2,FALSE),"UNBEKANNT"))))</f>
        <v/>
      </c>
    </row>
    <row r="325">
      <c r="A325" s="5" t="inlineStr">
        <is>
          <t>HL-08</t>
        </is>
      </c>
      <c r="B325" s="5" t="inlineStr">
        <is>
          <t>prä</t>
        </is>
      </c>
      <c r="C325" s="5" t="inlineStr">
        <is>
          <t>COD_505</t>
        </is>
      </c>
      <c r="D325" s="5" t="inlineStr">
        <is>
          <t>R</t>
        </is>
      </c>
      <c r="E325" s="5" t="n">
        <v>3</v>
      </c>
      <c r="F325" s="5" t="n">
        <v>2.53</v>
      </c>
      <c r="G325" s="5" t="n"/>
      <c r="H325" s="5" t="n"/>
      <c r="I325" s="22">
        <f>INDEX(Personendaten!$C$2:$C$32,MATCH(A325,Personendaten!$A$2:$A$32,0))</f>
        <v/>
      </c>
      <c r="J325" s="22">
        <f>IF(AND(F325&lt;&gt;"",G325=""),1,0)</f>
        <v/>
      </c>
      <c r="K325" s="22">
        <f>IF(LEFT(C325,7)&lt;&gt;"Sprint_","",IF(COUNTIFS(Versuchsdaten!$A$2:$A$1117,$A325,Versuchsdaten!$B$2:$B$1117,$B325,Versuchsdaten!$C$2:$C$1117,"Sprint_5m",Versuchsdaten!$E$2:$E$1117,$E325,Versuchsdaten!$J$2:$J$1117,1)=1,SUMIFS(Versuchsdaten!$F$2:$F$1117,Versuchsdaten!$A$2:$A$1117,$A325,Versuchsdaten!$B$2:$B$1117,$B325,Versuchsdaten!$C$2:$C$1117,"Sprint_5m",Versuchsdaten!$E$2:$E$1117,$E325,Versuchsdaten!$J$2:$J$1117,1),""))</f>
        <v/>
      </c>
      <c r="L325" s="22">
        <f>IF(LEFT(C325,7)&lt;&gt;"Sprint_","",IF(COUNTIFS(Versuchsdaten!$A$2:$A$1117,$A325,Versuchsdaten!$B$2:$B$1117,$B325,Versuchsdaten!$C$2:$C$1117,"Sprint_10m",Versuchsdaten!$E$2:$E$1117,$E325,Versuchsdaten!$J$2:$J$1117,1)=1,SUMIFS(Versuchsdaten!$F$2:$F$1117,Versuchsdaten!$A$2:$A$1117,$A325,Versuchsdaten!$B$2:$B$1117,$B325,Versuchsdaten!$C$2:$C$1117,"Sprint_10m",Versuchsdaten!$E$2:$E$1117,$E325,Versuchsdaten!$J$2:$J$1117,1),""))</f>
        <v/>
      </c>
      <c r="M325" s="22">
        <f>IF(LEFT(C325,7)&lt;&gt;"Sprint_","",IF(COUNTIFS(Versuchsdaten!$A$2:$A$1117,$A325,Versuchsdaten!$B$2:$B$1117,$B325,Versuchsdaten!$C$2:$C$1117,"Sprint_30m",Versuchsdaten!$E$2:$E$1117,$E325,Versuchsdaten!$J$2:$J$1117,1)=1,SUMIFS(Versuchsdaten!$F$2:$F$1117,Versuchsdaten!$A$2:$A$1117,$A325,Versuchsdaten!$B$2:$B$1117,$B325,Versuchsdaten!$C$2:$C$1117,"Sprint_30m",Versuchsdaten!$E$2:$E$1117,$E325,Versuchsdaten!$J$2:$J$1117,1),""))</f>
        <v/>
      </c>
      <c r="N325" s="22">
        <f>IF(LEFT(C325,7)&lt;&gt;"Sprint_",0,IF(IF(ISNUMBER(K325),IF(K325&lt;=0,1,IF(5/K325&gt;10,1,0)),0)+IF(ISNUMBER(L325),IF(ISNUMBER(K325),IF(L325-K325&lt;=0,1,IF(5/(L325-K325)&gt;10,1,0)),IF(L325&lt;=0,1,IF(10/L325&gt;10,1,0))),0)+IF(ISNUMBER(M325),IF(ISNUMBER(L325),IF(M325-L325&lt;=0,1,IF(20/(M325-L325)&gt;10,1,0)),IF(ISNUMBER(K325),IF(M325-K325&lt;=0,1,IF(25/(M325-K325)&gt;10,1,0)),IF(M325&lt;=0,1,IF(30/M325&gt;10,1,0)))),0)&gt;0,1,0))</f>
        <v/>
      </c>
      <c r="O325" s="22">
        <f>IF(AND(J325=1,N325=0),1,0)</f>
        <v/>
      </c>
      <c r="P325" s="22">
        <f>INDEX(Personendaten!$J$2:$J$32,MATCH(A325,Personendaten!$A$2:$A$32,0))</f>
        <v/>
      </c>
      <c r="Q325" s="22">
        <f>IF(O325=1,"",IF(AND(B325="post",P325="nicht angetreten"),"NANG",IF(N325=1,"AUSL",IFERROR(VLOOKUP(H325,Vokabular!$A$2:$B$8,2,FALSE),"UNBEKANNT"))))</f>
        <v/>
      </c>
    </row>
    <row r="326">
      <c r="A326" s="5" t="inlineStr">
        <is>
          <t>VS-01</t>
        </is>
      </c>
      <c r="B326" s="5" t="inlineStr">
        <is>
          <t>prä</t>
        </is>
      </c>
      <c r="C326" s="5" t="inlineStr">
        <is>
          <t>Sprint_5m</t>
        </is>
      </c>
      <c r="D326" s="5" t="inlineStr">
        <is>
          <t>–</t>
        </is>
      </c>
      <c r="E326" s="5" t="n">
        <v>1</v>
      </c>
      <c r="F326" s="5" t="n"/>
      <c r="G326" s="5" t="n"/>
      <c r="H326" s="5" t="inlineStr">
        <is>
          <t>System nicht aufgenommen</t>
        </is>
      </c>
      <c r="I326" s="22">
        <f>INDEX(Personendaten!$C$2:$C$32,MATCH(A326,Personendaten!$A$2:$A$32,0))</f>
        <v/>
      </c>
      <c r="J326" s="22">
        <f>IF(AND(F326&lt;&gt;"",G326=""),1,0)</f>
        <v/>
      </c>
      <c r="K326" s="22">
        <f>IF(LEFT(C326,7)&lt;&gt;"Sprint_","",IF(COUNTIFS(Versuchsdaten!$A$2:$A$1117,$A326,Versuchsdaten!$B$2:$B$1117,$B326,Versuchsdaten!$C$2:$C$1117,"Sprint_5m",Versuchsdaten!$E$2:$E$1117,$E326,Versuchsdaten!$J$2:$J$1117,1)=1,SUMIFS(Versuchsdaten!$F$2:$F$1117,Versuchsdaten!$A$2:$A$1117,$A326,Versuchsdaten!$B$2:$B$1117,$B326,Versuchsdaten!$C$2:$C$1117,"Sprint_5m",Versuchsdaten!$E$2:$E$1117,$E326,Versuchsdaten!$J$2:$J$1117,1),""))</f>
        <v/>
      </c>
      <c r="L326" s="22">
        <f>IF(LEFT(C326,7)&lt;&gt;"Sprint_","",IF(COUNTIFS(Versuchsdaten!$A$2:$A$1117,$A326,Versuchsdaten!$B$2:$B$1117,$B326,Versuchsdaten!$C$2:$C$1117,"Sprint_10m",Versuchsdaten!$E$2:$E$1117,$E326,Versuchsdaten!$J$2:$J$1117,1)=1,SUMIFS(Versuchsdaten!$F$2:$F$1117,Versuchsdaten!$A$2:$A$1117,$A326,Versuchsdaten!$B$2:$B$1117,$B326,Versuchsdaten!$C$2:$C$1117,"Sprint_10m",Versuchsdaten!$E$2:$E$1117,$E326,Versuchsdaten!$J$2:$J$1117,1),""))</f>
        <v/>
      </c>
      <c r="M326" s="22">
        <f>IF(LEFT(C326,7)&lt;&gt;"Sprint_","",IF(COUNTIFS(Versuchsdaten!$A$2:$A$1117,$A326,Versuchsdaten!$B$2:$B$1117,$B326,Versuchsdaten!$C$2:$C$1117,"Sprint_30m",Versuchsdaten!$E$2:$E$1117,$E326,Versuchsdaten!$J$2:$J$1117,1)=1,SUMIFS(Versuchsdaten!$F$2:$F$1117,Versuchsdaten!$A$2:$A$1117,$A326,Versuchsdaten!$B$2:$B$1117,$B326,Versuchsdaten!$C$2:$C$1117,"Sprint_30m",Versuchsdaten!$E$2:$E$1117,$E326,Versuchsdaten!$J$2:$J$1117,1),""))</f>
        <v/>
      </c>
      <c r="N326" s="22">
        <f>IF(LEFT(C326,7)&lt;&gt;"Sprint_",0,IF(IF(ISNUMBER(K326),IF(K326&lt;=0,1,IF(5/K326&gt;10,1,0)),0)+IF(ISNUMBER(L326),IF(ISNUMBER(K326),IF(L326-K326&lt;=0,1,IF(5/(L326-K326)&gt;10,1,0)),IF(L326&lt;=0,1,IF(10/L326&gt;10,1,0))),0)+IF(ISNUMBER(M326),IF(ISNUMBER(L326),IF(M326-L326&lt;=0,1,IF(20/(M326-L326)&gt;10,1,0)),IF(ISNUMBER(K326),IF(M326-K326&lt;=0,1,IF(25/(M326-K326)&gt;10,1,0)),IF(M326&lt;=0,1,IF(30/M326&gt;10,1,0)))),0)&gt;0,1,0))</f>
        <v/>
      </c>
      <c r="O326" s="22">
        <f>IF(AND(J326=1,N326=0),1,0)</f>
        <v/>
      </c>
      <c r="P326" s="22">
        <f>INDEX(Personendaten!$J$2:$J$32,MATCH(A326,Personendaten!$A$2:$A$32,0))</f>
        <v/>
      </c>
      <c r="Q326" s="22">
        <f>IF(O326=1,"",IF(AND(B326="post",P326="nicht angetreten"),"NANG",IF(N326=1,"AUSL",IFERROR(VLOOKUP(H326,Vokabular!$A$2:$B$8,2,FALSE),"UNBEKANNT"))))</f>
        <v/>
      </c>
    </row>
    <row r="327">
      <c r="A327" s="5" t="inlineStr">
        <is>
          <t>VS-01</t>
        </is>
      </c>
      <c r="B327" s="5" t="inlineStr">
        <is>
          <t>prä</t>
        </is>
      </c>
      <c r="C327" s="5" t="inlineStr">
        <is>
          <t>Sprint_5m</t>
        </is>
      </c>
      <c r="D327" s="5" t="inlineStr">
        <is>
          <t>–</t>
        </is>
      </c>
      <c r="E327" s="5" t="n">
        <v>2</v>
      </c>
      <c r="F327" s="5" t="n"/>
      <c r="G327" s="5" t="n"/>
      <c r="H327" s="5" t="inlineStr">
        <is>
          <t>System nicht aufgenommen</t>
        </is>
      </c>
      <c r="I327" s="22">
        <f>INDEX(Personendaten!$C$2:$C$32,MATCH(A327,Personendaten!$A$2:$A$32,0))</f>
        <v/>
      </c>
      <c r="J327" s="22">
        <f>IF(AND(F327&lt;&gt;"",G327=""),1,0)</f>
        <v/>
      </c>
      <c r="K327" s="22">
        <f>IF(LEFT(C327,7)&lt;&gt;"Sprint_","",IF(COUNTIFS(Versuchsdaten!$A$2:$A$1117,$A327,Versuchsdaten!$B$2:$B$1117,$B327,Versuchsdaten!$C$2:$C$1117,"Sprint_5m",Versuchsdaten!$E$2:$E$1117,$E327,Versuchsdaten!$J$2:$J$1117,1)=1,SUMIFS(Versuchsdaten!$F$2:$F$1117,Versuchsdaten!$A$2:$A$1117,$A327,Versuchsdaten!$B$2:$B$1117,$B327,Versuchsdaten!$C$2:$C$1117,"Sprint_5m",Versuchsdaten!$E$2:$E$1117,$E327,Versuchsdaten!$J$2:$J$1117,1),""))</f>
        <v/>
      </c>
      <c r="L327" s="22">
        <f>IF(LEFT(C327,7)&lt;&gt;"Sprint_","",IF(COUNTIFS(Versuchsdaten!$A$2:$A$1117,$A327,Versuchsdaten!$B$2:$B$1117,$B327,Versuchsdaten!$C$2:$C$1117,"Sprint_10m",Versuchsdaten!$E$2:$E$1117,$E327,Versuchsdaten!$J$2:$J$1117,1)=1,SUMIFS(Versuchsdaten!$F$2:$F$1117,Versuchsdaten!$A$2:$A$1117,$A327,Versuchsdaten!$B$2:$B$1117,$B327,Versuchsdaten!$C$2:$C$1117,"Sprint_10m",Versuchsdaten!$E$2:$E$1117,$E327,Versuchsdaten!$J$2:$J$1117,1),""))</f>
        <v/>
      </c>
      <c r="M327" s="22">
        <f>IF(LEFT(C327,7)&lt;&gt;"Sprint_","",IF(COUNTIFS(Versuchsdaten!$A$2:$A$1117,$A327,Versuchsdaten!$B$2:$B$1117,$B327,Versuchsdaten!$C$2:$C$1117,"Sprint_30m",Versuchsdaten!$E$2:$E$1117,$E327,Versuchsdaten!$J$2:$J$1117,1)=1,SUMIFS(Versuchsdaten!$F$2:$F$1117,Versuchsdaten!$A$2:$A$1117,$A327,Versuchsdaten!$B$2:$B$1117,$B327,Versuchsdaten!$C$2:$C$1117,"Sprint_30m",Versuchsdaten!$E$2:$E$1117,$E327,Versuchsdaten!$J$2:$J$1117,1),""))</f>
        <v/>
      </c>
      <c r="N327" s="22">
        <f>IF(LEFT(C327,7)&lt;&gt;"Sprint_",0,IF(IF(ISNUMBER(K327),IF(K327&lt;=0,1,IF(5/K327&gt;10,1,0)),0)+IF(ISNUMBER(L327),IF(ISNUMBER(K327),IF(L327-K327&lt;=0,1,IF(5/(L327-K327)&gt;10,1,0)),IF(L327&lt;=0,1,IF(10/L327&gt;10,1,0))),0)+IF(ISNUMBER(M327),IF(ISNUMBER(L327),IF(M327-L327&lt;=0,1,IF(20/(M327-L327)&gt;10,1,0)),IF(ISNUMBER(K327),IF(M327-K327&lt;=0,1,IF(25/(M327-K327)&gt;10,1,0)),IF(M327&lt;=0,1,IF(30/M327&gt;10,1,0)))),0)&gt;0,1,0))</f>
        <v/>
      </c>
      <c r="O327" s="22">
        <f>IF(AND(J327=1,N327=0),1,0)</f>
        <v/>
      </c>
      <c r="P327" s="22">
        <f>INDEX(Personendaten!$J$2:$J$32,MATCH(A327,Personendaten!$A$2:$A$32,0))</f>
        <v/>
      </c>
      <c r="Q327" s="22">
        <f>IF(O327=1,"",IF(AND(B327="post",P327="nicht angetreten"),"NANG",IF(N327=1,"AUSL",IFERROR(VLOOKUP(H327,Vokabular!$A$2:$B$8,2,FALSE),"UNBEKANNT"))))</f>
        <v/>
      </c>
    </row>
    <row r="328">
      <c r="A328" s="5" t="inlineStr">
        <is>
          <t>VS-01</t>
        </is>
      </c>
      <c r="B328" s="5" t="inlineStr">
        <is>
          <t>prä</t>
        </is>
      </c>
      <c r="C328" s="5" t="inlineStr">
        <is>
          <t>Sprint_5m</t>
        </is>
      </c>
      <c r="D328" s="5" t="inlineStr">
        <is>
          <t>–</t>
        </is>
      </c>
      <c r="E328" s="5" t="n">
        <v>3</v>
      </c>
      <c r="F328" s="5" t="n">
        <v>1.09</v>
      </c>
      <c r="G328" s="5" t="n"/>
      <c r="H328" s="5" t="n"/>
      <c r="I328" s="22">
        <f>INDEX(Personendaten!$C$2:$C$32,MATCH(A328,Personendaten!$A$2:$A$32,0))</f>
        <v/>
      </c>
      <c r="J328" s="22">
        <f>IF(AND(F328&lt;&gt;"",G328=""),1,0)</f>
        <v/>
      </c>
      <c r="K328" s="22">
        <f>IF(LEFT(C328,7)&lt;&gt;"Sprint_","",IF(COUNTIFS(Versuchsdaten!$A$2:$A$1117,$A328,Versuchsdaten!$B$2:$B$1117,$B328,Versuchsdaten!$C$2:$C$1117,"Sprint_5m",Versuchsdaten!$E$2:$E$1117,$E328,Versuchsdaten!$J$2:$J$1117,1)=1,SUMIFS(Versuchsdaten!$F$2:$F$1117,Versuchsdaten!$A$2:$A$1117,$A328,Versuchsdaten!$B$2:$B$1117,$B328,Versuchsdaten!$C$2:$C$1117,"Sprint_5m",Versuchsdaten!$E$2:$E$1117,$E328,Versuchsdaten!$J$2:$J$1117,1),""))</f>
        <v/>
      </c>
      <c r="L328" s="22">
        <f>IF(LEFT(C328,7)&lt;&gt;"Sprint_","",IF(COUNTIFS(Versuchsdaten!$A$2:$A$1117,$A328,Versuchsdaten!$B$2:$B$1117,$B328,Versuchsdaten!$C$2:$C$1117,"Sprint_10m",Versuchsdaten!$E$2:$E$1117,$E328,Versuchsdaten!$J$2:$J$1117,1)=1,SUMIFS(Versuchsdaten!$F$2:$F$1117,Versuchsdaten!$A$2:$A$1117,$A328,Versuchsdaten!$B$2:$B$1117,$B328,Versuchsdaten!$C$2:$C$1117,"Sprint_10m",Versuchsdaten!$E$2:$E$1117,$E328,Versuchsdaten!$J$2:$J$1117,1),""))</f>
        <v/>
      </c>
      <c r="M328" s="22">
        <f>IF(LEFT(C328,7)&lt;&gt;"Sprint_","",IF(COUNTIFS(Versuchsdaten!$A$2:$A$1117,$A328,Versuchsdaten!$B$2:$B$1117,$B328,Versuchsdaten!$C$2:$C$1117,"Sprint_30m",Versuchsdaten!$E$2:$E$1117,$E328,Versuchsdaten!$J$2:$J$1117,1)=1,SUMIFS(Versuchsdaten!$F$2:$F$1117,Versuchsdaten!$A$2:$A$1117,$A328,Versuchsdaten!$B$2:$B$1117,$B328,Versuchsdaten!$C$2:$C$1117,"Sprint_30m",Versuchsdaten!$E$2:$E$1117,$E328,Versuchsdaten!$J$2:$J$1117,1),""))</f>
        <v/>
      </c>
      <c r="N328" s="22">
        <f>IF(LEFT(C328,7)&lt;&gt;"Sprint_",0,IF(IF(ISNUMBER(K328),IF(K328&lt;=0,1,IF(5/K328&gt;10,1,0)),0)+IF(ISNUMBER(L328),IF(ISNUMBER(K328),IF(L328-K328&lt;=0,1,IF(5/(L328-K328)&gt;10,1,0)),IF(L328&lt;=0,1,IF(10/L328&gt;10,1,0))),0)+IF(ISNUMBER(M328),IF(ISNUMBER(L328),IF(M328-L328&lt;=0,1,IF(20/(M328-L328)&gt;10,1,0)),IF(ISNUMBER(K328),IF(M328-K328&lt;=0,1,IF(25/(M328-K328)&gt;10,1,0)),IF(M328&lt;=0,1,IF(30/M328&gt;10,1,0)))),0)&gt;0,1,0))</f>
        <v/>
      </c>
      <c r="O328" s="22">
        <f>IF(AND(J328=1,N328=0),1,0)</f>
        <v/>
      </c>
      <c r="P328" s="22">
        <f>INDEX(Personendaten!$J$2:$J$32,MATCH(A328,Personendaten!$A$2:$A$32,0))</f>
        <v/>
      </c>
      <c r="Q328" s="22">
        <f>IF(O328=1,"",IF(AND(B328="post",P328="nicht angetreten"),"NANG",IF(N328=1,"AUSL",IFERROR(VLOOKUP(H328,Vokabular!$A$2:$B$8,2,FALSE),"UNBEKANNT"))))</f>
        <v/>
      </c>
    </row>
    <row r="329">
      <c r="A329" s="5" t="inlineStr">
        <is>
          <t>VS-01</t>
        </is>
      </c>
      <c r="B329" s="5" t="inlineStr">
        <is>
          <t>prä</t>
        </is>
      </c>
      <c r="C329" s="5" t="inlineStr">
        <is>
          <t>Sprint_10m</t>
        </is>
      </c>
      <c r="D329" s="5" t="inlineStr">
        <is>
          <t>–</t>
        </is>
      </c>
      <c r="E329" s="5" t="n">
        <v>1</v>
      </c>
      <c r="F329" s="5" t="n"/>
      <c r="G329" s="5" t="n"/>
      <c r="H329" s="5" t="inlineStr">
        <is>
          <t>System nicht aufgenommen</t>
        </is>
      </c>
      <c r="I329" s="22">
        <f>INDEX(Personendaten!$C$2:$C$32,MATCH(A329,Personendaten!$A$2:$A$32,0))</f>
        <v/>
      </c>
      <c r="J329" s="22">
        <f>IF(AND(F329&lt;&gt;"",G329=""),1,0)</f>
        <v/>
      </c>
      <c r="K329" s="22">
        <f>IF(LEFT(C329,7)&lt;&gt;"Sprint_","",IF(COUNTIFS(Versuchsdaten!$A$2:$A$1117,$A329,Versuchsdaten!$B$2:$B$1117,$B329,Versuchsdaten!$C$2:$C$1117,"Sprint_5m",Versuchsdaten!$E$2:$E$1117,$E329,Versuchsdaten!$J$2:$J$1117,1)=1,SUMIFS(Versuchsdaten!$F$2:$F$1117,Versuchsdaten!$A$2:$A$1117,$A329,Versuchsdaten!$B$2:$B$1117,$B329,Versuchsdaten!$C$2:$C$1117,"Sprint_5m",Versuchsdaten!$E$2:$E$1117,$E329,Versuchsdaten!$J$2:$J$1117,1),""))</f>
        <v/>
      </c>
      <c r="L329" s="22">
        <f>IF(LEFT(C329,7)&lt;&gt;"Sprint_","",IF(COUNTIFS(Versuchsdaten!$A$2:$A$1117,$A329,Versuchsdaten!$B$2:$B$1117,$B329,Versuchsdaten!$C$2:$C$1117,"Sprint_10m",Versuchsdaten!$E$2:$E$1117,$E329,Versuchsdaten!$J$2:$J$1117,1)=1,SUMIFS(Versuchsdaten!$F$2:$F$1117,Versuchsdaten!$A$2:$A$1117,$A329,Versuchsdaten!$B$2:$B$1117,$B329,Versuchsdaten!$C$2:$C$1117,"Sprint_10m",Versuchsdaten!$E$2:$E$1117,$E329,Versuchsdaten!$J$2:$J$1117,1),""))</f>
        <v/>
      </c>
      <c r="M329" s="22">
        <f>IF(LEFT(C329,7)&lt;&gt;"Sprint_","",IF(COUNTIFS(Versuchsdaten!$A$2:$A$1117,$A329,Versuchsdaten!$B$2:$B$1117,$B329,Versuchsdaten!$C$2:$C$1117,"Sprint_30m",Versuchsdaten!$E$2:$E$1117,$E329,Versuchsdaten!$J$2:$J$1117,1)=1,SUMIFS(Versuchsdaten!$F$2:$F$1117,Versuchsdaten!$A$2:$A$1117,$A329,Versuchsdaten!$B$2:$B$1117,$B329,Versuchsdaten!$C$2:$C$1117,"Sprint_30m",Versuchsdaten!$E$2:$E$1117,$E329,Versuchsdaten!$J$2:$J$1117,1),""))</f>
        <v/>
      </c>
      <c r="N329" s="22">
        <f>IF(LEFT(C329,7)&lt;&gt;"Sprint_",0,IF(IF(ISNUMBER(K329),IF(K329&lt;=0,1,IF(5/K329&gt;10,1,0)),0)+IF(ISNUMBER(L329),IF(ISNUMBER(K329),IF(L329-K329&lt;=0,1,IF(5/(L329-K329)&gt;10,1,0)),IF(L329&lt;=0,1,IF(10/L329&gt;10,1,0))),0)+IF(ISNUMBER(M329),IF(ISNUMBER(L329),IF(M329-L329&lt;=0,1,IF(20/(M329-L329)&gt;10,1,0)),IF(ISNUMBER(K329),IF(M329-K329&lt;=0,1,IF(25/(M329-K329)&gt;10,1,0)),IF(M329&lt;=0,1,IF(30/M329&gt;10,1,0)))),0)&gt;0,1,0))</f>
        <v/>
      </c>
      <c r="O329" s="22">
        <f>IF(AND(J329=1,N329=0),1,0)</f>
        <v/>
      </c>
      <c r="P329" s="22">
        <f>INDEX(Personendaten!$J$2:$J$32,MATCH(A329,Personendaten!$A$2:$A$32,0))</f>
        <v/>
      </c>
      <c r="Q329" s="22">
        <f>IF(O329=1,"",IF(AND(B329="post",P329="nicht angetreten"),"NANG",IF(N329=1,"AUSL",IFERROR(VLOOKUP(H329,Vokabular!$A$2:$B$8,2,FALSE),"UNBEKANNT"))))</f>
        <v/>
      </c>
    </row>
    <row r="330">
      <c r="A330" s="5" t="inlineStr">
        <is>
          <t>VS-01</t>
        </is>
      </c>
      <c r="B330" s="5" t="inlineStr">
        <is>
          <t>prä</t>
        </is>
      </c>
      <c r="C330" s="5" t="inlineStr">
        <is>
          <t>Sprint_10m</t>
        </is>
      </c>
      <c r="D330" s="5" t="inlineStr">
        <is>
          <t>–</t>
        </is>
      </c>
      <c r="E330" s="5" t="n">
        <v>2</v>
      </c>
      <c r="F330" s="5" t="n"/>
      <c r="G330" s="5" t="n"/>
      <c r="H330" s="5" t="inlineStr">
        <is>
          <t>System nicht aufgenommen</t>
        </is>
      </c>
      <c r="I330" s="22">
        <f>INDEX(Personendaten!$C$2:$C$32,MATCH(A330,Personendaten!$A$2:$A$32,0))</f>
        <v/>
      </c>
      <c r="J330" s="22">
        <f>IF(AND(F330&lt;&gt;"",G330=""),1,0)</f>
        <v/>
      </c>
      <c r="K330" s="22">
        <f>IF(LEFT(C330,7)&lt;&gt;"Sprint_","",IF(COUNTIFS(Versuchsdaten!$A$2:$A$1117,$A330,Versuchsdaten!$B$2:$B$1117,$B330,Versuchsdaten!$C$2:$C$1117,"Sprint_5m",Versuchsdaten!$E$2:$E$1117,$E330,Versuchsdaten!$J$2:$J$1117,1)=1,SUMIFS(Versuchsdaten!$F$2:$F$1117,Versuchsdaten!$A$2:$A$1117,$A330,Versuchsdaten!$B$2:$B$1117,$B330,Versuchsdaten!$C$2:$C$1117,"Sprint_5m",Versuchsdaten!$E$2:$E$1117,$E330,Versuchsdaten!$J$2:$J$1117,1),""))</f>
        <v/>
      </c>
      <c r="L330" s="22">
        <f>IF(LEFT(C330,7)&lt;&gt;"Sprint_","",IF(COUNTIFS(Versuchsdaten!$A$2:$A$1117,$A330,Versuchsdaten!$B$2:$B$1117,$B330,Versuchsdaten!$C$2:$C$1117,"Sprint_10m",Versuchsdaten!$E$2:$E$1117,$E330,Versuchsdaten!$J$2:$J$1117,1)=1,SUMIFS(Versuchsdaten!$F$2:$F$1117,Versuchsdaten!$A$2:$A$1117,$A330,Versuchsdaten!$B$2:$B$1117,$B330,Versuchsdaten!$C$2:$C$1117,"Sprint_10m",Versuchsdaten!$E$2:$E$1117,$E330,Versuchsdaten!$J$2:$J$1117,1),""))</f>
        <v/>
      </c>
      <c r="M330" s="22">
        <f>IF(LEFT(C330,7)&lt;&gt;"Sprint_","",IF(COUNTIFS(Versuchsdaten!$A$2:$A$1117,$A330,Versuchsdaten!$B$2:$B$1117,$B330,Versuchsdaten!$C$2:$C$1117,"Sprint_30m",Versuchsdaten!$E$2:$E$1117,$E330,Versuchsdaten!$J$2:$J$1117,1)=1,SUMIFS(Versuchsdaten!$F$2:$F$1117,Versuchsdaten!$A$2:$A$1117,$A330,Versuchsdaten!$B$2:$B$1117,$B330,Versuchsdaten!$C$2:$C$1117,"Sprint_30m",Versuchsdaten!$E$2:$E$1117,$E330,Versuchsdaten!$J$2:$J$1117,1),""))</f>
        <v/>
      </c>
      <c r="N330" s="22">
        <f>IF(LEFT(C330,7)&lt;&gt;"Sprint_",0,IF(IF(ISNUMBER(K330),IF(K330&lt;=0,1,IF(5/K330&gt;10,1,0)),0)+IF(ISNUMBER(L330),IF(ISNUMBER(K330),IF(L330-K330&lt;=0,1,IF(5/(L330-K330)&gt;10,1,0)),IF(L330&lt;=0,1,IF(10/L330&gt;10,1,0))),0)+IF(ISNUMBER(M330),IF(ISNUMBER(L330),IF(M330-L330&lt;=0,1,IF(20/(M330-L330)&gt;10,1,0)),IF(ISNUMBER(K330),IF(M330-K330&lt;=0,1,IF(25/(M330-K330)&gt;10,1,0)),IF(M330&lt;=0,1,IF(30/M330&gt;10,1,0)))),0)&gt;0,1,0))</f>
        <v/>
      </c>
      <c r="O330" s="22">
        <f>IF(AND(J330=1,N330=0),1,0)</f>
        <v/>
      </c>
      <c r="P330" s="22">
        <f>INDEX(Personendaten!$J$2:$J$32,MATCH(A330,Personendaten!$A$2:$A$32,0))</f>
        <v/>
      </c>
      <c r="Q330" s="22">
        <f>IF(O330=1,"",IF(AND(B330="post",P330="nicht angetreten"),"NANG",IF(N330=1,"AUSL",IFERROR(VLOOKUP(H330,Vokabular!$A$2:$B$8,2,FALSE),"UNBEKANNT"))))</f>
        <v/>
      </c>
    </row>
    <row r="331">
      <c r="A331" s="5" t="inlineStr">
        <is>
          <t>VS-01</t>
        </is>
      </c>
      <c r="B331" s="5" t="inlineStr">
        <is>
          <t>prä</t>
        </is>
      </c>
      <c r="C331" s="5" t="inlineStr">
        <is>
          <t>Sprint_10m</t>
        </is>
      </c>
      <c r="D331" s="5" t="inlineStr">
        <is>
          <t>–</t>
        </is>
      </c>
      <c r="E331" s="5" t="n">
        <v>3</v>
      </c>
      <c r="F331" s="5" t="n">
        <v>1.93</v>
      </c>
      <c r="G331" s="5" t="n"/>
      <c r="H331" s="5" t="n"/>
      <c r="I331" s="22">
        <f>INDEX(Personendaten!$C$2:$C$32,MATCH(A331,Personendaten!$A$2:$A$32,0))</f>
        <v/>
      </c>
      <c r="J331" s="22">
        <f>IF(AND(F331&lt;&gt;"",G331=""),1,0)</f>
        <v/>
      </c>
      <c r="K331" s="22">
        <f>IF(LEFT(C331,7)&lt;&gt;"Sprint_","",IF(COUNTIFS(Versuchsdaten!$A$2:$A$1117,$A331,Versuchsdaten!$B$2:$B$1117,$B331,Versuchsdaten!$C$2:$C$1117,"Sprint_5m",Versuchsdaten!$E$2:$E$1117,$E331,Versuchsdaten!$J$2:$J$1117,1)=1,SUMIFS(Versuchsdaten!$F$2:$F$1117,Versuchsdaten!$A$2:$A$1117,$A331,Versuchsdaten!$B$2:$B$1117,$B331,Versuchsdaten!$C$2:$C$1117,"Sprint_5m",Versuchsdaten!$E$2:$E$1117,$E331,Versuchsdaten!$J$2:$J$1117,1),""))</f>
        <v/>
      </c>
      <c r="L331" s="22">
        <f>IF(LEFT(C331,7)&lt;&gt;"Sprint_","",IF(COUNTIFS(Versuchsdaten!$A$2:$A$1117,$A331,Versuchsdaten!$B$2:$B$1117,$B331,Versuchsdaten!$C$2:$C$1117,"Sprint_10m",Versuchsdaten!$E$2:$E$1117,$E331,Versuchsdaten!$J$2:$J$1117,1)=1,SUMIFS(Versuchsdaten!$F$2:$F$1117,Versuchsdaten!$A$2:$A$1117,$A331,Versuchsdaten!$B$2:$B$1117,$B331,Versuchsdaten!$C$2:$C$1117,"Sprint_10m",Versuchsdaten!$E$2:$E$1117,$E331,Versuchsdaten!$J$2:$J$1117,1),""))</f>
        <v/>
      </c>
      <c r="M331" s="22">
        <f>IF(LEFT(C331,7)&lt;&gt;"Sprint_","",IF(COUNTIFS(Versuchsdaten!$A$2:$A$1117,$A331,Versuchsdaten!$B$2:$B$1117,$B331,Versuchsdaten!$C$2:$C$1117,"Sprint_30m",Versuchsdaten!$E$2:$E$1117,$E331,Versuchsdaten!$J$2:$J$1117,1)=1,SUMIFS(Versuchsdaten!$F$2:$F$1117,Versuchsdaten!$A$2:$A$1117,$A331,Versuchsdaten!$B$2:$B$1117,$B331,Versuchsdaten!$C$2:$C$1117,"Sprint_30m",Versuchsdaten!$E$2:$E$1117,$E331,Versuchsdaten!$J$2:$J$1117,1),""))</f>
        <v/>
      </c>
      <c r="N331" s="22">
        <f>IF(LEFT(C331,7)&lt;&gt;"Sprint_",0,IF(IF(ISNUMBER(K331),IF(K331&lt;=0,1,IF(5/K331&gt;10,1,0)),0)+IF(ISNUMBER(L331),IF(ISNUMBER(K331),IF(L331-K331&lt;=0,1,IF(5/(L331-K331)&gt;10,1,0)),IF(L331&lt;=0,1,IF(10/L331&gt;10,1,0))),0)+IF(ISNUMBER(M331),IF(ISNUMBER(L331),IF(M331-L331&lt;=0,1,IF(20/(M331-L331)&gt;10,1,0)),IF(ISNUMBER(K331),IF(M331-K331&lt;=0,1,IF(25/(M331-K331)&gt;10,1,0)),IF(M331&lt;=0,1,IF(30/M331&gt;10,1,0)))),0)&gt;0,1,0))</f>
        <v/>
      </c>
      <c r="O331" s="22">
        <f>IF(AND(J331=1,N331=0),1,0)</f>
        <v/>
      </c>
      <c r="P331" s="22">
        <f>INDEX(Personendaten!$J$2:$J$32,MATCH(A331,Personendaten!$A$2:$A$32,0))</f>
        <v/>
      </c>
      <c r="Q331" s="22">
        <f>IF(O331=1,"",IF(AND(B331="post",P331="nicht angetreten"),"NANG",IF(N331=1,"AUSL",IFERROR(VLOOKUP(H331,Vokabular!$A$2:$B$8,2,FALSE),"UNBEKANNT"))))</f>
        <v/>
      </c>
    </row>
    <row r="332">
      <c r="A332" s="5" t="inlineStr">
        <is>
          <t>VS-01</t>
        </is>
      </c>
      <c r="B332" s="5" t="inlineStr">
        <is>
          <t>prä</t>
        </is>
      </c>
      <c r="C332" s="5" t="inlineStr">
        <is>
          <t>Sprint_30m</t>
        </is>
      </c>
      <c r="D332" s="5" t="inlineStr">
        <is>
          <t>–</t>
        </is>
      </c>
      <c r="E332" s="5" t="n">
        <v>1</v>
      </c>
      <c r="F332" s="5" t="n"/>
      <c r="G332" s="5" t="n"/>
      <c r="H332" s="5" t="inlineStr">
        <is>
          <t>System nicht aufgenommen</t>
        </is>
      </c>
      <c r="I332" s="22">
        <f>INDEX(Personendaten!$C$2:$C$32,MATCH(A332,Personendaten!$A$2:$A$32,0))</f>
        <v/>
      </c>
      <c r="J332" s="22">
        <f>IF(AND(F332&lt;&gt;"",G332=""),1,0)</f>
        <v/>
      </c>
      <c r="K332" s="22">
        <f>IF(LEFT(C332,7)&lt;&gt;"Sprint_","",IF(COUNTIFS(Versuchsdaten!$A$2:$A$1117,$A332,Versuchsdaten!$B$2:$B$1117,$B332,Versuchsdaten!$C$2:$C$1117,"Sprint_5m",Versuchsdaten!$E$2:$E$1117,$E332,Versuchsdaten!$J$2:$J$1117,1)=1,SUMIFS(Versuchsdaten!$F$2:$F$1117,Versuchsdaten!$A$2:$A$1117,$A332,Versuchsdaten!$B$2:$B$1117,$B332,Versuchsdaten!$C$2:$C$1117,"Sprint_5m",Versuchsdaten!$E$2:$E$1117,$E332,Versuchsdaten!$J$2:$J$1117,1),""))</f>
        <v/>
      </c>
      <c r="L332" s="22">
        <f>IF(LEFT(C332,7)&lt;&gt;"Sprint_","",IF(COUNTIFS(Versuchsdaten!$A$2:$A$1117,$A332,Versuchsdaten!$B$2:$B$1117,$B332,Versuchsdaten!$C$2:$C$1117,"Sprint_10m",Versuchsdaten!$E$2:$E$1117,$E332,Versuchsdaten!$J$2:$J$1117,1)=1,SUMIFS(Versuchsdaten!$F$2:$F$1117,Versuchsdaten!$A$2:$A$1117,$A332,Versuchsdaten!$B$2:$B$1117,$B332,Versuchsdaten!$C$2:$C$1117,"Sprint_10m",Versuchsdaten!$E$2:$E$1117,$E332,Versuchsdaten!$J$2:$J$1117,1),""))</f>
        <v/>
      </c>
      <c r="M332" s="22">
        <f>IF(LEFT(C332,7)&lt;&gt;"Sprint_","",IF(COUNTIFS(Versuchsdaten!$A$2:$A$1117,$A332,Versuchsdaten!$B$2:$B$1117,$B332,Versuchsdaten!$C$2:$C$1117,"Sprint_30m",Versuchsdaten!$E$2:$E$1117,$E332,Versuchsdaten!$J$2:$J$1117,1)=1,SUMIFS(Versuchsdaten!$F$2:$F$1117,Versuchsdaten!$A$2:$A$1117,$A332,Versuchsdaten!$B$2:$B$1117,$B332,Versuchsdaten!$C$2:$C$1117,"Sprint_30m",Versuchsdaten!$E$2:$E$1117,$E332,Versuchsdaten!$J$2:$J$1117,1),""))</f>
        <v/>
      </c>
      <c r="N332" s="22">
        <f>IF(LEFT(C332,7)&lt;&gt;"Sprint_",0,IF(IF(ISNUMBER(K332),IF(K332&lt;=0,1,IF(5/K332&gt;10,1,0)),0)+IF(ISNUMBER(L332),IF(ISNUMBER(K332),IF(L332-K332&lt;=0,1,IF(5/(L332-K332)&gt;10,1,0)),IF(L332&lt;=0,1,IF(10/L332&gt;10,1,0))),0)+IF(ISNUMBER(M332),IF(ISNUMBER(L332),IF(M332-L332&lt;=0,1,IF(20/(M332-L332)&gt;10,1,0)),IF(ISNUMBER(K332),IF(M332-K332&lt;=0,1,IF(25/(M332-K332)&gt;10,1,0)),IF(M332&lt;=0,1,IF(30/M332&gt;10,1,0)))),0)&gt;0,1,0))</f>
        <v/>
      </c>
      <c r="O332" s="22">
        <f>IF(AND(J332=1,N332=0),1,0)</f>
        <v/>
      </c>
      <c r="P332" s="22">
        <f>INDEX(Personendaten!$J$2:$J$32,MATCH(A332,Personendaten!$A$2:$A$32,0))</f>
        <v/>
      </c>
      <c r="Q332" s="22">
        <f>IF(O332=1,"",IF(AND(B332="post",P332="nicht angetreten"),"NANG",IF(N332=1,"AUSL",IFERROR(VLOOKUP(H332,Vokabular!$A$2:$B$8,2,FALSE),"UNBEKANNT"))))</f>
        <v/>
      </c>
    </row>
    <row r="333">
      <c r="A333" s="5" t="inlineStr">
        <is>
          <t>VS-01</t>
        </is>
      </c>
      <c r="B333" s="5" t="inlineStr">
        <is>
          <t>prä</t>
        </is>
      </c>
      <c r="C333" s="5" t="inlineStr">
        <is>
          <t>Sprint_30m</t>
        </is>
      </c>
      <c r="D333" s="5" t="inlineStr">
        <is>
          <t>–</t>
        </is>
      </c>
      <c r="E333" s="5" t="n">
        <v>2</v>
      </c>
      <c r="F333" s="5" t="n"/>
      <c r="G333" s="5" t="n"/>
      <c r="H333" s="5" t="inlineStr">
        <is>
          <t>System nicht aufgenommen</t>
        </is>
      </c>
      <c r="I333" s="22">
        <f>INDEX(Personendaten!$C$2:$C$32,MATCH(A333,Personendaten!$A$2:$A$32,0))</f>
        <v/>
      </c>
      <c r="J333" s="22">
        <f>IF(AND(F333&lt;&gt;"",G333=""),1,0)</f>
        <v/>
      </c>
      <c r="K333" s="22">
        <f>IF(LEFT(C333,7)&lt;&gt;"Sprint_","",IF(COUNTIFS(Versuchsdaten!$A$2:$A$1117,$A333,Versuchsdaten!$B$2:$B$1117,$B333,Versuchsdaten!$C$2:$C$1117,"Sprint_5m",Versuchsdaten!$E$2:$E$1117,$E333,Versuchsdaten!$J$2:$J$1117,1)=1,SUMIFS(Versuchsdaten!$F$2:$F$1117,Versuchsdaten!$A$2:$A$1117,$A333,Versuchsdaten!$B$2:$B$1117,$B333,Versuchsdaten!$C$2:$C$1117,"Sprint_5m",Versuchsdaten!$E$2:$E$1117,$E333,Versuchsdaten!$J$2:$J$1117,1),""))</f>
        <v/>
      </c>
      <c r="L333" s="22">
        <f>IF(LEFT(C333,7)&lt;&gt;"Sprint_","",IF(COUNTIFS(Versuchsdaten!$A$2:$A$1117,$A333,Versuchsdaten!$B$2:$B$1117,$B333,Versuchsdaten!$C$2:$C$1117,"Sprint_10m",Versuchsdaten!$E$2:$E$1117,$E333,Versuchsdaten!$J$2:$J$1117,1)=1,SUMIFS(Versuchsdaten!$F$2:$F$1117,Versuchsdaten!$A$2:$A$1117,$A333,Versuchsdaten!$B$2:$B$1117,$B333,Versuchsdaten!$C$2:$C$1117,"Sprint_10m",Versuchsdaten!$E$2:$E$1117,$E333,Versuchsdaten!$J$2:$J$1117,1),""))</f>
        <v/>
      </c>
      <c r="M333" s="22">
        <f>IF(LEFT(C333,7)&lt;&gt;"Sprint_","",IF(COUNTIFS(Versuchsdaten!$A$2:$A$1117,$A333,Versuchsdaten!$B$2:$B$1117,$B333,Versuchsdaten!$C$2:$C$1117,"Sprint_30m",Versuchsdaten!$E$2:$E$1117,$E333,Versuchsdaten!$J$2:$J$1117,1)=1,SUMIFS(Versuchsdaten!$F$2:$F$1117,Versuchsdaten!$A$2:$A$1117,$A333,Versuchsdaten!$B$2:$B$1117,$B333,Versuchsdaten!$C$2:$C$1117,"Sprint_30m",Versuchsdaten!$E$2:$E$1117,$E333,Versuchsdaten!$J$2:$J$1117,1),""))</f>
        <v/>
      </c>
      <c r="N333" s="22">
        <f>IF(LEFT(C333,7)&lt;&gt;"Sprint_",0,IF(IF(ISNUMBER(K333),IF(K333&lt;=0,1,IF(5/K333&gt;10,1,0)),0)+IF(ISNUMBER(L333),IF(ISNUMBER(K333),IF(L333-K333&lt;=0,1,IF(5/(L333-K333)&gt;10,1,0)),IF(L333&lt;=0,1,IF(10/L333&gt;10,1,0))),0)+IF(ISNUMBER(M333),IF(ISNUMBER(L333),IF(M333-L333&lt;=0,1,IF(20/(M333-L333)&gt;10,1,0)),IF(ISNUMBER(K333),IF(M333-K333&lt;=0,1,IF(25/(M333-K333)&gt;10,1,0)),IF(M333&lt;=0,1,IF(30/M333&gt;10,1,0)))),0)&gt;0,1,0))</f>
        <v/>
      </c>
      <c r="O333" s="22">
        <f>IF(AND(J333=1,N333=0),1,0)</f>
        <v/>
      </c>
      <c r="P333" s="22">
        <f>INDEX(Personendaten!$J$2:$J$32,MATCH(A333,Personendaten!$A$2:$A$32,0))</f>
        <v/>
      </c>
      <c r="Q333" s="22">
        <f>IF(O333=1,"",IF(AND(B333="post",P333="nicht angetreten"),"NANG",IF(N333=1,"AUSL",IFERROR(VLOOKUP(H333,Vokabular!$A$2:$B$8,2,FALSE),"UNBEKANNT"))))</f>
        <v/>
      </c>
    </row>
    <row r="334">
      <c r="A334" s="5" t="inlineStr">
        <is>
          <t>VS-01</t>
        </is>
      </c>
      <c r="B334" s="5" t="inlineStr">
        <is>
          <t>prä</t>
        </is>
      </c>
      <c r="C334" s="5" t="inlineStr">
        <is>
          <t>Sprint_30m</t>
        </is>
      </c>
      <c r="D334" s="5" t="inlineStr">
        <is>
          <t>–</t>
        </is>
      </c>
      <c r="E334" s="5" t="n">
        <v>3</v>
      </c>
      <c r="F334" s="5" t="n">
        <v>4.91</v>
      </c>
      <c r="G334" s="5" t="n"/>
      <c r="H334" s="5" t="n"/>
      <c r="I334" s="22">
        <f>INDEX(Personendaten!$C$2:$C$32,MATCH(A334,Personendaten!$A$2:$A$32,0))</f>
        <v/>
      </c>
      <c r="J334" s="22">
        <f>IF(AND(F334&lt;&gt;"",G334=""),1,0)</f>
        <v/>
      </c>
      <c r="K334" s="22">
        <f>IF(LEFT(C334,7)&lt;&gt;"Sprint_","",IF(COUNTIFS(Versuchsdaten!$A$2:$A$1117,$A334,Versuchsdaten!$B$2:$B$1117,$B334,Versuchsdaten!$C$2:$C$1117,"Sprint_5m",Versuchsdaten!$E$2:$E$1117,$E334,Versuchsdaten!$J$2:$J$1117,1)=1,SUMIFS(Versuchsdaten!$F$2:$F$1117,Versuchsdaten!$A$2:$A$1117,$A334,Versuchsdaten!$B$2:$B$1117,$B334,Versuchsdaten!$C$2:$C$1117,"Sprint_5m",Versuchsdaten!$E$2:$E$1117,$E334,Versuchsdaten!$J$2:$J$1117,1),""))</f>
        <v/>
      </c>
      <c r="L334" s="22">
        <f>IF(LEFT(C334,7)&lt;&gt;"Sprint_","",IF(COUNTIFS(Versuchsdaten!$A$2:$A$1117,$A334,Versuchsdaten!$B$2:$B$1117,$B334,Versuchsdaten!$C$2:$C$1117,"Sprint_10m",Versuchsdaten!$E$2:$E$1117,$E334,Versuchsdaten!$J$2:$J$1117,1)=1,SUMIFS(Versuchsdaten!$F$2:$F$1117,Versuchsdaten!$A$2:$A$1117,$A334,Versuchsdaten!$B$2:$B$1117,$B334,Versuchsdaten!$C$2:$C$1117,"Sprint_10m",Versuchsdaten!$E$2:$E$1117,$E334,Versuchsdaten!$J$2:$J$1117,1),""))</f>
        <v/>
      </c>
      <c r="M334" s="22">
        <f>IF(LEFT(C334,7)&lt;&gt;"Sprint_","",IF(COUNTIFS(Versuchsdaten!$A$2:$A$1117,$A334,Versuchsdaten!$B$2:$B$1117,$B334,Versuchsdaten!$C$2:$C$1117,"Sprint_30m",Versuchsdaten!$E$2:$E$1117,$E334,Versuchsdaten!$J$2:$J$1117,1)=1,SUMIFS(Versuchsdaten!$F$2:$F$1117,Versuchsdaten!$A$2:$A$1117,$A334,Versuchsdaten!$B$2:$B$1117,$B334,Versuchsdaten!$C$2:$C$1117,"Sprint_30m",Versuchsdaten!$E$2:$E$1117,$E334,Versuchsdaten!$J$2:$J$1117,1),""))</f>
        <v/>
      </c>
      <c r="N334" s="22">
        <f>IF(LEFT(C334,7)&lt;&gt;"Sprint_",0,IF(IF(ISNUMBER(K334),IF(K334&lt;=0,1,IF(5/K334&gt;10,1,0)),0)+IF(ISNUMBER(L334),IF(ISNUMBER(K334),IF(L334-K334&lt;=0,1,IF(5/(L334-K334)&gt;10,1,0)),IF(L334&lt;=0,1,IF(10/L334&gt;10,1,0))),0)+IF(ISNUMBER(M334),IF(ISNUMBER(L334),IF(M334-L334&lt;=0,1,IF(20/(M334-L334)&gt;10,1,0)),IF(ISNUMBER(K334),IF(M334-K334&lt;=0,1,IF(25/(M334-K334)&gt;10,1,0)),IF(M334&lt;=0,1,IF(30/M334&gt;10,1,0)))),0)&gt;0,1,0))</f>
        <v/>
      </c>
      <c r="O334" s="22">
        <f>IF(AND(J334=1,N334=0),1,0)</f>
        <v/>
      </c>
      <c r="P334" s="22">
        <f>INDEX(Personendaten!$J$2:$J$32,MATCH(A334,Personendaten!$A$2:$A$32,0))</f>
        <v/>
      </c>
      <c r="Q334" s="22">
        <f>IF(O334=1,"",IF(AND(B334="post",P334="nicht angetreten"),"NANG",IF(N334=1,"AUSL",IFERROR(VLOOKUP(H334,Vokabular!$A$2:$B$8,2,FALSE),"UNBEKANNT"))))</f>
        <v/>
      </c>
    </row>
    <row r="335">
      <c r="A335" s="5" t="inlineStr">
        <is>
          <t>VS-01</t>
        </is>
      </c>
      <c r="B335" s="5" t="inlineStr">
        <is>
          <t>prä</t>
        </is>
      </c>
      <c r="C335" s="5" t="inlineStr">
        <is>
          <t>Standweitsprung</t>
        </is>
      </c>
      <c r="D335" s="5" t="inlineStr">
        <is>
          <t>–</t>
        </is>
      </c>
      <c r="E335" s="5" t="n">
        <v>1</v>
      </c>
      <c r="F335" s="5" t="n">
        <v>209</v>
      </c>
      <c r="G335" s="5" t="n"/>
      <c r="H335" s="5" t="n"/>
      <c r="I335" s="22">
        <f>INDEX(Personendaten!$C$2:$C$32,MATCH(A335,Personendaten!$A$2:$A$32,0))</f>
        <v/>
      </c>
      <c r="J335" s="22">
        <f>IF(AND(F335&lt;&gt;"",G335=""),1,0)</f>
        <v/>
      </c>
      <c r="K335" s="22">
        <f>IF(LEFT(C335,7)&lt;&gt;"Sprint_","",IF(COUNTIFS(Versuchsdaten!$A$2:$A$1117,$A335,Versuchsdaten!$B$2:$B$1117,$B335,Versuchsdaten!$C$2:$C$1117,"Sprint_5m",Versuchsdaten!$E$2:$E$1117,$E335,Versuchsdaten!$J$2:$J$1117,1)=1,SUMIFS(Versuchsdaten!$F$2:$F$1117,Versuchsdaten!$A$2:$A$1117,$A335,Versuchsdaten!$B$2:$B$1117,$B335,Versuchsdaten!$C$2:$C$1117,"Sprint_5m",Versuchsdaten!$E$2:$E$1117,$E335,Versuchsdaten!$J$2:$J$1117,1),""))</f>
        <v/>
      </c>
      <c r="L335" s="22">
        <f>IF(LEFT(C335,7)&lt;&gt;"Sprint_","",IF(COUNTIFS(Versuchsdaten!$A$2:$A$1117,$A335,Versuchsdaten!$B$2:$B$1117,$B335,Versuchsdaten!$C$2:$C$1117,"Sprint_10m",Versuchsdaten!$E$2:$E$1117,$E335,Versuchsdaten!$J$2:$J$1117,1)=1,SUMIFS(Versuchsdaten!$F$2:$F$1117,Versuchsdaten!$A$2:$A$1117,$A335,Versuchsdaten!$B$2:$B$1117,$B335,Versuchsdaten!$C$2:$C$1117,"Sprint_10m",Versuchsdaten!$E$2:$E$1117,$E335,Versuchsdaten!$J$2:$J$1117,1),""))</f>
        <v/>
      </c>
      <c r="M335" s="22">
        <f>IF(LEFT(C335,7)&lt;&gt;"Sprint_","",IF(COUNTIFS(Versuchsdaten!$A$2:$A$1117,$A335,Versuchsdaten!$B$2:$B$1117,$B335,Versuchsdaten!$C$2:$C$1117,"Sprint_30m",Versuchsdaten!$E$2:$E$1117,$E335,Versuchsdaten!$J$2:$J$1117,1)=1,SUMIFS(Versuchsdaten!$F$2:$F$1117,Versuchsdaten!$A$2:$A$1117,$A335,Versuchsdaten!$B$2:$B$1117,$B335,Versuchsdaten!$C$2:$C$1117,"Sprint_30m",Versuchsdaten!$E$2:$E$1117,$E335,Versuchsdaten!$J$2:$J$1117,1),""))</f>
        <v/>
      </c>
      <c r="N335" s="22">
        <f>IF(LEFT(C335,7)&lt;&gt;"Sprint_",0,IF(IF(ISNUMBER(K335),IF(K335&lt;=0,1,IF(5/K335&gt;10,1,0)),0)+IF(ISNUMBER(L335),IF(ISNUMBER(K335),IF(L335-K335&lt;=0,1,IF(5/(L335-K335)&gt;10,1,0)),IF(L335&lt;=0,1,IF(10/L335&gt;10,1,0))),0)+IF(ISNUMBER(M335),IF(ISNUMBER(L335),IF(M335-L335&lt;=0,1,IF(20/(M335-L335)&gt;10,1,0)),IF(ISNUMBER(K335),IF(M335-K335&lt;=0,1,IF(25/(M335-K335)&gt;10,1,0)),IF(M335&lt;=0,1,IF(30/M335&gt;10,1,0)))),0)&gt;0,1,0))</f>
        <v/>
      </c>
      <c r="O335" s="22">
        <f>IF(AND(J335=1,N335=0),1,0)</f>
        <v/>
      </c>
      <c r="P335" s="22">
        <f>INDEX(Personendaten!$J$2:$J$32,MATCH(A335,Personendaten!$A$2:$A$32,0))</f>
        <v/>
      </c>
      <c r="Q335" s="22">
        <f>IF(O335=1,"",IF(AND(B335="post",P335="nicht angetreten"),"NANG",IF(N335=1,"AUSL",IFERROR(VLOOKUP(H335,Vokabular!$A$2:$B$8,2,FALSE),"UNBEKANNT"))))</f>
        <v/>
      </c>
    </row>
    <row r="336">
      <c r="A336" s="5" t="inlineStr">
        <is>
          <t>VS-01</t>
        </is>
      </c>
      <c r="B336" s="5" t="inlineStr">
        <is>
          <t>prä</t>
        </is>
      </c>
      <c r="C336" s="5" t="inlineStr">
        <is>
          <t>Standweitsprung</t>
        </is>
      </c>
      <c r="D336" s="5" t="inlineStr">
        <is>
          <t>–</t>
        </is>
      </c>
      <c r="E336" s="5" t="n">
        <v>2</v>
      </c>
      <c r="F336" s="5" t="n">
        <v>220</v>
      </c>
      <c r="G336" s="5" t="n"/>
      <c r="H336" s="5" t="n"/>
      <c r="I336" s="22">
        <f>INDEX(Personendaten!$C$2:$C$32,MATCH(A336,Personendaten!$A$2:$A$32,0))</f>
        <v/>
      </c>
      <c r="J336" s="22">
        <f>IF(AND(F336&lt;&gt;"",G336=""),1,0)</f>
        <v/>
      </c>
      <c r="K336" s="22">
        <f>IF(LEFT(C336,7)&lt;&gt;"Sprint_","",IF(COUNTIFS(Versuchsdaten!$A$2:$A$1117,$A336,Versuchsdaten!$B$2:$B$1117,$B336,Versuchsdaten!$C$2:$C$1117,"Sprint_5m",Versuchsdaten!$E$2:$E$1117,$E336,Versuchsdaten!$J$2:$J$1117,1)=1,SUMIFS(Versuchsdaten!$F$2:$F$1117,Versuchsdaten!$A$2:$A$1117,$A336,Versuchsdaten!$B$2:$B$1117,$B336,Versuchsdaten!$C$2:$C$1117,"Sprint_5m",Versuchsdaten!$E$2:$E$1117,$E336,Versuchsdaten!$J$2:$J$1117,1),""))</f>
        <v/>
      </c>
      <c r="L336" s="22">
        <f>IF(LEFT(C336,7)&lt;&gt;"Sprint_","",IF(COUNTIFS(Versuchsdaten!$A$2:$A$1117,$A336,Versuchsdaten!$B$2:$B$1117,$B336,Versuchsdaten!$C$2:$C$1117,"Sprint_10m",Versuchsdaten!$E$2:$E$1117,$E336,Versuchsdaten!$J$2:$J$1117,1)=1,SUMIFS(Versuchsdaten!$F$2:$F$1117,Versuchsdaten!$A$2:$A$1117,$A336,Versuchsdaten!$B$2:$B$1117,$B336,Versuchsdaten!$C$2:$C$1117,"Sprint_10m",Versuchsdaten!$E$2:$E$1117,$E336,Versuchsdaten!$J$2:$J$1117,1),""))</f>
        <v/>
      </c>
      <c r="M336" s="22">
        <f>IF(LEFT(C336,7)&lt;&gt;"Sprint_","",IF(COUNTIFS(Versuchsdaten!$A$2:$A$1117,$A336,Versuchsdaten!$B$2:$B$1117,$B336,Versuchsdaten!$C$2:$C$1117,"Sprint_30m",Versuchsdaten!$E$2:$E$1117,$E336,Versuchsdaten!$J$2:$J$1117,1)=1,SUMIFS(Versuchsdaten!$F$2:$F$1117,Versuchsdaten!$A$2:$A$1117,$A336,Versuchsdaten!$B$2:$B$1117,$B336,Versuchsdaten!$C$2:$C$1117,"Sprint_30m",Versuchsdaten!$E$2:$E$1117,$E336,Versuchsdaten!$J$2:$J$1117,1),""))</f>
        <v/>
      </c>
      <c r="N336" s="22">
        <f>IF(LEFT(C336,7)&lt;&gt;"Sprint_",0,IF(IF(ISNUMBER(K336),IF(K336&lt;=0,1,IF(5/K336&gt;10,1,0)),0)+IF(ISNUMBER(L336),IF(ISNUMBER(K336),IF(L336-K336&lt;=0,1,IF(5/(L336-K336)&gt;10,1,0)),IF(L336&lt;=0,1,IF(10/L336&gt;10,1,0))),0)+IF(ISNUMBER(M336),IF(ISNUMBER(L336),IF(M336-L336&lt;=0,1,IF(20/(M336-L336)&gt;10,1,0)),IF(ISNUMBER(K336),IF(M336-K336&lt;=0,1,IF(25/(M336-K336)&gt;10,1,0)),IF(M336&lt;=0,1,IF(30/M336&gt;10,1,0)))),0)&gt;0,1,0))</f>
        <v/>
      </c>
      <c r="O336" s="22">
        <f>IF(AND(J336=1,N336=0),1,0)</f>
        <v/>
      </c>
      <c r="P336" s="22">
        <f>INDEX(Personendaten!$J$2:$J$32,MATCH(A336,Personendaten!$A$2:$A$32,0))</f>
        <v/>
      </c>
      <c r="Q336" s="22">
        <f>IF(O336=1,"",IF(AND(B336="post",P336="nicht angetreten"),"NANG",IF(N336=1,"AUSL",IFERROR(VLOOKUP(H336,Vokabular!$A$2:$B$8,2,FALSE),"UNBEKANNT"))))</f>
        <v/>
      </c>
    </row>
    <row r="337">
      <c r="A337" s="5" t="inlineStr">
        <is>
          <t>VS-01</t>
        </is>
      </c>
      <c r="B337" s="5" t="inlineStr">
        <is>
          <t>prä</t>
        </is>
      </c>
      <c r="C337" s="5" t="inlineStr">
        <is>
          <t>Standweitsprung</t>
        </is>
      </c>
      <c r="D337" s="5" t="inlineStr">
        <is>
          <t>–</t>
        </is>
      </c>
      <c r="E337" s="5" t="n">
        <v>3</v>
      </c>
      <c r="F337" s="5" t="n">
        <v>228</v>
      </c>
      <c r="G337" s="5" t="n"/>
      <c r="H337" s="5" t="n"/>
      <c r="I337" s="22">
        <f>INDEX(Personendaten!$C$2:$C$32,MATCH(A337,Personendaten!$A$2:$A$32,0))</f>
        <v/>
      </c>
      <c r="J337" s="22">
        <f>IF(AND(F337&lt;&gt;"",G337=""),1,0)</f>
        <v/>
      </c>
      <c r="K337" s="22">
        <f>IF(LEFT(C337,7)&lt;&gt;"Sprint_","",IF(COUNTIFS(Versuchsdaten!$A$2:$A$1117,$A337,Versuchsdaten!$B$2:$B$1117,$B337,Versuchsdaten!$C$2:$C$1117,"Sprint_5m",Versuchsdaten!$E$2:$E$1117,$E337,Versuchsdaten!$J$2:$J$1117,1)=1,SUMIFS(Versuchsdaten!$F$2:$F$1117,Versuchsdaten!$A$2:$A$1117,$A337,Versuchsdaten!$B$2:$B$1117,$B337,Versuchsdaten!$C$2:$C$1117,"Sprint_5m",Versuchsdaten!$E$2:$E$1117,$E337,Versuchsdaten!$J$2:$J$1117,1),""))</f>
        <v/>
      </c>
      <c r="L337" s="22">
        <f>IF(LEFT(C337,7)&lt;&gt;"Sprint_","",IF(COUNTIFS(Versuchsdaten!$A$2:$A$1117,$A337,Versuchsdaten!$B$2:$B$1117,$B337,Versuchsdaten!$C$2:$C$1117,"Sprint_10m",Versuchsdaten!$E$2:$E$1117,$E337,Versuchsdaten!$J$2:$J$1117,1)=1,SUMIFS(Versuchsdaten!$F$2:$F$1117,Versuchsdaten!$A$2:$A$1117,$A337,Versuchsdaten!$B$2:$B$1117,$B337,Versuchsdaten!$C$2:$C$1117,"Sprint_10m",Versuchsdaten!$E$2:$E$1117,$E337,Versuchsdaten!$J$2:$J$1117,1),""))</f>
        <v/>
      </c>
      <c r="M337" s="22">
        <f>IF(LEFT(C337,7)&lt;&gt;"Sprint_","",IF(COUNTIFS(Versuchsdaten!$A$2:$A$1117,$A337,Versuchsdaten!$B$2:$B$1117,$B337,Versuchsdaten!$C$2:$C$1117,"Sprint_30m",Versuchsdaten!$E$2:$E$1117,$E337,Versuchsdaten!$J$2:$J$1117,1)=1,SUMIFS(Versuchsdaten!$F$2:$F$1117,Versuchsdaten!$A$2:$A$1117,$A337,Versuchsdaten!$B$2:$B$1117,$B337,Versuchsdaten!$C$2:$C$1117,"Sprint_30m",Versuchsdaten!$E$2:$E$1117,$E337,Versuchsdaten!$J$2:$J$1117,1),""))</f>
        <v/>
      </c>
      <c r="N337" s="22">
        <f>IF(LEFT(C337,7)&lt;&gt;"Sprint_",0,IF(IF(ISNUMBER(K337),IF(K337&lt;=0,1,IF(5/K337&gt;10,1,0)),0)+IF(ISNUMBER(L337),IF(ISNUMBER(K337),IF(L337-K337&lt;=0,1,IF(5/(L337-K337)&gt;10,1,0)),IF(L337&lt;=0,1,IF(10/L337&gt;10,1,0))),0)+IF(ISNUMBER(M337),IF(ISNUMBER(L337),IF(M337-L337&lt;=0,1,IF(20/(M337-L337)&gt;10,1,0)),IF(ISNUMBER(K337),IF(M337-K337&lt;=0,1,IF(25/(M337-K337)&gt;10,1,0)),IF(M337&lt;=0,1,IF(30/M337&gt;10,1,0)))),0)&gt;0,1,0))</f>
        <v/>
      </c>
      <c r="O337" s="22">
        <f>IF(AND(J337=1,N337=0),1,0)</f>
        <v/>
      </c>
      <c r="P337" s="22">
        <f>INDEX(Personendaten!$J$2:$J$32,MATCH(A337,Personendaten!$A$2:$A$32,0))</f>
        <v/>
      </c>
      <c r="Q337" s="22">
        <f>IF(O337=1,"",IF(AND(B337="post",P337="nicht angetreten"),"NANG",IF(N337=1,"AUSL",IFERROR(VLOOKUP(H337,Vokabular!$A$2:$B$8,2,FALSE),"UNBEKANNT"))))</f>
        <v/>
      </c>
    </row>
    <row r="338">
      <c r="A338" s="5" t="inlineStr">
        <is>
          <t>VS-01</t>
        </is>
      </c>
      <c r="B338" s="5" t="inlineStr">
        <is>
          <t>prä</t>
        </is>
      </c>
      <c r="C338" s="5" t="inlineStr">
        <is>
          <t>COD_505</t>
        </is>
      </c>
      <c r="D338" s="5" t="inlineStr">
        <is>
          <t>L</t>
        </is>
      </c>
      <c r="E338" s="5" t="n">
        <v>1</v>
      </c>
      <c r="F338" s="5" t="n">
        <v>2.54</v>
      </c>
      <c r="G338" s="5" t="n"/>
      <c r="H338" s="5" t="n"/>
      <c r="I338" s="22">
        <f>INDEX(Personendaten!$C$2:$C$32,MATCH(A338,Personendaten!$A$2:$A$32,0))</f>
        <v/>
      </c>
      <c r="J338" s="22">
        <f>IF(AND(F338&lt;&gt;"",G338=""),1,0)</f>
        <v/>
      </c>
      <c r="K338" s="22">
        <f>IF(LEFT(C338,7)&lt;&gt;"Sprint_","",IF(COUNTIFS(Versuchsdaten!$A$2:$A$1117,$A338,Versuchsdaten!$B$2:$B$1117,$B338,Versuchsdaten!$C$2:$C$1117,"Sprint_5m",Versuchsdaten!$E$2:$E$1117,$E338,Versuchsdaten!$J$2:$J$1117,1)=1,SUMIFS(Versuchsdaten!$F$2:$F$1117,Versuchsdaten!$A$2:$A$1117,$A338,Versuchsdaten!$B$2:$B$1117,$B338,Versuchsdaten!$C$2:$C$1117,"Sprint_5m",Versuchsdaten!$E$2:$E$1117,$E338,Versuchsdaten!$J$2:$J$1117,1),""))</f>
        <v/>
      </c>
      <c r="L338" s="22">
        <f>IF(LEFT(C338,7)&lt;&gt;"Sprint_","",IF(COUNTIFS(Versuchsdaten!$A$2:$A$1117,$A338,Versuchsdaten!$B$2:$B$1117,$B338,Versuchsdaten!$C$2:$C$1117,"Sprint_10m",Versuchsdaten!$E$2:$E$1117,$E338,Versuchsdaten!$J$2:$J$1117,1)=1,SUMIFS(Versuchsdaten!$F$2:$F$1117,Versuchsdaten!$A$2:$A$1117,$A338,Versuchsdaten!$B$2:$B$1117,$B338,Versuchsdaten!$C$2:$C$1117,"Sprint_10m",Versuchsdaten!$E$2:$E$1117,$E338,Versuchsdaten!$J$2:$J$1117,1),""))</f>
        <v/>
      </c>
      <c r="M338" s="22">
        <f>IF(LEFT(C338,7)&lt;&gt;"Sprint_","",IF(COUNTIFS(Versuchsdaten!$A$2:$A$1117,$A338,Versuchsdaten!$B$2:$B$1117,$B338,Versuchsdaten!$C$2:$C$1117,"Sprint_30m",Versuchsdaten!$E$2:$E$1117,$E338,Versuchsdaten!$J$2:$J$1117,1)=1,SUMIFS(Versuchsdaten!$F$2:$F$1117,Versuchsdaten!$A$2:$A$1117,$A338,Versuchsdaten!$B$2:$B$1117,$B338,Versuchsdaten!$C$2:$C$1117,"Sprint_30m",Versuchsdaten!$E$2:$E$1117,$E338,Versuchsdaten!$J$2:$J$1117,1),""))</f>
        <v/>
      </c>
      <c r="N338" s="22">
        <f>IF(LEFT(C338,7)&lt;&gt;"Sprint_",0,IF(IF(ISNUMBER(K338),IF(K338&lt;=0,1,IF(5/K338&gt;10,1,0)),0)+IF(ISNUMBER(L338),IF(ISNUMBER(K338),IF(L338-K338&lt;=0,1,IF(5/(L338-K338)&gt;10,1,0)),IF(L338&lt;=0,1,IF(10/L338&gt;10,1,0))),0)+IF(ISNUMBER(M338),IF(ISNUMBER(L338),IF(M338-L338&lt;=0,1,IF(20/(M338-L338)&gt;10,1,0)),IF(ISNUMBER(K338),IF(M338-K338&lt;=0,1,IF(25/(M338-K338)&gt;10,1,0)),IF(M338&lt;=0,1,IF(30/M338&gt;10,1,0)))),0)&gt;0,1,0))</f>
        <v/>
      </c>
      <c r="O338" s="22">
        <f>IF(AND(J338=1,N338=0),1,0)</f>
        <v/>
      </c>
      <c r="P338" s="22">
        <f>INDEX(Personendaten!$J$2:$J$32,MATCH(A338,Personendaten!$A$2:$A$32,0))</f>
        <v/>
      </c>
      <c r="Q338" s="22">
        <f>IF(O338=1,"",IF(AND(B338="post",P338="nicht angetreten"),"NANG",IF(N338=1,"AUSL",IFERROR(VLOOKUP(H338,Vokabular!$A$2:$B$8,2,FALSE),"UNBEKANNT"))))</f>
        <v/>
      </c>
    </row>
    <row r="339">
      <c r="A339" s="5" t="inlineStr">
        <is>
          <t>VS-01</t>
        </is>
      </c>
      <c r="B339" s="5" t="inlineStr">
        <is>
          <t>prä</t>
        </is>
      </c>
      <c r="C339" s="5" t="inlineStr">
        <is>
          <t>COD_505</t>
        </is>
      </c>
      <c r="D339" s="5" t="inlineStr">
        <is>
          <t>L</t>
        </is>
      </c>
      <c r="E339" s="5" t="n">
        <v>2</v>
      </c>
      <c r="F339" s="5" t="n"/>
      <c r="G339" s="5" t="n"/>
      <c r="H339" s="5" t="inlineStr">
        <is>
          <t>System nicht aufgenommen</t>
        </is>
      </c>
      <c r="I339" s="22">
        <f>INDEX(Personendaten!$C$2:$C$32,MATCH(A339,Personendaten!$A$2:$A$32,0))</f>
        <v/>
      </c>
      <c r="J339" s="22">
        <f>IF(AND(F339&lt;&gt;"",G339=""),1,0)</f>
        <v/>
      </c>
      <c r="K339" s="22">
        <f>IF(LEFT(C339,7)&lt;&gt;"Sprint_","",IF(COUNTIFS(Versuchsdaten!$A$2:$A$1117,$A339,Versuchsdaten!$B$2:$B$1117,$B339,Versuchsdaten!$C$2:$C$1117,"Sprint_5m",Versuchsdaten!$E$2:$E$1117,$E339,Versuchsdaten!$J$2:$J$1117,1)=1,SUMIFS(Versuchsdaten!$F$2:$F$1117,Versuchsdaten!$A$2:$A$1117,$A339,Versuchsdaten!$B$2:$B$1117,$B339,Versuchsdaten!$C$2:$C$1117,"Sprint_5m",Versuchsdaten!$E$2:$E$1117,$E339,Versuchsdaten!$J$2:$J$1117,1),""))</f>
        <v/>
      </c>
      <c r="L339" s="22">
        <f>IF(LEFT(C339,7)&lt;&gt;"Sprint_","",IF(COUNTIFS(Versuchsdaten!$A$2:$A$1117,$A339,Versuchsdaten!$B$2:$B$1117,$B339,Versuchsdaten!$C$2:$C$1117,"Sprint_10m",Versuchsdaten!$E$2:$E$1117,$E339,Versuchsdaten!$J$2:$J$1117,1)=1,SUMIFS(Versuchsdaten!$F$2:$F$1117,Versuchsdaten!$A$2:$A$1117,$A339,Versuchsdaten!$B$2:$B$1117,$B339,Versuchsdaten!$C$2:$C$1117,"Sprint_10m",Versuchsdaten!$E$2:$E$1117,$E339,Versuchsdaten!$J$2:$J$1117,1),""))</f>
        <v/>
      </c>
      <c r="M339" s="22">
        <f>IF(LEFT(C339,7)&lt;&gt;"Sprint_","",IF(COUNTIFS(Versuchsdaten!$A$2:$A$1117,$A339,Versuchsdaten!$B$2:$B$1117,$B339,Versuchsdaten!$C$2:$C$1117,"Sprint_30m",Versuchsdaten!$E$2:$E$1117,$E339,Versuchsdaten!$J$2:$J$1117,1)=1,SUMIFS(Versuchsdaten!$F$2:$F$1117,Versuchsdaten!$A$2:$A$1117,$A339,Versuchsdaten!$B$2:$B$1117,$B339,Versuchsdaten!$C$2:$C$1117,"Sprint_30m",Versuchsdaten!$E$2:$E$1117,$E339,Versuchsdaten!$J$2:$J$1117,1),""))</f>
        <v/>
      </c>
      <c r="N339" s="22">
        <f>IF(LEFT(C339,7)&lt;&gt;"Sprint_",0,IF(IF(ISNUMBER(K339),IF(K339&lt;=0,1,IF(5/K339&gt;10,1,0)),0)+IF(ISNUMBER(L339),IF(ISNUMBER(K339),IF(L339-K339&lt;=0,1,IF(5/(L339-K339)&gt;10,1,0)),IF(L339&lt;=0,1,IF(10/L339&gt;10,1,0))),0)+IF(ISNUMBER(M339),IF(ISNUMBER(L339),IF(M339-L339&lt;=0,1,IF(20/(M339-L339)&gt;10,1,0)),IF(ISNUMBER(K339),IF(M339-K339&lt;=0,1,IF(25/(M339-K339)&gt;10,1,0)),IF(M339&lt;=0,1,IF(30/M339&gt;10,1,0)))),0)&gt;0,1,0))</f>
        <v/>
      </c>
      <c r="O339" s="22">
        <f>IF(AND(J339=1,N339=0),1,0)</f>
        <v/>
      </c>
      <c r="P339" s="22">
        <f>INDEX(Personendaten!$J$2:$J$32,MATCH(A339,Personendaten!$A$2:$A$32,0))</f>
        <v/>
      </c>
      <c r="Q339" s="22">
        <f>IF(O339=1,"",IF(AND(B339="post",P339="nicht angetreten"),"NANG",IF(N339=1,"AUSL",IFERROR(VLOOKUP(H339,Vokabular!$A$2:$B$8,2,FALSE),"UNBEKANNT"))))</f>
        <v/>
      </c>
    </row>
    <row r="340">
      <c r="A340" s="5" t="inlineStr">
        <is>
          <t>VS-01</t>
        </is>
      </c>
      <c r="B340" s="5" t="inlineStr">
        <is>
          <t>prä</t>
        </is>
      </c>
      <c r="C340" s="5" t="inlineStr">
        <is>
          <t>COD_505</t>
        </is>
      </c>
      <c r="D340" s="5" t="inlineStr">
        <is>
          <t>L</t>
        </is>
      </c>
      <c r="E340" s="5" t="n">
        <v>3</v>
      </c>
      <c r="F340" s="5" t="n">
        <v>2.5</v>
      </c>
      <c r="G340" s="5" t="n"/>
      <c r="H340" s="5" t="n"/>
      <c r="I340" s="22">
        <f>INDEX(Personendaten!$C$2:$C$32,MATCH(A340,Personendaten!$A$2:$A$32,0))</f>
        <v/>
      </c>
      <c r="J340" s="22">
        <f>IF(AND(F340&lt;&gt;"",G340=""),1,0)</f>
        <v/>
      </c>
      <c r="K340" s="22">
        <f>IF(LEFT(C340,7)&lt;&gt;"Sprint_","",IF(COUNTIFS(Versuchsdaten!$A$2:$A$1117,$A340,Versuchsdaten!$B$2:$B$1117,$B340,Versuchsdaten!$C$2:$C$1117,"Sprint_5m",Versuchsdaten!$E$2:$E$1117,$E340,Versuchsdaten!$J$2:$J$1117,1)=1,SUMIFS(Versuchsdaten!$F$2:$F$1117,Versuchsdaten!$A$2:$A$1117,$A340,Versuchsdaten!$B$2:$B$1117,$B340,Versuchsdaten!$C$2:$C$1117,"Sprint_5m",Versuchsdaten!$E$2:$E$1117,$E340,Versuchsdaten!$J$2:$J$1117,1),""))</f>
        <v/>
      </c>
      <c r="L340" s="22">
        <f>IF(LEFT(C340,7)&lt;&gt;"Sprint_","",IF(COUNTIFS(Versuchsdaten!$A$2:$A$1117,$A340,Versuchsdaten!$B$2:$B$1117,$B340,Versuchsdaten!$C$2:$C$1117,"Sprint_10m",Versuchsdaten!$E$2:$E$1117,$E340,Versuchsdaten!$J$2:$J$1117,1)=1,SUMIFS(Versuchsdaten!$F$2:$F$1117,Versuchsdaten!$A$2:$A$1117,$A340,Versuchsdaten!$B$2:$B$1117,$B340,Versuchsdaten!$C$2:$C$1117,"Sprint_10m",Versuchsdaten!$E$2:$E$1117,$E340,Versuchsdaten!$J$2:$J$1117,1),""))</f>
        <v/>
      </c>
      <c r="M340" s="22">
        <f>IF(LEFT(C340,7)&lt;&gt;"Sprint_","",IF(COUNTIFS(Versuchsdaten!$A$2:$A$1117,$A340,Versuchsdaten!$B$2:$B$1117,$B340,Versuchsdaten!$C$2:$C$1117,"Sprint_30m",Versuchsdaten!$E$2:$E$1117,$E340,Versuchsdaten!$J$2:$J$1117,1)=1,SUMIFS(Versuchsdaten!$F$2:$F$1117,Versuchsdaten!$A$2:$A$1117,$A340,Versuchsdaten!$B$2:$B$1117,$B340,Versuchsdaten!$C$2:$C$1117,"Sprint_30m",Versuchsdaten!$E$2:$E$1117,$E340,Versuchsdaten!$J$2:$J$1117,1),""))</f>
        <v/>
      </c>
      <c r="N340" s="22">
        <f>IF(LEFT(C340,7)&lt;&gt;"Sprint_",0,IF(IF(ISNUMBER(K340),IF(K340&lt;=0,1,IF(5/K340&gt;10,1,0)),0)+IF(ISNUMBER(L340),IF(ISNUMBER(K340),IF(L340-K340&lt;=0,1,IF(5/(L340-K340)&gt;10,1,0)),IF(L340&lt;=0,1,IF(10/L340&gt;10,1,0))),0)+IF(ISNUMBER(M340),IF(ISNUMBER(L340),IF(M340-L340&lt;=0,1,IF(20/(M340-L340)&gt;10,1,0)),IF(ISNUMBER(K340),IF(M340-K340&lt;=0,1,IF(25/(M340-K340)&gt;10,1,0)),IF(M340&lt;=0,1,IF(30/M340&gt;10,1,0)))),0)&gt;0,1,0))</f>
        <v/>
      </c>
      <c r="O340" s="22">
        <f>IF(AND(J340=1,N340=0),1,0)</f>
        <v/>
      </c>
      <c r="P340" s="22">
        <f>INDEX(Personendaten!$J$2:$J$32,MATCH(A340,Personendaten!$A$2:$A$32,0))</f>
        <v/>
      </c>
      <c r="Q340" s="22">
        <f>IF(O340=1,"",IF(AND(B340="post",P340="nicht angetreten"),"NANG",IF(N340=1,"AUSL",IFERROR(VLOOKUP(H340,Vokabular!$A$2:$B$8,2,FALSE),"UNBEKANNT"))))</f>
        <v/>
      </c>
    </row>
    <row r="341">
      <c r="A341" s="5" t="inlineStr">
        <is>
          <t>VS-01</t>
        </is>
      </c>
      <c r="B341" s="5" t="inlineStr">
        <is>
          <t>prä</t>
        </is>
      </c>
      <c r="C341" s="5" t="inlineStr">
        <is>
          <t>COD_505</t>
        </is>
      </c>
      <c r="D341" s="5" t="inlineStr">
        <is>
          <t>R</t>
        </is>
      </c>
      <c r="E341" s="5" t="n">
        <v>1</v>
      </c>
      <c r="F341" s="5" t="n">
        <v>2.31</v>
      </c>
      <c r="G341" s="5" t="inlineStr">
        <is>
          <t>x</t>
        </is>
      </c>
      <c r="H341" s="5" t="inlineStr">
        <is>
          <t>Linie nicht getroffen</t>
        </is>
      </c>
      <c r="I341" s="22">
        <f>INDEX(Personendaten!$C$2:$C$32,MATCH(A341,Personendaten!$A$2:$A$32,0))</f>
        <v/>
      </c>
      <c r="J341" s="22">
        <f>IF(AND(F341&lt;&gt;"",G341=""),1,0)</f>
        <v/>
      </c>
      <c r="K341" s="22">
        <f>IF(LEFT(C341,7)&lt;&gt;"Sprint_","",IF(COUNTIFS(Versuchsdaten!$A$2:$A$1117,$A341,Versuchsdaten!$B$2:$B$1117,$B341,Versuchsdaten!$C$2:$C$1117,"Sprint_5m",Versuchsdaten!$E$2:$E$1117,$E341,Versuchsdaten!$J$2:$J$1117,1)=1,SUMIFS(Versuchsdaten!$F$2:$F$1117,Versuchsdaten!$A$2:$A$1117,$A341,Versuchsdaten!$B$2:$B$1117,$B341,Versuchsdaten!$C$2:$C$1117,"Sprint_5m",Versuchsdaten!$E$2:$E$1117,$E341,Versuchsdaten!$J$2:$J$1117,1),""))</f>
        <v/>
      </c>
      <c r="L341" s="22">
        <f>IF(LEFT(C341,7)&lt;&gt;"Sprint_","",IF(COUNTIFS(Versuchsdaten!$A$2:$A$1117,$A341,Versuchsdaten!$B$2:$B$1117,$B341,Versuchsdaten!$C$2:$C$1117,"Sprint_10m",Versuchsdaten!$E$2:$E$1117,$E341,Versuchsdaten!$J$2:$J$1117,1)=1,SUMIFS(Versuchsdaten!$F$2:$F$1117,Versuchsdaten!$A$2:$A$1117,$A341,Versuchsdaten!$B$2:$B$1117,$B341,Versuchsdaten!$C$2:$C$1117,"Sprint_10m",Versuchsdaten!$E$2:$E$1117,$E341,Versuchsdaten!$J$2:$J$1117,1),""))</f>
        <v/>
      </c>
      <c r="M341" s="22">
        <f>IF(LEFT(C341,7)&lt;&gt;"Sprint_","",IF(COUNTIFS(Versuchsdaten!$A$2:$A$1117,$A341,Versuchsdaten!$B$2:$B$1117,$B341,Versuchsdaten!$C$2:$C$1117,"Sprint_30m",Versuchsdaten!$E$2:$E$1117,$E341,Versuchsdaten!$J$2:$J$1117,1)=1,SUMIFS(Versuchsdaten!$F$2:$F$1117,Versuchsdaten!$A$2:$A$1117,$A341,Versuchsdaten!$B$2:$B$1117,$B341,Versuchsdaten!$C$2:$C$1117,"Sprint_30m",Versuchsdaten!$E$2:$E$1117,$E341,Versuchsdaten!$J$2:$J$1117,1),""))</f>
        <v/>
      </c>
      <c r="N341" s="22">
        <f>IF(LEFT(C341,7)&lt;&gt;"Sprint_",0,IF(IF(ISNUMBER(K341),IF(K341&lt;=0,1,IF(5/K341&gt;10,1,0)),0)+IF(ISNUMBER(L341),IF(ISNUMBER(K341),IF(L341-K341&lt;=0,1,IF(5/(L341-K341)&gt;10,1,0)),IF(L341&lt;=0,1,IF(10/L341&gt;10,1,0))),0)+IF(ISNUMBER(M341),IF(ISNUMBER(L341),IF(M341-L341&lt;=0,1,IF(20/(M341-L341)&gt;10,1,0)),IF(ISNUMBER(K341),IF(M341-K341&lt;=0,1,IF(25/(M341-K341)&gt;10,1,0)),IF(M341&lt;=0,1,IF(30/M341&gt;10,1,0)))),0)&gt;0,1,0))</f>
        <v/>
      </c>
      <c r="O341" s="22">
        <f>IF(AND(J341=1,N341=0),1,0)</f>
        <v/>
      </c>
      <c r="P341" s="22">
        <f>INDEX(Personendaten!$J$2:$J$32,MATCH(A341,Personendaten!$A$2:$A$32,0))</f>
        <v/>
      </c>
      <c r="Q341" s="22">
        <f>IF(O341=1,"",IF(AND(B341="post",P341="nicht angetreten"),"NANG",IF(N341=1,"AUSL",IFERROR(VLOOKUP(H341,Vokabular!$A$2:$B$8,2,FALSE),"UNBEKANNT"))))</f>
        <v/>
      </c>
    </row>
    <row r="342">
      <c r="A342" s="5" t="inlineStr">
        <is>
          <t>VS-01</t>
        </is>
      </c>
      <c r="B342" s="5" t="inlineStr">
        <is>
          <t>prä</t>
        </is>
      </c>
      <c r="C342" s="5" t="inlineStr">
        <is>
          <t>COD_505</t>
        </is>
      </c>
      <c r="D342" s="5" t="inlineStr">
        <is>
          <t>R</t>
        </is>
      </c>
      <c r="E342" s="5" t="n">
        <v>2</v>
      </c>
      <c r="F342" s="5" t="n">
        <v>2.37</v>
      </c>
      <c r="G342" s="5" t="inlineStr">
        <is>
          <t>x</t>
        </is>
      </c>
      <c r="H342" s="5" t="inlineStr">
        <is>
          <t>Linie nicht getroffen</t>
        </is>
      </c>
      <c r="I342" s="22">
        <f>INDEX(Personendaten!$C$2:$C$32,MATCH(A342,Personendaten!$A$2:$A$32,0))</f>
        <v/>
      </c>
      <c r="J342" s="22">
        <f>IF(AND(F342&lt;&gt;"",G342=""),1,0)</f>
        <v/>
      </c>
      <c r="K342" s="22">
        <f>IF(LEFT(C342,7)&lt;&gt;"Sprint_","",IF(COUNTIFS(Versuchsdaten!$A$2:$A$1117,$A342,Versuchsdaten!$B$2:$B$1117,$B342,Versuchsdaten!$C$2:$C$1117,"Sprint_5m",Versuchsdaten!$E$2:$E$1117,$E342,Versuchsdaten!$J$2:$J$1117,1)=1,SUMIFS(Versuchsdaten!$F$2:$F$1117,Versuchsdaten!$A$2:$A$1117,$A342,Versuchsdaten!$B$2:$B$1117,$B342,Versuchsdaten!$C$2:$C$1117,"Sprint_5m",Versuchsdaten!$E$2:$E$1117,$E342,Versuchsdaten!$J$2:$J$1117,1),""))</f>
        <v/>
      </c>
      <c r="L342" s="22">
        <f>IF(LEFT(C342,7)&lt;&gt;"Sprint_","",IF(COUNTIFS(Versuchsdaten!$A$2:$A$1117,$A342,Versuchsdaten!$B$2:$B$1117,$B342,Versuchsdaten!$C$2:$C$1117,"Sprint_10m",Versuchsdaten!$E$2:$E$1117,$E342,Versuchsdaten!$J$2:$J$1117,1)=1,SUMIFS(Versuchsdaten!$F$2:$F$1117,Versuchsdaten!$A$2:$A$1117,$A342,Versuchsdaten!$B$2:$B$1117,$B342,Versuchsdaten!$C$2:$C$1117,"Sprint_10m",Versuchsdaten!$E$2:$E$1117,$E342,Versuchsdaten!$J$2:$J$1117,1),""))</f>
        <v/>
      </c>
      <c r="M342" s="22">
        <f>IF(LEFT(C342,7)&lt;&gt;"Sprint_","",IF(COUNTIFS(Versuchsdaten!$A$2:$A$1117,$A342,Versuchsdaten!$B$2:$B$1117,$B342,Versuchsdaten!$C$2:$C$1117,"Sprint_30m",Versuchsdaten!$E$2:$E$1117,$E342,Versuchsdaten!$J$2:$J$1117,1)=1,SUMIFS(Versuchsdaten!$F$2:$F$1117,Versuchsdaten!$A$2:$A$1117,$A342,Versuchsdaten!$B$2:$B$1117,$B342,Versuchsdaten!$C$2:$C$1117,"Sprint_30m",Versuchsdaten!$E$2:$E$1117,$E342,Versuchsdaten!$J$2:$J$1117,1),""))</f>
        <v/>
      </c>
      <c r="N342" s="22">
        <f>IF(LEFT(C342,7)&lt;&gt;"Sprint_",0,IF(IF(ISNUMBER(K342),IF(K342&lt;=0,1,IF(5/K342&gt;10,1,0)),0)+IF(ISNUMBER(L342),IF(ISNUMBER(K342),IF(L342-K342&lt;=0,1,IF(5/(L342-K342)&gt;10,1,0)),IF(L342&lt;=0,1,IF(10/L342&gt;10,1,0))),0)+IF(ISNUMBER(M342),IF(ISNUMBER(L342),IF(M342-L342&lt;=0,1,IF(20/(M342-L342)&gt;10,1,0)),IF(ISNUMBER(K342),IF(M342-K342&lt;=0,1,IF(25/(M342-K342)&gt;10,1,0)),IF(M342&lt;=0,1,IF(30/M342&gt;10,1,0)))),0)&gt;0,1,0))</f>
        <v/>
      </c>
      <c r="O342" s="22">
        <f>IF(AND(J342=1,N342=0),1,0)</f>
        <v/>
      </c>
      <c r="P342" s="22">
        <f>INDEX(Personendaten!$J$2:$J$32,MATCH(A342,Personendaten!$A$2:$A$32,0))</f>
        <v/>
      </c>
      <c r="Q342" s="22">
        <f>IF(O342=1,"",IF(AND(B342="post",P342="nicht angetreten"),"NANG",IF(N342=1,"AUSL",IFERROR(VLOOKUP(H342,Vokabular!$A$2:$B$8,2,FALSE),"UNBEKANNT"))))</f>
        <v/>
      </c>
    </row>
    <row r="343">
      <c r="A343" s="5" t="inlineStr">
        <is>
          <t>VS-01</t>
        </is>
      </c>
      <c r="B343" s="5" t="inlineStr">
        <is>
          <t>prä</t>
        </is>
      </c>
      <c r="C343" s="5" t="inlineStr">
        <is>
          <t>COD_505</t>
        </is>
      </c>
      <c r="D343" s="5" t="inlineStr">
        <is>
          <t>R</t>
        </is>
      </c>
      <c r="E343" s="5" t="n">
        <v>3</v>
      </c>
      <c r="F343" s="5" t="n">
        <v>2.42</v>
      </c>
      <c r="G343" s="5" t="n"/>
      <c r="H343" s="5" t="n"/>
      <c r="I343" s="22">
        <f>INDEX(Personendaten!$C$2:$C$32,MATCH(A343,Personendaten!$A$2:$A$32,0))</f>
        <v/>
      </c>
      <c r="J343" s="22">
        <f>IF(AND(F343&lt;&gt;"",G343=""),1,0)</f>
        <v/>
      </c>
      <c r="K343" s="22">
        <f>IF(LEFT(C343,7)&lt;&gt;"Sprint_","",IF(COUNTIFS(Versuchsdaten!$A$2:$A$1117,$A343,Versuchsdaten!$B$2:$B$1117,$B343,Versuchsdaten!$C$2:$C$1117,"Sprint_5m",Versuchsdaten!$E$2:$E$1117,$E343,Versuchsdaten!$J$2:$J$1117,1)=1,SUMIFS(Versuchsdaten!$F$2:$F$1117,Versuchsdaten!$A$2:$A$1117,$A343,Versuchsdaten!$B$2:$B$1117,$B343,Versuchsdaten!$C$2:$C$1117,"Sprint_5m",Versuchsdaten!$E$2:$E$1117,$E343,Versuchsdaten!$J$2:$J$1117,1),""))</f>
        <v/>
      </c>
      <c r="L343" s="22">
        <f>IF(LEFT(C343,7)&lt;&gt;"Sprint_","",IF(COUNTIFS(Versuchsdaten!$A$2:$A$1117,$A343,Versuchsdaten!$B$2:$B$1117,$B343,Versuchsdaten!$C$2:$C$1117,"Sprint_10m",Versuchsdaten!$E$2:$E$1117,$E343,Versuchsdaten!$J$2:$J$1117,1)=1,SUMIFS(Versuchsdaten!$F$2:$F$1117,Versuchsdaten!$A$2:$A$1117,$A343,Versuchsdaten!$B$2:$B$1117,$B343,Versuchsdaten!$C$2:$C$1117,"Sprint_10m",Versuchsdaten!$E$2:$E$1117,$E343,Versuchsdaten!$J$2:$J$1117,1),""))</f>
        <v/>
      </c>
      <c r="M343" s="22">
        <f>IF(LEFT(C343,7)&lt;&gt;"Sprint_","",IF(COUNTIFS(Versuchsdaten!$A$2:$A$1117,$A343,Versuchsdaten!$B$2:$B$1117,$B343,Versuchsdaten!$C$2:$C$1117,"Sprint_30m",Versuchsdaten!$E$2:$E$1117,$E343,Versuchsdaten!$J$2:$J$1117,1)=1,SUMIFS(Versuchsdaten!$F$2:$F$1117,Versuchsdaten!$A$2:$A$1117,$A343,Versuchsdaten!$B$2:$B$1117,$B343,Versuchsdaten!$C$2:$C$1117,"Sprint_30m",Versuchsdaten!$E$2:$E$1117,$E343,Versuchsdaten!$J$2:$J$1117,1),""))</f>
        <v/>
      </c>
      <c r="N343" s="22">
        <f>IF(LEFT(C343,7)&lt;&gt;"Sprint_",0,IF(IF(ISNUMBER(K343),IF(K343&lt;=0,1,IF(5/K343&gt;10,1,0)),0)+IF(ISNUMBER(L343),IF(ISNUMBER(K343),IF(L343-K343&lt;=0,1,IF(5/(L343-K343)&gt;10,1,0)),IF(L343&lt;=0,1,IF(10/L343&gt;10,1,0))),0)+IF(ISNUMBER(M343),IF(ISNUMBER(L343),IF(M343-L343&lt;=0,1,IF(20/(M343-L343)&gt;10,1,0)),IF(ISNUMBER(K343),IF(M343-K343&lt;=0,1,IF(25/(M343-K343)&gt;10,1,0)),IF(M343&lt;=0,1,IF(30/M343&gt;10,1,0)))),0)&gt;0,1,0))</f>
        <v/>
      </c>
      <c r="O343" s="22">
        <f>IF(AND(J343=1,N343=0),1,0)</f>
        <v/>
      </c>
      <c r="P343" s="22">
        <f>INDEX(Personendaten!$J$2:$J$32,MATCH(A343,Personendaten!$A$2:$A$32,0))</f>
        <v/>
      </c>
      <c r="Q343" s="22">
        <f>IF(O343=1,"",IF(AND(B343="post",P343="nicht angetreten"),"NANG",IF(N343=1,"AUSL",IFERROR(VLOOKUP(H343,Vokabular!$A$2:$B$8,2,FALSE),"UNBEKANNT"))))</f>
        <v/>
      </c>
    </row>
    <row r="344">
      <c r="A344" s="5" t="inlineStr">
        <is>
          <t>VS-02</t>
        </is>
      </c>
      <c r="B344" s="5" t="inlineStr">
        <is>
          <t>prä</t>
        </is>
      </c>
      <c r="C344" s="5" t="inlineStr">
        <is>
          <t>Sprint_5m</t>
        </is>
      </c>
      <c r="D344" s="5" t="inlineStr">
        <is>
          <t>–</t>
        </is>
      </c>
      <c r="E344" s="5" t="n">
        <v>1</v>
      </c>
      <c r="F344" s="5" t="n">
        <v>1.19</v>
      </c>
      <c r="G344" s="5" t="n"/>
      <c r="H344" s="5" t="n"/>
      <c r="I344" s="22">
        <f>INDEX(Personendaten!$C$2:$C$32,MATCH(A344,Personendaten!$A$2:$A$32,0))</f>
        <v/>
      </c>
      <c r="J344" s="22">
        <f>IF(AND(F344&lt;&gt;"",G344=""),1,0)</f>
        <v/>
      </c>
      <c r="K344" s="22">
        <f>IF(LEFT(C344,7)&lt;&gt;"Sprint_","",IF(COUNTIFS(Versuchsdaten!$A$2:$A$1117,$A344,Versuchsdaten!$B$2:$B$1117,$B344,Versuchsdaten!$C$2:$C$1117,"Sprint_5m",Versuchsdaten!$E$2:$E$1117,$E344,Versuchsdaten!$J$2:$J$1117,1)=1,SUMIFS(Versuchsdaten!$F$2:$F$1117,Versuchsdaten!$A$2:$A$1117,$A344,Versuchsdaten!$B$2:$B$1117,$B344,Versuchsdaten!$C$2:$C$1117,"Sprint_5m",Versuchsdaten!$E$2:$E$1117,$E344,Versuchsdaten!$J$2:$J$1117,1),""))</f>
        <v/>
      </c>
      <c r="L344" s="22">
        <f>IF(LEFT(C344,7)&lt;&gt;"Sprint_","",IF(COUNTIFS(Versuchsdaten!$A$2:$A$1117,$A344,Versuchsdaten!$B$2:$B$1117,$B344,Versuchsdaten!$C$2:$C$1117,"Sprint_10m",Versuchsdaten!$E$2:$E$1117,$E344,Versuchsdaten!$J$2:$J$1117,1)=1,SUMIFS(Versuchsdaten!$F$2:$F$1117,Versuchsdaten!$A$2:$A$1117,$A344,Versuchsdaten!$B$2:$B$1117,$B344,Versuchsdaten!$C$2:$C$1117,"Sprint_10m",Versuchsdaten!$E$2:$E$1117,$E344,Versuchsdaten!$J$2:$J$1117,1),""))</f>
        <v/>
      </c>
      <c r="M344" s="22">
        <f>IF(LEFT(C344,7)&lt;&gt;"Sprint_","",IF(COUNTIFS(Versuchsdaten!$A$2:$A$1117,$A344,Versuchsdaten!$B$2:$B$1117,$B344,Versuchsdaten!$C$2:$C$1117,"Sprint_30m",Versuchsdaten!$E$2:$E$1117,$E344,Versuchsdaten!$J$2:$J$1117,1)=1,SUMIFS(Versuchsdaten!$F$2:$F$1117,Versuchsdaten!$A$2:$A$1117,$A344,Versuchsdaten!$B$2:$B$1117,$B344,Versuchsdaten!$C$2:$C$1117,"Sprint_30m",Versuchsdaten!$E$2:$E$1117,$E344,Versuchsdaten!$J$2:$J$1117,1),""))</f>
        <v/>
      </c>
      <c r="N344" s="22">
        <f>IF(LEFT(C344,7)&lt;&gt;"Sprint_",0,IF(IF(ISNUMBER(K344),IF(K344&lt;=0,1,IF(5/K344&gt;10,1,0)),0)+IF(ISNUMBER(L344),IF(ISNUMBER(K344),IF(L344-K344&lt;=0,1,IF(5/(L344-K344)&gt;10,1,0)),IF(L344&lt;=0,1,IF(10/L344&gt;10,1,0))),0)+IF(ISNUMBER(M344),IF(ISNUMBER(L344),IF(M344-L344&lt;=0,1,IF(20/(M344-L344)&gt;10,1,0)),IF(ISNUMBER(K344),IF(M344-K344&lt;=0,1,IF(25/(M344-K344)&gt;10,1,0)),IF(M344&lt;=0,1,IF(30/M344&gt;10,1,0)))),0)&gt;0,1,0))</f>
        <v/>
      </c>
      <c r="O344" s="22">
        <f>IF(AND(J344=1,N344=0),1,0)</f>
        <v/>
      </c>
      <c r="P344" s="22">
        <f>INDEX(Personendaten!$J$2:$J$32,MATCH(A344,Personendaten!$A$2:$A$32,0))</f>
        <v/>
      </c>
      <c r="Q344" s="22">
        <f>IF(O344=1,"",IF(AND(B344="post",P344="nicht angetreten"),"NANG",IF(N344=1,"AUSL",IFERROR(VLOOKUP(H344,Vokabular!$A$2:$B$8,2,FALSE),"UNBEKANNT"))))</f>
        <v/>
      </c>
    </row>
    <row r="345">
      <c r="A345" s="5" t="inlineStr">
        <is>
          <t>VS-02</t>
        </is>
      </c>
      <c r="B345" s="5" t="inlineStr">
        <is>
          <t>prä</t>
        </is>
      </c>
      <c r="C345" s="5" t="inlineStr">
        <is>
          <t>Sprint_5m</t>
        </is>
      </c>
      <c r="D345" s="5" t="inlineStr">
        <is>
          <t>–</t>
        </is>
      </c>
      <c r="E345" s="5" t="n">
        <v>2</v>
      </c>
      <c r="F345" s="5" t="n"/>
      <c r="G345" s="5" t="n"/>
      <c r="H345" s="5" t="inlineStr">
        <is>
          <t>System nicht aufgenommen</t>
        </is>
      </c>
      <c r="I345" s="22">
        <f>INDEX(Personendaten!$C$2:$C$32,MATCH(A345,Personendaten!$A$2:$A$32,0))</f>
        <v/>
      </c>
      <c r="J345" s="22">
        <f>IF(AND(F345&lt;&gt;"",G345=""),1,0)</f>
        <v/>
      </c>
      <c r="K345" s="22">
        <f>IF(LEFT(C345,7)&lt;&gt;"Sprint_","",IF(COUNTIFS(Versuchsdaten!$A$2:$A$1117,$A345,Versuchsdaten!$B$2:$B$1117,$B345,Versuchsdaten!$C$2:$C$1117,"Sprint_5m",Versuchsdaten!$E$2:$E$1117,$E345,Versuchsdaten!$J$2:$J$1117,1)=1,SUMIFS(Versuchsdaten!$F$2:$F$1117,Versuchsdaten!$A$2:$A$1117,$A345,Versuchsdaten!$B$2:$B$1117,$B345,Versuchsdaten!$C$2:$C$1117,"Sprint_5m",Versuchsdaten!$E$2:$E$1117,$E345,Versuchsdaten!$J$2:$J$1117,1),""))</f>
        <v/>
      </c>
      <c r="L345" s="22">
        <f>IF(LEFT(C345,7)&lt;&gt;"Sprint_","",IF(COUNTIFS(Versuchsdaten!$A$2:$A$1117,$A345,Versuchsdaten!$B$2:$B$1117,$B345,Versuchsdaten!$C$2:$C$1117,"Sprint_10m",Versuchsdaten!$E$2:$E$1117,$E345,Versuchsdaten!$J$2:$J$1117,1)=1,SUMIFS(Versuchsdaten!$F$2:$F$1117,Versuchsdaten!$A$2:$A$1117,$A345,Versuchsdaten!$B$2:$B$1117,$B345,Versuchsdaten!$C$2:$C$1117,"Sprint_10m",Versuchsdaten!$E$2:$E$1117,$E345,Versuchsdaten!$J$2:$J$1117,1),""))</f>
        <v/>
      </c>
      <c r="M345" s="22">
        <f>IF(LEFT(C345,7)&lt;&gt;"Sprint_","",IF(COUNTIFS(Versuchsdaten!$A$2:$A$1117,$A345,Versuchsdaten!$B$2:$B$1117,$B345,Versuchsdaten!$C$2:$C$1117,"Sprint_30m",Versuchsdaten!$E$2:$E$1117,$E345,Versuchsdaten!$J$2:$J$1117,1)=1,SUMIFS(Versuchsdaten!$F$2:$F$1117,Versuchsdaten!$A$2:$A$1117,$A345,Versuchsdaten!$B$2:$B$1117,$B345,Versuchsdaten!$C$2:$C$1117,"Sprint_30m",Versuchsdaten!$E$2:$E$1117,$E345,Versuchsdaten!$J$2:$J$1117,1),""))</f>
        <v/>
      </c>
      <c r="N345" s="22">
        <f>IF(LEFT(C345,7)&lt;&gt;"Sprint_",0,IF(IF(ISNUMBER(K345),IF(K345&lt;=0,1,IF(5/K345&gt;10,1,0)),0)+IF(ISNUMBER(L345),IF(ISNUMBER(K345),IF(L345-K345&lt;=0,1,IF(5/(L345-K345)&gt;10,1,0)),IF(L345&lt;=0,1,IF(10/L345&gt;10,1,0))),0)+IF(ISNUMBER(M345),IF(ISNUMBER(L345),IF(M345-L345&lt;=0,1,IF(20/(M345-L345)&gt;10,1,0)),IF(ISNUMBER(K345),IF(M345-K345&lt;=0,1,IF(25/(M345-K345)&gt;10,1,0)),IF(M345&lt;=0,1,IF(30/M345&gt;10,1,0)))),0)&gt;0,1,0))</f>
        <v/>
      </c>
      <c r="O345" s="22">
        <f>IF(AND(J345=1,N345=0),1,0)</f>
        <v/>
      </c>
      <c r="P345" s="22">
        <f>INDEX(Personendaten!$J$2:$J$32,MATCH(A345,Personendaten!$A$2:$A$32,0))</f>
        <v/>
      </c>
      <c r="Q345" s="22">
        <f>IF(O345=1,"",IF(AND(B345="post",P345="nicht angetreten"),"NANG",IF(N345=1,"AUSL",IFERROR(VLOOKUP(H345,Vokabular!$A$2:$B$8,2,FALSE),"UNBEKANNT"))))</f>
        <v/>
      </c>
    </row>
    <row r="346">
      <c r="A346" s="5" t="inlineStr">
        <is>
          <t>VS-02</t>
        </is>
      </c>
      <c r="B346" s="5" t="inlineStr">
        <is>
          <t>prä</t>
        </is>
      </c>
      <c r="C346" s="5" t="inlineStr">
        <is>
          <t>Sprint_5m</t>
        </is>
      </c>
      <c r="D346" s="5" t="inlineStr">
        <is>
          <t>–</t>
        </is>
      </c>
      <c r="E346" s="5" t="n">
        <v>3</v>
      </c>
      <c r="F346" s="5" t="n">
        <v>1.12</v>
      </c>
      <c r="G346" s="5" t="n"/>
      <c r="H346" s="5" t="n"/>
      <c r="I346" s="22">
        <f>INDEX(Personendaten!$C$2:$C$32,MATCH(A346,Personendaten!$A$2:$A$32,0))</f>
        <v/>
      </c>
      <c r="J346" s="22">
        <f>IF(AND(F346&lt;&gt;"",G346=""),1,0)</f>
        <v/>
      </c>
      <c r="K346" s="22">
        <f>IF(LEFT(C346,7)&lt;&gt;"Sprint_","",IF(COUNTIFS(Versuchsdaten!$A$2:$A$1117,$A346,Versuchsdaten!$B$2:$B$1117,$B346,Versuchsdaten!$C$2:$C$1117,"Sprint_5m",Versuchsdaten!$E$2:$E$1117,$E346,Versuchsdaten!$J$2:$J$1117,1)=1,SUMIFS(Versuchsdaten!$F$2:$F$1117,Versuchsdaten!$A$2:$A$1117,$A346,Versuchsdaten!$B$2:$B$1117,$B346,Versuchsdaten!$C$2:$C$1117,"Sprint_5m",Versuchsdaten!$E$2:$E$1117,$E346,Versuchsdaten!$J$2:$J$1117,1),""))</f>
        <v/>
      </c>
      <c r="L346" s="22">
        <f>IF(LEFT(C346,7)&lt;&gt;"Sprint_","",IF(COUNTIFS(Versuchsdaten!$A$2:$A$1117,$A346,Versuchsdaten!$B$2:$B$1117,$B346,Versuchsdaten!$C$2:$C$1117,"Sprint_10m",Versuchsdaten!$E$2:$E$1117,$E346,Versuchsdaten!$J$2:$J$1117,1)=1,SUMIFS(Versuchsdaten!$F$2:$F$1117,Versuchsdaten!$A$2:$A$1117,$A346,Versuchsdaten!$B$2:$B$1117,$B346,Versuchsdaten!$C$2:$C$1117,"Sprint_10m",Versuchsdaten!$E$2:$E$1117,$E346,Versuchsdaten!$J$2:$J$1117,1),""))</f>
        <v/>
      </c>
      <c r="M346" s="22">
        <f>IF(LEFT(C346,7)&lt;&gt;"Sprint_","",IF(COUNTIFS(Versuchsdaten!$A$2:$A$1117,$A346,Versuchsdaten!$B$2:$B$1117,$B346,Versuchsdaten!$C$2:$C$1117,"Sprint_30m",Versuchsdaten!$E$2:$E$1117,$E346,Versuchsdaten!$J$2:$J$1117,1)=1,SUMIFS(Versuchsdaten!$F$2:$F$1117,Versuchsdaten!$A$2:$A$1117,$A346,Versuchsdaten!$B$2:$B$1117,$B346,Versuchsdaten!$C$2:$C$1117,"Sprint_30m",Versuchsdaten!$E$2:$E$1117,$E346,Versuchsdaten!$J$2:$J$1117,1),""))</f>
        <v/>
      </c>
      <c r="N346" s="22">
        <f>IF(LEFT(C346,7)&lt;&gt;"Sprint_",0,IF(IF(ISNUMBER(K346),IF(K346&lt;=0,1,IF(5/K346&gt;10,1,0)),0)+IF(ISNUMBER(L346),IF(ISNUMBER(K346),IF(L346-K346&lt;=0,1,IF(5/(L346-K346)&gt;10,1,0)),IF(L346&lt;=0,1,IF(10/L346&gt;10,1,0))),0)+IF(ISNUMBER(M346),IF(ISNUMBER(L346),IF(M346-L346&lt;=0,1,IF(20/(M346-L346)&gt;10,1,0)),IF(ISNUMBER(K346),IF(M346-K346&lt;=0,1,IF(25/(M346-K346)&gt;10,1,0)),IF(M346&lt;=0,1,IF(30/M346&gt;10,1,0)))),0)&gt;0,1,0))</f>
        <v/>
      </c>
      <c r="O346" s="22">
        <f>IF(AND(J346=1,N346=0),1,0)</f>
        <v/>
      </c>
      <c r="P346" s="22">
        <f>INDEX(Personendaten!$J$2:$J$32,MATCH(A346,Personendaten!$A$2:$A$32,0))</f>
        <v/>
      </c>
      <c r="Q346" s="22">
        <f>IF(O346=1,"",IF(AND(B346="post",P346="nicht angetreten"),"NANG",IF(N346=1,"AUSL",IFERROR(VLOOKUP(H346,Vokabular!$A$2:$B$8,2,FALSE),"UNBEKANNT"))))</f>
        <v/>
      </c>
    </row>
    <row r="347">
      <c r="A347" s="5" t="inlineStr">
        <is>
          <t>VS-02</t>
        </is>
      </c>
      <c r="B347" s="5" t="inlineStr">
        <is>
          <t>prä</t>
        </is>
      </c>
      <c r="C347" s="5" t="inlineStr">
        <is>
          <t>Sprint_10m</t>
        </is>
      </c>
      <c r="D347" s="5" t="inlineStr">
        <is>
          <t>–</t>
        </is>
      </c>
      <c r="E347" s="5" t="n">
        <v>1</v>
      </c>
      <c r="F347" s="5" t="n">
        <v>2.02</v>
      </c>
      <c r="G347" s="5" t="n"/>
      <c r="H347" s="5" t="n"/>
      <c r="I347" s="22">
        <f>INDEX(Personendaten!$C$2:$C$32,MATCH(A347,Personendaten!$A$2:$A$32,0))</f>
        <v/>
      </c>
      <c r="J347" s="22">
        <f>IF(AND(F347&lt;&gt;"",G347=""),1,0)</f>
        <v/>
      </c>
      <c r="K347" s="22">
        <f>IF(LEFT(C347,7)&lt;&gt;"Sprint_","",IF(COUNTIFS(Versuchsdaten!$A$2:$A$1117,$A347,Versuchsdaten!$B$2:$B$1117,$B347,Versuchsdaten!$C$2:$C$1117,"Sprint_5m",Versuchsdaten!$E$2:$E$1117,$E347,Versuchsdaten!$J$2:$J$1117,1)=1,SUMIFS(Versuchsdaten!$F$2:$F$1117,Versuchsdaten!$A$2:$A$1117,$A347,Versuchsdaten!$B$2:$B$1117,$B347,Versuchsdaten!$C$2:$C$1117,"Sprint_5m",Versuchsdaten!$E$2:$E$1117,$E347,Versuchsdaten!$J$2:$J$1117,1),""))</f>
        <v/>
      </c>
      <c r="L347" s="22">
        <f>IF(LEFT(C347,7)&lt;&gt;"Sprint_","",IF(COUNTIFS(Versuchsdaten!$A$2:$A$1117,$A347,Versuchsdaten!$B$2:$B$1117,$B347,Versuchsdaten!$C$2:$C$1117,"Sprint_10m",Versuchsdaten!$E$2:$E$1117,$E347,Versuchsdaten!$J$2:$J$1117,1)=1,SUMIFS(Versuchsdaten!$F$2:$F$1117,Versuchsdaten!$A$2:$A$1117,$A347,Versuchsdaten!$B$2:$B$1117,$B347,Versuchsdaten!$C$2:$C$1117,"Sprint_10m",Versuchsdaten!$E$2:$E$1117,$E347,Versuchsdaten!$J$2:$J$1117,1),""))</f>
        <v/>
      </c>
      <c r="M347" s="22">
        <f>IF(LEFT(C347,7)&lt;&gt;"Sprint_","",IF(COUNTIFS(Versuchsdaten!$A$2:$A$1117,$A347,Versuchsdaten!$B$2:$B$1117,$B347,Versuchsdaten!$C$2:$C$1117,"Sprint_30m",Versuchsdaten!$E$2:$E$1117,$E347,Versuchsdaten!$J$2:$J$1117,1)=1,SUMIFS(Versuchsdaten!$F$2:$F$1117,Versuchsdaten!$A$2:$A$1117,$A347,Versuchsdaten!$B$2:$B$1117,$B347,Versuchsdaten!$C$2:$C$1117,"Sprint_30m",Versuchsdaten!$E$2:$E$1117,$E347,Versuchsdaten!$J$2:$J$1117,1),""))</f>
        <v/>
      </c>
      <c r="N347" s="22">
        <f>IF(LEFT(C347,7)&lt;&gt;"Sprint_",0,IF(IF(ISNUMBER(K347),IF(K347&lt;=0,1,IF(5/K347&gt;10,1,0)),0)+IF(ISNUMBER(L347),IF(ISNUMBER(K347),IF(L347-K347&lt;=0,1,IF(5/(L347-K347)&gt;10,1,0)),IF(L347&lt;=0,1,IF(10/L347&gt;10,1,0))),0)+IF(ISNUMBER(M347),IF(ISNUMBER(L347),IF(M347-L347&lt;=0,1,IF(20/(M347-L347)&gt;10,1,0)),IF(ISNUMBER(K347),IF(M347-K347&lt;=0,1,IF(25/(M347-K347)&gt;10,1,0)),IF(M347&lt;=0,1,IF(30/M347&gt;10,1,0)))),0)&gt;0,1,0))</f>
        <v/>
      </c>
      <c r="O347" s="22">
        <f>IF(AND(J347=1,N347=0),1,0)</f>
        <v/>
      </c>
      <c r="P347" s="22">
        <f>INDEX(Personendaten!$J$2:$J$32,MATCH(A347,Personendaten!$A$2:$A$32,0))</f>
        <v/>
      </c>
      <c r="Q347" s="22">
        <f>IF(O347=1,"",IF(AND(B347="post",P347="nicht angetreten"),"NANG",IF(N347=1,"AUSL",IFERROR(VLOOKUP(H347,Vokabular!$A$2:$B$8,2,FALSE),"UNBEKANNT"))))</f>
        <v/>
      </c>
    </row>
    <row r="348">
      <c r="A348" s="5" t="inlineStr">
        <is>
          <t>VS-02</t>
        </is>
      </c>
      <c r="B348" s="5" t="inlineStr">
        <is>
          <t>prä</t>
        </is>
      </c>
      <c r="C348" s="5" t="inlineStr">
        <is>
          <t>Sprint_10m</t>
        </is>
      </c>
      <c r="D348" s="5" t="inlineStr">
        <is>
          <t>–</t>
        </is>
      </c>
      <c r="E348" s="5" t="n">
        <v>2</v>
      </c>
      <c r="F348" s="5" t="n"/>
      <c r="G348" s="5" t="n"/>
      <c r="H348" s="5" t="inlineStr">
        <is>
          <t>System nicht aufgenommen</t>
        </is>
      </c>
      <c r="I348" s="22">
        <f>INDEX(Personendaten!$C$2:$C$32,MATCH(A348,Personendaten!$A$2:$A$32,0))</f>
        <v/>
      </c>
      <c r="J348" s="22">
        <f>IF(AND(F348&lt;&gt;"",G348=""),1,0)</f>
        <v/>
      </c>
      <c r="K348" s="22">
        <f>IF(LEFT(C348,7)&lt;&gt;"Sprint_","",IF(COUNTIFS(Versuchsdaten!$A$2:$A$1117,$A348,Versuchsdaten!$B$2:$B$1117,$B348,Versuchsdaten!$C$2:$C$1117,"Sprint_5m",Versuchsdaten!$E$2:$E$1117,$E348,Versuchsdaten!$J$2:$J$1117,1)=1,SUMIFS(Versuchsdaten!$F$2:$F$1117,Versuchsdaten!$A$2:$A$1117,$A348,Versuchsdaten!$B$2:$B$1117,$B348,Versuchsdaten!$C$2:$C$1117,"Sprint_5m",Versuchsdaten!$E$2:$E$1117,$E348,Versuchsdaten!$J$2:$J$1117,1),""))</f>
        <v/>
      </c>
      <c r="L348" s="22">
        <f>IF(LEFT(C348,7)&lt;&gt;"Sprint_","",IF(COUNTIFS(Versuchsdaten!$A$2:$A$1117,$A348,Versuchsdaten!$B$2:$B$1117,$B348,Versuchsdaten!$C$2:$C$1117,"Sprint_10m",Versuchsdaten!$E$2:$E$1117,$E348,Versuchsdaten!$J$2:$J$1117,1)=1,SUMIFS(Versuchsdaten!$F$2:$F$1117,Versuchsdaten!$A$2:$A$1117,$A348,Versuchsdaten!$B$2:$B$1117,$B348,Versuchsdaten!$C$2:$C$1117,"Sprint_10m",Versuchsdaten!$E$2:$E$1117,$E348,Versuchsdaten!$J$2:$J$1117,1),""))</f>
        <v/>
      </c>
      <c r="M348" s="22">
        <f>IF(LEFT(C348,7)&lt;&gt;"Sprint_","",IF(COUNTIFS(Versuchsdaten!$A$2:$A$1117,$A348,Versuchsdaten!$B$2:$B$1117,$B348,Versuchsdaten!$C$2:$C$1117,"Sprint_30m",Versuchsdaten!$E$2:$E$1117,$E348,Versuchsdaten!$J$2:$J$1117,1)=1,SUMIFS(Versuchsdaten!$F$2:$F$1117,Versuchsdaten!$A$2:$A$1117,$A348,Versuchsdaten!$B$2:$B$1117,$B348,Versuchsdaten!$C$2:$C$1117,"Sprint_30m",Versuchsdaten!$E$2:$E$1117,$E348,Versuchsdaten!$J$2:$J$1117,1),""))</f>
        <v/>
      </c>
      <c r="N348" s="22">
        <f>IF(LEFT(C348,7)&lt;&gt;"Sprint_",0,IF(IF(ISNUMBER(K348),IF(K348&lt;=0,1,IF(5/K348&gt;10,1,0)),0)+IF(ISNUMBER(L348),IF(ISNUMBER(K348),IF(L348-K348&lt;=0,1,IF(5/(L348-K348)&gt;10,1,0)),IF(L348&lt;=0,1,IF(10/L348&gt;10,1,0))),0)+IF(ISNUMBER(M348),IF(ISNUMBER(L348),IF(M348-L348&lt;=0,1,IF(20/(M348-L348)&gt;10,1,0)),IF(ISNUMBER(K348),IF(M348-K348&lt;=0,1,IF(25/(M348-K348)&gt;10,1,0)),IF(M348&lt;=0,1,IF(30/M348&gt;10,1,0)))),0)&gt;0,1,0))</f>
        <v/>
      </c>
      <c r="O348" s="22">
        <f>IF(AND(J348=1,N348=0),1,0)</f>
        <v/>
      </c>
      <c r="P348" s="22">
        <f>INDEX(Personendaten!$J$2:$J$32,MATCH(A348,Personendaten!$A$2:$A$32,0))</f>
        <v/>
      </c>
      <c r="Q348" s="22">
        <f>IF(O348=1,"",IF(AND(B348="post",P348="nicht angetreten"),"NANG",IF(N348=1,"AUSL",IFERROR(VLOOKUP(H348,Vokabular!$A$2:$B$8,2,FALSE),"UNBEKANNT"))))</f>
        <v/>
      </c>
    </row>
    <row r="349">
      <c r="A349" s="5" t="inlineStr">
        <is>
          <t>VS-02</t>
        </is>
      </c>
      <c r="B349" s="5" t="inlineStr">
        <is>
          <t>prä</t>
        </is>
      </c>
      <c r="C349" s="5" t="inlineStr">
        <is>
          <t>Sprint_10m</t>
        </is>
      </c>
      <c r="D349" s="5" t="inlineStr">
        <is>
          <t>–</t>
        </is>
      </c>
      <c r="E349" s="5" t="n">
        <v>3</v>
      </c>
      <c r="F349" s="5" t="n">
        <v>1.96</v>
      </c>
      <c r="G349" s="5" t="n"/>
      <c r="H349" s="5" t="n"/>
      <c r="I349" s="22">
        <f>INDEX(Personendaten!$C$2:$C$32,MATCH(A349,Personendaten!$A$2:$A$32,0))</f>
        <v/>
      </c>
      <c r="J349" s="22">
        <f>IF(AND(F349&lt;&gt;"",G349=""),1,0)</f>
        <v/>
      </c>
      <c r="K349" s="22">
        <f>IF(LEFT(C349,7)&lt;&gt;"Sprint_","",IF(COUNTIFS(Versuchsdaten!$A$2:$A$1117,$A349,Versuchsdaten!$B$2:$B$1117,$B349,Versuchsdaten!$C$2:$C$1117,"Sprint_5m",Versuchsdaten!$E$2:$E$1117,$E349,Versuchsdaten!$J$2:$J$1117,1)=1,SUMIFS(Versuchsdaten!$F$2:$F$1117,Versuchsdaten!$A$2:$A$1117,$A349,Versuchsdaten!$B$2:$B$1117,$B349,Versuchsdaten!$C$2:$C$1117,"Sprint_5m",Versuchsdaten!$E$2:$E$1117,$E349,Versuchsdaten!$J$2:$J$1117,1),""))</f>
        <v/>
      </c>
      <c r="L349" s="22">
        <f>IF(LEFT(C349,7)&lt;&gt;"Sprint_","",IF(COUNTIFS(Versuchsdaten!$A$2:$A$1117,$A349,Versuchsdaten!$B$2:$B$1117,$B349,Versuchsdaten!$C$2:$C$1117,"Sprint_10m",Versuchsdaten!$E$2:$E$1117,$E349,Versuchsdaten!$J$2:$J$1117,1)=1,SUMIFS(Versuchsdaten!$F$2:$F$1117,Versuchsdaten!$A$2:$A$1117,$A349,Versuchsdaten!$B$2:$B$1117,$B349,Versuchsdaten!$C$2:$C$1117,"Sprint_10m",Versuchsdaten!$E$2:$E$1117,$E349,Versuchsdaten!$J$2:$J$1117,1),""))</f>
        <v/>
      </c>
      <c r="M349" s="22">
        <f>IF(LEFT(C349,7)&lt;&gt;"Sprint_","",IF(COUNTIFS(Versuchsdaten!$A$2:$A$1117,$A349,Versuchsdaten!$B$2:$B$1117,$B349,Versuchsdaten!$C$2:$C$1117,"Sprint_30m",Versuchsdaten!$E$2:$E$1117,$E349,Versuchsdaten!$J$2:$J$1117,1)=1,SUMIFS(Versuchsdaten!$F$2:$F$1117,Versuchsdaten!$A$2:$A$1117,$A349,Versuchsdaten!$B$2:$B$1117,$B349,Versuchsdaten!$C$2:$C$1117,"Sprint_30m",Versuchsdaten!$E$2:$E$1117,$E349,Versuchsdaten!$J$2:$J$1117,1),""))</f>
        <v/>
      </c>
      <c r="N349" s="22">
        <f>IF(LEFT(C349,7)&lt;&gt;"Sprint_",0,IF(IF(ISNUMBER(K349),IF(K349&lt;=0,1,IF(5/K349&gt;10,1,0)),0)+IF(ISNUMBER(L349),IF(ISNUMBER(K349),IF(L349-K349&lt;=0,1,IF(5/(L349-K349)&gt;10,1,0)),IF(L349&lt;=0,1,IF(10/L349&gt;10,1,0))),0)+IF(ISNUMBER(M349),IF(ISNUMBER(L349),IF(M349-L349&lt;=0,1,IF(20/(M349-L349)&gt;10,1,0)),IF(ISNUMBER(K349),IF(M349-K349&lt;=0,1,IF(25/(M349-K349)&gt;10,1,0)),IF(M349&lt;=0,1,IF(30/M349&gt;10,1,0)))),0)&gt;0,1,0))</f>
        <v/>
      </c>
      <c r="O349" s="22">
        <f>IF(AND(J349=1,N349=0),1,0)</f>
        <v/>
      </c>
      <c r="P349" s="22">
        <f>INDEX(Personendaten!$J$2:$J$32,MATCH(A349,Personendaten!$A$2:$A$32,0))</f>
        <v/>
      </c>
      <c r="Q349" s="22">
        <f>IF(O349=1,"",IF(AND(B349="post",P349="nicht angetreten"),"NANG",IF(N349=1,"AUSL",IFERROR(VLOOKUP(H349,Vokabular!$A$2:$B$8,2,FALSE),"UNBEKANNT"))))</f>
        <v/>
      </c>
    </row>
    <row r="350">
      <c r="A350" s="5" t="inlineStr">
        <is>
          <t>VS-02</t>
        </is>
      </c>
      <c r="B350" s="5" t="inlineStr">
        <is>
          <t>prä</t>
        </is>
      </c>
      <c r="C350" s="5" t="inlineStr">
        <is>
          <t>Sprint_30m</t>
        </is>
      </c>
      <c r="D350" s="5" t="inlineStr">
        <is>
          <t>–</t>
        </is>
      </c>
      <c r="E350" s="5" t="n">
        <v>1</v>
      </c>
      <c r="F350" s="5" t="n">
        <v>4.94</v>
      </c>
      <c r="G350" s="5" t="n"/>
      <c r="H350" s="5" t="n"/>
      <c r="I350" s="22">
        <f>INDEX(Personendaten!$C$2:$C$32,MATCH(A350,Personendaten!$A$2:$A$32,0))</f>
        <v/>
      </c>
      <c r="J350" s="22">
        <f>IF(AND(F350&lt;&gt;"",G350=""),1,0)</f>
        <v/>
      </c>
      <c r="K350" s="22">
        <f>IF(LEFT(C350,7)&lt;&gt;"Sprint_","",IF(COUNTIFS(Versuchsdaten!$A$2:$A$1117,$A350,Versuchsdaten!$B$2:$B$1117,$B350,Versuchsdaten!$C$2:$C$1117,"Sprint_5m",Versuchsdaten!$E$2:$E$1117,$E350,Versuchsdaten!$J$2:$J$1117,1)=1,SUMIFS(Versuchsdaten!$F$2:$F$1117,Versuchsdaten!$A$2:$A$1117,$A350,Versuchsdaten!$B$2:$B$1117,$B350,Versuchsdaten!$C$2:$C$1117,"Sprint_5m",Versuchsdaten!$E$2:$E$1117,$E350,Versuchsdaten!$J$2:$J$1117,1),""))</f>
        <v/>
      </c>
      <c r="L350" s="22">
        <f>IF(LEFT(C350,7)&lt;&gt;"Sprint_","",IF(COUNTIFS(Versuchsdaten!$A$2:$A$1117,$A350,Versuchsdaten!$B$2:$B$1117,$B350,Versuchsdaten!$C$2:$C$1117,"Sprint_10m",Versuchsdaten!$E$2:$E$1117,$E350,Versuchsdaten!$J$2:$J$1117,1)=1,SUMIFS(Versuchsdaten!$F$2:$F$1117,Versuchsdaten!$A$2:$A$1117,$A350,Versuchsdaten!$B$2:$B$1117,$B350,Versuchsdaten!$C$2:$C$1117,"Sprint_10m",Versuchsdaten!$E$2:$E$1117,$E350,Versuchsdaten!$J$2:$J$1117,1),""))</f>
        <v/>
      </c>
      <c r="M350" s="22">
        <f>IF(LEFT(C350,7)&lt;&gt;"Sprint_","",IF(COUNTIFS(Versuchsdaten!$A$2:$A$1117,$A350,Versuchsdaten!$B$2:$B$1117,$B350,Versuchsdaten!$C$2:$C$1117,"Sprint_30m",Versuchsdaten!$E$2:$E$1117,$E350,Versuchsdaten!$J$2:$J$1117,1)=1,SUMIFS(Versuchsdaten!$F$2:$F$1117,Versuchsdaten!$A$2:$A$1117,$A350,Versuchsdaten!$B$2:$B$1117,$B350,Versuchsdaten!$C$2:$C$1117,"Sprint_30m",Versuchsdaten!$E$2:$E$1117,$E350,Versuchsdaten!$J$2:$J$1117,1),""))</f>
        <v/>
      </c>
      <c r="N350" s="22">
        <f>IF(LEFT(C350,7)&lt;&gt;"Sprint_",0,IF(IF(ISNUMBER(K350),IF(K350&lt;=0,1,IF(5/K350&gt;10,1,0)),0)+IF(ISNUMBER(L350),IF(ISNUMBER(K350),IF(L350-K350&lt;=0,1,IF(5/(L350-K350)&gt;10,1,0)),IF(L350&lt;=0,1,IF(10/L350&gt;10,1,0))),0)+IF(ISNUMBER(M350),IF(ISNUMBER(L350),IF(M350-L350&lt;=0,1,IF(20/(M350-L350)&gt;10,1,0)),IF(ISNUMBER(K350),IF(M350-K350&lt;=0,1,IF(25/(M350-K350)&gt;10,1,0)),IF(M350&lt;=0,1,IF(30/M350&gt;10,1,0)))),0)&gt;0,1,0))</f>
        <v/>
      </c>
      <c r="O350" s="22">
        <f>IF(AND(J350=1,N350=0),1,0)</f>
        <v/>
      </c>
      <c r="P350" s="22">
        <f>INDEX(Personendaten!$J$2:$J$32,MATCH(A350,Personendaten!$A$2:$A$32,0))</f>
        <v/>
      </c>
      <c r="Q350" s="22">
        <f>IF(O350=1,"",IF(AND(B350="post",P350="nicht angetreten"),"NANG",IF(N350=1,"AUSL",IFERROR(VLOOKUP(H350,Vokabular!$A$2:$B$8,2,FALSE),"UNBEKANNT"))))</f>
        <v/>
      </c>
    </row>
    <row r="351">
      <c r="A351" s="5" t="inlineStr">
        <is>
          <t>VS-02</t>
        </is>
      </c>
      <c r="B351" s="5" t="inlineStr">
        <is>
          <t>prä</t>
        </is>
      </c>
      <c r="C351" s="5" t="inlineStr">
        <is>
          <t>Sprint_30m</t>
        </is>
      </c>
      <c r="D351" s="5" t="inlineStr">
        <is>
          <t>–</t>
        </is>
      </c>
      <c r="E351" s="5" t="n">
        <v>2</v>
      </c>
      <c r="F351" s="5" t="n"/>
      <c r="G351" s="5" t="n"/>
      <c r="H351" s="5" t="inlineStr">
        <is>
          <t>System nicht aufgenommen</t>
        </is>
      </c>
      <c r="I351" s="22">
        <f>INDEX(Personendaten!$C$2:$C$32,MATCH(A351,Personendaten!$A$2:$A$32,0))</f>
        <v/>
      </c>
      <c r="J351" s="22">
        <f>IF(AND(F351&lt;&gt;"",G351=""),1,0)</f>
        <v/>
      </c>
      <c r="K351" s="22">
        <f>IF(LEFT(C351,7)&lt;&gt;"Sprint_","",IF(COUNTIFS(Versuchsdaten!$A$2:$A$1117,$A351,Versuchsdaten!$B$2:$B$1117,$B351,Versuchsdaten!$C$2:$C$1117,"Sprint_5m",Versuchsdaten!$E$2:$E$1117,$E351,Versuchsdaten!$J$2:$J$1117,1)=1,SUMIFS(Versuchsdaten!$F$2:$F$1117,Versuchsdaten!$A$2:$A$1117,$A351,Versuchsdaten!$B$2:$B$1117,$B351,Versuchsdaten!$C$2:$C$1117,"Sprint_5m",Versuchsdaten!$E$2:$E$1117,$E351,Versuchsdaten!$J$2:$J$1117,1),""))</f>
        <v/>
      </c>
      <c r="L351" s="22">
        <f>IF(LEFT(C351,7)&lt;&gt;"Sprint_","",IF(COUNTIFS(Versuchsdaten!$A$2:$A$1117,$A351,Versuchsdaten!$B$2:$B$1117,$B351,Versuchsdaten!$C$2:$C$1117,"Sprint_10m",Versuchsdaten!$E$2:$E$1117,$E351,Versuchsdaten!$J$2:$J$1117,1)=1,SUMIFS(Versuchsdaten!$F$2:$F$1117,Versuchsdaten!$A$2:$A$1117,$A351,Versuchsdaten!$B$2:$B$1117,$B351,Versuchsdaten!$C$2:$C$1117,"Sprint_10m",Versuchsdaten!$E$2:$E$1117,$E351,Versuchsdaten!$J$2:$J$1117,1),""))</f>
        <v/>
      </c>
      <c r="M351" s="22">
        <f>IF(LEFT(C351,7)&lt;&gt;"Sprint_","",IF(COUNTIFS(Versuchsdaten!$A$2:$A$1117,$A351,Versuchsdaten!$B$2:$B$1117,$B351,Versuchsdaten!$C$2:$C$1117,"Sprint_30m",Versuchsdaten!$E$2:$E$1117,$E351,Versuchsdaten!$J$2:$J$1117,1)=1,SUMIFS(Versuchsdaten!$F$2:$F$1117,Versuchsdaten!$A$2:$A$1117,$A351,Versuchsdaten!$B$2:$B$1117,$B351,Versuchsdaten!$C$2:$C$1117,"Sprint_30m",Versuchsdaten!$E$2:$E$1117,$E351,Versuchsdaten!$J$2:$J$1117,1),""))</f>
        <v/>
      </c>
      <c r="N351" s="22">
        <f>IF(LEFT(C351,7)&lt;&gt;"Sprint_",0,IF(IF(ISNUMBER(K351),IF(K351&lt;=0,1,IF(5/K351&gt;10,1,0)),0)+IF(ISNUMBER(L351),IF(ISNUMBER(K351),IF(L351-K351&lt;=0,1,IF(5/(L351-K351)&gt;10,1,0)),IF(L351&lt;=0,1,IF(10/L351&gt;10,1,0))),0)+IF(ISNUMBER(M351),IF(ISNUMBER(L351),IF(M351-L351&lt;=0,1,IF(20/(M351-L351)&gt;10,1,0)),IF(ISNUMBER(K351),IF(M351-K351&lt;=0,1,IF(25/(M351-K351)&gt;10,1,0)),IF(M351&lt;=0,1,IF(30/M351&gt;10,1,0)))),0)&gt;0,1,0))</f>
        <v/>
      </c>
      <c r="O351" s="22">
        <f>IF(AND(J351=1,N351=0),1,0)</f>
        <v/>
      </c>
      <c r="P351" s="22">
        <f>INDEX(Personendaten!$J$2:$J$32,MATCH(A351,Personendaten!$A$2:$A$32,0))</f>
        <v/>
      </c>
      <c r="Q351" s="22">
        <f>IF(O351=1,"",IF(AND(B351="post",P351="nicht angetreten"),"NANG",IF(N351=1,"AUSL",IFERROR(VLOOKUP(H351,Vokabular!$A$2:$B$8,2,FALSE),"UNBEKANNT"))))</f>
        <v/>
      </c>
    </row>
    <row r="352">
      <c r="A352" s="5" t="inlineStr">
        <is>
          <t>VS-02</t>
        </is>
      </c>
      <c r="B352" s="5" t="inlineStr">
        <is>
          <t>prä</t>
        </is>
      </c>
      <c r="C352" s="5" t="inlineStr">
        <is>
          <t>Sprint_30m</t>
        </is>
      </c>
      <c r="D352" s="5" t="inlineStr">
        <is>
          <t>–</t>
        </is>
      </c>
      <c r="E352" s="5" t="n">
        <v>3</v>
      </c>
      <c r="F352" s="5" t="n">
        <v>4.89</v>
      </c>
      <c r="G352" s="5" t="n"/>
      <c r="H352" s="5" t="n"/>
      <c r="I352" s="22">
        <f>INDEX(Personendaten!$C$2:$C$32,MATCH(A352,Personendaten!$A$2:$A$32,0))</f>
        <v/>
      </c>
      <c r="J352" s="22">
        <f>IF(AND(F352&lt;&gt;"",G352=""),1,0)</f>
        <v/>
      </c>
      <c r="K352" s="22">
        <f>IF(LEFT(C352,7)&lt;&gt;"Sprint_","",IF(COUNTIFS(Versuchsdaten!$A$2:$A$1117,$A352,Versuchsdaten!$B$2:$B$1117,$B352,Versuchsdaten!$C$2:$C$1117,"Sprint_5m",Versuchsdaten!$E$2:$E$1117,$E352,Versuchsdaten!$J$2:$J$1117,1)=1,SUMIFS(Versuchsdaten!$F$2:$F$1117,Versuchsdaten!$A$2:$A$1117,$A352,Versuchsdaten!$B$2:$B$1117,$B352,Versuchsdaten!$C$2:$C$1117,"Sprint_5m",Versuchsdaten!$E$2:$E$1117,$E352,Versuchsdaten!$J$2:$J$1117,1),""))</f>
        <v/>
      </c>
      <c r="L352" s="22">
        <f>IF(LEFT(C352,7)&lt;&gt;"Sprint_","",IF(COUNTIFS(Versuchsdaten!$A$2:$A$1117,$A352,Versuchsdaten!$B$2:$B$1117,$B352,Versuchsdaten!$C$2:$C$1117,"Sprint_10m",Versuchsdaten!$E$2:$E$1117,$E352,Versuchsdaten!$J$2:$J$1117,1)=1,SUMIFS(Versuchsdaten!$F$2:$F$1117,Versuchsdaten!$A$2:$A$1117,$A352,Versuchsdaten!$B$2:$B$1117,$B352,Versuchsdaten!$C$2:$C$1117,"Sprint_10m",Versuchsdaten!$E$2:$E$1117,$E352,Versuchsdaten!$J$2:$J$1117,1),""))</f>
        <v/>
      </c>
      <c r="M352" s="22">
        <f>IF(LEFT(C352,7)&lt;&gt;"Sprint_","",IF(COUNTIFS(Versuchsdaten!$A$2:$A$1117,$A352,Versuchsdaten!$B$2:$B$1117,$B352,Versuchsdaten!$C$2:$C$1117,"Sprint_30m",Versuchsdaten!$E$2:$E$1117,$E352,Versuchsdaten!$J$2:$J$1117,1)=1,SUMIFS(Versuchsdaten!$F$2:$F$1117,Versuchsdaten!$A$2:$A$1117,$A352,Versuchsdaten!$B$2:$B$1117,$B352,Versuchsdaten!$C$2:$C$1117,"Sprint_30m",Versuchsdaten!$E$2:$E$1117,$E352,Versuchsdaten!$J$2:$J$1117,1),""))</f>
        <v/>
      </c>
      <c r="N352" s="22">
        <f>IF(LEFT(C352,7)&lt;&gt;"Sprint_",0,IF(IF(ISNUMBER(K352),IF(K352&lt;=0,1,IF(5/K352&gt;10,1,0)),0)+IF(ISNUMBER(L352),IF(ISNUMBER(K352),IF(L352-K352&lt;=0,1,IF(5/(L352-K352)&gt;10,1,0)),IF(L352&lt;=0,1,IF(10/L352&gt;10,1,0))),0)+IF(ISNUMBER(M352),IF(ISNUMBER(L352),IF(M352-L352&lt;=0,1,IF(20/(M352-L352)&gt;10,1,0)),IF(ISNUMBER(K352),IF(M352-K352&lt;=0,1,IF(25/(M352-K352)&gt;10,1,0)),IF(M352&lt;=0,1,IF(30/M352&gt;10,1,0)))),0)&gt;0,1,0))</f>
        <v/>
      </c>
      <c r="O352" s="22">
        <f>IF(AND(J352=1,N352=0),1,0)</f>
        <v/>
      </c>
      <c r="P352" s="22">
        <f>INDEX(Personendaten!$J$2:$J$32,MATCH(A352,Personendaten!$A$2:$A$32,0))</f>
        <v/>
      </c>
      <c r="Q352" s="22">
        <f>IF(O352=1,"",IF(AND(B352="post",P352="nicht angetreten"),"NANG",IF(N352=1,"AUSL",IFERROR(VLOOKUP(H352,Vokabular!$A$2:$B$8,2,FALSE),"UNBEKANNT"))))</f>
        <v/>
      </c>
    </row>
    <row r="353">
      <c r="A353" s="5" t="inlineStr">
        <is>
          <t>VS-02</t>
        </is>
      </c>
      <c r="B353" s="5" t="inlineStr">
        <is>
          <t>prä</t>
        </is>
      </c>
      <c r="C353" s="5" t="inlineStr">
        <is>
          <t>Standweitsprung</t>
        </is>
      </c>
      <c r="D353" s="5" t="inlineStr">
        <is>
          <t>–</t>
        </is>
      </c>
      <c r="E353" s="5" t="n">
        <v>1</v>
      </c>
      <c r="F353" s="5" t="n">
        <v>206</v>
      </c>
      <c r="G353" s="5" t="n"/>
      <c r="H353" s="5" t="n"/>
      <c r="I353" s="22">
        <f>INDEX(Personendaten!$C$2:$C$32,MATCH(A353,Personendaten!$A$2:$A$32,0))</f>
        <v/>
      </c>
      <c r="J353" s="22">
        <f>IF(AND(F353&lt;&gt;"",G353=""),1,0)</f>
        <v/>
      </c>
      <c r="K353" s="22">
        <f>IF(LEFT(C353,7)&lt;&gt;"Sprint_","",IF(COUNTIFS(Versuchsdaten!$A$2:$A$1117,$A353,Versuchsdaten!$B$2:$B$1117,$B353,Versuchsdaten!$C$2:$C$1117,"Sprint_5m",Versuchsdaten!$E$2:$E$1117,$E353,Versuchsdaten!$J$2:$J$1117,1)=1,SUMIFS(Versuchsdaten!$F$2:$F$1117,Versuchsdaten!$A$2:$A$1117,$A353,Versuchsdaten!$B$2:$B$1117,$B353,Versuchsdaten!$C$2:$C$1117,"Sprint_5m",Versuchsdaten!$E$2:$E$1117,$E353,Versuchsdaten!$J$2:$J$1117,1),""))</f>
        <v/>
      </c>
      <c r="L353" s="22">
        <f>IF(LEFT(C353,7)&lt;&gt;"Sprint_","",IF(COUNTIFS(Versuchsdaten!$A$2:$A$1117,$A353,Versuchsdaten!$B$2:$B$1117,$B353,Versuchsdaten!$C$2:$C$1117,"Sprint_10m",Versuchsdaten!$E$2:$E$1117,$E353,Versuchsdaten!$J$2:$J$1117,1)=1,SUMIFS(Versuchsdaten!$F$2:$F$1117,Versuchsdaten!$A$2:$A$1117,$A353,Versuchsdaten!$B$2:$B$1117,$B353,Versuchsdaten!$C$2:$C$1117,"Sprint_10m",Versuchsdaten!$E$2:$E$1117,$E353,Versuchsdaten!$J$2:$J$1117,1),""))</f>
        <v/>
      </c>
      <c r="M353" s="22">
        <f>IF(LEFT(C353,7)&lt;&gt;"Sprint_","",IF(COUNTIFS(Versuchsdaten!$A$2:$A$1117,$A353,Versuchsdaten!$B$2:$B$1117,$B353,Versuchsdaten!$C$2:$C$1117,"Sprint_30m",Versuchsdaten!$E$2:$E$1117,$E353,Versuchsdaten!$J$2:$J$1117,1)=1,SUMIFS(Versuchsdaten!$F$2:$F$1117,Versuchsdaten!$A$2:$A$1117,$A353,Versuchsdaten!$B$2:$B$1117,$B353,Versuchsdaten!$C$2:$C$1117,"Sprint_30m",Versuchsdaten!$E$2:$E$1117,$E353,Versuchsdaten!$J$2:$J$1117,1),""))</f>
        <v/>
      </c>
      <c r="N353" s="22">
        <f>IF(LEFT(C353,7)&lt;&gt;"Sprint_",0,IF(IF(ISNUMBER(K353),IF(K353&lt;=0,1,IF(5/K353&gt;10,1,0)),0)+IF(ISNUMBER(L353),IF(ISNUMBER(K353),IF(L353-K353&lt;=0,1,IF(5/(L353-K353)&gt;10,1,0)),IF(L353&lt;=0,1,IF(10/L353&gt;10,1,0))),0)+IF(ISNUMBER(M353),IF(ISNUMBER(L353),IF(M353-L353&lt;=0,1,IF(20/(M353-L353)&gt;10,1,0)),IF(ISNUMBER(K353),IF(M353-K353&lt;=0,1,IF(25/(M353-K353)&gt;10,1,0)),IF(M353&lt;=0,1,IF(30/M353&gt;10,1,0)))),0)&gt;0,1,0))</f>
        <v/>
      </c>
      <c r="O353" s="22">
        <f>IF(AND(J353=1,N353=0),1,0)</f>
        <v/>
      </c>
      <c r="P353" s="22">
        <f>INDEX(Personendaten!$J$2:$J$32,MATCH(A353,Personendaten!$A$2:$A$32,0))</f>
        <v/>
      </c>
      <c r="Q353" s="22">
        <f>IF(O353=1,"",IF(AND(B353="post",P353="nicht angetreten"),"NANG",IF(N353=1,"AUSL",IFERROR(VLOOKUP(H353,Vokabular!$A$2:$B$8,2,FALSE),"UNBEKANNT"))))</f>
        <v/>
      </c>
    </row>
    <row r="354">
      <c r="A354" s="5" t="inlineStr">
        <is>
          <t>VS-02</t>
        </is>
      </c>
      <c r="B354" s="5" t="inlineStr">
        <is>
          <t>prä</t>
        </is>
      </c>
      <c r="C354" s="5" t="inlineStr">
        <is>
          <t>Standweitsprung</t>
        </is>
      </c>
      <c r="D354" s="5" t="inlineStr">
        <is>
          <t>–</t>
        </is>
      </c>
      <c r="E354" s="5" t="n">
        <v>2</v>
      </c>
      <c r="F354" s="5" t="n">
        <v>208</v>
      </c>
      <c r="G354" s="5" t="n"/>
      <c r="H354" s="5" t="n"/>
      <c r="I354" s="22">
        <f>INDEX(Personendaten!$C$2:$C$32,MATCH(A354,Personendaten!$A$2:$A$32,0))</f>
        <v/>
      </c>
      <c r="J354" s="22">
        <f>IF(AND(F354&lt;&gt;"",G354=""),1,0)</f>
        <v/>
      </c>
      <c r="K354" s="22">
        <f>IF(LEFT(C354,7)&lt;&gt;"Sprint_","",IF(COUNTIFS(Versuchsdaten!$A$2:$A$1117,$A354,Versuchsdaten!$B$2:$B$1117,$B354,Versuchsdaten!$C$2:$C$1117,"Sprint_5m",Versuchsdaten!$E$2:$E$1117,$E354,Versuchsdaten!$J$2:$J$1117,1)=1,SUMIFS(Versuchsdaten!$F$2:$F$1117,Versuchsdaten!$A$2:$A$1117,$A354,Versuchsdaten!$B$2:$B$1117,$B354,Versuchsdaten!$C$2:$C$1117,"Sprint_5m",Versuchsdaten!$E$2:$E$1117,$E354,Versuchsdaten!$J$2:$J$1117,1),""))</f>
        <v/>
      </c>
      <c r="L354" s="22">
        <f>IF(LEFT(C354,7)&lt;&gt;"Sprint_","",IF(COUNTIFS(Versuchsdaten!$A$2:$A$1117,$A354,Versuchsdaten!$B$2:$B$1117,$B354,Versuchsdaten!$C$2:$C$1117,"Sprint_10m",Versuchsdaten!$E$2:$E$1117,$E354,Versuchsdaten!$J$2:$J$1117,1)=1,SUMIFS(Versuchsdaten!$F$2:$F$1117,Versuchsdaten!$A$2:$A$1117,$A354,Versuchsdaten!$B$2:$B$1117,$B354,Versuchsdaten!$C$2:$C$1117,"Sprint_10m",Versuchsdaten!$E$2:$E$1117,$E354,Versuchsdaten!$J$2:$J$1117,1),""))</f>
        <v/>
      </c>
      <c r="M354" s="22">
        <f>IF(LEFT(C354,7)&lt;&gt;"Sprint_","",IF(COUNTIFS(Versuchsdaten!$A$2:$A$1117,$A354,Versuchsdaten!$B$2:$B$1117,$B354,Versuchsdaten!$C$2:$C$1117,"Sprint_30m",Versuchsdaten!$E$2:$E$1117,$E354,Versuchsdaten!$J$2:$J$1117,1)=1,SUMIFS(Versuchsdaten!$F$2:$F$1117,Versuchsdaten!$A$2:$A$1117,$A354,Versuchsdaten!$B$2:$B$1117,$B354,Versuchsdaten!$C$2:$C$1117,"Sprint_30m",Versuchsdaten!$E$2:$E$1117,$E354,Versuchsdaten!$J$2:$J$1117,1),""))</f>
        <v/>
      </c>
      <c r="N354" s="22">
        <f>IF(LEFT(C354,7)&lt;&gt;"Sprint_",0,IF(IF(ISNUMBER(K354),IF(K354&lt;=0,1,IF(5/K354&gt;10,1,0)),0)+IF(ISNUMBER(L354),IF(ISNUMBER(K354),IF(L354-K354&lt;=0,1,IF(5/(L354-K354)&gt;10,1,0)),IF(L354&lt;=0,1,IF(10/L354&gt;10,1,0))),0)+IF(ISNUMBER(M354),IF(ISNUMBER(L354),IF(M354-L354&lt;=0,1,IF(20/(M354-L354)&gt;10,1,0)),IF(ISNUMBER(K354),IF(M354-K354&lt;=0,1,IF(25/(M354-K354)&gt;10,1,0)),IF(M354&lt;=0,1,IF(30/M354&gt;10,1,0)))),0)&gt;0,1,0))</f>
        <v/>
      </c>
      <c r="O354" s="22">
        <f>IF(AND(J354=1,N354=0),1,0)</f>
        <v/>
      </c>
      <c r="P354" s="22">
        <f>INDEX(Personendaten!$J$2:$J$32,MATCH(A354,Personendaten!$A$2:$A$32,0))</f>
        <v/>
      </c>
      <c r="Q354" s="22">
        <f>IF(O354=1,"",IF(AND(B354="post",P354="nicht angetreten"),"NANG",IF(N354=1,"AUSL",IFERROR(VLOOKUP(H354,Vokabular!$A$2:$B$8,2,FALSE),"UNBEKANNT"))))</f>
        <v/>
      </c>
    </row>
    <row r="355">
      <c r="A355" s="5" t="inlineStr">
        <is>
          <t>VS-02</t>
        </is>
      </c>
      <c r="B355" s="5" t="inlineStr">
        <is>
          <t>prä</t>
        </is>
      </c>
      <c r="C355" s="5" t="inlineStr">
        <is>
          <t>Standweitsprung</t>
        </is>
      </c>
      <c r="D355" s="5" t="inlineStr">
        <is>
          <t>–</t>
        </is>
      </c>
      <c r="E355" s="5" t="n">
        <v>3</v>
      </c>
      <c r="F355" s="5" t="n">
        <v>207</v>
      </c>
      <c r="G355" s="5" t="n"/>
      <c r="H355" s="5" t="n"/>
      <c r="I355" s="22">
        <f>INDEX(Personendaten!$C$2:$C$32,MATCH(A355,Personendaten!$A$2:$A$32,0))</f>
        <v/>
      </c>
      <c r="J355" s="22">
        <f>IF(AND(F355&lt;&gt;"",G355=""),1,0)</f>
        <v/>
      </c>
      <c r="K355" s="22">
        <f>IF(LEFT(C355,7)&lt;&gt;"Sprint_","",IF(COUNTIFS(Versuchsdaten!$A$2:$A$1117,$A355,Versuchsdaten!$B$2:$B$1117,$B355,Versuchsdaten!$C$2:$C$1117,"Sprint_5m",Versuchsdaten!$E$2:$E$1117,$E355,Versuchsdaten!$J$2:$J$1117,1)=1,SUMIFS(Versuchsdaten!$F$2:$F$1117,Versuchsdaten!$A$2:$A$1117,$A355,Versuchsdaten!$B$2:$B$1117,$B355,Versuchsdaten!$C$2:$C$1117,"Sprint_5m",Versuchsdaten!$E$2:$E$1117,$E355,Versuchsdaten!$J$2:$J$1117,1),""))</f>
        <v/>
      </c>
      <c r="L355" s="22">
        <f>IF(LEFT(C355,7)&lt;&gt;"Sprint_","",IF(COUNTIFS(Versuchsdaten!$A$2:$A$1117,$A355,Versuchsdaten!$B$2:$B$1117,$B355,Versuchsdaten!$C$2:$C$1117,"Sprint_10m",Versuchsdaten!$E$2:$E$1117,$E355,Versuchsdaten!$J$2:$J$1117,1)=1,SUMIFS(Versuchsdaten!$F$2:$F$1117,Versuchsdaten!$A$2:$A$1117,$A355,Versuchsdaten!$B$2:$B$1117,$B355,Versuchsdaten!$C$2:$C$1117,"Sprint_10m",Versuchsdaten!$E$2:$E$1117,$E355,Versuchsdaten!$J$2:$J$1117,1),""))</f>
        <v/>
      </c>
      <c r="M355" s="22">
        <f>IF(LEFT(C355,7)&lt;&gt;"Sprint_","",IF(COUNTIFS(Versuchsdaten!$A$2:$A$1117,$A355,Versuchsdaten!$B$2:$B$1117,$B355,Versuchsdaten!$C$2:$C$1117,"Sprint_30m",Versuchsdaten!$E$2:$E$1117,$E355,Versuchsdaten!$J$2:$J$1117,1)=1,SUMIFS(Versuchsdaten!$F$2:$F$1117,Versuchsdaten!$A$2:$A$1117,$A355,Versuchsdaten!$B$2:$B$1117,$B355,Versuchsdaten!$C$2:$C$1117,"Sprint_30m",Versuchsdaten!$E$2:$E$1117,$E355,Versuchsdaten!$J$2:$J$1117,1),""))</f>
        <v/>
      </c>
      <c r="N355" s="22">
        <f>IF(LEFT(C355,7)&lt;&gt;"Sprint_",0,IF(IF(ISNUMBER(K355),IF(K355&lt;=0,1,IF(5/K355&gt;10,1,0)),0)+IF(ISNUMBER(L355),IF(ISNUMBER(K355),IF(L355-K355&lt;=0,1,IF(5/(L355-K355)&gt;10,1,0)),IF(L355&lt;=0,1,IF(10/L355&gt;10,1,0))),0)+IF(ISNUMBER(M355),IF(ISNUMBER(L355),IF(M355-L355&lt;=0,1,IF(20/(M355-L355)&gt;10,1,0)),IF(ISNUMBER(K355),IF(M355-K355&lt;=0,1,IF(25/(M355-K355)&gt;10,1,0)),IF(M355&lt;=0,1,IF(30/M355&gt;10,1,0)))),0)&gt;0,1,0))</f>
        <v/>
      </c>
      <c r="O355" s="22">
        <f>IF(AND(J355=1,N355=0),1,0)</f>
        <v/>
      </c>
      <c r="P355" s="22">
        <f>INDEX(Personendaten!$J$2:$J$32,MATCH(A355,Personendaten!$A$2:$A$32,0))</f>
        <v/>
      </c>
      <c r="Q355" s="22">
        <f>IF(O355=1,"",IF(AND(B355="post",P355="nicht angetreten"),"NANG",IF(N355=1,"AUSL",IFERROR(VLOOKUP(H355,Vokabular!$A$2:$B$8,2,FALSE),"UNBEKANNT"))))</f>
        <v/>
      </c>
    </row>
    <row r="356">
      <c r="A356" s="5" t="inlineStr">
        <is>
          <t>VS-02</t>
        </is>
      </c>
      <c r="B356" s="5" t="inlineStr">
        <is>
          <t>prä</t>
        </is>
      </c>
      <c r="C356" s="5" t="inlineStr">
        <is>
          <t>COD_505</t>
        </is>
      </c>
      <c r="D356" s="5" t="inlineStr">
        <is>
          <t>L</t>
        </is>
      </c>
      <c r="E356" s="5" t="n">
        <v>1</v>
      </c>
      <c r="F356" s="5" t="n">
        <v>2.57</v>
      </c>
      <c r="G356" s="5" t="inlineStr">
        <is>
          <t>x</t>
        </is>
      </c>
      <c r="H356" s="5" t="inlineStr">
        <is>
          <t>Linie nicht getroffen</t>
        </is>
      </c>
      <c r="I356" s="22">
        <f>INDEX(Personendaten!$C$2:$C$32,MATCH(A356,Personendaten!$A$2:$A$32,0))</f>
        <v/>
      </c>
      <c r="J356" s="22">
        <f>IF(AND(F356&lt;&gt;"",G356=""),1,0)</f>
        <v/>
      </c>
      <c r="K356" s="22">
        <f>IF(LEFT(C356,7)&lt;&gt;"Sprint_","",IF(COUNTIFS(Versuchsdaten!$A$2:$A$1117,$A356,Versuchsdaten!$B$2:$B$1117,$B356,Versuchsdaten!$C$2:$C$1117,"Sprint_5m",Versuchsdaten!$E$2:$E$1117,$E356,Versuchsdaten!$J$2:$J$1117,1)=1,SUMIFS(Versuchsdaten!$F$2:$F$1117,Versuchsdaten!$A$2:$A$1117,$A356,Versuchsdaten!$B$2:$B$1117,$B356,Versuchsdaten!$C$2:$C$1117,"Sprint_5m",Versuchsdaten!$E$2:$E$1117,$E356,Versuchsdaten!$J$2:$J$1117,1),""))</f>
        <v/>
      </c>
      <c r="L356" s="22">
        <f>IF(LEFT(C356,7)&lt;&gt;"Sprint_","",IF(COUNTIFS(Versuchsdaten!$A$2:$A$1117,$A356,Versuchsdaten!$B$2:$B$1117,$B356,Versuchsdaten!$C$2:$C$1117,"Sprint_10m",Versuchsdaten!$E$2:$E$1117,$E356,Versuchsdaten!$J$2:$J$1117,1)=1,SUMIFS(Versuchsdaten!$F$2:$F$1117,Versuchsdaten!$A$2:$A$1117,$A356,Versuchsdaten!$B$2:$B$1117,$B356,Versuchsdaten!$C$2:$C$1117,"Sprint_10m",Versuchsdaten!$E$2:$E$1117,$E356,Versuchsdaten!$J$2:$J$1117,1),""))</f>
        <v/>
      </c>
      <c r="M356" s="22">
        <f>IF(LEFT(C356,7)&lt;&gt;"Sprint_","",IF(COUNTIFS(Versuchsdaten!$A$2:$A$1117,$A356,Versuchsdaten!$B$2:$B$1117,$B356,Versuchsdaten!$C$2:$C$1117,"Sprint_30m",Versuchsdaten!$E$2:$E$1117,$E356,Versuchsdaten!$J$2:$J$1117,1)=1,SUMIFS(Versuchsdaten!$F$2:$F$1117,Versuchsdaten!$A$2:$A$1117,$A356,Versuchsdaten!$B$2:$B$1117,$B356,Versuchsdaten!$C$2:$C$1117,"Sprint_30m",Versuchsdaten!$E$2:$E$1117,$E356,Versuchsdaten!$J$2:$J$1117,1),""))</f>
        <v/>
      </c>
      <c r="N356" s="22">
        <f>IF(LEFT(C356,7)&lt;&gt;"Sprint_",0,IF(IF(ISNUMBER(K356),IF(K356&lt;=0,1,IF(5/K356&gt;10,1,0)),0)+IF(ISNUMBER(L356),IF(ISNUMBER(K356),IF(L356-K356&lt;=0,1,IF(5/(L356-K356)&gt;10,1,0)),IF(L356&lt;=0,1,IF(10/L356&gt;10,1,0))),0)+IF(ISNUMBER(M356),IF(ISNUMBER(L356),IF(M356-L356&lt;=0,1,IF(20/(M356-L356)&gt;10,1,0)),IF(ISNUMBER(K356),IF(M356-K356&lt;=0,1,IF(25/(M356-K356)&gt;10,1,0)),IF(M356&lt;=0,1,IF(30/M356&gt;10,1,0)))),0)&gt;0,1,0))</f>
        <v/>
      </c>
      <c r="O356" s="22">
        <f>IF(AND(J356=1,N356=0),1,0)</f>
        <v/>
      </c>
      <c r="P356" s="22">
        <f>INDEX(Personendaten!$J$2:$J$32,MATCH(A356,Personendaten!$A$2:$A$32,0))</f>
        <v/>
      </c>
      <c r="Q356" s="22">
        <f>IF(O356=1,"",IF(AND(B356="post",P356="nicht angetreten"),"NANG",IF(N356=1,"AUSL",IFERROR(VLOOKUP(H356,Vokabular!$A$2:$B$8,2,FALSE),"UNBEKANNT"))))</f>
        <v/>
      </c>
    </row>
    <row r="357">
      <c r="A357" s="5" t="inlineStr">
        <is>
          <t>VS-02</t>
        </is>
      </c>
      <c r="B357" s="5" t="inlineStr">
        <is>
          <t>prä</t>
        </is>
      </c>
      <c r="C357" s="5" t="inlineStr">
        <is>
          <t>COD_505</t>
        </is>
      </c>
      <c r="D357" s="5" t="inlineStr">
        <is>
          <t>L</t>
        </is>
      </c>
      <c r="E357" s="5" t="n">
        <v>2</v>
      </c>
      <c r="F357" s="5" t="n">
        <v>2.54</v>
      </c>
      <c r="G357" s="5" t="n"/>
      <c r="H357" s="5" t="n"/>
      <c r="I357" s="22">
        <f>INDEX(Personendaten!$C$2:$C$32,MATCH(A357,Personendaten!$A$2:$A$32,0))</f>
        <v/>
      </c>
      <c r="J357" s="22">
        <f>IF(AND(F357&lt;&gt;"",G357=""),1,0)</f>
        <v/>
      </c>
      <c r="K357" s="22">
        <f>IF(LEFT(C357,7)&lt;&gt;"Sprint_","",IF(COUNTIFS(Versuchsdaten!$A$2:$A$1117,$A357,Versuchsdaten!$B$2:$B$1117,$B357,Versuchsdaten!$C$2:$C$1117,"Sprint_5m",Versuchsdaten!$E$2:$E$1117,$E357,Versuchsdaten!$J$2:$J$1117,1)=1,SUMIFS(Versuchsdaten!$F$2:$F$1117,Versuchsdaten!$A$2:$A$1117,$A357,Versuchsdaten!$B$2:$B$1117,$B357,Versuchsdaten!$C$2:$C$1117,"Sprint_5m",Versuchsdaten!$E$2:$E$1117,$E357,Versuchsdaten!$J$2:$J$1117,1),""))</f>
        <v/>
      </c>
      <c r="L357" s="22">
        <f>IF(LEFT(C357,7)&lt;&gt;"Sprint_","",IF(COUNTIFS(Versuchsdaten!$A$2:$A$1117,$A357,Versuchsdaten!$B$2:$B$1117,$B357,Versuchsdaten!$C$2:$C$1117,"Sprint_10m",Versuchsdaten!$E$2:$E$1117,$E357,Versuchsdaten!$J$2:$J$1117,1)=1,SUMIFS(Versuchsdaten!$F$2:$F$1117,Versuchsdaten!$A$2:$A$1117,$A357,Versuchsdaten!$B$2:$B$1117,$B357,Versuchsdaten!$C$2:$C$1117,"Sprint_10m",Versuchsdaten!$E$2:$E$1117,$E357,Versuchsdaten!$J$2:$J$1117,1),""))</f>
        <v/>
      </c>
      <c r="M357" s="22">
        <f>IF(LEFT(C357,7)&lt;&gt;"Sprint_","",IF(COUNTIFS(Versuchsdaten!$A$2:$A$1117,$A357,Versuchsdaten!$B$2:$B$1117,$B357,Versuchsdaten!$C$2:$C$1117,"Sprint_30m",Versuchsdaten!$E$2:$E$1117,$E357,Versuchsdaten!$J$2:$J$1117,1)=1,SUMIFS(Versuchsdaten!$F$2:$F$1117,Versuchsdaten!$A$2:$A$1117,$A357,Versuchsdaten!$B$2:$B$1117,$B357,Versuchsdaten!$C$2:$C$1117,"Sprint_30m",Versuchsdaten!$E$2:$E$1117,$E357,Versuchsdaten!$J$2:$J$1117,1),""))</f>
        <v/>
      </c>
      <c r="N357" s="22">
        <f>IF(LEFT(C357,7)&lt;&gt;"Sprint_",0,IF(IF(ISNUMBER(K357),IF(K357&lt;=0,1,IF(5/K357&gt;10,1,0)),0)+IF(ISNUMBER(L357),IF(ISNUMBER(K357),IF(L357-K357&lt;=0,1,IF(5/(L357-K357)&gt;10,1,0)),IF(L357&lt;=0,1,IF(10/L357&gt;10,1,0))),0)+IF(ISNUMBER(M357),IF(ISNUMBER(L357),IF(M357-L357&lt;=0,1,IF(20/(M357-L357)&gt;10,1,0)),IF(ISNUMBER(K357),IF(M357-K357&lt;=0,1,IF(25/(M357-K357)&gt;10,1,0)),IF(M357&lt;=0,1,IF(30/M357&gt;10,1,0)))),0)&gt;0,1,0))</f>
        <v/>
      </c>
      <c r="O357" s="22">
        <f>IF(AND(J357=1,N357=0),1,0)</f>
        <v/>
      </c>
      <c r="P357" s="22">
        <f>INDEX(Personendaten!$J$2:$J$32,MATCH(A357,Personendaten!$A$2:$A$32,0))</f>
        <v/>
      </c>
      <c r="Q357" s="22">
        <f>IF(O357=1,"",IF(AND(B357="post",P357="nicht angetreten"),"NANG",IF(N357=1,"AUSL",IFERROR(VLOOKUP(H357,Vokabular!$A$2:$B$8,2,FALSE),"UNBEKANNT"))))</f>
        <v/>
      </c>
    </row>
    <row r="358">
      <c r="A358" s="5" t="inlineStr">
        <is>
          <t>VS-02</t>
        </is>
      </c>
      <c r="B358" s="5" t="inlineStr">
        <is>
          <t>prä</t>
        </is>
      </c>
      <c r="C358" s="5" t="inlineStr">
        <is>
          <t>COD_505</t>
        </is>
      </c>
      <c r="D358" s="5" t="inlineStr">
        <is>
          <t>L</t>
        </is>
      </c>
      <c r="E358" s="5" t="n">
        <v>3</v>
      </c>
      <c r="F358" s="5" t="n">
        <v>2.55</v>
      </c>
      <c r="G358" s="5" t="inlineStr">
        <is>
          <t>x</t>
        </is>
      </c>
      <c r="H358" s="5" t="inlineStr">
        <is>
          <t>Linie nicht getroffen</t>
        </is>
      </c>
      <c r="I358" s="22">
        <f>INDEX(Personendaten!$C$2:$C$32,MATCH(A358,Personendaten!$A$2:$A$32,0))</f>
        <v/>
      </c>
      <c r="J358" s="22">
        <f>IF(AND(F358&lt;&gt;"",G358=""),1,0)</f>
        <v/>
      </c>
      <c r="K358" s="22">
        <f>IF(LEFT(C358,7)&lt;&gt;"Sprint_","",IF(COUNTIFS(Versuchsdaten!$A$2:$A$1117,$A358,Versuchsdaten!$B$2:$B$1117,$B358,Versuchsdaten!$C$2:$C$1117,"Sprint_5m",Versuchsdaten!$E$2:$E$1117,$E358,Versuchsdaten!$J$2:$J$1117,1)=1,SUMIFS(Versuchsdaten!$F$2:$F$1117,Versuchsdaten!$A$2:$A$1117,$A358,Versuchsdaten!$B$2:$B$1117,$B358,Versuchsdaten!$C$2:$C$1117,"Sprint_5m",Versuchsdaten!$E$2:$E$1117,$E358,Versuchsdaten!$J$2:$J$1117,1),""))</f>
        <v/>
      </c>
      <c r="L358" s="22">
        <f>IF(LEFT(C358,7)&lt;&gt;"Sprint_","",IF(COUNTIFS(Versuchsdaten!$A$2:$A$1117,$A358,Versuchsdaten!$B$2:$B$1117,$B358,Versuchsdaten!$C$2:$C$1117,"Sprint_10m",Versuchsdaten!$E$2:$E$1117,$E358,Versuchsdaten!$J$2:$J$1117,1)=1,SUMIFS(Versuchsdaten!$F$2:$F$1117,Versuchsdaten!$A$2:$A$1117,$A358,Versuchsdaten!$B$2:$B$1117,$B358,Versuchsdaten!$C$2:$C$1117,"Sprint_10m",Versuchsdaten!$E$2:$E$1117,$E358,Versuchsdaten!$J$2:$J$1117,1),""))</f>
        <v/>
      </c>
      <c r="M358" s="22">
        <f>IF(LEFT(C358,7)&lt;&gt;"Sprint_","",IF(COUNTIFS(Versuchsdaten!$A$2:$A$1117,$A358,Versuchsdaten!$B$2:$B$1117,$B358,Versuchsdaten!$C$2:$C$1117,"Sprint_30m",Versuchsdaten!$E$2:$E$1117,$E358,Versuchsdaten!$J$2:$J$1117,1)=1,SUMIFS(Versuchsdaten!$F$2:$F$1117,Versuchsdaten!$A$2:$A$1117,$A358,Versuchsdaten!$B$2:$B$1117,$B358,Versuchsdaten!$C$2:$C$1117,"Sprint_30m",Versuchsdaten!$E$2:$E$1117,$E358,Versuchsdaten!$J$2:$J$1117,1),""))</f>
        <v/>
      </c>
      <c r="N358" s="22">
        <f>IF(LEFT(C358,7)&lt;&gt;"Sprint_",0,IF(IF(ISNUMBER(K358),IF(K358&lt;=0,1,IF(5/K358&gt;10,1,0)),0)+IF(ISNUMBER(L358),IF(ISNUMBER(K358),IF(L358-K358&lt;=0,1,IF(5/(L358-K358)&gt;10,1,0)),IF(L358&lt;=0,1,IF(10/L358&gt;10,1,0))),0)+IF(ISNUMBER(M358),IF(ISNUMBER(L358),IF(M358-L358&lt;=0,1,IF(20/(M358-L358)&gt;10,1,0)),IF(ISNUMBER(K358),IF(M358-K358&lt;=0,1,IF(25/(M358-K358)&gt;10,1,0)),IF(M358&lt;=0,1,IF(30/M358&gt;10,1,0)))),0)&gt;0,1,0))</f>
        <v/>
      </c>
      <c r="O358" s="22">
        <f>IF(AND(J358=1,N358=0),1,0)</f>
        <v/>
      </c>
      <c r="P358" s="22">
        <f>INDEX(Personendaten!$J$2:$J$32,MATCH(A358,Personendaten!$A$2:$A$32,0))</f>
        <v/>
      </c>
      <c r="Q358" s="22">
        <f>IF(O358=1,"",IF(AND(B358="post",P358="nicht angetreten"),"NANG",IF(N358=1,"AUSL",IFERROR(VLOOKUP(H358,Vokabular!$A$2:$B$8,2,FALSE),"UNBEKANNT"))))</f>
        <v/>
      </c>
    </row>
    <row r="359">
      <c r="A359" s="5" t="inlineStr">
        <is>
          <t>VS-02</t>
        </is>
      </c>
      <c r="B359" s="5" t="inlineStr">
        <is>
          <t>prä</t>
        </is>
      </c>
      <c r="C359" s="5" t="inlineStr">
        <is>
          <t>COD_505</t>
        </is>
      </c>
      <c r="D359" s="5" t="inlineStr">
        <is>
          <t>R</t>
        </is>
      </c>
      <c r="E359" s="5" t="n">
        <v>1</v>
      </c>
      <c r="F359" s="5" t="n">
        <v>2.6</v>
      </c>
      <c r="G359" s="5" t="inlineStr">
        <is>
          <t>x</t>
        </is>
      </c>
      <c r="H359" s="5" t="inlineStr">
        <is>
          <t>Linie nicht getroffen</t>
        </is>
      </c>
      <c r="I359" s="22">
        <f>INDEX(Personendaten!$C$2:$C$32,MATCH(A359,Personendaten!$A$2:$A$32,0))</f>
        <v/>
      </c>
      <c r="J359" s="22">
        <f>IF(AND(F359&lt;&gt;"",G359=""),1,0)</f>
        <v/>
      </c>
      <c r="K359" s="22">
        <f>IF(LEFT(C359,7)&lt;&gt;"Sprint_","",IF(COUNTIFS(Versuchsdaten!$A$2:$A$1117,$A359,Versuchsdaten!$B$2:$B$1117,$B359,Versuchsdaten!$C$2:$C$1117,"Sprint_5m",Versuchsdaten!$E$2:$E$1117,$E359,Versuchsdaten!$J$2:$J$1117,1)=1,SUMIFS(Versuchsdaten!$F$2:$F$1117,Versuchsdaten!$A$2:$A$1117,$A359,Versuchsdaten!$B$2:$B$1117,$B359,Versuchsdaten!$C$2:$C$1117,"Sprint_5m",Versuchsdaten!$E$2:$E$1117,$E359,Versuchsdaten!$J$2:$J$1117,1),""))</f>
        <v/>
      </c>
      <c r="L359" s="22">
        <f>IF(LEFT(C359,7)&lt;&gt;"Sprint_","",IF(COUNTIFS(Versuchsdaten!$A$2:$A$1117,$A359,Versuchsdaten!$B$2:$B$1117,$B359,Versuchsdaten!$C$2:$C$1117,"Sprint_10m",Versuchsdaten!$E$2:$E$1117,$E359,Versuchsdaten!$J$2:$J$1117,1)=1,SUMIFS(Versuchsdaten!$F$2:$F$1117,Versuchsdaten!$A$2:$A$1117,$A359,Versuchsdaten!$B$2:$B$1117,$B359,Versuchsdaten!$C$2:$C$1117,"Sprint_10m",Versuchsdaten!$E$2:$E$1117,$E359,Versuchsdaten!$J$2:$J$1117,1),""))</f>
        <v/>
      </c>
      <c r="M359" s="22">
        <f>IF(LEFT(C359,7)&lt;&gt;"Sprint_","",IF(COUNTIFS(Versuchsdaten!$A$2:$A$1117,$A359,Versuchsdaten!$B$2:$B$1117,$B359,Versuchsdaten!$C$2:$C$1117,"Sprint_30m",Versuchsdaten!$E$2:$E$1117,$E359,Versuchsdaten!$J$2:$J$1117,1)=1,SUMIFS(Versuchsdaten!$F$2:$F$1117,Versuchsdaten!$A$2:$A$1117,$A359,Versuchsdaten!$B$2:$B$1117,$B359,Versuchsdaten!$C$2:$C$1117,"Sprint_30m",Versuchsdaten!$E$2:$E$1117,$E359,Versuchsdaten!$J$2:$J$1117,1),""))</f>
        <v/>
      </c>
      <c r="N359" s="22">
        <f>IF(LEFT(C359,7)&lt;&gt;"Sprint_",0,IF(IF(ISNUMBER(K359),IF(K359&lt;=0,1,IF(5/K359&gt;10,1,0)),0)+IF(ISNUMBER(L359),IF(ISNUMBER(K359),IF(L359-K359&lt;=0,1,IF(5/(L359-K359)&gt;10,1,0)),IF(L359&lt;=0,1,IF(10/L359&gt;10,1,0))),0)+IF(ISNUMBER(M359),IF(ISNUMBER(L359),IF(M359-L359&lt;=0,1,IF(20/(M359-L359)&gt;10,1,0)),IF(ISNUMBER(K359),IF(M359-K359&lt;=0,1,IF(25/(M359-K359)&gt;10,1,0)),IF(M359&lt;=0,1,IF(30/M359&gt;10,1,0)))),0)&gt;0,1,0))</f>
        <v/>
      </c>
      <c r="O359" s="22">
        <f>IF(AND(J359=1,N359=0),1,0)</f>
        <v/>
      </c>
      <c r="P359" s="22">
        <f>INDEX(Personendaten!$J$2:$J$32,MATCH(A359,Personendaten!$A$2:$A$32,0))</f>
        <v/>
      </c>
      <c r="Q359" s="22">
        <f>IF(O359=1,"",IF(AND(B359="post",P359="nicht angetreten"),"NANG",IF(N359=1,"AUSL",IFERROR(VLOOKUP(H359,Vokabular!$A$2:$B$8,2,FALSE),"UNBEKANNT"))))</f>
        <v/>
      </c>
    </row>
    <row r="360">
      <c r="A360" s="5" t="inlineStr">
        <is>
          <t>VS-02</t>
        </is>
      </c>
      <c r="B360" s="5" t="inlineStr">
        <is>
          <t>prä</t>
        </is>
      </c>
      <c r="C360" s="5" t="inlineStr">
        <is>
          <t>COD_505</t>
        </is>
      </c>
      <c r="D360" s="5" t="inlineStr">
        <is>
          <t>R</t>
        </is>
      </c>
      <c r="E360" s="5" t="n">
        <v>2</v>
      </c>
      <c r="F360" s="5" t="n">
        <v>2.49</v>
      </c>
      <c r="G360" s="5" t="n"/>
      <c r="H360" s="5" t="n"/>
      <c r="I360" s="22">
        <f>INDEX(Personendaten!$C$2:$C$32,MATCH(A360,Personendaten!$A$2:$A$32,0))</f>
        <v/>
      </c>
      <c r="J360" s="22">
        <f>IF(AND(F360&lt;&gt;"",G360=""),1,0)</f>
        <v/>
      </c>
      <c r="K360" s="22">
        <f>IF(LEFT(C360,7)&lt;&gt;"Sprint_","",IF(COUNTIFS(Versuchsdaten!$A$2:$A$1117,$A360,Versuchsdaten!$B$2:$B$1117,$B360,Versuchsdaten!$C$2:$C$1117,"Sprint_5m",Versuchsdaten!$E$2:$E$1117,$E360,Versuchsdaten!$J$2:$J$1117,1)=1,SUMIFS(Versuchsdaten!$F$2:$F$1117,Versuchsdaten!$A$2:$A$1117,$A360,Versuchsdaten!$B$2:$B$1117,$B360,Versuchsdaten!$C$2:$C$1117,"Sprint_5m",Versuchsdaten!$E$2:$E$1117,$E360,Versuchsdaten!$J$2:$J$1117,1),""))</f>
        <v/>
      </c>
      <c r="L360" s="22">
        <f>IF(LEFT(C360,7)&lt;&gt;"Sprint_","",IF(COUNTIFS(Versuchsdaten!$A$2:$A$1117,$A360,Versuchsdaten!$B$2:$B$1117,$B360,Versuchsdaten!$C$2:$C$1117,"Sprint_10m",Versuchsdaten!$E$2:$E$1117,$E360,Versuchsdaten!$J$2:$J$1117,1)=1,SUMIFS(Versuchsdaten!$F$2:$F$1117,Versuchsdaten!$A$2:$A$1117,$A360,Versuchsdaten!$B$2:$B$1117,$B360,Versuchsdaten!$C$2:$C$1117,"Sprint_10m",Versuchsdaten!$E$2:$E$1117,$E360,Versuchsdaten!$J$2:$J$1117,1),""))</f>
        <v/>
      </c>
      <c r="M360" s="22">
        <f>IF(LEFT(C360,7)&lt;&gt;"Sprint_","",IF(COUNTIFS(Versuchsdaten!$A$2:$A$1117,$A360,Versuchsdaten!$B$2:$B$1117,$B360,Versuchsdaten!$C$2:$C$1117,"Sprint_30m",Versuchsdaten!$E$2:$E$1117,$E360,Versuchsdaten!$J$2:$J$1117,1)=1,SUMIFS(Versuchsdaten!$F$2:$F$1117,Versuchsdaten!$A$2:$A$1117,$A360,Versuchsdaten!$B$2:$B$1117,$B360,Versuchsdaten!$C$2:$C$1117,"Sprint_30m",Versuchsdaten!$E$2:$E$1117,$E360,Versuchsdaten!$J$2:$J$1117,1),""))</f>
        <v/>
      </c>
      <c r="N360" s="22">
        <f>IF(LEFT(C360,7)&lt;&gt;"Sprint_",0,IF(IF(ISNUMBER(K360),IF(K360&lt;=0,1,IF(5/K360&gt;10,1,0)),0)+IF(ISNUMBER(L360),IF(ISNUMBER(K360),IF(L360-K360&lt;=0,1,IF(5/(L360-K360)&gt;10,1,0)),IF(L360&lt;=0,1,IF(10/L360&gt;10,1,0))),0)+IF(ISNUMBER(M360),IF(ISNUMBER(L360),IF(M360-L360&lt;=0,1,IF(20/(M360-L360)&gt;10,1,0)),IF(ISNUMBER(K360),IF(M360-K360&lt;=0,1,IF(25/(M360-K360)&gt;10,1,0)),IF(M360&lt;=0,1,IF(30/M360&gt;10,1,0)))),0)&gt;0,1,0))</f>
        <v/>
      </c>
      <c r="O360" s="22">
        <f>IF(AND(J360=1,N360=0),1,0)</f>
        <v/>
      </c>
      <c r="P360" s="22">
        <f>INDEX(Personendaten!$J$2:$J$32,MATCH(A360,Personendaten!$A$2:$A$32,0))</f>
        <v/>
      </c>
      <c r="Q360" s="22">
        <f>IF(O360=1,"",IF(AND(B360="post",P360="nicht angetreten"),"NANG",IF(N360=1,"AUSL",IFERROR(VLOOKUP(H360,Vokabular!$A$2:$B$8,2,FALSE),"UNBEKANNT"))))</f>
        <v/>
      </c>
    </row>
    <row r="361">
      <c r="A361" s="5" t="inlineStr">
        <is>
          <t>VS-02</t>
        </is>
      </c>
      <c r="B361" s="5" t="inlineStr">
        <is>
          <t>prä</t>
        </is>
      </c>
      <c r="C361" s="5" t="inlineStr">
        <is>
          <t>COD_505</t>
        </is>
      </c>
      <c r="D361" s="5" t="inlineStr">
        <is>
          <t>R</t>
        </is>
      </c>
      <c r="E361" s="5" t="n">
        <v>3</v>
      </c>
      <c r="F361" s="5" t="n">
        <v>2.47</v>
      </c>
      <c r="G361" s="5" t="n"/>
      <c r="H361" s="5" t="n"/>
      <c r="I361" s="22">
        <f>INDEX(Personendaten!$C$2:$C$32,MATCH(A361,Personendaten!$A$2:$A$32,0))</f>
        <v/>
      </c>
      <c r="J361" s="22">
        <f>IF(AND(F361&lt;&gt;"",G361=""),1,0)</f>
        <v/>
      </c>
      <c r="K361" s="22">
        <f>IF(LEFT(C361,7)&lt;&gt;"Sprint_","",IF(COUNTIFS(Versuchsdaten!$A$2:$A$1117,$A361,Versuchsdaten!$B$2:$B$1117,$B361,Versuchsdaten!$C$2:$C$1117,"Sprint_5m",Versuchsdaten!$E$2:$E$1117,$E361,Versuchsdaten!$J$2:$J$1117,1)=1,SUMIFS(Versuchsdaten!$F$2:$F$1117,Versuchsdaten!$A$2:$A$1117,$A361,Versuchsdaten!$B$2:$B$1117,$B361,Versuchsdaten!$C$2:$C$1117,"Sprint_5m",Versuchsdaten!$E$2:$E$1117,$E361,Versuchsdaten!$J$2:$J$1117,1),""))</f>
        <v/>
      </c>
      <c r="L361" s="22">
        <f>IF(LEFT(C361,7)&lt;&gt;"Sprint_","",IF(COUNTIFS(Versuchsdaten!$A$2:$A$1117,$A361,Versuchsdaten!$B$2:$B$1117,$B361,Versuchsdaten!$C$2:$C$1117,"Sprint_10m",Versuchsdaten!$E$2:$E$1117,$E361,Versuchsdaten!$J$2:$J$1117,1)=1,SUMIFS(Versuchsdaten!$F$2:$F$1117,Versuchsdaten!$A$2:$A$1117,$A361,Versuchsdaten!$B$2:$B$1117,$B361,Versuchsdaten!$C$2:$C$1117,"Sprint_10m",Versuchsdaten!$E$2:$E$1117,$E361,Versuchsdaten!$J$2:$J$1117,1),""))</f>
        <v/>
      </c>
      <c r="M361" s="22">
        <f>IF(LEFT(C361,7)&lt;&gt;"Sprint_","",IF(COUNTIFS(Versuchsdaten!$A$2:$A$1117,$A361,Versuchsdaten!$B$2:$B$1117,$B361,Versuchsdaten!$C$2:$C$1117,"Sprint_30m",Versuchsdaten!$E$2:$E$1117,$E361,Versuchsdaten!$J$2:$J$1117,1)=1,SUMIFS(Versuchsdaten!$F$2:$F$1117,Versuchsdaten!$A$2:$A$1117,$A361,Versuchsdaten!$B$2:$B$1117,$B361,Versuchsdaten!$C$2:$C$1117,"Sprint_30m",Versuchsdaten!$E$2:$E$1117,$E361,Versuchsdaten!$J$2:$J$1117,1),""))</f>
        <v/>
      </c>
      <c r="N361" s="22">
        <f>IF(LEFT(C361,7)&lt;&gt;"Sprint_",0,IF(IF(ISNUMBER(K361),IF(K361&lt;=0,1,IF(5/K361&gt;10,1,0)),0)+IF(ISNUMBER(L361),IF(ISNUMBER(K361),IF(L361-K361&lt;=0,1,IF(5/(L361-K361)&gt;10,1,0)),IF(L361&lt;=0,1,IF(10/L361&gt;10,1,0))),0)+IF(ISNUMBER(M361),IF(ISNUMBER(L361),IF(M361-L361&lt;=0,1,IF(20/(M361-L361)&gt;10,1,0)),IF(ISNUMBER(K361),IF(M361-K361&lt;=0,1,IF(25/(M361-K361)&gt;10,1,0)),IF(M361&lt;=0,1,IF(30/M361&gt;10,1,0)))),0)&gt;0,1,0))</f>
        <v/>
      </c>
      <c r="O361" s="22">
        <f>IF(AND(J361=1,N361=0),1,0)</f>
        <v/>
      </c>
      <c r="P361" s="22">
        <f>INDEX(Personendaten!$J$2:$J$32,MATCH(A361,Personendaten!$A$2:$A$32,0))</f>
        <v/>
      </c>
      <c r="Q361" s="22">
        <f>IF(O361=1,"",IF(AND(B361="post",P361="nicht angetreten"),"NANG",IF(N361=1,"AUSL",IFERROR(VLOOKUP(H361,Vokabular!$A$2:$B$8,2,FALSE),"UNBEKANNT"))))</f>
        <v/>
      </c>
    </row>
    <row r="362">
      <c r="A362" s="5" t="inlineStr">
        <is>
          <t>VS-03</t>
        </is>
      </c>
      <c r="B362" s="5" t="inlineStr">
        <is>
          <t>prä</t>
        </is>
      </c>
      <c r="C362" s="5" t="inlineStr">
        <is>
          <t>Sprint_5m</t>
        </is>
      </c>
      <c r="D362" s="5" t="inlineStr">
        <is>
          <t>–</t>
        </is>
      </c>
      <c r="E362" s="5" t="n">
        <v>1</v>
      </c>
      <c r="F362" s="5" t="n"/>
      <c r="G362" s="5" t="n"/>
      <c r="H362" s="5" t="inlineStr">
        <is>
          <t>System nicht aufgenommen</t>
        </is>
      </c>
      <c r="I362" s="22">
        <f>INDEX(Personendaten!$C$2:$C$32,MATCH(A362,Personendaten!$A$2:$A$32,0))</f>
        <v/>
      </c>
      <c r="J362" s="22">
        <f>IF(AND(F362&lt;&gt;"",G362=""),1,0)</f>
        <v/>
      </c>
      <c r="K362" s="22">
        <f>IF(LEFT(C362,7)&lt;&gt;"Sprint_","",IF(COUNTIFS(Versuchsdaten!$A$2:$A$1117,$A362,Versuchsdaten!$B$2:$B$1117,$B362,Versuchsdaten!$C$2:$C$1117,"Sprint_5m",Versuchsdaten!$E$2:$E$1117,$E362,Versuchsdaten!$J$2:$J$1117,1)=1,SUMIFS(Versuchsdaten!$F$2:$F$1117,Versuchsdaten!$A$2:$A$1117,$A362,Versuchsdaten!$B$2:$B$1117,$B362,Versuchsdaten!$C$2:$C$1117,"Sprint_5m",Versuchsdaten!$E$2:$E$1117,$E362,Versuchsdaten!$J$2:$J$1117,1),""))</f>
        <v/>
      </c>
      <c r="L362" s="22">
        <f>IF(LEFT(C362,7)&lt;&gt;"Sprint_","",IF(COUNTIFS(Versuchsdaten!$A$2:$A$1117,$A362,Versuchsdaten!$B$2:$B$1117,$B362,Versuchsdaten!$C$2:$C$1117,"Sprint_10m",Versuchsdaten!$E$2:$E$1117,$E362,Versuchsdaten!$J$2:$J$1117,1)=1,SUMIFS(Versuchsdaten!$F$2:$F$1117,Versuchsdaten!$A$2:$A$1117,$A362,Versuchsdaten!$B$2:$B$1117,$B362,Versuchsdaten!$C$2:$C$1117,"Sprint_10m",Versuchsdaten!$E$2:$E$1117,$E362,Versuchsdaten!$J$2:$J$1117,1),""))</f>
        <v/>
      </c>
      <c r="M362" s="22">
        <f>IF(LEFT(C362,7)&lt;&gt;"Sprint_","",IF(COUNTIFS(Versuchsdaten!$A$2:$A$1117,$A362,Versuchsdaten!$B$2:$B$1117,$B362,Versuchsdaten!$C$2:$C$1117,"Sprint_30m",Versuchsdaten!$E$2:$E$1117,$E362,Versuchsdaten!$J$2:$J$1117,1)=1,SUMIFS(Versuchsdaten!$F$2:$F$1117,Versuchsdaten!$A$2:$A$1117,$A362,Versuchsdaten!$B$2:$B$1117,$B362,Versuchsdaten!$C$2:$C$1117,"Sprint_30m",Versuchsdaten!$E$2:$E$1117,$E362,Versuchsdaten!$J$2:$J$1117,1),""))</f>
        <v/>
      </c>
      <c r="N362" s="22">
        <f>IF(LEFT(C362,7)&lt;&gt;"Sprint_",0,IF(IF(ISNUMBER(K362),IF(K362&lt;=0,1,IF(5/K362&gt;10,1,0)),0)+IF(ISNUMBER(L362),IF(ISNUMBER(K362),IF(L362-K362&lt;=0,1,IF(5/(L362-K362)&gt;10,1,0)),IF(L362&lt;=0,1,IF(10/L362&gt;10,1,0))),0)+IF(ISNUMBER(M362),IF(ISNUMBER(L362),IF(M362-L362&lt;=0,1,IF(20/(M362-L362)&gt;10,1,0)),IF(ISNUMBER(K362),IF(M362-K362&lt;=0,1,IF(25/(M362-K362)&gt;10,1,0)),IF(M362&lt;=0,1,IF(30/M362&gt;10,1,0)))),0)&gt;0,1,0))</f>
        <v/>
      </c>
      <c r="O362" s="22">
        <f>IF(AND(J362=1,N362=0),1,0)</f>
        <v/>
      </c>
      <c r="P362" s="22">
        <f>INDEX(Personendaten!$J$2:$J$32,MATCH(A362,Personendaten!$A$2:$A$32,0))</f>
        <v/>
      </c>
      <c r="Q362" s="22">
        <f>IF(O362=1,"",IF(AND(B362="post",P362="nicht angetreten"),"NANG",IF(N362=1,"AUSL",IFERROR(VLOOKUP(H362,Vokabular!$A$2:$B$8,2,FALSE),"UNBEKANNT"))))</f>
        <v/>
      </c>
    </row>
    <row r="363">
      <c r="A363" s="5" t="inlineStr">
        <is>
          <t>VS-03</t>
        </is>
      </c>
      <c r="B363" s="5" t="inlineStr">
        <is>
          <t>prä</t>
        </is>
      </c>
      <c r="C363" s="5" t="inlineStr">
        <is>
          <t>Sprint_5m</t>
        </is>
      </c>
      <c r="D363" s="5" t="inlineStr">
        <is>
          <t>–</t>
        </is>
      </c>
      <c r="E363" s="5" t="n">
        <v>2</v>
      </c>
      <c r="F363" s="5" t="n">
        <v>1.25</v>
      </c>
      <c r="G363" s="5" t="n"/>
      <c r="H363" s="5" t="n"/>
      <c r="I363" s="22">
        <f>INDEX(Personendaten!$C$2:$C$32,MATCH(A363,Personendaten!$A$2:$A$32,0))</f>
        <v/>
      </c>
      <c r="J363" s="22">
        <f>IF(AND(F363&lt;&gt;"",G363=""),1,0)</f>
        <v/>
      </c>
      <c r="K363" s="22">
        <f>IF(LEFT(C363,7)&lt;&gt;"Sprint_","",IF(COUNTIFS(Versuchsdaten!$A$2:$A$1117,$A363,Versuchsdaten!$B$2:$B$1117,$B363,Versuchsdaten!$C$2:$C$1117,"Sprint_5m",Versuchsdaten!$E$2:$E$1117,$E363,Versuchsdaten!$J$2:$J$1117,1)=1,SUMIFS(Versuchsdaten!$F$2:$F$1117,Versuchsdaten!$A$2:$A$1117,$A363,Versuchsdaten!$B$2:$B$1117,$B363,Versuchsdaten!$C$2:$C$1117,"Sprint_5m",Versuchsdaten!$E$2:$E$1117,$E363,Versuchsdaten!$J$2:$J$1117,1),""))</f>
        <v/>
      </c>
      <c r="L363" s="22">
        <f>IF(LEFT(C363,7)&lt;&gt;"Sprint_","",IF(COUNTIFS(Versuchsdaten!$A$2:$A$1117,$A363,Versuchsdaten!$B$2:$B$1117,$B363,Versuchsdaten!$C$2:$C$1117,"Sprint_10m",Versuchsdaten!$E$2:$E$1117,$E363,Versuchsdaten!$J$2:$J$1117,1)=1,SUMIFS(Versuchsdaten!$F$2:$F$1117,Versuchsdaten!$A$2:$A$1117,$A363,Versuchsdaten!$B$2:$B$1117,$B363,Versuchsdaten!$C$2:$C$1117,"Sprint_10m",Versuchsdaten!$E$2:$E$1117,$E363,Versuchsdaten!$J$2:$J$1117,1),""))</f>
        <v/>
      </c>
      <c r="M363" s="22">
        <f>IF(LEFT(C363,7)&lt;&gt;"Sprint_","",IF(COUNTIFS(Versuchsdaten!$A$2:$A$1117,$A363,Versuchsdaten!$B$2:$B$1117,$B363,Versuchsdaten!$C$2:$C$1117,"Sprint_30m",Versuchsdaten!$E$2:$E$1117,$E363,Versuchsdaten!$J$2:$J$1117,1)=1,SUMIFS(Versuchsdaten!$F$2:$F$1117,Versuchsdaten!$A$2:$A$1117,$A363,Versuchsdaten!$B$2:$B$1117,$B363,Versuchsdaten!$C$2:$C$1117,"Sprint_30m",Versuchsdaten!$E$2:$E$1117,$E363,Versuchsdaten!$J$2:$J$1117,1),""))</f>
        <v/>
      </c>
      <c r="N363" s="22">
        <f>IF(LEFT(C363,7)&lt;&gt;"Sprint_",0,IF(IF(ISNUMBER(K363),IF(K363&lt;=0,1,IF(5/K363&gt;10,1,0)),0)+IF(ISNUMBER(L363),IF(ISNUMBER(K363),IF(L363-K363&lt;=0,1,IF(5/(L363-K363)&gt;10,1,0)),IF(L363&lt;=0,1,IF(10/L363&gt;10,1,0))),0)+IF(ISNUMBER(M363),IF(ISNUMBER(L363),IF(M363-L363&lt;=0,1,IF(20/(M363-L363)&gt;10,1,0)),IF(ISNUMBER(K363),IF(M363-K363&lt;=0,1,IF(25/(M363-K363)&gt;10,1,0)),IF(M363&lt;=0,1,IF(30/M363&gt;10,1,0)))),0)&gt;0,1,0))</f>
        <v/>
      </c>
      <c r="O363" s="22">
        <f>IF(AND(J363=1,N363=0),1,0)</f>
        <v/>
      </c>
      <c r="P363" s="22">
        <f>INDEX(Personendaten!$J$2:$J$32,MATCH(A363,Personendaten!$A$2:$A$32,0))</f>
        <v/>
      </c>
      <c r="Q363" s="22">
        <f>IF(O363=1,"",IF(AND(B363="post",P363="nicht angetreten"),"NANG",IF(N363=1,"AUSL",IFERROR(VLOOKUP(H363,Vokabular!$A$2:$B$8,2,FALSE),"UNBEKANNT"))))</f>
        <v/>
      </c>
    </row>
    <row r="364">
      <c r="A364" s="5" t="inlineStr">
        <is>
          <t>VS-03</t>
        </is>
      </c>
      <c r="B364" s="5" t="inlineStr">
        <is>
          <t>prä</t>
        </is>
      </c>
      <c r="C364" s="5" t="inlineStr">
        <is>
          <t>Sprint_5m</t>
        </is>
      </c>
      <c r="D364" s="5" t="inlineStr">
        <is>
          <t>–</t>
        </is>
      </c>
      <c r="E364" s="5" t="n">
        <v>3</v>
      </c>
      <c r="F364" s="5" t="n">
        <v>1.1</v>
      </c>
      <c r="G364" s="5" t="n"/>
      <c r="H364" s="5" t="n"/>
      <c r="I364" s="22">
        <f>INDEX(Personendaten!$C$2:$C$32,MATCH(A364,Personendaten!$A$2:$A$32,0))</f>
        <v/>
      </c>
      <c r="J364" s="22">
        <f>IF(AND(F364&lt;&gt;"",G364=""),1,0)</f>
        <v/>
      </c>
      <c r="K364" s="22">
        <f>IF(LEFT(C364,7)&lt;&gt;"Sprint_","",IF(COUNTIFS(Versuchsdaten!$A$2:$A$1117,$A364,Versuchsdaten!$B$2:$B$1117,$B364,Versuchsdaten!$C$2:$C$1117,"Sprint_5m",Versuchsdaten!$E$2:$E$1117,$E364,Versuchsdaten!$J$2:$J$1117,1)=1,SUMIFS(Versuchsdaten!$F$2:$F$1117,Versuchsdaten!$A$2:$A$1117,$A364,Versuchsdaten!$B$2:$B$1117,$B364,Versuchsdaten!$C$2:$C$1117,"Sprint_5m",Versuchsdaten!$E$2:$E$1117,$E364,Versuchsdaten!$J$2:$J$1117,1),""))</f>
        <v/>
      </c>
      <c r="L364" s="22">
        <f>IF(LEFT(C364,7)&lt;&gt;"Sprint_","",IF(COUNTIFS(Versuchsdaten!$A$2:$A$1117,$A364,Versuchsdaten!$B$2:$B$1117,$B364,Versuchsdaten!$C$2:$C$1117,"Sprint_10m",Versuchsdaten!$E$2:$E$1117,$E364,Versuchsdaten!$J$2:$J$1117,1)=1,SUMIFS(Versuchsdaten!$F$2:$F$1117,Versuchsdaten!$A$2:$A$1117,$A364,Versuchsdaten!$B$2:$B$1117,$B364,Versuchsdaten!$C$2:$C$1117,"Sprint_10m",Versuchsdaten!$E$2:$E$1117,$E364,Versuchsdaten!$J$2:$J$1117,1),""))</f>
        <v/>
      </c>
      <c r="M364" s="22">
        <f>IF(LEFT(C364,7)&lt;&gt;"Sprint_","",IF(COUNTIFS(Versuchsdaten!$A$2:$A$1117,$A364,Versuchsdaten!$B$2:$B$1117,$B364,Versuchsdaten!$C$2:$C$1117,"Sprint_30m",Versuchsdaten!$E$2:$E$1117,$E364,Versuchsdaten!$J$2:$J$1117,1)=1,SUMIFS(Versuchsdaten!$F$2:$F$1117,Versuchsdaten!$A$2:$A$1117,$A364,Versuchsdaten!$B$2:$B$1117,$B364,Versuchsdaten!$C$2:$C$1117,"Sprint_30m",Versuchsdaten!$E$2:$E$1117,$E364,Versuchsdaten!$J$2:$J$1117,1),""))</f>
        <v/>
      </c>
      <c r="N364" s="22">
        <f>IF(LEFT(C364,7)&lt;&gt;"Sprint_",0,IF(IF(ISNUMBER(K364),IF(K364&lt;=0,1,IF(5/K364&gt;10,1,0)),0)+IF(ISNUMBER(L364),IF(ISNUMBER(K364),IF(L364-K364&lt;=0,1,IF(5/(L364-K364)&gt;10,1,0)),IF(L364&lt;=0,1,IF(10/L364&gt;10,1,0))),0)+IF(ISNUMBER(M364),IF(ISNUMBER(L364),IF(M364-L364&lt;=0,1,IF(20/(M364-L364)&gt;10,1,0)),IF(ISNUMBER(K364),IF(M364-K364&lt;=0,1,IF(25/(M364-K364)&gt;10,1,0)),IF(M364&lt;=0,1,IF(30/M364&gt;10,1,0)))),0)&gt;0,1,0))</f>
        <v/>
      </c>
      <c r="O364" s="22">
        <f>IF(AND(J364=1,N364=0),1,0)</f>
        <v/>
      </c>
      <c r="P364" s="22">
        <f>INDEX(Personendaten!$J$2:$J$32,MATCH(A364,Personendaten!$A$2:$A$32,0))</f>
        <v/>
      </c>
      <c r="Q364" s="22">
        <f>IF(O364=1,"",IF(AND(B364="post",P364="nicht angetreten"),"NANG",IF(N364=1,"AUSL",IFERROR(VLOOKUP(H364,Vokabular!$A$2:$B$8,2,FALSE),"UNBEKANNT"))))</f>
        <v/>
      </c>
    </row>
    <row r="365">
      <c r="A365" s="5" t="inlineStr">
        <is>
          <t>VS-03</t>
        </is>
      </c>
      <c r="B365" s="5" t="inlineStr">
        <is>
          <t>prä</t>
        </is>
      </c>
      <c r="C365" s="5" t="inlineStr">
        <is>
          <t>Sprint_10m</t>
        </is>
      </c>
      <c r="D365" s="5" t="inlineStr">
        <is>
          <t>–</t>
        </is>
      </c>
      <c r="E365" s="5" t="n">
        <v>1</v>
      </c>
      <c r="F365" s="5" t="n"/>
      <c r="G365" s="5" t="n"/>
      <c r="H365" s="5" t="inlineStr">
        <is>
          <t>System nicht aufgenommen</t>
        </is>
      </c>
      <c r="I365" s="22">
        <f>INDEX(Personendaten!$C$2:$C$32,MATCH(A365,Personendaten!$A$2:$A$32,0))</f>
        <v/>
      </c>
      <c r="J365" s="22">
        <f>IF(AND(F365&lt;&gt;"",G365=""),1,0)</f>
        <v/>
      </c>
      <c r="K365" s="22">
        <f>IF(LEFT(C365,7)&lt;&gt;"Sprint_","",IF(COUNTIFS(Versuchsdaten!$A$2:$A$1117,$A365,Versuchsdaten!$B$2:$B$1117,$B365,Versuchsdaten!$C$2:$C$1117,"Sprint_5m",Versuchsdaten!$E$2:$E$1117,$E365,Versuchsdaten!$J$2:$J$1117,1)=1,SUMIFS(Versuchsdaten!$F$2:$F$1117,Versuchsdaten!$A$2:$A$1117,$A365,Versuchsdaten!$B$2:$B$1117,$B365,Versuchsdaten!$C$2:$C$1117,"Sprint_5m",Versuchsdaten!$E$2:$E$1117,$E365,Versuchsdaten!$J$2:$J$1117,1),""))</f>
        <v/>
      </c>
      <c r="L365" s="22">
        <f>IF(LEFT(C365,7)&lt;&gt;"Sprint_","",IF(COUNTIFS(Versuchsdaten!$A$2:$A$1117,$A365,Versuchsdaten!$B$2:$B$1117,$B365,Versuchsdaten!$C$2:$C$1117,"Sprint_10m",Versuchsdaten!$E$2:$E$1117,$E365,Versuchsdaten!$J$2:$J$1117,1)=1,SUMIFS(Versuchsdaten!$F$2:$F$1117,Versuchsdaten!$A$2:$A$1117,$A365,Versuchsdaten!$B$2:$B$1117,$B365,Versuchsdaten!$C$2:$C$1117,"Sprint_10m",Versuchsdaten!$E$2:$E$1117,$E365,Versuchsdaten!$J$2:$J$1117,1),""))</f>
        <v/>
      </c>
      <c r="M365" s="22">
        <f>IF(LEFT(C365,7)&lt;&gt;"Sprint_","",IF(COUNTIFS(Versuchsdaten!$A$2:$A$1117,$A365,Versuchsdaten!$B$2:$B$1117,$B365,Versuchsdaten!$C$2:$C$1117,"Sprint_30m",Versuchsdaten!$E$2:$E$1117,$E365,Versuchsdaten!$J$2:$J$1117,1)=1,SUMIFS(Versuchsdaten!$F$2:$F$1117,Versuchsdaten!$A$2:$A$1117,$A365,Versuchsdaten!$B$2:$B$1117,$B365,Versuchsdaten!$C$2:$C$1117,"Sprint_30m",Versuchsdaten!$E$2:$E$1117,$E365,Versuchsdaten!$J$2:$J$1117,1),""))</f>
        <v/>
      </c>
      <c r="N365" s="22">
        <f>IF(LEFT(C365,7)&lt;&gt;"Sprint_",0,IF(IF(ISNUMBER(K365),IF(K365&lt;=0,1,IF(5/K365&gt;10,1,0)),0)+IF(ISNUMBER(L365),IF(ISNUMBER(K365),IF(L365-K365&lt;=0,1,IF(5/(L365-K365)&gt;10,1,0)),IF(L365&lt;=0,1,IF(10/L365&gt;10,1,0))),0)+IF(ISNUMBER(M365),IF(ISNUMBER(L365),IF(M365-L365&lt;=0,1,IF(20/(M365-L365)&gt;10,1,0)),IF(ISNUMBER(K365),IF(M365-K365&lt;=0,1,IF(25/(M365-K365)&gt;10,1,0)),IF(M365&lt;=0,1,IF(30/M365&gt;10,1,0)))),0)&gt;0,1,0))</f>
        <v/>
      </c>
      <c r="O365" s="22">
        <f>IF(AND(J365=1,N365=0),1,0)</f>
        <v/>
      </c>
      <c r="P365" s="22">
        <f>INDEX(Personendaten!$J$2:$J$32,MATCH(A365,Personendaten!$A$2:$A$32,0))</f>
        <v/>
      </c>
      <c r="Q365" s="22">
        <f>IF(O365=1,"",IF(AND(B365="post",P365="nicht angetreten"),"NANG",IF(N365=1,"AUSL",IFERROR(VLOOKUP(H365,Vokabular!$A$2:$B$8,2,FALSE),"UNBEKANNT"))))</f>
        <v/>
      </c>
    </row>
    <row r="366">
      <c r="A366" s="5" t="inlineStr">
        <is>
          <t>VS-03</t>
        </is>
      </c>
      <c r="B366" s="5" t="inlineStr">
        <is>
          <t>prä</t>
        </is>
      </c>
      <c r="C366" s="5" t="inlineStr">
        <is>
          <t>Sprint_10m</t>
        </is>
      </c>
      <c r="D366" s="5" t="inlineStr">
        <is>
          <t>–</t>
        </is>
      </c>
      <c r="E366" s="5" t="n">
        <v>2</v>
      </c>
      <c r="F366" s="5" t="n"/>
      <c r="G366" s="5" t="n"/>
      <c r="H366" s="5" t="inlineStr">
        <is>
          <t>System nicht aufgenommen</t>
        </is>
      </c>
      <c r="I366" s="22">
        <f>INDEX(Personendaten!$C$2:$C$32,MATCH(A366,Personendaten!$A$2:$A$32,0))</f>
        <v/>
      </c>
      <c r="J366" s="22">
        <f>IF(AND(F366&lt;&gt;"",G366=""),1,0)</f>
        <v/>
      </c>
      <c r="K366" s="22">
        <f>IF(LEFT(C366,7)&lt;&gt;"Sprint_","",IF(COUNTIFS(Versuchsdaten!$A$2:$A$1117,$A366,Versuchsdaten!$B$2:$B$1117,$B366,Versuchsdaten!$C$2:$C$1117,"Sprint_5m",Versuchsdaten!$E$2:$E$1117,$E366,Versuchsdaten!$J$2:$J$1117,1)=1,SUMIFS(Versuchsdaten!$F$2:$F$1117,Versuchsdaten!$A$2:$A$1117,$A366,Versuchsdaten!$B$2:$B$1117,$B366,Versuchsdaten!$C$2:$C$1117,"Sprint_5m",Versuchsdaten!$E$2:$E$1117,$E366,Versuchsdaten!$J$2:$J$1117,1),""))</f>
        <v/>
      </c>
      <c r="L366" s="22">
        <f>IF(LEFT(C366,7)&lt;&gt;"Sprint_","",IF(COUNTIFS(Versuchsdaten!$A$2:$A$1117,$A366,Versuchsdaten!$B$2:$B$1117,$B366,Versuchsdaten!$C$2:$C$1117,"Sprint_10m",Versuchsdaten!$E$2:$E$1117,$E366,Versuchsdaten!$J$2:$J$1117,1)=1,SUMIFS(Versuchsdaten!$F$2:$F$1117,Versuchsdaten!$A$2:$A$1117,$A366,Versuchsdaten!$B$2:$B$1117,$B366,Versuchsdaten!$C$2:$C$1117,"Sprint_10m",Versuchsdaten!$E$2:$E$1117,$E366,Versuchsdaten!$J$2:$J$1117,1),""))</f>
        <v/>
      </c>
      <c r="M366" s="22">
        <f>IF(LEFT(C366,7)&lt;&gt;"Sprint_","",IF(COUNTIFS(Versuchsdaten!$A$2:$A$1117,$A366,Versuchsdaten!$B$2:$B$1117,$B366,Versuchsdaten!$C$2:$C$1117,"Sprint_30m",Versuchsdaten!$E$2:$E$1117,$E366,Versuchsdaten!$J$2:$J$1117,1)=1,SUMIFS(Versuchsdaten!$F$2:$F$1117,Versuchsdaten!$A$2:$A$1117,$A366,Versuchsdaten!$B$2:$B$1117,$B366,Versuchsdaten!$C$2:$C$1117,"Sprint_30m",Versuchsdaten!$E$2:$E$1117,$E366,Versuchsdaten!$J$2:$J$1117,1),""))</f>
        <v/>
      </c>
      <c r="N366" s="22">
        <f>IF(LEFT(C366,7)&lt;&gt;"Sprint_",0,IF(IF(ISNUMBER(K366),IF(K366&lt;=0,1,IF(5/K366&gt;10,1,0)),0)+IF(ISNUMBER(L366),IF(ISNUMBER(K366),IF(L366-K366&lt;=0,1,IF(5/(L366-K366)&gt;10,1,0)),IF(L366&lt;=0,1,IF(10/L366&gt;10,1,0))),0)+IF(ISNUMBER(M366),IF(ISNUMBER(L366),IF(M366-L366&lt;=0,1,IF(20/(M366-L366)&gt;10,1,0)),IF(ISNUMBER(K366),IF(M366-K366&lt;=0,1,IF(25/(M366-K366)&gt;10,1,0)),IF(M366&lt;=0,1,IF(30/M366&gt;10,1,0)))),0)&gt;0,1,0))</f>
        <v/>
      </c>
      <c r="O366" s="22">
        <f>IF(AND(J366=1,N366=0),1,0)</f>
        <v/>
      </c>
      <c r="P366" s="22">
        <f>INDEX(Personendaten!$J$2:$J$32,MATCH(A366,Personendaten!$A$2:$A$32,0))</f>
        <v/>
      </c>
      <c r="Q366" s="22">
        <f>IF(O366=1,"",IF(AND(B366="post",P366="nicht angetreten"),"NANG",IF(N366=1,"AUSL",IFERROR(VLOOKUP(H366,Vokabular!$A$2:$B$8,2,FALSE),"UNBEKANNT"))))</f>
        <v/>
      </c>
    </row>
    <row r="367">
      <c r="A367" s="5" t="inlineStr">
        <is>
          <t>VS-03</t>
        </is>
      </c>
      <c r="B367" s="5" t="inlineStr">
        <is>
          <t>prä</t>
        </is>
      </c>
      <c r="C367" s="5" t="inlineStr">
        <is>
          <t>Sprint_10m</t>
        </is>
      </c>
      <c r="D367" s="5" t="inlineStr">
        <is>
          <t>–</t>
        </is>
      </c>
      <c r="E367" s="5" t="n">
        <v>3</v>
      </c>
      <c r="F367" s="5" t="n">
        <v>1.92</v>
      </c>
      <c r="G367" s="5" t="n"/>
      <c r="H367" s="5" t="n"/>
      <c r="I367" s="22">
        <f>INDEX(Personendaten!$C$2:$C$32,MATCH(A367,Personendaten!$A$2:$A$32,0))</f>
        <v/>
      </c>
      <c r="J367" s="22">
        <f>IF(AND(F367&lt;&gt;"",G367=""),1,0)</f>
        <v/>
      </c>
      <c r="K367" s="22">
        <f>IF(LEFT(C367,7)&lt;&gt;"Sprint_","",IF(COUNTIFS(Versuchsdaten!$A$2:$A$1117,$A367,Versuchsdaten!$B$2:$B$1117,$B367,Versuchsdaten!$C$2:$C$1117,"Sprint_5m",Versuchsdaten!$E$2:$E$1117,$E367,Versuchsdaten!$J$2:$J$1117,1)=1,SUMIFS(Versuchsdaten!$F$2:$F$1117,Versuchsdaten!$A$2:$A$1117,$A367,Versuchsdaten!$B$2:$B$1117,$B367,Versuchsdaten!$C$2:$C$1117,"Sprint_5m",Versuchsdaten!$E$2:$E$1117,$E367,Versuchsdaten!$J$2:$J$1117,1),""))</f>
        <v/>
      </c>
      <c r="L367" s="22">
        <f>IF(LEFT(C367,7)&lt;&gt;"Sprint_","",IF(COUNTIFS(Versuchsdaten!$A$2:$A$1117,$A367,Versuchsdaten!$B$2:$B$1117,$B367,Versuchsdaten!$C$2:$C$1117,"Sprint_10m",Versuchsdaten!$E$2:$E$1117,$E367,Versuchsdaten!$J$2:$J$1117,1)=1,SUMIFS(Versuchsdaten!$F$2:$F$1117,Versuchsdaten!$A$2:$A$1117,$A367,Versuchsdaten!$B$2:$B$1117,$B367,Versuchsdaten!$C$2:$C$1117,"Sprint_10m",Versuchsdaten!$E$2:$E$1117,$E367,Versuchsdaten!$J$2:$J$1117,1),""))</f>
        <v/>
      </c>
      <c r="M367" s="22">
        <f>IF(LEFT(C367,7)&lt;&gt;"Sprint_","",IF(COUNTIFS(Versuchsdaten!$A$2:$A$1117,$A367,Versuchsdaten!$B$2:$B$1117,$B367,Versuchsdaten!$C$2:$C$1117,"Sprint_30m",Versuchsdaten!$E$2:$E$1117,$E367,Versuchsdaten!$J$2:$J$1117,1)=1,SUMIFS(Versuchsdaten!$F$2:$F$1117,Versuchsdaten!$A$2:$A$1117,$A367,Versuchsdaten!$B$2:$B$1117,$B367,Versuchsdaten!$C$2:$C$1117,"Sprint_30m",Versuchsdaten!$E$2:$E$1117,$E367,Versuchsdaten!$J$2:$J$1117,1),""))</f>
        <v/>
      </c>
      <c r="N367" s="22">
        <f>IF(LEFT(C367,7)&lt;&gt;"Sprint_",0,IF(IF(ISNUMBER(K367),IF(K367&lt;=0,1,IF(5/K367&gt;10,1,0)),0)+IF(ISNUMBER(L367),IF(ISNUMBER(K367),IF(L367-K367&lt;=0,1,IF(5/(L367-K367)&gt;10,1,0)),IF(L367&lt;=0,1,IF(10/L367&gt;10,1,0))),0)+IF(ISNUMBER(M367),IF(ISNUMBER(L367),IF(M367-L367&lt;=0,1,IF(20/(M367-L367)&gt;10,1,0)),IF(ISNUMBER(K367),IF(M367-K367&lt;=0,1,IF(25/(M367-K367)&gt;10,1,0)),IF(M367&lt;=0,1,IF(30/M367&gt;10,1,0)))),0)&gt;0,1,0))</f>
        <v/>
      </c>
      <c r="O367" s="22">
        <f>IF(AND(J367=1,N367=0),1,0)</f>
        <v/>
      </c>
      <c r="P367" s="22">
        <f>INDEX(Personendaten!$J$2:$J$32,MATCH(A367,Personendaten!$A$2:$A$32,0))</f>
        <v/>
      </c>
      <c r="Q367" s="22">
        <f>IF(O367=1,"",IF(AND(B367="post",P367="nicht angetreten"),"NANG",IF(N367=1,"AUSL",IFERROR(VLOOKUP(H367,Vokabular!$A$2:$B$8,2,FALSE),"UNBEKANNT"))))</f>
        <v/>
      </c>
    </row>
    <row r="368">
      <c r="A368" s="5" t="inlineStr">
        <is>
          <t>VS-03</t>
        </is>
      </c>
      <c r="B368" s="5" t="inlineStr">
        <is>
          <t>prä</t>
        </is>
      </c>
      <c r="C368" s="5" t="inlineStr">
        <is>
          <t>Sprint_30m</t>
        </is>
      </c>
      <c r="D368" s="5" t="inlineStr">
        <is>
          <t>–</t>
        </is>
      </c>
      <c r="E368" s="5" t="n">
        <v>1</v>
      </c>
      <c r="F368" s="5" t="n"/>
      <c r="G368" s="5" t="n"/>
      <c r="H368" s="5" t="inlineStr">
        <is>
          <t>System nicht aufgenommen</t>
        </is>
      </c>
      <c r="I368" s="22">
        <f>INDEX(Personendaten!$C$2:$C$32,MATCH(A368,Personendaten!$A$2:$A$32,0))</f>
        <v/>
      </c>
      <c r="J368" s="22">
        <f>IF(AND(F368&lt;&gt;"",G368=""),1,0)</f>
        <v/>
      </c>
      <c r="K368" s="22">
        <f>IF(LEFT(C368,7)&lt;&gt;"Sprint_","",IF(COUNTIFS(Versuchsdaten!$A$2:$A$1117,$A368,Versuchsdaten!$B$2:$B$1117,$B368,Versuchsdaten!$C$2:$C$1117,"Sprint_5m",Versuchsdaten!$E$2:$E$1117,$E368,Versuchsdaten!$J$2:$J$1117,1)=1,SUMIFS(Versuchsdaten!$F$2:$F$1117,Versuchsdaten!$A$2:$A$1117,$A368,Versuchsdaten!$B$2:$B$1117,$B368,Versuchsdaten!$C$2:$C$1117,"Sprint_5m",Versuchsdaten!$E$2:$E$1117,$E368,Versuchsdaten!$J$2:$J$1117,1),""))</f>
        <v/>
      </c>
      <c r="L368" s="22">
        <f>IF(LEFT(C368,7)&lt;&gt;"Sprint_","",IF(COUNTIFS(Versuchsdaten!$A$2:$A$1117,$A368,Versuchsdaten!$B$2:$B$1117,$B368,Versuchsdaten!$C$2:$C$1117,"Sprint_10m",Versuchsdaten!$E$2:$E$1117,$E368,Versuchsdaten!$J$2:$J$1117,1)=1,SUMIFS(Versuchsdaten!$F$2:$F$1117,Versuchsdaten!$A$2:$A$1117,$A368,Versuchsdaten!$B$2:$B$1117,$B368,Versuchsdaten!$C$2:$C$1117,"Sprint_10m",Versuchsdaten!$E$2:$E$1117,$E368,Versuchsdaten!$J$2:$J$1117,1),""))</f>
        <v/>
      </c>
      <c r="M368" s="22">
        <f>IF(LEFT(C368,7)&lt;&gt;"Sprint_","",IF(COUNTIFS(Versuchsdaten!$A$2:$A$1117,$A368,Versuchsdaten!$B$2:$B$1117,$B368,Versuchsdaten!$C$2:$C$1117,"Sprint_30m",Versuchsdaten!$E$2:$E$1117,$E368,Versuchsdaten!$J$2:$J$1117,1)=1,SUMIFS(Versuchsdaten!$F$2:$F$1117,Versuchsdaten!$A$2:$A$1117,$A368,Versuchsdaten!$B$2:$B$1117,$B368,Versuchsdaten!$C$2:$C$1117,"Sprint_30m",Versuchsdaten!$E$2:$E$1117,$E368,Versuchsdaten!$J$2:$J$1117,1),""))</f>
        <v/>
      </c>
      <c r="N368" s="22">
        <f>IF(LEFT(C368,7)&lt;&gt;"Sprint_",0,IF(IF(ISNUMBER(K368),IF(K368&lt;=0,1,IF(5/K368&gt;10,1,0)),0)+IF(ISNUMBER(L368),IF(ISNUMBER(K368),IF(L368-K368&lt;=0,1,IF(5/(L368-K368)&gt;10,1,0)),IF(L368&lt;=0,1,IF(10/L368&gt;10,1,0))),0)+IF(ISNUMBER(M368),IF(ISNUMBER(L368),IF(M368-L368&lt;=0,1,IF(20/(M368-L368)&gt;10,1,0)),IF(ISNUMBER(K368),IF(M368-K368&lt;=0,1,IF(25/(M368-K368)&gt;10,1,0)),IF(M368&lt;=0,1,IF(30/M368&gt;10,1,0)))),0)&gt;0,1,0))</f>
        <v/>
      </c>
      <c r="O368" s="22">
        <f>IF(AND(J368=1,N368=0),1,0)</f>
        <v/>
      </c>
      <c r="P368" s="22">
        <f>INDEX(Personendaten!$J$2:$J$32,MATCH(A368,Personendaten!$A$2:$A$32,0))</f>
        <v/>
      </c>
      <c r="Q368" s="22">
        <f>IF(O368=1,"",IF(AND(B368="post",P368="nicht angetreten"),"NANG",IF(N368=1,"AUSL",IFERROR(VLOOKUP(H368,Vokabular!$A$2:$B$8,2,FALSE),"UNBEKANNT"))))</f>
        <v/>
      </c>
    </row>
    <row r="369">
      <c r="A369" s="5" t="inlineStr">
        <is>
          <t>VS-03</t>
        </is>
      </c>
      <c r="B369" s="5" t="inlineStr">
        <is>
          <t>prä</t>
        </is>
      </c>
      <c r="C369" s="5" t="inlineStr">
        <is>
          <t>Sprint_30m</t>
        </is>
      </c>
      <c r="D369" s="5" t="inlineStr">
        <is>
          <t>–</t>
        </is>
      </c>
      <c r="E369" s="5" t="n">
        <v>2</v>
      </c>
      <c r="F369" s="5" t="n">
        <v>5.06</v>
      </c>
      <c r="G369" s="5" t="n"/>
      <c r="H369" s="5" t="n"/>
      <c r="I369" s="22">
        <f>INDEX(Personendaten!$C$2:$C$32,MATCH(A369,Personendaten!$A$2:$A$32,0))</f>
        <v/>
      </c>
      <c r="J369" s="22">
        <f>IF(AND(F369&lt;&gt;"",G369=""),1,0)</f>
        <v/>
      </c>
      <c r="K369" s="22">
        <f>IF(LEFT(C369,7)&lt;&gt;"Sprint_","",IF(COUNTIFS(Versuchsdaten!$A$2:$A$1117,$A369,Versuchsdaten!$B$2:$B$1117,$B369,Versuchsdaten!$C$2:$C$1117,"Sprint_5m",Versuchsdaten!$E$2:$E$1117,$E369,Versuchsdaten!$J$2:$J$1117,1)=1,SUMIFS(Versuchsdaten!$F$2:$F$1117,Versuchsdaten!$A$2:$A$1117,$A369,Versuchsdaten!$B$2:$B$1117,$B369,Versuchsdaten!$C$2:$C$1117,"Sprint_5m",Versuchsdaten!$E$2:$E$1117,$E369,Versuchsdaten!$J$2:$J$1117,1),""))</f>
        <v/>
      </c>
      <c r="L369" s="22">
        <f>IF(LEFT(C369,7)&lt;&gt;"Sprint_","",IF(COUNTIFS(Versuchsdaten!$A$2:$A$1117,$A369,Versuchsdaten!$B$2:$B$1117,$B369,Versuchsdaten!$C$2:$C$1117,"Sprint_10m",Versuchsdaten!$E$2:$E$1117,$E369,Versuchsdaten!$J$2:$J$1117,1)=1,SUMIFS(Versuchsdaten!$F$2:$F$1117,Versuchsdaten!$A$2:$A$1117,$A369,Versuchsdaten!$B$2:$B$1117,$B369,Versuchsdaten!$C$2:$C$1117,"Sprint_10m",Versuchsdaten!$E$2:$E$1117,$E369,Versuchsdaten!$J$2:$J$1117,1),""))</f>
        <v/>
      </c>
      <c r="M369" s="22">
        <f>IF(LEFT(C369,7)&lt;&gt;"Sprint_","",IF(COUNTIFS(Versuchsdaten!$A$2:$A$1117,$A369,Versuchsdaten!$B$2:$B$1117,$B369,Versuchsdaten!$C$2:$C$1117,"Sprint_30m",Versuchsdaten!$E$2:$E$1117,$E369,Versuchsdaten!$J$2:$J$1117,1)=1,SUMIFS(Versuchsdaten!$F$2:$F$1117,Versuchsdaten!$A$2:$A$1117,$A369,Versuchsdaten!$B$2:$B$1117,$B369,Versuchsdaten!$C$2:$C$1117,"Sprint_30m",Versuchsdaten!$E$2:$E$1117,$E369,Versuchsdaten!$J$2:$J$1117,1),""))</f>
        <v/>
      </c>
      <c r="N369" s="22">
        <f>IF(LEFT(C369,7)&lt;&gt;"Sprint_",0,IF(IF(ISNUMBER(K369),IF(K369&lt;=0,1,IF(5/K369&gt;10,1,0)),0)+IF(ISNUMBER(L369),IF(ISNUMBER(K369),IF(L369-K369&lt;=0,1,IF(5/(L369-K369)&gt;10,1,0)),IF(L369&lt;=0,1,IF(10/L369&gt;10,1,0))),0)+IF(ISNUMBER(M369),IF(ISNUMBER(L369),IF(M369-L369&lt;=0,1,IF(20/(M369-L369)&gt;10,1,0)),IF(ISNUMBER(K369),IF(M369-K369&lt;=0,1,IF(25/(M369-K369)&gt;10,1,0)),IF(M369&lt;=0,1,IF(30/M369&gt;10,1,0)))),0)&gt;0,1,0))</f>
        <v/>
      </c>
      <c r="O369" s="22">
        <f>IF(AND(J369=1,N369=0),1,0)</f>
        <v/>
      </c>
      <c r="P369" s="22">
        <f>INDEX(Personendaten!$J$2:$J$32,MATCH(A369,Personendaten!$A$2:$A$32,0))</f>
        <v/>
      </c>
      <c r="Q369" s="22">
        <f>IF(O369=1,"",IF(AND(B369="post",P369="nicht angetreten"),"NANG",IF(N369=1,"AUSL",IFERROR(VLOOKUP(H369,Vokabular!$A$2:$B$8,2,FALSE),"UNBEKANNT"))))</f>
        <v/>
      </c>
    </row>
    <row r="370">
      <c r="A370" s="5" t="inlineStr">
        <is>
          <t>VS-03</t>
        </is>
      </c>
      <c r="B370" s="5" t="inlineStr">
        <is>
          <t>prä</t>
        </is>
      </c>
      <c r="C370" s="5" t="inlineStr">
        <is>
          <t>Sprint_30m</t>
        </is>
      </c>
      <c r="D370" s="5" t="inlineStr">
        <is>
          <t>–</t>
        </is>
      </c>
      <c r="E370" s="5" t="n">
        <v>3</v>
      </c>
      <c r="F370" s="5" t="n">
        <v>4.94</v>
      </c>
      <c r="G370" s="5" t="n"/>
      <c r="H370" s="5" t="n"/>
      <c r="I370" s="22">
        <f>INDEX(Personendaten!$C$2:$C$32,MATCH(A370,Personendaten!$A$2:$A$32,0))</f>
        <v/>
      </c>
      <c r="J370" s="22">
        <f>IF(AND(F370&lt;&gt;"",G370=""),1,0)</f>
        <v/>
      </c>
      <c r="K370" s="22">
        <f>IF(LEFT(C370,7)&lt;&gt;"Sprint_","",IF(COUNTIFS(Versuchsdaten!$A$2:$A$1117,$A370,Versuchsdaten!$B$2:$B$1117,$B370,Versuchsdaten!$C$2:$C$1117,"Sprint_5m",Versuchsdaten!$E$2:$E$1117,$E370,Versuchsdaten!$J$2:$J$1117,1)=1,SUMIFS(Versuchsdaten!$F$2:$F$1117,Versuchsdaten!$A$2:$A$1117,$A370,Versuchsdaten!$B$2:$B$1117,$B370,Versuchsdaten!$C$2:$C$1117,"Sprint_5m",Versuchsdaten!$E$2:$E$1117,$E370,Versuchsdaten!$J$2:$J$1117,1),""))</f>
        <v/>
      </c>
      <c r="L370" s="22">
        <f>IF(LEFT(C370,7)&lt;&gt;"Sprint_","",IF(COUNTIFS(Versuchsdaten!$A$2:$A$1117,$A370,Versuchsdaten!$B$2:$B$1117,$B370,Versuchsdaten!$C$2:$C$1117,"Sprint_10m",Versuchsdaten!$E$2:$E$1117,$E370,Versuchsdaten!$J$2:$J$1117,1)=1,SUMIFS(Versuchsdaten!$F$2:$F$1117,Versuchsdaten!$A$2:$A$1117,$A370,Versuchsdaten!$B$2:$B$1117,$B370,Versuchsdaten!$C$2:$C$1117,"Sprint_10m",Versuchsdaten!$E$2:$E$1117,$E370,Versuchsdaten!$J$2:$J$1117,1),""))</f>
        <v/>
      </c>
      <c r="M370" s="22">
        <f>IF(LEFT(C370,7)&lt;&gt;"Sprint_","",IF(COUNTIFS(Versuchsdaten!$A$2:$A$1117,$A370,Versuchsdaten!$B$2:$B$1117,$B370,Versuchsdaten!$C$2:$C$1117,"Sprint_30m",Versuchsdaten!$E$2:$E$1117,$E370,Versuchsdaten!$J$2:$J$1117,1)=1,SUMIFS(Versuchsdaten!$F$2:$F$1117,Versuchsdaten!$A$2:$A$1117,$A370,Versuchsdaten!$B$2:$B$1117,$B370,Versuchsdaten!$C$2:$C$1117,"Sprint_30m",Versuchsdaten!$E$2:$E$1117,$E370,Versuchsdaten!$J$2:$J$1117,1),""))</f>
        <v/>
      </c>
      <c r="N370" s="22">
        <f>IF(LEFT(C370,7)&lt;&gt;"Sprint_",0,IF(IF(ISNUMBER(K370),IF(K370&lt;=0,1,IF(5/K370&gt;10,1,0)),0)+IF(ISNUMBER(L370),IF(ISNUMBER(K370),IF(L370-K370&lt;=0,1,IF(5/(L370-K370)&gt;10,1,0)),IF(L370&lt;=0,1,IF(10/L370&gt;10,1,0))),0)+IF(ISNUMBER(M370),IF(ISNUMBER(L370),IF(M370-L370&lt;=0,1,IF(20/(M370-L370)&gt;10,1,0)),IF(ISNUMBER(K370),IF(M370-K370&lt;=0,1,IF(25/(M370-K370)&gt;10,1,0)),IF(M370&lt;=0,1,IF(30/M370&gt;10,1,0)))),0)&gt;0,1,0))</f>
        <v/>
      </c>
      <c r="O370" s="22">
        <f>IF(AND(J370=1,N370=0),1,0)</f>
        <v/>
      </c>
      <c r="P370" s="22">
        <f>INDEX(Personendaten!$J$2:$J$32,MATCH(A370,Personendaten!$A$2:$A$32,0))</f>
        <v/>
      </c>
      <c r="Q370" s="22">
        <f>IF(O370=1,"",IF(AND(B370="post",P370="nicht angetreten"),"NANG",IF(N370=1,"AUSL",IFERROR(VLOOKUP(H370,Vokabular!$A$2:$B$8,2,FALSE),"UNBEKANNT"))))</f>
        <v/>
      </c>
    </row>
    <row r="371">
      <c r="A371" s="5" t="inlineStr">
        <is>
          <t>VS-03</t>
        </is>
      </c>
      <c r="B371" s="5" t="inlineStr">
        <is>
          <t>prä</t>
        </is>
      </c>
      <c r="C371" s="5" t="inlineStr">
        <is>
          <t>Standweitsprung</t>
        </is>
      </c>
      <c r="D371" s="5" t="inlineStr">
        <is>
          <t>–</t>
        </is>
      </c>
      <c r="E371" s="5" t="n">
        <v>1</v>
      </c>
      <c r="F371" s="5" t="n">
        <v>228</v>
      </c>
      <c r="G371" s="5" t="n"/>
      <c r="H371" s="5" t="n"/>
      <c r="I371" s="22">
        <f>INDEX(Personendaten!$C$2:$C$32,MATCH(A371,Personendaten!$A$2:$A$32,0))</f>
        <v/>
      </c>
      <c r="J371" s="22">
        <f>IF(AND(F371&lt;&gt;"",G371=""),1,0)</f>
        <v/>
      </c>
      <c r="K371" s="22">
        <f>IF(LEFT(C371,7)&lt;&gt;"Sprint_","",IF(COUNTIFS(Versuchsdaten!$A$2:$A$1117,$A371,Versuchsdaten!$B$2:$B$1117,$B371,Versuchsdaten!$C$2:$C$1117,"Sprint_5m",Versuchsdaten!$E$2:$E$1117,$E371,Versuchsdaten!$J$2:$J$1117,1)=1,SUMIFS(Versuchsdaten!$F$2:$F$1117,Versuchsdaten!$A$2:$A$1117,$A371,Versuchsdaten!$B$2:$B$1117,$B371,Versuchsdaten!$C$2:$C$1117,"Sprint_5m",Versuchsdaten!$E$2:$E$1117,$E371,Versuchsdaten!$J$2:$J$1117,1),""))</f>
        <v/>
      </c>
      <c r="L371" s="22">
        <f>IF(LEFT(C371,7)&lt;&gt;"Sprint_","",IF(COUNTIFS(Versuchsdaten!$A$2:$A$1117,$A371,Versuchsdaten!$B$2:$B$1117,$B371,Versuchsdaten!$C$2:$C$1117,"Sprint_10m",Versuchsdaten!$E$2:$E$1117,$E371,Versuchsdaten!$J$2:$J$1117,1)=1,SUMIFS(Versuchsdaten!$F$2:$F$1117,Versuchsdaten!$A$2:$A$1117,$A371,Versuchsdaten!$B$2:$B$1117,$B371,Versuchsdaten!$C$2:$C$1117,"Sprint_10m",Versuchsdaten!$E$2:$E$1117,$E371,Versuchsdaten!$J$2:$J$1117,1),""))</f>
        <v/>
      </c>
      <c r="M371" s="22">
        <f>IF(LEFT(C371,7)&lt;&gt;"Sprint_","",IF(COUNTIFS(Versuchsdaten!$A$2:$A$1117,$A371,Versuchsdaten!$B$2:$B$1117,$B371,Versuchsdaten!$C$2:$C$1117,"Sprint_30m",Versuchsdaten!$E$2:$E$1117,$E371,Versuchsdaten!$J$2:$J$1117,1)=1,SUMIFS(Versuchsdaten!$F$2:$F$1117,Versuchsdaten!$A$2:$A$1117,$A371,Versuchsdaten!$B$2:$B$1117,$B371,Versuchsdaten!$C$2:$C$1117,"Sprint_30m",Versuchsdaten!$E$2:$E$1117,$E371,Versuchsdaten!$J$2:$J$1117,1),""))</f>
        <v/>
      </c>
      <c r="N371" s="22">
        <f>IF(LEFT(C371,7)&lt;&gt;"Sprint_",0,IF(IF(ISNUMBER(K371),IF(K371&lt;=0,1,IF(5/K371&gt;10,1,0)),0)+IF(ISNUMBER(L371),IF(ISNUMBER(K371),IF(L371-K371&lt;=0,1,IF(5/(L371-K371)&gt;10,1,0)),IF(L371&lt;=0,1,IF(10/L371&gt;10,1,0))),0)+IF(ISNUMBER(M371),IF(ISNUMBER(L371),IF(M371-L371&lt;=0,1,IF(20/(M371-L371)&gt;10,1,0)),IF(ISNUMBER(K371),IF(M371-K371&lt;=0,1,IF(25/(M371-K371)&gt;10,1,0)),IF(M371&lt;=0,1,IF(30/M371&gt;10,1,0)))),0)&gt;0,1,0))</f>
        <v/>
      </c>
      <c r="O371" s="22">
        <f>IF(AND(J371=1,N371=0),1,0)</f>
        <v/>
      </c>
      <c r="P371" s="22">
        <f>INDEX(Personendaten!$J$2:$J$32,MATCH(A371,Personendaten!$A$2:$A$32,0))</f>
        <v/>
      </c>
      <c r="Q371" s="22">
        <f>IF(O371=1,"",IF(AND(B371="post",P371="nicht angetreten"),"NANG",IF(N371=1,"AUSL",IFERROR(VLOOKUP(H371,Vokabular!$A$2:$B$8,2,FALSE),"UNBEKANNT"))))</f>
        <v/>
      </c>
    </row>
    <row r="372">
      <c r="A372" s="5" t="inlineStr">
        <is>
          <t>VS-03</t>
        </is>
      </c>
      <c r="B372" s="5" t="inlineStr">
        <is>
          <t>prä</t>
        </is>
      </c>
      <c r="C372" s="5" t="inlineStr">
        <is>
          <t>Standweitsprung</t>
        </is>
      </c>
      <c r="D372" s="5" t="inlineStr">
        <is>
          <t>–</t>
        </is>
      </c>
      <c r="E372" s="5" t="n">
        <v>2</v>
      </c>
      <c r="F372" s="5" t="n">
        <v>235</v>
      </c>
      <c r="G372" s="5" t="n"/>
      <c r="H372" s="5" t="n"/>
      <c r="I372" s="22">
        <f>INDEX(Personendaten!$C$2:$C$32,MATCH(A372,Personendaten!$A$2:$A$32,0))</f>
        <v/>
      </c>
      <c r="J372" s="22">
        <f>IF(AND(F372&lt;&gt;"",G372=""),1,0)</f>
        <v/>
      </c>
      <c r="K372" s="22">
        <f>IF(LEFT(C372,7)&lt;&gt;"Sprint_","",IF(COUNTIFS(Versuchsdaten!$A$2:$A$1117,$A372,Versuchsdaten!$B$2:$B$1117,$B372,Versuchsdaten!$C$2:$C$1117,"Sprint_5m",Versuchsdaten!$E$2:$E$1117,$E372,Versuchsdaten!$J$2:$J$1117,1)=1,SUMIFS(Versuchsdaten!$F$2:$F$1117,Versuchsdaten!$A$2:$A$1117,$A372,Versuchsdaten!$B$2:$B$1117,$B372,Versuchsdaten!$C$2:$C$1117,"Sprint_5m",Versuchsdaten!$E$2:$E$1117,$E372,Versuchsdaten!$J$2:$J$1117,1),""))</f>
        <v/>
      </c>
      <c r="L372" s="22">
        <f>IF(LEFT(C372,7)&lt;&gt;"Sprint_","",IF(COUNTIFS(Versuchsdaten!$A$2:$A$1117,$A372,Versuchsdaten!$B$2:$B$1117,$B372,Versuchsdaten!$C$2:$C$1117,"Sprint_10m",Versuchsdaten!$E$2:$E$1117,$E372,Versuchsdaten!$J$2:$J$1117,1)=1,SUMIFS(Versuchsdaten!$F$2:$F$1117,Versuchsdaten!$A$2:$A$1117,$A372,Versuchsdaten!$B$2:$B$1117,$B372,Versuchsdaten!$C$2:$C$1117,"Sprint_10m",Versuchsdaten!$E$2:$E$1117,$E372,Versuchsdaten!$J$2:$J$1117,1),""))</f>
        <v/>
      </c>
      <c r="M372" s="22">
        <f>IF(LEFT(C372,7)&lt;&gt;"Sprint_","",IF(COUNTIFS(Versuchsdaten!$A$2:$A$1117,$A372,Versuchsdaten!$B$2:$B$1117,$B372,Versuchsdaten!$C$2:$C$1117,"Sprint_30m",Versuchsdaten!$E$2:$E$1117,$E372,Versuchsdaten!$J$2:$J$1117,1)=1,SUMIFS(Versuchsdaten!$F$2:$F$1117,Versuchsdaten!$A$2:$A$1117,$A372,Versuchsdaten!$B$2:$B$1117,$B372,Versuchsdaten!$C$2:$C$1117,"Sprint_30m",Versuchsdaten!$E$2:$E$1117,$E372,Versuchsdaten!$J$2:$J$1117,1),""))</f>
        <v/>
      </c>
      <c r="N372" s="22">
        <f>IF(LEFT(C372,7)&lt;&gt;"Sprint_",0,IF(IF(ISNUMBER(K372),IF(K372&lt;=0,1,IF(5/K372&gt;10,1,0)),0)+IF(ISNUMBER(L372),IF(ISNUMBER(K372),IF(L372-K372&lt;=0,1,IF(5/(L372-K372)&gt;10,1,0)),IF(L372&lt;=0,1,IF(10/L372&gt;10,1,0))),0)+IF(ISNUMBER(M372),IF(ISNUMBER(L372),IF(M372-L372&lt;=0,1,IF(20/(M372-L372)&gt;10,1,0)),IF(ISNUMBER(K372),IF(M372-K372&lt;=0,1,IF(25/(M372-K372)&gt;10,1,0)),IF(M372&lt;=0,1,IF(30/M372&gt;10,1,0)))),0)&gt;0,1,0))</f>
        <v/>
      </c>
      <c r="O372" s="22">
        <f>IF(AND(J372=1,N372=0),1,0)</f>
        <v/>
      </c>
      <c r="P372" s="22">
        <f>INDEX(Personendaten!$J$2:$J$32,MATCH(A372,Personendaten!$A$2:$A$32,0))</f>
        <v/>
      </c>
      <c r="Q372" s="22">
        <f>IF(O372=1,"",IF(AND(B372="post",P372="nicht angetreten"),"NANG",IF(N372=1,"AUSL",IFERROR(VLOOKUP(H372,Vokabular!$A$2:$B$8,2,FALSE),"UNBEKANNT"))))</f>
        <v/>
      </c>
    </row>
    <row r="373">
      <c r="A373" s="5" t="inlineStr">
        <is>
          <t>VS-03</t>
        </is>
      </c>
      <c r="B373" s="5" t="inlineStr">
        <is>
          <t>prä</t>
        </is>
      </c>
      <c r="C373" s="5" t="inlineStr">
        <is>
          <t>Standweitsprung</t>
        </is>
      </c>
      <c r="D373" s="5" t="inlineStr">
        <is>
          <t>–</t>
        </is>
      </c>
      <c r="E373" s="5" t="n">
        <v>3</v>
      </c>
      <c r="F373" s="5" t="n"/>
      <c r="G373" s="5" t="n"/>
      <c r="H373" s="5" t="inlineStr">
        <is>
          <t>System nicht aufgenommen</t>
        </is>
      </c>
      <c r="I373" s="22">
        <f>INDEX(Personendaten!$C$2:$C$32,MATCH(A373,Personendaten!$A$2:$A$32,0))</f>
        <v/>
      </c>
      <c r="J373" s="22">
        <f>IF(AND(F373&lt;&gt;"",G373=""),1,0)</f>
        <v/>
      </c>
      <c r="K373" s="22">
        <f>IF(LEFT(C373,7)&lt;&gt;"Sprint_","",IF(COUNTIFS(Versuchsdaten!$A$2:$A$1117,$A373,Versuchsdaten!$B$2:$B$1117,$B373,Versuchsdaten!$C$2:$C$1117,"Sprint_5m",Versuchsdaten!$E$2:$E$1117,$E373,Versuchsdaten!$J$2:$J$1117,1)=1,SUMIFS(Versuchsdaten!$F$2:$F$1117,Versuchsdaten!$A$2:$A$1117,$A373,Versuchsdaten!$B$2:$B$1117,$B373,Versuchsdaten!$C$2:$C$1117,"Sprint_5m",Versuchsdaten!$E$2:$E$1117,$E373,Versuchsdaten!$J$2:$J$1117,1),""))</f>
        <v/>
      </c>
      <c r="L373" s="22">
        <f>IF(LEFT(C373,7)&lt;&gt;"Sprint_","",IF(COUNTIFS(Versuchsdaten!$A$2:$A$1117,$A373,Versuchsdaten!$B$2:$B$1117,$B373,Versuchsdaten!$C$2:$C$1117,"Sprint_10m",Versuchsdaten!$E$2:$E$1117,$E373,Versuchsdaten!$J$2:$J$1117,1)=1,SUMIFS(Versuchsdaten!$F$2:$F$1117,Versuchsdaten!$A$2:$A$1117,$A373,Versuchsdaten!$B$2:$B$1117,$B373,Versuchsdaten!$C$2:$C$1117,"Sprint_10m",Versuchsdaten!$E$2:$E$1117,$E373,Versuchsdaten!$J$2:$J$1117,1),""))</f>
        <v/>
      </c>
      <c r="M373" s="22">
        <f>IF(LEFT(C373,7)&lt;&gt;"Sprint_","",IF(COUNTIFS(Versuchsdaten!$A$2:$A$1117,$A373,Versuchsdaten!$B$2:$B$1117,$B373,Versuchsdaten!$C$2:$C$1117,"Sprint_30m",Versuchsdaten!$E$2:$E$1117,$E373,Versuchsdaten!$J$2:$J$1117,1)=1,SUMIFS(Versuchsdaten!$F$2:$F$1117,Versuchsdaten!$A$2:$A$1117,$A373,Versuchsdaten!$B$2:$B$1117,$B373,Versuchsdaten!$C$2:$C$1117,"Sprint_30m",Versuchsdaten!$E$2:$E$1117,$E373,Versuchsdaten!$J$2:$J$1117,1),""))</f>
        <v/>
      </c>
      <c r="N373" s="22">
        <f>IF(LEFT(C373,7)&lt;&gt;"Sprint_",0,IF(IF(ISNUMBER(K373),IF(K373&lt;=0,1,IF(5/K373&gt;10,1,0)),0)+IF(ISNUMBER(L373),IF(ISNUMBER(K373),IF(L373-K373&lt;=0,1,IF(5/(L373-K373)&gt;10,1,0)),IF(L373&lt;=0,1,IF(10/L373&gt;10,1,0))),0)+IF(ISNUMBER(M373),IF(ISNUMBER(L373),IF(M373-L373&lt;=0,1,IF(20/(M373-L373)&gt;10,1,0)),IF(ISNUMBER(K373),IF(M373-K373&lt;=0,1,IF(25/(M373-K373)&gt;10,1,0)),IF(M373&lt;=0,1,IF(30/M373&gt;10,1,0)))),0)&gt;0,1,0))</f>
        <v/>
      </c>
      <c r="O373" s="22">
        <f>IF(AND(J373=1,N373=0),1,0)</f>
        <v/>
      </c>
      <c r="P373" s="22">
        <f>INDEX(Personendaten!$J$2:$J$32,MATCH(A373,Personendaten!$A$2:$A$32,0))</f>
        <v/>
      </c>
      <c r="Q373" s="22">
        <f>IF(O373=1,"",IF(AND(B373="post",P373="nicht angetreten"),"NANG",IF(N373=1,"AUSL",IFERROR(VLOOKUP(H373,Vokabular!$A$2:$B$8,2,FALSE),"UNBEKANNT"))))</f>
        <v/>
      </c>
    </row>
    <row r="374">
      <c r="A374" s="5" t="inlineStr">
        <is>
          <t>VS-03</t>
        </is>
      </c>
      <c r="B374" s="5" t="inlineStr">
        <is>
          <t>prä</t>
        </is>
      </c>
      <c r="C374" s="5" t="inlineStr">
        <is>
          <t>COD_505</t>
        </is>
      </c>
      <c r="D374" s="5" t="inlineStr">
        <is>
          <t>L</t>
        </is>
      </c>
      <c r="E374" s="5" t="n">
        <v>1</v>
      </c>
      <c r="F374" s="5" t="n">
        <v>2.64</v>
      </c>
      <c r="G374" s="5" t="n"/>
      <c r="H374" s="5" t="n"/>
      <c r="I374" s="22">
        <f>INDEX(Personendaten!$C$2:$C$32,MATCH(A374,Personendaten!$A$2:$A$32,0))</f>
        <v/>
      </c>
      <c r="J374" s="22">
        <f>IF(AND(F374&lt;&gt;"",G374=""),1,0)</f>
        <v/>
      </c>
      <c r="K374" s="22">
        <f>IF(LEFT(C374,7)&lt;&gt;"Sprint_","",IF(COUNTIFS(Versuchsdaten!$A$2:$A$1117,$A374,Versuchsdaten!$B$2:$B$1117,$B374,Versuchsdaten!$C$2:$C$1117,"Sprint_5m",Versuchsdaten!$E$2:$E$1117,$E374,Versuchsdaten!$J$2:$J$1117,1)=1,SUMIFS(Versuchsdaten!$F$2:$F$1117,Versuchsdaten!$A$2:$A$1117,$A374,Versuchsdaten!$B$2:$B$1117,$B374,Versuchsdaten!$C$2:$C$1117,"Sprint_5m",Versuchsdaten!$E$2:$E$1117,$E374,Versuchsdaten!$J$2:$J$1117,1),""))</f>
        <v/>
      </c>
      <c r="L374" s="22">
        <f>IF(LEFT(C374,7)&lt;&gt;"Sprint_","",IF(COUNTIFS(Versuchsdaten!$A$2:$A$1117,$A374,Versuchsdaten!$B$2:$B$1117,$B374,Versuchsdaten!$C$2:$C$1117,"Sprint_10m",Versuchsdaten!$E$2:$E$1117,$E374,Versuchsdaten!$J$2:$J$1117,1)=1,SUMIFS(Versuchsdaten!$F$2:$F$1117,Versuchsdaten!$A$2:$A$1117,$A374,Versuchsdaten!$B$2:$B$1117,$B374,Versuchsdaten!$C$2:$C$1117,"Sprint_10m",Versuchsdaten!$E$2:$E$1117,$E374,Versuchsdaten!$J$2:$J$1117,1),""))</f>
        <v/>
      </c>
      <c r="M374" s="22">
        <f>IF(LEFT(C374,7)&lt;&gt;"Sprint_","",IF(COUNTIFS(Versuchsdaten!$A$2:$A$1117,$A374,Versuchsdaten!$B$2:$B$1117,$B374,Versuchsdaten!$C$2:$C$1117,"Sprint_30m",Versuchsdaten!$E$2:$E$1117,$E374,Versuchsdaten!$J$2:$J$1117,1)=1,SUMIFS(Versuchsdaten!$F$2:$F$1117,Versuchsdaten!$A$2:$A$1117,$A374,Versuchsdaten!$B$2:$B$1117,$B374,Versuchsdaten!$C$2:$C$1117,"Sprint_30m",Versuchsdaten!$E$2:$E$1117,$E374,Versuchsdaten!$J$2:$J$1117,1),""))</f>
        <v/>
      </c>
      <c r="N374" s="22">
        <f>IF(LEFT(C374,7)&lt;&gt;"Sprint_",0,IF(IF(ISNUMBER(K374),IF(K374&lt;=0,1,IF(5/K374&gt;10,1,0)),0)+IF(ISNUMBER(L374),IF(ISNUMBER(K374),IF(L374-K374&lt;=0,1,IF(5/(L374-K374)&gt;10,1,0)),IF(L374&lt;=0,1,IF(10/L374&gt;10,1,0))),0)+IF(ISNUMBER(M374),IF(ISNUMBER(L374),IF(M374-L374&lt;=0,1,IF(20/(M374-L374)&gt;10,1,0)),IF(ISNUMBER(K374),IF(M374-K374&lt;=0,1,IF(25/(M374-K374)&gt;10,1,0)),IF(M374&lt;=0,1,IF(30/M374&gt;10,1,0)))),0)&gt;0,1,0))</f>
        <v/>
      </c>
      <c r="O374" s="22">
        <f>IF(AND(J374=1,N374=0),1,0)</f>
        <v/>
      </c>
      <c r="P374" s="22">
        <f>INDEX(Personendaten!$J$2:$J$32,MATCH(A374,Personendaten!$A$2:$A$32,0))</f>
        <v/>
      </c>
      <c r="Q374" s="22">
        <f>IF(O374=1,"",IF(AND(B374="post",P374="nicht angetreten"),"NANG",IF(N374=1,"AUSL",IFERROR(VLOOKUP(H374,Vokabular!$A$2:$B$8,2,FALSE),"UNBEKANNT"))))</f>
        <v/>
      </c>
    </row>
    <row r="375">
      <c r="A375" s="5" t="inlineStr">
        <is>
          <t>VS-03</t>
        </is>
      </c>
      <c r="B375" s="5" t="inlineStr">
        <is>
          <t>prä</t>
        </is>
      </c>
      <c r="C375" s="5" t="inlineStr">
        <is>
          <t>COD_505</t>
        </is>
      </c>
      <c r="D375" s="5" t="inlineStr">
        <is>
          <t>L</t>
        </is>
      </c>
      <c r="E375" s="5" t="n">
        <v>2</v>
      </c>
      <c r="F375" s="5" t="n">
        <v>2.6</v>
      </c>
      <c r="G375" s="5" t="inlineStr">
        <is>
          <t>x</t>
        </is>
      </c>
      <c r="H375" s="5" t="inlineStr">
        <is>
          <t>Linie nicht getroffen</t>
        </is>
      </c>
      <c r="I375" s="22">
        <f>INDEX(Personendaten!$C$2:$C$32,MATCH(A375,Personendaten!$A$2:$A$32,0))</f>
        <v/>
      </c>
      <c r="J375" s="22">
        <f>IF(AND(F375&lt;&gt;"",G375=""),1,0)</f>
        <v/>
      </c>
      <c r="K375" s="22">
        <f>IF(LEFT(C375,7)&lt;&gt;"Sprint_","",IF(COUNTIFS(Versuchsdaten!$A$2:$A$1117,$A375,Versuchsdaten!$B$2:$B$1117,$B375,Versuchsdaten!$C$2:$C$1117,"Sprint_5m",Versuchsdaten!$E$2:$E$1117,$E375,Versuchsdaten!$J$2:$J$1117,1)=1,SUMIFS(Versuchsdaten!$F$2:$F$1117,Versuchsdaten!$A$2:$A$1117,$A375,Versuchsdaten!$B$2:$B$1117,$B375,Versuchsdaten!$C$2:$C$1117,"Sprint_5m",Versuchsdaten!$E$2:$E$1117,$E375,Versuchsdaten!$J$2:$J$1117,1),""))</f>
        <v/>
      </c>
      <c r="L375" s="22">
        <f>IF(LEFT(C375,7)&lt;&gt;"Sprint_","",IF(COUNTIFS(Versuchsdaten!$A$2:$A$1117,$A375,Versuchsdaten!$B$2:$B$1117,$B375,Versuchsdaten!$C$2:$C$1117,"Sprint_10m",Versuchsdaten!$E$2:$E$1117,$E375,Versuchsdaten!$J$2:$J$1117,1)=1,SUMIFS(Versuchsdaten!$F$2:$F$1117,Versuchsdaten!$A$2:$A$1117,$A375,Versuchsdaten!$B$2:$B$1117,$B375,Versuchsdaten!$C$2:$C$1117,"Sprint_10m",Versuchsdaten!$E$2:$E$1117,$E375,Versuchsdaten!$J$2:$J$1117,1),""))</f>
        <v/>
      </c>
      <c r="M375" s="22">
        <f>IF(LEFT(C375,7)&lt;&gt;"Sprint_","",IF(COUNTIFS(Versuchsdaten!$A$2:$A$1117,$A375,Versuchsdaten!$B$2:$B$1117,$B375,Versuchsdaten!$C$2:$C$1117,"Sprint_30m",Versuchsdaten!$E$2:$E$1117,$E375,Versuchsdaten!$J$2:$J$1117,1)=1,SUMIFS(Versuchsdaten!$F$2:$F$1117,Versuchsdaten!$A$2:$A$1117,$A375,Versuchsdaten!$B$2:$B$1117,$B375,Versuchsdaten!$C$2:$C$1117,"Sprint_30m",Versuchsdaten!$E$2:$E$1117,$E375,Versuchsdaten!$J$2:$J$1117,1),""))</f>
        <v/>
      </c>
      <c r="N375" s="22">
        <f>IF(LEFT(C375,7)&lt;&gt;"Sprint_",0,IF(IF(ISNUMBER(K375),IF(K375&lt;=0,1,IF(5/K375&gt;10,1,0)),0)+IF(ISNUMBER(L375),IF(ISNUMBER(K375),IF(L375-K375&lt;=0,1,IF(5/(L375-K375)&gt;10,1,0)),IF(L375&lt;=0,1,IF(10/L375&gt;10,1,0))),0)+IF(ISNUMBER(M375),IF(ISNUMBER(L375),IF(M375-L375&lt;=0,1,IF(20/(M375-L375)&gt;10,1,0)),IF(ISNUMBER(K375),IF(M375-K375&lt;=0,1,IF(25/(M375-K375)&gt;10,1,0)),IF(M375&lt;=0,1,IF(30/M375&gt;10,1,0)))),0)&gt;0,1,0))</f>
        <v/>
      </c>
      <c r="O375" s="22">
        <f>IF(AND(J375=1,N375=0),1,0)</f>
        <v/>
      </c>
      <c r="P375" s="22">
        <f>INDEX(Personendaten!$J$2:$J$32,MATCH(A375,Personendaten!$A$2:$A$32,0))</f>
        <v/>
      </c>
      <c r="Q375" s="22">
        <f>IF(O375=1,"",IF(AND(B375="post",P375="nicht angetreten"),"NANG",IF(N375=1,"AUSL",IFERROR(VLOOKUP(H375,Vokabular!$A$2:$B$8,2,FALSE),"UNBEKANNT"))))</f>
        <v/>
      </c>
    </row>
    <row r="376">
      <c r="A376" s="5" t="inlineStr">
        <is>
          <t>VS-03</t>
        </is>
      </c>
      <c r="B376" s="5" t="inlineStr">
        <is>
          <t>prä</t>
        </is>
      </c>
      <c r="C376" s="5" t="inlineStr">
        <is>
          <t>COD_505</t>
        </is>
      </c>
      <c r="D376" s="5" t="inlineStr">
        <is>
          <t>L</t>
        </is>
      </c>
      <c r="E376" s="5" t="n">
        <v>3</v>
      </c>
      <c r="F376" s="5" t="n">
        <v>2.47</v>
      </c>
      <c r="G376" s="5" t="n"/>
      <c r="H376" s="5" t="n"/>
      <c r="I376" s="22">
        <f>INDEX(Personendaten!$C$2:$C$32,MATCH(A376,Personendaten!$A$2:$A$32,0))</f>
        <v/>
      </c>
      <c r="J376" s="22">
        <f>IF(AND(F376&lt;&gt;"",G376=""),1,0)</f>
        <v/>
      </c>
      <c r="K376" s="22">
        <f>IF(LEFT(C376,7)&lt;&gt;"Sprint_","",IF(COUNTIFS(Versuchsdaten!$A$2:$A$1117,$A376,Versuchsdaten!$B$2:$B$1117,$B376,Versuchsdaten!$C$2:$C$1117,"Sprint_5m",Versuchsdaten!$E$2:$E$1117,$E376,Versuchsdaten!$J$2:$J$1117,1)=1,SUMIFS(Versuchsdaten!$F$2:$F$1117,Versuchsdaten!$A$2:$A$1117,$A376,Versuchsdaten!$B$2:$B$1117,$B376,Versuchsdaten!$C$2:$C$1117,"Sprint_5m",Versuchsdaten!$E$2:$E$1117,$E376,Versuchsdaten!$J$2:$J$1117,1),""))</f>
        <v/>
      </c>
      <c r="L376" s="22">
        <f>IF(LEFT(C376,7)&lt;&gt;"Sprint_","",IF(COUNTIFS(Versuchsdaten!$A$2:$A$1117,$A376,Versuchsdaten!$B$2:$B$1117,$B376,Versuchsdaten!$C$2:$C$1117,"Sprint_10m",Versuchsdaten!$E$2:$E$1117,$E376,Versuchsdaten!$J$2:$J$1117,1)=1,SUMIFS(Versuchsdaten!$F$2:$F$1117,Versuchsdaten!$A$2:$A$1117,$A376,Versuchsdaten!$B$2:$B$1117,$B376,Versuchsdaten!$C$2:$C$1117,"Sprint_10m",Versuchsdaten!$E$2:$E$1117,$E376,Versuchsdaten!$J$2:$J$1117,1),""))</f>
        <v/>
      </c>
      <c r="M376" s="22">
        <f>IF(LEFT(C376,7)&lt;&gt;"Sprint_","",IF(COUNTIFS(Versuchsdaten!$A$2:$A$1117,$A376,Versuchsdaten!$B$2:$B$1117,$B376,Versuchsdaten!$C$2:$C$1117,"Sprint_30m",Versuchsdaten!$E$2:$E$1117,$E376,Versuchsdaten!$J$2:$J$1117,1)=1,SUMIFS(Versuchsdaten!$F$2:$F$1117,Versuchsdaten!$A$2:$A$1117,$A376,Versuchsdaten!$B$2:$B$1117,$B376,Versuchsdaten!$C$2:$C$1117,"Sprint_30m",Versuchsdaten!$E$2:$E$1117,$E376,Versuchsdaten!$J$2:$J$1117,1),""))</f>
        <v/>
      </c>
      <c r="N376" s="22">
        <f>IF(LEFT(C376,7)&lt;&gt;"Sprint_",0,IF(IF(ISNUMBER(K376),IF(K376&lt;=0,1,IF(5/K376&gt;10,1,0)),0)+IF(ISNUMBER(L376),IF(ISNUMBER(K376),IF(L376-K376&lt;=0,1,IF(5/(L376-K376)&gt;10,1,0)),IF(L376&lt;=0,1,IF(10/L376&gt;10,1,0))),0)+IF(ISNUMBER(M376),IF(ISNUMBER(L376),IF(M376-L376&lt;=0,1,IF(20/(M376-L376)&gt;10,1,0)),IF(ISNUMBER(K376),IF(M376-K376&lt;=0,1,IF(25/(M376-K376)&gt;10,1,0)),IF(M376&lt;=0,1,IF(30/M376&gt;10,1,0)))),0)&gt;0,1,0))</f>
        <v/>
      </c>
      <c r="O376" s="22">
        <f>IF(AND(J376=1,N376=0),1,0)</f>
        <v/>
      </c>
      <c r="P376" s="22">
        <f>INDEX(Personendaten!$J$2:$J$32,MATCH(A376,Personendaten!$A$2:$A$32,0))</f>
        <v/>
      </c>
      <c r="Q376" s="22">
        <f>IF(O376=1,"",IF(AND(B376="post",P376="nicht angetreten"),"NANG",IF(N376=1,"AUSL",IFERROR(VLOOKUP(H376,Vokabular!$A$2:$B$8,2,FALSE),"UNBEKANNT"))))</f>
        <v/>
      </c>
    </row>
    <row r="377">
      <c r="A377" s="5" t="inlineStr">
        <is>
          <t>VS-03</t>
        </is>
      </c>
      <c r="B377" s="5" t="inlineStr">
        <is>
          <t>prä</t>
        </is>
      </c>
      <c r="C377" s="5" t="inlineStr">
        <is>
          <t>COD_505</t>
        </is>
      </c>
      <c r="D377" s="5" t="inlineStr">
        <is>
          <t>R</t>
        </is>
      </c>
      <c r="E377" s="5" t="n">
        <v>1</v>
      </c>
      <c r="F377" s="5" t="n">
        <v>2.74</v>
      </c>
      <c r="G377" s="5" t="n"/>
      <c r="H377" s="5" t="n"/>
      <c r="I377" s="22">
        <f>INDEX(Personendaten!$C$2:$C$32,MATCH(A377,Personendaten!$A$2:$A$32,0))</f>
        <v/>
      </c>
      <c r="J377" s="22">
        <f>IF(AND(F377&lt;&gt;"",G377=""),1,0)</f>
        <v/>
      </c>
      <c r="K377" s="22">
        <f>IF(LEFT(C377,7)&lt;&gt;"Sprint_","",IF(COUNTIFS(Versuchsdaten!$A$2:$A$1117,$A377,Versuchsdaten!$B$2:$B$1117,$B377,Versuchsdaten!$C$2:$C$1117,"Sprint_5m",Versuchsdaten!$E$2:$E$1117,$E377,Versuchsdaten!$J$2:$J$1117,1)=1,SUMIFS(Versuchsdaten!$F$2:$F$1117,Versuchsdaten!$A$2:$A$1117,$A377,Versuchsdaten!$B$2:$B$1117,$B377,Versuchsdaten!$C$2:$C$1117,"Sprint_5m",Versuchsdaten!$E$2:$E$1117,$E377,Versuchsdaten!$J$2:$J$1117,1),""))</f>
        <v/>
      </c>
      <c r="L377" s="22">
        <f>IF(LEFT(C377,7)&lt;&gt;"Sprint_","",IF(COUNTIFS(Versuchsdaten!$A$2:$A$1117,$A377,Versuchsdaten!$B$2:$B$1117,$B377,Versuchsdaten!$C$2:$C$1117,"Sprint_10m",Versuchsdaten!$E$2:$E$1117,$E377,Versuchsdaten!$J$2:$J$1117,1)=1,SUMIFS(Versuchsdaten!$F$2:$F$1117,Versuchsdaten!$A$2:$A$1117,$A377,Versuchsdaten!$B$2:$B$1117,$B377,Versuchsdaten!$C$2:$C$1117,"Sprint_10m",Versuchsdaten!$E$2:$E$1117,$E377,Versuchsdaten!$J$2:$J$1117,1),""))</f>
        <v/>
      </c>
      <c r="M377" s="22">
        <f>IF(LEFT(C377,7)&lt;&gt;"Sprint_","",IF(COUNTIFS(Versuchsdaten!$A$2:$A$1117,$A377,Versuchsdaten!$B$2:$B$1117,$B377,Versuchsdaten!$C$2:$C$1117,"Sprint_30m",Versuchsdaten!$E$2:$E$1117,$E377,Versuchsdaten!$J$2:$J$1117,1)=1,SUMIFS(Versuchsdaten!$F$2:$F$1117,Versuchsdaten!$A$2:$A$1117,$A377,Versuchsdaten!$B$2:$B$1117,$B377,Versuchsdaten!$C$2:$C$1117,"Sprint_30m",Versuchsdaten!$E$2:$E$1117,$E377,Versuchsdaten!$J$2:$J$1117,1),""))</f>
        <v/>
      </c>
      <c r="N377" s="22">
        <f>IF(LEFT(C377,7)&lt;&gt;"Sprint_",0,IF(IF(ISNUMBER(K377),IF(K377&lt;=0,1,IF(5/K377&gt;10,1,0)),0)+IF(ISNUMBER(L377),IF(ISNUMBER(K377),IF(L377-K377&lt;=0,1,IF(5/(L377-K377)&gt;10,1,0)),IF(L377&lt;=0,1,IF(10/L377&gt;10,1,0))),0)+IF(ISNUMBER(M377),IF(ISNUMBER(L377),IF(M377-L377&lt;=0,1,IF(20/(M377-L377)&gt;10,1,0)),IF(ISNUMBER(K377),IF(M377-K377&lt;=0,1,IF(25/(M377-K377)&gt;10,1,0)),IF(M377&lt;=0,1,IF(30/M377&gt;10,1,0)))),0)&gt;0,1,0))</f>
        <v/>
      </c>
      <c r="O377" s="22">
        <f>IF(AND(J377=1,N377=0),1,0)</f>
        <v/>
      </c>
      <c r="P377" s="22">
        <f>INDEX(Personendaten!$J$2:$J$32,MATCH(A377,Personendaten!$A$2:$A$32,0))</f>
        <v/>
      </c>
      <c r="Q377" s="22">
        <f>IF(O377=1,"",IF(AND(B377="post",P377="nicht angetreten"),"NANG",IF(N377=1,"AUSL",IFERROR(VLOOKUP(H377,Vokabular!$A$2:$B$8,2,FALSE),"UNBEKANNT"))))</f>
        <v/>
      </c>
    </row>
    <row r="378">
      <c r="A378" s="5" t="inlineStr">
        <is>
          <t>VS-03</t>
        </is>
      </c>
      <c r="B378" s="5" t="inlineStr">
        <is>
          <t>prä</t>
        </is>
      </c>
      <c r="C378" s="5" t="inlineStr">
        <is>
          <t>COD_505</t>
        </is>
      </c>
      <c r="D378" s="5" t="inlineStr">
        <is>
          <t>R</t>
        </is>
      </c>
      <c r="E378" s="5" t="n">
        <v>2</v>
      </c>
      <c r="F378" s="5" t="n">
        <v>2.85</v>
      </c>
      <c r="G378" s="5" t="n"/>
      <c r="H378" s="5" t="n"/>
      <c r="I378" s="22">
        <f>INDEX(Personendaten!$C$2:$C$32,MATCH(A378,Personendaten!$A$2:$A$32,0))</f>
        <v/>
      </c>
      <c r="J378" s="22">
        <f>IF(AND(F378&lt;&gt;"",G378=""),1,0)</f>
        <v/>
      </c>
      <c r="K378" s="22">
        <f>IF(LEFT(C378,7)&lt;&gt;"Sprint_","",IF(COUNTIFS(Versuchsdaten!$A$2:$A$1117,$A378,Versuchsdaten!$B$2:$B$1117,$B378,Versuchsdaten!$C$2:$C$1117,"Sprint_5m",Versuchsdaten!$E$2:$E$1117,$E378,Versuchsdaten!$J$2:$J$1117,1)=1,SUMIFS(Versuchsdaten!$F$2:$F$1117,Versuchsdaten!$A$2:$A$1117,$A378,Versuchsdaten!$B$2:$B$1117,$B378,Versuchsdaten!$C$2:$C$1117,"Sprint_5m",Versuchsdaten!$E$2:$E$1117,$E378,Versuchsdaten!$J$2:$J$1117,1),""))</f>
        <v/>
      </c>
      <c r="L378" s="22">
        <f>IF(LEFT(C378,7)&lt;&gt;"Sprint_","",IF(COUNTIFS(Versuchsdaten!$A$2:$A$1117,$A378,Versuchsdaten!$B$2:$B$1117,$B378,Versuchsdaten!$C$2:$C$1117,"Sprint_10m",Versuchsdaten!$E$2:$E$1117,$E378,Versuchsdaten!$J$2:$J$1117,1)=1,SUMIFS(Versuchsdaten!$F$2:$F$1117,Versuchsdaten!$A$2:$A$1117,$A378,Versuchsdaten!$B$2:$B$1117,$B378,Versuchsdaten!$C$2:$C$1117,"Sprint_10m",Versuchsdaten!$E$2:$E$1117,$E378,Versuchsdaten!$J$2:$J$1117,1),""))</f>
        <v/>
      </c>
      <c r="M378" s="22">
        <f>IF(LEFT(C378,7)&lt;&gt;"Sprint_","",IF(COUNTIFS(Versuchsdaten!$A$2:$A$1117,$A378,Versuchsdaten!$B$2:$B$1117,$B378,Versuchsdaten!$C$2:$C$1117,"Sprint_30m",Versuchsdaten!$E$2:$E$1117,$E378,Versuchsdaten!$J$2:$J$1117,1)=1,SUMIFS(Versuchsdaten!$F$2:$F$1117,Versuchsdaten!$A$2:$A$1117,$A378,Versuchsdaten!$B$2:$B$1117,$B378,Versuchsdaten!$C$2:$C$1117,"Sprint_30m",Versuchsdaten!$E$2:$E$1117,$E378,Versuchsdaten!$J$2:$J$1117,1),""))</f>
        <v/>
      </c>
      <c r="N378" s="22">
        <f>IF(LEFT(C378,7)&lt;&gt;"Sprint_",0,IF(IF(ISNUMBER(K378),IF(K378&lt;=0,1,IF(5/K378&gt;10,1,0)),0)+IF(ISNUMBER(L378),IF(ISNUMBER(K378),IF(L378-K378&lt;=0,1,IF(5/(L378-K378)&gt;10,1,0)),IF(L378&lt;=0,1,IF(10/L378&gt;10,1,0))),0)+IF(ISNUMBER(M378),IF(ISNUMBER(L378),IF(M378-L378&lt;=0,1,IF(20/(M378-L378)&gt;10,1,0)),IF(ISNUMBER(K378),IF(M378-K378&lt;=0,1,IF(25/(M378-K378)&gt;10,1,0)),IF(M378&lt;=0,1,IF(30/M378&gt;10,1,0)))),0)&gt;0,1,0))</f>
        <v/>
      </c>
      <c r="O378" s="22">
        <f>IF(AND(J378=1,N378=0),1,0)</f>
        <v/>
      </c>
      <c r="P378" s="22">
        <f>INDEX(Personendaten!$J$2:$J$32,MATCH(A378,Personendaten!$A$2:$A$32,0))</f>
        <v/>
      </c>
      <c r="Q378" s="22">
        <f>IF(O378=1,"",IF(AND(B378="post",P378="nicht angetreten"),"NANG",IF(N378=1,"AUSL",IFERROR(VLOOKUP(H378,Vokabular!$A$2:$B$8,2,FALSE),"UNBEKANNT"))))</f>
        <v/>
      </c>
    </row>
    <row r="379">
      <c r="A379" s="5" t="inlineStr">
        <is>
          <t>VS-03</t>
        </is>
      </c>
      <c r="B379" s="5" t="inlineStr">
        <is>
          <t>prä</t>
        </is>
      </c>
      <c r="C379" s="5" t="inlineStr">
        <is>
          <t>COD_505</t>
        </is>
      </c>
      <c r="D379" s="5" t="inlineStr">
        <is>
          <t>R</t>
        </is>
      </c>
      <c r="E379" s="5" t="n">
        <v>3</v>
      </c>
      <c r="F379" s="5" t="n">
        <v>2.83</v>
      </c>
      <c r="G379" s="5" t="n"/>
      <c r="H379" s="5" t="n"/>
      <c r="I379" s="22">
        <f>INDEX(Personendaten!$C$2:$C$32,MATCH(A379,Personendaten!$A$2:$A$32,0))</f>
        <v/>
      </c>
      <c r="J379" s="22">
        <f>IF(AND(F379&lt;&gt;"",G379=""),1,0)</f>
        <v/>
      </c>
      <c r="K379" s="22">
        <f>IF(LEFT(C379,7)&lt;&gt;"Sprint_","",IF(COUNTIFS(Versuchsdaten!$A$2:$A$1117,$A379,Versuchsdaten!$B$2:$B$1117,$B379,Versuchsdaten!$C$2:$C$1117,"Sprint_5m",Versuchsdaten!$E$2:$E$1117,$E379,Versuchsdaten!$J$2:$J$1117,1)=1,SUMIFS(Versuchsdaten!$F$2:$F$1117,Versuchsdaten!$A$2:$A$1117,$A379,Versuchsdaten!$B$2:$B$1117,$B379,Versuchsdaten!$C$2:$C$1117,"Sprint_5m",Versuchsdaten!$E$2:$E$1117,$E379,Versuchsdaten!$J$2:$J$1117,1),""))</f>
        <v/>
      </c>
      <c r="L379" s="22">
        <f>IF(LEFT(C379,7)&lt;&gt;"Sprint_","",IF(COUNTIFS(Versuchsdaten!$A$2:$A$1117,$A379,Versuchsdaten!$B$2:$B$1117,$B379,Versuchsdaten!$C$2:$C$1117,"Sprint_10m",Versuchsdaten!$E$2:$E$1117,$E379,Versuchsdaten!$J$2:$J$1117,1)=1,SUMIFS(Versuchsdaten!$F$2:$F$1117,Versuchsdaten!$A$2:$A$1117,$A379,Versuchsdaten!$B$2:$B$1117,$B379,Versuchsdaten!$C$2:$C$1117,"Sprint_10m",Versuchsdaten!$E$2:$E$1117,$E379,Versuchsdaten!$J$2:$J$1117,1),""))</f>
        <v/>
      </c>
      <c r="M379" s="22">
        <f>IF(LEFT(C379,7)&lt;&gt;"Sprint_","",IF(COUNTIFS(Versuchsdaten!$A$2:$A$1117,$A379,Versuchsdaten!$B$2:$B$1117,$B379,Versuchsdaten!$C$2:$C$1117,"Sprint_30m",Versuchsdaten!$E$2:$E$1117,$E379,Versuchsdaten!$J$2:$J$1117,1)=1,SUMIFS(Versuchsdaten!$F$2:$F$1117,Versuchsdaten!$A$2:$A$1117,$A379,Versuchsdaten!$B$2:$B$1117,$B379,Versuchsdaten!$C$2:$C$1117,"Sprint_30m",Versuchsdaten!$E$2:$E$1117,$E379,Versuchsdaten!$J$2:$J$1117,1),""))</f>
        <v/>
      </c>
      <c r="N379" s="22">
        <f>IF(LEFT(C379,7)&lt;&gt;"Sprint_",0,IF(IF(ISNUMBER(K379),IF(K379&lt;=0,1,IF(5/K379&gt;10,1,0)),0)+IF(ISNUMBER(L379),IF(ISNUMBER(K379),IF(L379-K379&lt;=0,1,IF(5/(L379-K379)&gt;10,1,0)),IF(L379&lt;=0,1,IF(10/L379&gt;10,1,0))),0)+IF(ISNUMBER(M379),IF(ISNUMBER(L379),IF(M379-L379&lt;=0,1,IF(20/(M379-L379)&gt;10,1,0)),IF(ISNUMBER(K379),IF(M379-K379&lt;=0,1,IF(25/(M379-K379)&gt;10,1,0)),IF(M379&lt;=0,1,IF(30/M379&gt;10,1,0)))),0)&gt;0,1,0))</f>
        <v/>
      </c>
      <c r="O379" s="22">
        <f>IF(AND(J379=1,N379=0),1,0)</f>
        <v/>
      </c>
      <c r="P379" s="22">
        <f>INDEX(Personendaten!$J$2:$J$32,MATCH(A379,Personendaten!$A$2:$A$32,0))</f>
        <v/>
      </c>
      <c r="Q379" s="22">
        <f>IF(O379=1,"",IF(AND(B379="post",P379="nicht angetreten"),"NANG",IF(N379=1,"AUSL",IFERROR(VLOOKUP(H379,Vokabular!$A$2:$B$8,2,FALSE),"UNBEKANNT"))))</f>
        <v/>
      </c>
    </row>
    <row r="380">
      <c r="A380" s="5" t="inlineStr">
        <is>
          <t>VS-04</t>
        </is>
      </c>
      <c r="B380" s="5" t="inlineStr">
        <is>
          <t>prä</t>
        </is>
      </c>
      <c r="C380" s="5" t="inlineStr">
        <is>
          <t>Sprint_5m</t>
        </is>
      </c>
      <c r="D380" s="5" t="inlineStr">
        <is>
          <t>–</t>
        </is>
      </c>
      <c r="E380" s="5" t="n">
        <v>1</v>
      </c>
      <c r="F380" s="5" t="n">
        <v>1.24</v>
      </c>
      <c r="G380" s="5" t="n"/>
      <c r="H380" s="5" t="n"/>
      <c r="I380" s="22">
        <f>INDEX(Personendaten!$C$2:$C$32,MATCH(A380,Personendaten!$A$2:$A$32,0))</f>
        <v/>
      </c>
      <c r="J380" s="22">
        <f>IF(AND(F380&lt;&gt;"",G380=""),1,0)</f>
        <v/>
      </c>
      <c r="K380" s="22">
        <f>IF(LEFT(C380,7)&lt;&gt;"Sprint_","",IF(COUNTIFS(Versuchsdaten!$A$2:$A$1117,$A380,Versuchsdaten!$B$2:$B$1117,$B380,Versuchsdaten!$C$2:$C$1117,"Sprint_5m",Versuchsdaten!$E$2:$E$1117,$E380,Versuchsdaten!$J$2:$J$1117,1)=1,SUMIFS(Versuchsdaten!$F$2:$F$1117,Versuchsdaten!$A$2:$A$1117,$A380,Versuchsdaten!$B$2:$B$1117,$B380,Versuchsdaten!$C$2:$C$1117,"Sprint_5m",Versuchsdaten!$E$2:$E$1117,$E380,Versuchsdaten!$J$2:$J$1117,1),""))</f>
        <v/>
      </c>
      <c r="L380" s="22">
        <f>IF(LEFT(C380,7)&lt;&gt;"Sprint_","",IF(COUNTIFS(Versuchsdaten!$A$2:$A$1117,$A380,Versuchsdaten!$B$2:$B$1117,$B380,Versuchsdaten!$C$2:$C$1117,"Sprint_10m",Versuchsdaten!$E$2:$E$1117,$E380,Versuchsdaten!$J$2:$J$1117,1)=1,SUMIFS(Versuchsdaten!$F$2:$F$1117,Versuchsdaten!$A$2:$A$1117,$A380,Versuchsdaten!$B$2:$B$1117,$B380,Versuchsdaten!$C$2:$C$1117,"Sprint_10m",Versuchsdaten!$E$2:$E$1117,$E380,Versuchsdaten!$J$2:$J$1117,1),""))</f>
        <v/>
      </c>
      <c r="M380" s="22">
        <f>IF(LEFT(C380,7)&lt;&gt;"Sprint_","",IF(COUNTIFS(Versuchsdaten!$A$2:$A$1117,$A380,Versuchsdaten!$B$2:$B$1117,$B380,Versuchsdaten!$C$2:$C$1117,"Sprint_30m",Versuchsdaten!$E$2:$E$1117,$E380,Versuchsdaten!$J$2:$J$1117,1)=1,SUMIFS(Versuchsdaten!$F$2:$F$1117,Versuchsdaten!$A$2:$A$1117,$A380,Versuchsdaten!$B$2:$B$1117,$B380,Versuchsdaten!$C$2:$C$1117,"Sprint_30m",Versuchsdaten!$E$2:$E$1117,$E380,Versuchsdaten!$J$2:$J$1117,1),""))</f>
        <v/>
      </c>
      <c r="N380" s="22">
        <f>IF(LEFT(C380,7)&lt;&gt;"Sprint_",0,IF(IF(ISNUMBER(K380),IF(K380&lt;=0,1,IF(5/K380&gt;10,1,0)),0)+IF(ISNUMBER(L380),IF(ISNUMBER(K380),IF(L380-K380&lt;=0,1,IF(5/(L380-K380)&gt;10,1,0)),IF(L380&lt;=0,1,IF(10/L380&gt;10,1,0))),0)+IF(ISNUMBER(M380),IF(ISNUMBER(L380),IF(M380-L380&lt;=0,1,IF(20/(M380-L380)&gt;10,1,0)),IF(ISNUMBER(K380),IF(M380-K380&lt;=0,1,IF(25/(M380-K380)&gt;10,1,0)),IF(M380&lt;=0,1,IF(30/M380&gt;10,1,0)))),0)&gt;0,1,0))</f>
        <v/>
      </c>
      <c r="O380" s="22">
        <f>IF(AND(J380=1,N380=0),1,0)</f>
        <v/>
      </c>
      <c r="P380" s="22">
        <f>INDEX(Personendaten!$J$2:$J$32,MATCH(A380,Personendaten!$A$2:$A$32,0))</f>
        <v/>
      </c>
      <c r="Q380" s="22">
        <f>IF(O380=1,"",IF(AND(B380="post",P380="nicht angetreten"),"NANG",IF(N380=1,"AUSL",IFERROR(VLOOKUP(H380,Vokabular!$A$2:$B$8,2,FALSE),"UNBEKANNT"))))</f>
        <v/>
      </c>
    </row>
    <row r="381">
      <c r="A381" s="5" t="inlineStr">
        <is>
          <t>VS-04</t>
        </is>
      </c>
      <c r="B381" s="5" t="inlineStr">
        <is>
          <t>prä</t>
        </is>
      </c>
      <c r="C381" s="5" t="inlineStr">
        <is>
          <t>Sprint_5m</t>
        </is>
      </c>
      <c r="D381" s="5" t="inlineStr">
        <is>
          <t>–</t>
        </is>
      </c>
      <c r="E381" s="5" t="n">
        <v>2</v>
      </c>
      <c r="F381" s="5" t="n">
        <v>1.18</v>
      </c>
      <c r="G381" s="5" t="n"/>
      <c r="H381" s="5" t="n"/>
      <c r="I381" s="22">
        <f>INDEX(Personendaten!$C$2:$C$32,MATCH(A381,Personendaten!$A$2:$A$32,0))</f>
        <v/>
      </c>
      <c r="J381" s="22">
        <f>IF(AND(F381&lt;&gt;"",G381=""),1,0)</f>
        <v/>
      </c>
      <c r="K381" s="22">
        <f>IF(LEFT(C381,7)&lt;&gt;"Sprint_","",IF(COUNTIFS(Versuchsdaten!$A$2:$A$1117,$A381,Versuchsdaten!$B$2:$B$1117,$B381,Versuchsdaten!$C$2:$C$1117,"Sprint_5m",Versuchsdaten!$E$2:$E$1117,$E381,Versuchsdaten!$J$2:$J$1117,1)=1,SUMIFS(Versuchsdaten!$F$2:$F$1117,Versuchsdaten!$A$2:$A$1117,$A381,Versuchsdaten!$B$2:$B$1117,$B381,Versuchsdaten!$C$2:$C$1117,"Sprint_5m",Versuchsdaten!$E$2:$E$1117,$E381,Versuchsdaten!$J$2:$J$1117,1),""))</f>
        <v/>
      </c>
      <c r="L381" s="22">
        <f>IF(LEFT(C381,7)&lt;&gt;"Sprint_","",IF(COUNTIFS(Versuchsdaten!$A$2:$A$1117,$A381,Versuchsdaten!$B$2:$B$1117,$B381,Versuchsdaten!$C$2:$C$1117,"Sprint_10m",Versuchsdaten!$E$2:$E$1117,$E381,Versuchsdaten!$J$2:$J$1117,1)=1,SUMIFS(Versuchsdaten!$F$2:$F$1117,Versuchsdaten!$A$2:$A$1117,$A381,Versuchsdaten!$B$2:$B$1117,$B381,Versuchsdaten!$C$2:$C$1117,"Sprint_10m",Versuchsdaten!$E$2:$E$1117,$E381,Versuchsdaten!$J$2:$J$1117,1),""))</f>
        <v/>
      </c>
      <c r="M381" s="22">
        <f>IF(LEFT(C381,7)&lt;&gt;"Sprint_","",IF(COUNTIFS(Versuchsdaten!$A$2:$A$1117,$A381,Versuchsdaten!$B$2:$B$1117,$B381,Versuchsdaten!$C$2:$C$1117,"Sprint_30m",Versuchsdaten!$E$2:$E$1117,$E381,Versuchsdaten!$J$2:$J$1117,1)=1,SUMIFS(Versuchsdaten!$F$2:$F$1117,Versuchsdaten!$A$2:$A$1117,$A381,Versuchsdaten!$B$2:$B$1117,$B381,Versuchsdaten!$C$2:$C$1117,"Sprint_30m",Versuchsdaten!$E$2:$E$1117,$E381,Versuchsdaten!$J$2:$J$1117,1),""))</f>
        <v/>
      </c>
      <c r="N381" s="22">
        <f>IF(LEFT(C381,7)&lt;&gt;"Sprint_",0,IF(IF(ISNUMBER(K381),IF(K381&lt;=0,1,IF(5/K381&gt;10,1,0)),0)+IF(ISNUMBER(L381),IF(ISNUMBER(K381),IF(L381-K381&lt;=0,1,IF(5/(L381-K381)&gt;10,1,0)),IF(L381&lt;=0,1,IF(10/L381&gt;10,1,0))),0)+IF(ISNUMBER(M381),IF(ISNUMBER(L381),IF(M381-L381&lt;=0,1,IF(20/(M381-L381)&gt;10,1,0)),IF(ISNUMBER(K381),IF(M381-K381&lt;=0,1,IF(25/(M381-K381)&gt;10,1,0)),IF(M381&lt;=0,1,IF(30/M381&gt;10,1,0)))),0)&gt;0,1,0))</f>
        <v/>
      </c>
      <c r="O381" s="22">
        <f>IF(AND(J381=1,N381=0),1,0)</f>
        <v/>
      </c>
      <c r="P381" s="22">
        <f>INDEX(Personendaten!$J$2:$J$32,MATCH(A381,Personendaten!$A$2:$A$32,0))</f>
        <v/>
      </c>
      <c r="Q381" s="22">
        <f>IF(O381=1,"",IF(AND(B381="post",P381="nicht angetreten"),"NANG",IF(N381=1,"AUSL",IFERROR(VLOOKUP(H381,Vokabular!$A$2:$B$8,2,FALSE),"UNBEKANNT"))))</f>
        <v/>
      </c>
    </row>
    <row r="382">
      <c r="A382" s="5" t="inlineStr">
        <is>
          <t>VS-04</t>
        </is>
      </c>
      <c r="B382" s="5" t="inlineStr">
        <is>
          <t>prä</t>
        </is>
      </c>
      <c r="C382" s="5" t="inlineStr">
        <is>
          <t>Sprint_5m</t>
        </is>
      </c>
      <c r="D382" s="5" t="inlineStr">
        <is>
          <t>–</t>
        </is>
      </c>
      <c r="E382" s="5" t="n">
        <v>3</v>
      </c>
      <c r="F382" s="5" t="n">
        <v>1.17</v>
      </c>
      <c r="G382" s="5" t="n"/>
      <c r="H382" s="5" t="n"/>
      <c r="I382" s="22">
        <f>INDEX(Personendaten!$C$2:$C$32,MATCH(A382,Personendaten!$A$2:$A$32,0))</f>
        <v/>
      </c>
      <c r="J382" s="22">
        <f>IF(AND(F382&lt;&gt;"",G382=""),1,0)</f>
        <v/>
      </c>
      <c r="K382" s="22">
        <f>IF(LEFT(C382,7)&lt;&gt;"Sprint_","",IF(COUNTIFS(Versuchsdaten!$A$2:$A$1117,$A382,Versuchsdaten!$B$2:$B$1117,$B382,Versuchsdaten!$C$2:$C$1117,"Sprint_5m",Versuchsdaten!$E$2:$E$1117,$E382,Versuchsdaten!$J$2:$J$1117,1)=1,SUMIFS(Versuchsdaten!$F$2:$F$1117,Versuchsdaten!$A$2:$A$1117,$A382,Versuchsdaten!$B$2:$B$1117,$B382,Versuchsdaten!$C$2:$C$1117,"Sprint_5m",Versuchsdaten!$E$2:$E$1117,$E382,Versuchsdaten!$J$2:$J$1117,1),""))</f>
        <v/>
      </c>
      <c r="L382" s="22">
        <f>IF(LEFT(C382,7)&lt;&gt;"Sprint_","",IF(COUNTIFS(Versuchsdaten!$A$2:$A$1117,$A382,Versuchsdaten!$B$2:$B$1117,$B382,Versuchsdaten!$C$2:$C$1117,"Sprint_10m",Versuchsdaten!$E$2:$E$1117,$E382,Versuchsdaten!$J$2:$J$1117,1)=1,SUMIFS(Versuchsdaten!$F$2:$F$1117,Versuchsdaten!$A$2:$A$1117,$A382,Versuchsdaten!$B$2:$B$1117,$B382,Versuchsdaten!$C$2:$C$1117,"Sprint_10m",Versuchsdaten!$E$2:$E$1117,$E382,Versuchsdaten!$J$2:$J$1117,1),""))</f>
        <v/>
      </c>
      <c r="M382" s="22">
        <f>IF(LEFT(C382,7)&lt;&gt;"Sprint_","",IF(COUNTIFS(Versuchsdaten!$A$2:$A$1117,$A382,Versuchsdaten!$B$2:$B$1117,$B382,Versuchsdaten!$C$2:$C$1117,"Sprint_30m",Versuchsdaten!$E$2:$E$1117,$E382,Versuchsdaten!$J$2:$J$1117,1)=1,SUMIFS(Versuchsdaten!$F$2:$F$1117,Versuchsdaten!$A$2:$A$1117,$A382,Versuchsdaten!$B$2:$B$1117,$B382,Versuchsdaten!$C$2:$C$1117,"Sprint_30m",Versuchsdaten!$E$2:$E$1117,$E382,Versuchsdaten!$J$2:$J$1117,1),""))</f>
        <v/>
      </c>
      <c r="N382" s="22">
        <f>IF(LEFT(C382,7)&lt;&gt;"Sprint_",0,IF(IF(ISNUMBER(K382),IF(K382&lt;=0,1,IF(5/K382&gt;10,1,0)),0)+IF(ISNUMBER(L382),IF(ISNUMBER(K382),IF(L382-K382&lt;=0,1,IF(5/(L382-K382)&gt;10,1,0)),IF(L382&lt;=0,1,IF(10/L382&gt;10,1,0))),0)+IF(ISNUMBER(M382),IF(ISNUMBER(L382),IF(M382-L382&lt;=0,1,IF(20/(M382-L382)&gt;10,1,0)),IF(ISNUMBER(K382),IF(M382-K382&lt;=0,1,IF(25/(M382-K382)&gt;10,1,0)),IF(M382&lt;=0,1,IF(30/M382&gt;10,1,0)))),0)&gt;0,1,0))</f>
        <v/>
      </c>
      <c r="O382" s="22">
        <f>IF(AND(J382=1,N382=0),1,0)</f>
        <v/>
      </c>
      <c r="P382" s="22">
        <f>INDEX(Personendaten!$J$2:$J$32,MATCH(A382,Personendaten!$A$2:$A$32,0))</f>
        <v/>
      </c>
      <c r="Q382" s="22">
        <f>IF(O382=1,"",IF(AND(B382="post",P382="nicht angetreten"),"NANG",IF(N382=1,"AUSL",IFERROR(VLOOKUP(H382,Vokabular!$A$2:$B$8,2,FALSE),"UNBEKANNT"))))</f>
        <v/>
      </c>
    </row>
    <row r="383">
      <c r="A383" s="5" t="inlineStr">
        <is>
          <t>VS-04</t>
        </is>
      </c>
      <c r="B383" s="5" t="inlineStr">
        <is>
          <t>prä</t>
        </is>
      </c>
      <c r="C383" s="5" t="inlineStr">
        <is>
          <t>Sprint_10m</t>
        </is>
      </c>
      <c r="D383" s="5" t="inlineStr">
        <is>
          <t>–</t>
        </is>
      </c>
      <c r="E383" s="5" t="n">
        <v>1</v>
      </c>
      <c r="F383" s="5" t="n">
        <v>2.05</v>
      </c>
      <c r="G383" s="5" t="n"/>
      <c r="H383" s="5" t="n"/>
      <c r="I383" s="22">
        <f>INDEX(Personendaten!$C$2:$C$32,MATCH(A383,Personendaten!$A$2:$A$32,0))</f>
        <v/>
      </c>
      <c r="J383" s="22">
        <f>IF(AND(F383&lt;&gt;"",G383=""),1,0)</f>
        <v/>
      </c>
      <c r="K383" s="22">
        <f>IF(LEFT(C383,7)&lt;&gt;"Sprint_","",IF(COUNTIFS(Versuchsdaten!$A$2:$A$1117,$A383,Versuchsdaten!$B$2:$B$1117,$B383,Versuchsdaten!$C$2:$C$1117,"Sprint_5m",Versuchsdaten!$E$2:$E$1117,$E383,Versuchsdaten!$J$2:$J$1117,1)=1,SUMIFS(Versuchsdaten!$F$2:$F$1117,Versuchsdaten!$A$2:$A$1117,$A383,Versuchsdaten!$B$2:$B$1117,$B383,Versuchsdaten!$C$2:$C$1117,"Sprint_5m",Versuchsdaten!$E$2:$E$1117,$E383,Versuchsdaten!$J$2:$J$1117,1),""))</f>
        <v/>
      </c>
      <c r="L383" s="22">
        <f>IF(LEFT(C383,7)&lt;&gt;"Sprint_","",IF(COUNTIFS(Versuchsdaten!$A$2:$A$1117,$A383,Versuchsdaten!$B$2:$B$1117,$B383,Versuchsdaten!$C$2:$C$1117,"Sprint_10m",Versuchsdaten!$E$2:$E$1117,$E383,Versuchsdaten!$J$2:$J$1117,1)=1,SUMIFS(Versuchsdaten!$F$2:$F$1117,Versuchsdaten!$A$2:$A$1117,$A383,Versuchsdaten!$B$2:$B$1117,$B383,Versuchsdaten!$C$2:$C$1117,"Sprint_10m",Versuchsdaten!$E$2:$E$1117,$E383,Versuchsdaten!$J$2:$J$1117,1),""))</f>
        <v/>
      </c>
      <c r="M383" s="22">
        <f>IF(LEFT(C383,7)&lt;&gt;"Sprint_","",IF(COUNTIFS(Versuchsdaten!$A$2:$A$1117,$A383,Versuchsdaten!$B$2:$B$1117,$B383,Versuchsdaten!$C$2:$C$1117,"Sprint_30m",Versuchsdaten!$E$2:$E$1117,$E383,Versuchsdaten!$J$2:$J$1117,1)=1,SUMIFS(Versuchsdaten!$F$2:$F$1117,Versuchsdaten!$A$2:$A$1117,$A383,Versuchsdaten!$B$2:$B$1117,$B383,Versuchsdaten!$C$2:$C$1117,"Sprint_30m",Versuchsdaten!$E$2:$E$1117,$E383,Versuchsdaten!$J$2:$J$1117,1),""))</f>
        <v/>
      </c>
      <c r="N383" s="22">
        <f>IF(LEFT(C383,7)&lt;&gt;"Sprint_",0,IF(IF(ISNUMBER(K383),IF(K383&lt;=0,1,IF(5/K383&gt;10,1,0)),0)+IF(ISNUMBER(L383),IF(ISNUMBER(K383),IF(L383-K383&lt;=0,1,IF(5/(L383-K383)&gt;10,1,0)),IF(L383&lt;=0,1,IF(10/L383&gt;10,1,0))),0)+IF(ISNUMBER(M383),IF(ISNUMBER(L383),IF(M383-L383&lt;=0,1,IF(20/(M383-L383)&gt;10,1,0)),IF(ISNUMBER(K383),IF(M383-K383&lt;=0,1,IF(25/(M383-K383)&gt;10,1,0)),IF(M383&lt;=0,1,IF(30/M383&gt;10,1,0)))),0)&gt;0,1,0))</f>
        <v/>
      </c>
      <c r="O383" s="22">
        <f>IF(AND(J383=1,N383=0),1,0)</f>
        <v/>
      </c>
      <c r="P383" s="22">
        <f>INDEX(Personendaten!$J$2:$J$32,MATCH(A383,Personendaten!$A$2:$A$32,0))</f>
        <v/>
      </c>
      <c r="Q383" s="22">
        <f>IF(O383=1,"",IF(AND(B383="post",P383="nicht angetreten"),"NANG",IF(N383=1,"AUSL",IFERROR(VLOOKUP(H383,Vokabular!$A$2:$B$8,2,FALSE),"UNBEKANNT"))))</f>
        <v/>
      </c>
    </row>
    <row r="384">
      <c r="A384" s="5" t="inlineStr">
        <is>
          <t>VS-04</t>
        </is>
      </c>
      <c r="B384" s="5" t="inlineStr">
        <is>
          <t>prä</t>
        </is>
      </c>
      <c r="C384" s="5" t="inlineStr">
        <is>
          <t>Sprint_10m</t>
        </is>
      </c>
      <c r="D384" s="5" t="inlineStr">
        <is>
          <t>–</t>
        </is>
      </c>
      <c r="E384" s="5" t="n">
        <v>2</v>
      </c>
      <c r="F384" s="5" t="n"/>
      <c r="G384" s="5" t="n"/>
      <c r="H384" s="5" t="inlineStr">
        <is>
          <t>System nicht aufgenommen</t>
        </is>
      </c>
      <c r="I384" s="22">
        <f>INDEX(Personendaten!$C$2:$C$32,MATCH(A384,Personendaten!$A$2:$A$32,0))</f>
        <v/>
      </c>
      <c r="J384" s="22">
        <f>IF(AND(F384&lt;&gt;"",G384=""),1,0)</f>
        <v/>
      </c>
      <c r="K384" s="22">
        <f>IF(LEFT(C384,7)&lt;&gt;"Sprint_","",IF(COUNTIFS(Versuchsdaten!$A$2:$A$1117,$A384,Versuchsdaten!$B$2:$B$1117,$B384,Versuchsdaten!$C$2:$C$1117,"Sprint_5m",Versuchsdaten!$E$2:$E$1117,$E384,Versuchsdaten!$J$2:$J$1117,1)=1,SUMIFS(Versuchsdaten!$F$2:$F$1117,Versuchsdaten!$A$2:$A$1117,$A384,Versuchsdaten!$B$2:$B$1117,$B384,Versuchsdaten!$C$2:$C$1117,"Sprint_5m",Versuchsdaten!$E$2:$E$1117,$E384,Versuchsdaten!$J$2:$J$1117,1),""))</f>
        <v/>
      </c>
      <c r="L384" s="22">
        <f>IF(LEFT(C384,7)&lt;&gt;"Sprint_","",IF(COUNTIFS(Versuchsdaten!$A$2:$A$1117,$A384,Versuchsdaten!$B$2:$B$1117,$B384,Versuchsdaten!$C$2:$C$1117,"Sprint_10m",Versuchsdaten!$E$2:$E$1117,$E384,Versuchsdaten!$J$2:$J$1117,1)=1,SUMIFS(Versuchsdaten!$F$2:$F$1117,Versuchsdaten!$A$2:$A$1117,$A384,Versuchsdaten!$B$2:$B$1117,$B384,Versuchsdaten!$C$2:$C$1117,"Sprint_10m",Versuchsdaten!$E$2:$E$1117,$E384,Versuchsdaten!$J$2:$J$1117,1),""))</f>
        <v/>
      </c>
      <c r="M384" s="22">
        <f>IF(LEFT(C384,7)&lt;&gt;"Sprint_","",IF(COUNTIFS(Versuchsdaten!$A$2:$A$1117,$A384,Versuchsdaten!$B$2:$B$1117,$B384,Versuchsdaten!$C$2:$C$1117,"Sprint_30m",Versuchsdaten!$E$2:$E$1117,$E384,Versuchsdaten!$J$2:$J$1117,1)=1,SUMIFS(Versuchsdaten!$F$2:$F$1117,Versuchsdaten!$A$2:$A$1117,$A384,Versuchsdaten!$B$2:$B$1117,$B384,Versuchsdaten!$C$2:$C$1117,"Sprint_30m",Versuchsdaten!$E$2:$E$1117,$E384,Versuchsdaten!$J$2:$J$1117,1),""))</f>
        <v/>
      </c>
      <c r="N384" s="22">
        <f>IF(LEFT(C384,7)&lt;&gt;"Sprint_",0,IF(IF(ISNUMBER(K384),IF(K384&lt;=0,1,IF(5/K384&gt;10,1,0)),0)+IF(ISNUMBER(L384),IF(ISNUMBER(K384),IF(L384-K384&lt;=0,1,IF(5/(L384-K384)&gt;10,1,0)),IF(L384&lt;=0,1,IF(10/L384&gt;10,1,0))),0)+IF(ISNUMBER(M384),IF(ISNUMBER(L384),IF(M384-L384&lt;=0,1,IF(20/(M384-L384)&gt;10,1,0)),IF(ISNUMBER(K384),IF(M384-K384&lt;=0,1,IF(25/(M384-K384)&gt;10,1,0)),IF(M384&lt;=0,1,IF(30/M384&gt;10,1,0)))),0)&gt;0,1,0))</f>
        <v/>
      </c>
      <c r="O384" s="22">
        <f>IF(AND(J384=1,N384=0),1,0)</f>
        <v/>
      </c>
      <c r="P384" s="22">
        <f>INDEX(Personendaten!$J$2:$J$32,MATCH(A384,Personendaten!$A$2:$A$32,0))</f>
        <v/>
      </c>
      <c r="Q384" s="22">
        <f>IF(O384=1,"",IF(AND(B384="post",P384="nicht angetreten"),"NANG",IF(N384=1,"AUSL",IFERROR(VLOOKUP(H384,Vokabular!$A$2:$B$8,2,FALSE),"UNBEKANNT"))))</f>
        <v/>
      </c>
    </row>
    <row r="385">
      <c r="A385" s="5" t="inlineStr">
        <is>
          <t>VS-04</t>
        </is>
      </c>
      <c r="B385" s="5" t="inlineStr">
        <is>
          <t>prä</t>
        </is>
      </c>
      <c r="C385" s="5" t="inlineStr">
        <is>
          <t>Sprint_10m</t>
        </is>
      </c>
      <c r="D385" s="5" t="inlineStr">
        <is>
          <t>–</t>
        </is>
      </c>
      <c r="E385" s="5" t="n">
        <v>3</v>
      </c>
      <c r="F385" s="5" t="n">
        <v>2</v>
      </c>
      <c r="G385" s="5" t="n"/>
      <c r="H385" s="5" t="n"/>
      <c r="I385" s="22">
        <f>INDEX(Personendaten!$C$2:$C$32,MATCH(A385,Personendaten!$A$2:$A$32,0))</f>
        <v/>
      </c>
      <c r="J385" s="22">
        <f>IF(AND(F385&lt;&gt;"",G385=""),1,0)</f>
        <v/>
      </c>
      <c r="K385" s="22">
        <f>IF(LEFT(C385,7)&lt;&gt;"Sprint_","",IF(COUNTIFS(Versuchsdaten!$A$2:$A$1117,$A385,Versuchsdaten!$B$2:$B$1117,$B385,Versuchsdaten!$C$2:$C$1117,"Sprint_5m",Versuchsdaten!$E$2:$E$1117,$E385,Versuchsdaten!$J$2:$J$1117,1)=1,SUMIFS(Versuchsdaten!$F$2:$F$1117,Versuchsdaten!$A$2:$A$1117,$A385,Versuchsdaten!$B$2:$B$1117,$B385,Versuchsdaten!$C$2:$C$1117,"Sprint_5m",Versuchsdaten!$E$2:$E$1117,$E385,Versuchsdaten!$J$2:$J$1117,1),""))</f>
        <v/>
      </c>
      <c r="L385" s="22">
        <f>IF(LEFT(C385,7)&lt;&gt;"Sprint_","",IF(COUNTIFS(Versuchsdaten!$A$2:$A$1117,$A385,Versuchsdaten!$B$2:$B$1117,$B385,Versuchsdaten!$C$2:$C$1117,"Sprint_10m",Versuchsdaten!$E$2:$E$1117,$E385,Versuchsdaten!$J$2:$J$1117,1)=1,SUMIFS(Versuchsdaten!$F$2:$F$1117,Versuchsdaten!$A$2:$A$1117,$A385,Versuchsdaten!$B$2:$B$1117,$B385,Versuchsdaten!$C$2:$C$1117,"Sprint_10m",Versuchsdaten!$E$2:$E$1117,$E385,Versuchsdaten!$J$2:$J$1117,1),""))</f>
        <v/>
      </c>
      <c r="M385" s="22">
        <f>IF(LEFT(C385,7)&lt;&gt;"Sprint_","",IF(COUNTIFS(Versuchsdaten!$A$2:$A$1117,$A385,Versuchsdaten!$B$2:$B$1117,$B385,Versuchsdaten!$C$2:$C$1117,"Sprint_30m",Versuchsdaten!$E$2:$E$1117,$E385,Versuchsdaten!$J$2:$J$1117,1)=1,SUMIFS(Versuchsdaten!$F$2:$F$1117,Versuchsdaten!$A$2:$A$1117,$A385,Versuchsdaten!$B$2:$B$1117,$B385,Versuchsdaten!$C$2:$C$1117,"Sprint_30m",Versuchsdaten!$E$2:$E$1117,$E385,Versuchsdaten!$J$2:$J$1117,1),""))</f>
        <v/>
      </c>
      <c r="N385" s="22">
        <f>IF(LEFT(C385,7)&lt;&gt;"Sprint_",0,IF(IF(ISNUMBER(K385),IF(K385&lt;=0,1,IF(5/K385&gt;10,1,0)),0)+IF(ISNUMBER(L385),IF(ISNUMBER(K385),IF(L385-K385&lt;=0,1,IF(5/(L385-K385)&gt;10,1,0)),IF(L385&lt;=0,1,IF(10/L385&gt;10,1,0))),0)+IF(ISNUMBER(M385),IF(ISNUMBER(L385),IF(M385-L385&lt;=0,1,IF(20/(M385-L385)&gt;10,1,0)),IF(ISNUMBER(K385),IF(M385-K385&lt;=0,1,IF(25/(M385-K385)&gt;10,1,0)),IF(M385&lt;=0,1,IF(30/M385&gt;10,1,0)))),0)&gt;0,1,0))</f>
        <v/>
      </c>
      <c r="O385" s="22">
        <f>IF(AND(J385=1,N385=0),1,0)</f>
        <v/>
      </c>
      <c r="P385" s="22">
        <f>INDEX(Personendaten!$J$2:$J$32,MATCH(A385,Personendaten!$A$2:$A$32,0))</f>
        <v/>
      </c>
      <c r="Q385" s="22">
        <f>IF(O385=1,"",IF(AND(B385="post",P385="nicht angetreten"),"NANG",IF(N385=1,"AUSL",IFERROR(VLOOKUP(H385,Vokabular!$A$2:$B$8,2,FALSE),"UNBEKANNT"))))</f>
        <v/>
      </c>
    </row>
    <row r="386">
      <c r="A386" s="5" t="inlineStr">
        <is>
          <t>VS-04</t>
        </is>
      </c>
      <c r="B386" s="5" t="inlineStr">
        <is>
          <t>prä</t>
        </is>
      </c>
      <c r="C386" s="5" t="inlineStr">
        <is>
          <t>Sprint_30m</t>
        </is>
      </c>
      <c r="D386" s="5" t="inlineStr">
        <is>
          <t>–</t>
        </is>
      </c>
      <c r="E386" s="5" t="n">
        <v>1</v>
      </c>
      <c r="F386" s="5" t="n">
        <v>5.13</v>
      </c>
      <c r="G386" s="5" t="n"/>
      <c r="H386" s="5" t="n"/>
      <c r="I386" s="22">
        <f>INDEX(Personendaten!$C$2:$C$32,MATCH(A386,Personendaten!$A$2:$A$32,0))</f>
        <v/>
      </c>
      <c r="J386" s="22">
        <f>IF(AND(F386&lt;&gt;"",G386=""),1,0)</f>
        <v/>
      </c>
      <c r="K386" s="22">
        <f>IF(LEFT(C386,7)&lt;&gt;"Sprint_","",IF(COUNTIFS(Versuchsdaten!$A$2:$A$1117,$A386,Versuchsdaten!$B$2:$B$1117,$B386,Versuchsdaten!$C$2:$C$1117,"Sprint_5m",Versuchsdaten!$E$2:$E$1117,$E386,Versuchsdaten!$J$2:$J$1117,1)=1,SUMIFS(Versuchsdaten!$F$2:$F$1117,Versuchsdaten!$A$2:$A$1117,$A386,Versuchsdaten!$B$2:$B$1117,$B386,Versuchsdaten!$C$2:$C$1117,"Sprint_5m",Versuchsdaten!$E$2:$E$1117,$E386,Versuchsdaten!$J$2:$J$1117,1),""))</f>
        <v/>
      </c>
      <c r="L386" s="22">
        <f>IF(LEFT(C386,7)&lt;&gt;"Sprint_","",IF(COUNTIFS(Versuchsdaten!$A$2:$A$1117,$A386,Versuchsdaten!$B$2:$B$1117,$B386,Versuchsdaten!$C$2:$C$1117,"Sprint_10m",Versuchsdaten!$E$2:$E$1117,$E386,Versuchsdaten!$J$2:$J$1117,1)=1,SUMIFS(Versuchsdaten!$F$2:$F$1117,Versuchsdaten!$A$2:$A$1117,$A386,Versuchsdaten!$B$2:$B$1117,$B386,Versuchsdaten!$C$2:$C$1117,"Sprint_10m",Versuchsdaten!$E$2:$E$1117,$E386,Versuchsdaten!$J$2:$J$1117,1),""))</f>
        <v/>
      </c>
      <c r="M386" s="22">
        <f>IF(LEFT(C386,7)&lt;&gt;"Sprint_","",IF(COUNTIFS(Versuchsdaten!$A$2:$A$1117,$A386,Versuchsdaten!$B$2:$B$1117,$B386,Versuchsdaten!$C$2:$C$1117,"Sprint_30m",Versuchsdaten!$E$2:$E$1117,$E386,Versuchsdaten!$J$2:$J$1117,1)=1,SUMIFS(Versuchsdaten!$F$2:$F$1117,Versuchsdaten!$A$2:$A$1117,$A386,Versuchsdaten!$B$2:$B$1117,$B386,Versuchsdaten!$C$2:$C$1117,"Sprint_30m",Versuchsdaten!$E$2:$E$1117,$E386,Versuchsdaten!$J$2:$J$1117,1),""))</f>
        <v/>
      </c>
      <c r="N386" s="22">
        <f>IF(LEFT(C386,7)&lt;&gt;"Sprint_",0,IF(IF(ISNUMBER(K386),IF(K386&lt;=0,1,IF(5/K386&gt;10,1,0)),0)+IF(ISNUMBER(L386),IF(ISNUMBER(K386),IF(L386-K386&lt;=0,1,IF(5/(L386-K386)&gt;10,1,0)),IF(L386&lt;=0,1,IF(10/L386&gt;10,1,0))),0)+IF(ISNUMBER(M386),IF(ISNUMBER(L386),IF(M386-L386&lt;=0,1,IF(20/(M386-L386)&gt;10,1,0)),IF(ISNUMBER(K386),IF(M386-K386&lt;=0,1,IF(25/(M386-K386)&gt;10,1,0)),IF(M386&lt;=0,1,IF(30/M386&gt;10,1,0)))),0)&gt;0,1,0))</f>
        <v/>
      </c>
      <c r="O386" s="22">
        <f>IF(AND(J386=1,N386=0),1,0)</f>
        <v/>
      </c>
      <c r="P386" s="22">
        <f>INDEX(Personendaten!$J$2:$J$32,MATCH(A386,Personendaten!$A$2:$A$32,0))</f>
        <v/>
      </c>
      <c r="Q386" s="22">
        <f>IF(O386=1,"",IF(AND(B386="post",P386="nicht angetreten"),"NANG",IF(N386=1,"AUSL",IFERROR(VLOOKUP(H386,Vokabular!$A$2:$B$8,2,FALSE),"UNBEKANNT"))))</f>
        <v/>
      </c>
    </row>
    <row r="387">
      <c r="A387" s="5" t="inlineStr">
        <is>
          <t>VS-04</t>
        </is>
      </c>
      <c r="B387" s="5" t="inlineStr">
        <is>
          <t>prä</t>
        </is>
      </c>
      <c r="C387" s="5" t="inlineStr">
        <is>
          <t>Sprint_30m</t>
        </is>
      </c>
      <c r="D387" s="5" t="inlineStr">
        <is>
          <t>–</t>
        </is>
      </c>
      <c r="E387" s="5" t="n">
        <v>2</v>
      </c>
      <c r="F387" s="5" t="n">
        <v>5.07</v>
      </c>
      <c r="G387" s="5" t="n"/>
      <c r="H387" s="5" t="n"/>
      <c r="I387" s="22">
        <f>INDEX(Personendaten!$C$2:$C$32,MATCH(A387,Personendaten!$A$2:$A$32,0))</f>
        <v/>
      </c>
      <c r="J387" s="22">
        <f>IF(AND(F387&lt;&gt;"",G387=""),1,0)</f>
        <v/>
      </c>
      <c r="K387" s="22">
        <f>IF(LEFT(C387,7)&lt;&gt;"Sprint_","",IF(COUNTIFS(Versuchsdaten!$A$2:$A$1117,$A387,Versuchsdaten!$B$2:$B$1117,$B387,Versuchsdaten!$C$2:$C$1117,"Sprint_5m",Versuchsdaten!$E$2:$E$1117,$E387,Versuchsdaten!$J$2:$J$1117,1)=1,SUMIFS(Versuchsdaten!$F$2:$F$1117,Versuchsdaten!$A$2:$A$1117,$A387,Versuchsdaten!$B$2:$B$1117,$B387,Versuchsdaten!$C$2:$C$1117,"Sprint_5m",Versuchsdaten!$E$2:$E$1117,$E387,Versuchsdaten!$J$2:$J$1117,1),""))</f>
        <v/>
      </c>
      <c r="L387" s="22">
        <f>IF(LEFT(C387,7)&lt;&gt;"Sprint_","",IF(COUNTIFS(Versuchsdaten!$A$2:$A$1117,$A387,Versuchsdaten!$B$2:$B$1117,$B387,Versuchsdaten!$C$2:$C$1117,"Sprint_10m",Versuchsdaten!$E$2:$E$1117,$E387,Versuchsdaten!$J$2:$J$1117,1)=1,SUMIFS(Versuchsdaten!$F$2:$F$1117,Versuchsdaten!$A$2:$A$1117,$A387,Versuchsdaten!$B$2:$B$1117,$B387,Versuchsdaten!$C$2:$C$1117,"Sprint_10m",Versuchsdaten!$E$2:$E$1117,$E387,Versuchsdaten!$J$2:$J$1117,1),""))</f>
        <v/>
      </c>
      <c r="M387" s="22">
        <f>IF(LEFT(C387,7)&lt;&gt;"Sprint_","",IF(COUNTIFS(Versuchsdaten!$A$2:$A$1117,$A387,Versuchsdaten!$B$2:$B$1117,$B387,Versuchsdaten!$C$2:$C$1117,"Sprint_30m",Versuchsdaten!$E$2:$E$1117,$E387,Versuchsdaten!$J$2:$J$1117,1)=1,SUMIFS(Versuchsdaten!$F$2:$F$1117,Versuchsdaten!$A$2:$A$1117,$A387,Versuchsdaten!$B$2:$B$1117,$B387,Versuchsdaten!$C$2:$C$1117,"Sprint_30m",Versuchsdaten!$E$2:$E$1117,$E387,Versuchsdaten!$J$2:$J$1117,1),""))</f>
        <v/>
      </c>
      <c r="N387" s="22">
        <f>IF(LEFT(C387,7)&lt;&gt;"Sprint_",0,IF(IF(ISNUMBER(K387),IF(K387&lt;=0,1,IF(5/K387&gt;10,1,0)),0)+IF(ISNUMBER(L387),IF(ISNUMBER(K387),IF(L387-K387&lt;=0,1,IF(5/(L387-K387)&gt;10,1,0)),IF(L387&lt;=0,1,IF(10/L387&gt;10,1,0))),0)+IF(ISNUMBER(M387),IF(ISNUMBER(L387),IF(M387-L387&lt;=0,1,IF(20/(M387-L387)&gt;10,1,0)),IF(ISNUMBER(K387),IF(M387-K387&lt;=0,1,IF(25/(M387-K387)&gt;10,1,0)),IF(M387&lt;=0,1,IF(30/M387&gt;10,1,0)))),0)&gt;0,1,0))</f>
        <v/>
      </c>
      <c r="O387" s="22">
        <f>IF(AND(J387=1,N387=0),1,0)</f>
        <v/>
      </c>
      <c r="P387" s="22">
        <f>INDEX(Personendaten!$J$2:$J$32,MATCH(A387,Personendaten!$A$2:$A$32,0))</f>
        <v/>
      </c>
      <c r="Q387" s="22">
        <f>IF(O387=1,"",IF(AND(B387="post",P387="nicht angetreten"),"NANG",IF(N387=1,"AUSL",IFERROR(VLOOKUP(H387,Vokabular!$A$2:$B$8,2,FALSE),"UNBEKANNT"))))</f>
        <v/>
      </c>
    </row>
    <row r="388">
      <c r="A388" s="5" t="inlineStr">
        <is>
          <t>VS-04</t>
        </is>
      </c>
      <c r="B388" s="5" t="inlineStr">
        <is>
          <t>prä</t>
        </is>
      </c>
      <c r="C388" s="5" t="inlineStr">
        <is>
          <t>Sprint_30m</t>
        </is>
      </c>
      <c r="D388" s="5" t="inlineStr">
        <is>
          <t>–</t>
        </is>
      </c>
      <c r="E388" s="5" t="n">
        <v>3</v>
      </c>
      <c r="F388" s="5" t="n">
        <v>5.02</v>
      </c>
      <c r="G388" s="5" t="n"/>
      <c r="H388" s="5" t="n"/>
      <c r="I388" s="22">
        <f>INDEX(Personendaten!$C$2:$C$32,MATCH(A388,Personendaten!$A$2:$A$32,0))</f>
        <v/>
      </c>
      <c r="J388" s="22">
        <f>IF(AND(F388&lt;&gt;"",G388=""),1,0)</f>
        <v/>
      </c>
      <c r="K388" s="22">
        <f>IF(LEFT(C388,7)&lt;&gt;"Sprint_","",IF(COUNTIFS(Versuchsdaten!$A$2:$A$1117,$A388,Versuchsdaten!$B$2:$B$1117,$B388,Versuchsdaten!$C$2:$C$1117,"Sprint_5m",Versuchsdaten!$E$2:$E$1117,$E388,Versuchsdaten!$J$2:$J$1117,1)=1,SUMIFS(Versuchsdaten!$F$2:$F$1117,Versuchsdaten!$A$2:$A$1117,$A388,Versuchsdaten!$B$2:$B$1117,$B388,Versuchsdaten!$C$2:$C$1117,"Sprint_5m",Versuchsdaten!$E$2:$E$1117,$E388,Versuchsdaten!$J$2:$J$1117,1),""))</f>
        <v/>
      </c>
      <c r="L388" s="22">
        <f>IF(LEFT(C388,7)&lt;&gt;"Sprint_","",IF(COUNTIFS(Versuchsdaten!$A$2:$A$1117,$A388,Versuchsdaten!$B$2:$B$1117,$B388,Versuchsdaten!$C$2:$C$1117,"Sprint_10m",Versuchsdaten!$E$2:$E$1117,$E388,Versuchsdaten!$J$2:$J$1117,1)=1,SUMIFS(Versuchsdaten!$F$2:$F$1117,Versuchsdaten!$A$2:$A$1117,$A388,Versuchsdaten!$B$2:$B$1117,$B388,Versuchsdaten!$C$2:$C$1117,"Sprint_10m",Versuchsdaten!$E$2:$E$1117,$E388,Versuchsdaten!$J$2:$J$1117,1),""))</f>
        <v/>
      </c>
      <c r="M388" s="22">
        <f>IF(LEFT(C388,7)&lt;&gt;"Sprint_","",IF(COUNTIFS(Versuchsdaten!$A$2:$A$1117,$A388,Versuchsdaten!$B$2:$B$1117,$B388,Versuchsdaten!$C$2:$C$1117,"Sprint_30m",Versuchsdaten!$E$2:$E$1117,$E388,Versuchsdaten!$J$2:$J$1117,1)=1,SUMIFS(Versuchsdaten!$F$2:$F$1117,Versuchsdaten!$A$2:$A$1117,$A388,Versuchsdaten!$B$2:$B$1117,$B388,Versuchsdaten!$C$2:$C$1117,"Sprint_30m",Versuchsdaten!$E$2:$E$1117,$E388,Versuchsdaten!$J$2:$J$1117,1),""))</f>
        <v/>
      </c>
      <c r="N388" s="22">
        <f>IF(LEFT(C388,7)&lt;&gt;"Sprint_",0,IF(IF(ISNUMBER(K388),IF(K388&lt;=0,1,IF(5/K388&gt;10,1,0)),0)+IF(ISNUMBER(L388),IF(ISNUMBER(K388),IF(L388-K388&lt;=0,1,IF(5/(L388-K388)&gt;10,1,0)),IF(L388&lt;=0,1,IF(10/L388&gt;10,1,0))),0)+IF(ISNUMBER(M388),IF(ISNUMBER(L388),IF(M388-L388&lt;=0,1,IF(20/(M388-L388)&gt;10,1,0)),IF(ISNUMBER(K388),IF(M388-K388&lt;=0,1,IF(25/(M388-K388)&gt;10,1,0)),IF(M388&lt;=0,1,IF(30/M388&gt;10,1,0)))),0)&gt;0,1,0))</f>
        <v/>
      </c>
      <c r="O388" s="22">
        <f>IF(AND(J388=1,N388=0),1,0)</f>
        <v/>
      </c>
      <c r="P388" s="22">
        <f>INDEX(Personendaten!$J$2:$J$32,MATCH(A388,Personendaten!$A$2:$A$32,0))</f>
        <v/>
      </c>
      <c r="Q388" s="22">
        <f>IF(O388=1,"",IF(AND(B388="post",P388="nicht angetreten"),"NANG",IF(N388=1,"AUSL",IFERROR(VLOOKUP(H388,Vokabular!$A$2:$B$8,2,FALSE),"UNBEKANNT"))))</f>
        <v/>
      </c>
    </row>
    <row r="389">
      <c r="A389" s="5" t="inlineStr">
        <is>
          <t>VS-04</t>
        </is>
      </c>
      <c r="B389" s="5" t="inlineStr">
        <is>
          <t>prä</t>
        </is>
      </c>
      <c r="C389" s="5" t="inlineStr">
        <is>
          <t>Standweitsprung</t>
        </is>
      </c>
      <c r="D389" s="5" t="inlineStr">
        <is>
          <t>–</t>
        </is>
      </c>
      <c r="E389" s="5" t="n">
        <v>1</v>
      </c>
      <c r="F389" s="5" t="n">
        <v>210</v>
      </c>
      <c r="G389" s="5" t="n"/>
      <c r="H389" s="5" t="n"/>
      <c r="I389" s="22">
        <f>INDEX(Personendaten!$C$2:$C$32,MATCH(A389,Personendaten!$A$2:$A$32,0))</f>
        <v/>
      </c>
      <c r="J389" s="22">
        <f>IF(AND(F389&lt;&gt;"",G389=""),1,0)</f>
        <v/>
      </c>
      <c r="K389" s="22">
        <f>IF(LEFT(C389,7)&lt;&gt;"Sprint_","",IF(COUNTIFS(Versuchsdaten!$A$2:$A$1117,$A389,Versuchsdaten!$B$2:$B$1117,$B389,Versuchsdaten!$C$2:$C$1117,"Sprint_5m",Versuchsdaten!$E$2:$E$1117,$E389,Versuchsdaten!$J$2:$J$1117,1)=1,SUMIFS(Versuchsdaten!$F$2:$F$1117,Versuchsdaten!$A$2:$A$1117,$A389,Versuchsdaten!$B$2:$B$1117,$B389,Versuchsdaten!$C$2:$C$1117,"Sprint_5m",Versuchsdaten!$E$2:$E$1117,$E389,Versuchsdaten!$J$2:$J$1117,1),""))</f>
        <v/>
      </c>
      <c r="L389" s="22">
        <f>IF(LEFT(C389,7)&lt;&gt;"Sprint_","",IF(COUNTIFS(Versuchsdaten!$A$2:$A$1117,$A389,Versuchsdaten!$B$2:$B$1117,$B389,Versuchsdaten!$C$2:$C$1117,"Sprint_10m",Versuchsdaten!$E$2:$E$1117,$E389,Versuchsdaten!$J$2:$J$1117,1)=1,SUMIFS(Versuchsdaten!$F$2:$F$1117,Versuchsdaten!$A$2:$A$1117,$A389,Versuchsdaten!$B$2:$B$1117,$B389,Versuchsdaten!$C$2:$C$1117,"Sprint_10m",Versuchsdaten!$E$2:$E$1117,$E389,Versuchsdaten!$J$2:$J$1117,1),""))</f>
        <v/>
      </c>
      <c r="M389" s="22">
        <f>IF(LEFT(C389,7)&lt;&gt;"Sprint_","",IF(COUNTIFS(Versuchsdaten!$A$2:$A$1117,$A389,Versuchsdaten!$B$2:$B$1117,$B389,Versuchsdaten!$C$2:$C$1117,"Sprint_30m",Versuchsdaten!$E$2:$E$1117,$E389,Versuchsdaten!$J$2:$J$1117,1)=1,SUMIFS(Versuchsdaten!$F$2:$F$1117,Versuchsdaten!$A$2:$A$1117,$A389,Versuchsdaten!$B$2:$B$1117,$B389,Versuchsdaten!$C$2:$C$1117,"Sprint_30m",Versuchsdaten!$E$2:$E$1117,$E389,Versuchsdaten!$J$2:$J$1117,1),""))</f>
        <v/>
      </c>
      <c r="N389" s="22">
        <f>IF(LEFT(C389,7)&lt;&gt;"Sprint_",0,IF(IF(ISNUMBER(K389),IF(K389&lt;=0,1,IF(5/K389&gt;10,1,0)),0)+IF(ISNUMBER(L389),IF(ISNUMBER(K389),IF(L389-K389&lt;=0,1,IF(5/(L389-K389)&gt;10,1,0)),IF(L389&lt;=0,1,IF(10/L389&gt;10,1,0))),0)+IF(ISNUMBER(M389),IF(ISNUMBER(L389),IF(M389-L389&lt;=0,1,IF(20/(M389-L389)&gt;10,1,0)),IF(ISNUMBER(K389),IF(M389-K389&lt;=0,1,IF(25/(M389-K389)&gt;10,1,0)),IF(M389&lt;=0,1,IF(30/M389&gt;10,1,0)))),0)&gt;0,1,0))</f>
        <v/>
      </c>
      <c r="O389" s="22">
        <f>IF(AND(J389=1,N389=0),1,0)</f>
        <v/>
      </c>
      <c r="P389" s="22">
        <f>INDEX(Personendaten!$J$2:$J$32,MATCH(A389,Personendaten!$A$2:$A$32,0))</f>
        <v/>
      </c>
      <c r="Q389" s="22">
        <f>IF(O389=1,"",IF(AND(B389="post",P389="nicht angetreten"),"NANG",IF(N389=1,"AUSL",IFERROR(VLOOKUP(H389,Vokabular!$A$2:$B$8,2,FALSE),"UNBEKANNT"))))</f>
        <v/>
      </c>
    </row>
    <row r="390">
      <c r="A390" s="5" t="inlineStr">
        <is>
          <t>VS-04</t>
        </is>
      </c>
      <c r="B390" s="5" t="inlineStr">
        <is>
          <t>prä</t>
        </is>
      </c>
      <c r="C390" s="5" t="inlineStr">
        <is>
          <t>Standweitsprung</t>
        </is>
      </c>
      <c r="D390" s="5" t="inlineStr">
        <is>
          <t>–</t>
        </is>
      </c>
      <c r="E390" s="5" t="n">
        <v>2</v>
      </c>
      <c r="F390" s="5" t="n">
        <v>205</v>
      </c>
      <c r="G390" s="5" t="n"/>
      <c r="H390" s="5" t="n"/>
      <c r="I390" s="22">
        <f>INDEX(Personendaten!$C$2:$C$32,MATCH(A390,Personendaten!$A$2:$A$32,0))</f>
        <v/>
      </c>
      <c r="J390" s="22">
        <f>IF(AND(F390&lt;&gt;"",G390=""),1,0)</f>
        <v/>
      </c>
      <c r="K390" s="22">
        <f>IF(LEFT(C390,7)&lt;&gt;"Sprint_","",IF(COUNTIFS(Versuchsdaten!$A$2:$A$1117,$A390,Versuchsdaten!$B$2:$B$1117,$B390,Versuchsdaten!$C$2:$C$1117,"Sprint_5m",Versuchsdaten!$E$2:$E$1117,$E390,Versuchsdaten!$J$2:$J$1117,1)=1,SUMIFS(Versuchsdaten!$F$2:$F$1117,Versuchsdaten!$A$2:$A$1117,$A390,Versuchsdaten!$B$2:$B$1117,$B390,Versuchsdaten!$C$2:$C$1117,"Sprint_5m",Versuchsdaten!$E$2:$E$1117,$E390,Versuchsdaten!$J$2:$J$1117,1),""))</f>
        <v/>
      </c>
      <c r="L390" s="22">
        <f>IF(LEFT(C390,7)&lt;&gt;"Sprint_","",IF(COUNTIFS(Versuchsdaten!$A$2:$A$1117,$A390,Versuchsdaten!$B$2:$B$1117,$B390,Versuchsdaten!$C$2:$C$1117,"Sprint_10m",Versuchsdaten!$E$2:$E$1117,$E390,Versuchsdaten!$J$2:$J$1117,1)=1,SUMIFS(Versuchsdaten!$F$2:$F$1117,Versuchsdaten!$A$2:$A$1117,$A390,Versuchsdaten!$B$2:$B$1117,$B390,Versuchsdaten!$C$2:$C$1117,"Sprint_10m",Versuchsdaten!$E$2:$E$1117,$E390,Versuchsdaten!$J$2:$J$1117,1),""))</f>
        <v/>
      </c>
      <c r="M390" s="22">
        <f>IF(LEFT(C390,7)&lt;&gt;"Sprint_","",IF(COUNTIFS(Versuchsdaten!$A$2:$A$1117,$A390,Versuchsdaten!$B$2:$B$1117,$B390,Versuchsdaten!$C$2:$C$1117,"Sprint_30m",Versuchsdaten!$E$2:$E$1117,$E390,Versuchsdaten!$J$2:$J$1117,1)=1,SUMIFS(Versuchsdaten!$F$2:$F$1117,Versuchsdaten!$A$2:$A$1117,$A390,Versuchsdaten!$B$2:$B$1117,$B390,Versuchsdaten!$C$2:$C$1117,"Sprint_30m",Versuchsdaten!$E$2:$E$1117,$E390,Versuchsdaten!$J$2:$J$1117,1),""))</f>
        <v/>
      </c>
      <c r="N390" s="22">
        <f>IF(LEFT(C390,7)&lt;&gt;"Sprint_",0,IF(IF(ISNUMBER(K390),IF(K390&lt;=0,1,IF(5/K390&gt;10,1,0)),0)+IF(ISNUMBER(L390),IF(ISNUMBER(K390),IF(L390-K390&lt;=0,1,IF(5/(L390-K390)&gt;10,1,0)),IF(L390&lt;=0,1,IF(10/L390&gt;10,1,0))),0)+IF(ISNUMBER(M390),IF(ISNUMBER(L390),IF(M390-L390&lt;=0,1,IF(20/(M390-L390)&gt;10,1,0)),IF(ISNUMBER(K390),IF(M390-K390&lt;=0,1,IF(25/(M390-K390)&gt;10,1,0)),IF(M390&lt;=0,1,IF(30/M390&gt;10,1,0)))),0)&gt;0,1,0))</f>
        <v/>
      </c>
      <c r="O390" s="22">
        <f>IF(AND(J390=1,N390=0),1,0)</f>
        <v/>
      </c>
      <c r="P390" s="22">
        <f>INDEX(Personendaten!$J$2:$J$32,MATCH(A390,Personendaten!$A$2:$A$32,0))</f>
        <v/>
      </c>
      <c r="Q390" s="22">
        <f>IF(O390=1,"",IF(AND(B390="post",P390="nicht angetreten"),"NANG",IF(N390=1,"AUSL",IFERROR(VLOOKUP(H390,Vokabular!$A$2:$B$8,2,FALSE),"UNBEKANNT"))))</f>
        <v/>
      </c>
    </row>
    <row r="391">
      <c r="A391" s="5" t="inlineStr">
        <is>
          <t>VS-04</t>
        </is>
      </c>
      <c r="B391" s="5" t="inlineStr">
        <is>
          <t>prä</t>
        </is>
      </c>
      <c r="C391" s="5" t="inlineStr">
        <is>
          <t>Standweitsprung</t>
        </is>
      </c>
      <c r="D391" s="5" t="inlineStr">
        <is>
          <t>–</t>
        </is>
      </c>
      <c r="E391" s="5" t="n">
        <v>3</v>
      </c>
      <c r="F391" s="5" t="n">
        <v>207</v>
      </c>
      <c r="G391" s="5" t="n"/>
      <c r="H391" s="5" t="n"/>
      <c r="I391" s="22">
        <f>INDEX(Personendaten!$C$2:$C$32,MATCH(A391,Personendaten!$A$2:$A$32,0))</f>
        <v/>
      </c>
      <c r="J391" s="22">
        <f>IF(AND(F391&lt;&gt;"",G391=""),1,0)</f>
        <v/>
      </c>
      <c r="K391" s="22">
        <f>IF(LEFT(C391,7)&lt;&gt;"Sprint_","",IF(COUNTIFS(Versuchsdaten!$A$2:$A$1117,$A391,Versuchsdaten!$B$2:$B$1117,$B391,Versuchsdaten!$C$2:$C$1117,"Sprint_5m",Versuchsdaten!$E$2:$E$1117,$E391,Versuchsdaten!$J$2:$J$1117,1)=1,SUMIFS(Versuchsdaten!$F$2:$F$1117,Versuchsdaten!$A$2:$A$1117,$A391,Versuchsdaten!$B$2:$B$1117,$B391,Versuchsdaten!$C$2:$C$1117,"Sprint_5m",Versuchsdaten!$E$2:$E$1117,$E391,Versuchsdaten!$J$2:$J$1117,1),""))</f>
        <v/>
      </c>
      <c r="L391" s="22">
        <f>IF(LEFT(C391,7)&lt;&gt;"Sprint_","",IF(COUNTIFS(Versuchsdaten!$A$2:$A$1117,$A391,Versuchsdaten!$B$2:$B$1117,$B391,Versuchsdaten!$C$2:$C$1117,"Sprint_10m",Versuchsdaten!$E$2:$E$1117,$E391,Versuchsdaten!$J$2:$J$1117,1)=1,SUMIFS(Versuchsdaten!$F$2:$F$1117,Versuchsdaten!$A$2:$A$1117,$A391,Versuchsdaten!$B$2:$B$1117,$B391,Versuchsdaten!$C$2:$C$1117,"Sprint_10m",Versuchsdaten!$E$2:$E$1117,$E391,Versuchsdaten!$J$2:$J$1117,1),""))</f>
        <v/>
      </c>
      <c r="M391" s="22">
        <f>IF(LEFT(C391,7)&lt;&gt;"Sprint_","",IF(COUNTIFS(Versuchsdaten!$A$2:$A$1117,$A391,Versuchsdaten!$B$2:$B$1117,$B391,Versuchsdaten!$C$2:$C$1117,"Sprint_30m",Versuchsdaten!$E$2:$E$1117,$E391,Versuchsdaten!$J$2:$J$1117,1)=1,SUMIFS(Versuchsdaten!$F$2:$F$1117,Versuchsdaten!$A$2:$A$1117,$A391,Versuchsdaten!$B$2:$B$1117,$B391,Versuchsdaten!$C$2:$C$1117,"Sprint_30m",Versuchsdaten!$E$2:$E$1117,$E391,Versuchsdaten!$J$2:$J$1117,1),""))</f>
        <v/>
      </c>
      <c r="N391" s="22">
        <f>IF(LEFT(C391,7)&lt;&gt;"Sprint_",0,IF(IF(ISNUMBER(K391),IF(K391&lt;=0,1,IF(5/K391&gt;10,1,0)),0)+IF(ISNUMBER(L391),IF(ISNUMBER(K391),IF(L391-K391&lt;=0,1,IF(5/(L391-K391)&gt;10,1,0)),IF(L391&lt;=0,1,IF(10/L391&gt;10,1,0))),0)+IF(ISNUMBER(M391),IF(ISNUMBER(L391),IF(M391-L391&lt;=0,1,IF(20/(M391-L391)&gt;10,1,0)),IF(ISNUMBER(K391),IF(M391-K391&lt;=0,1,IF(25/(M391-K391)&gt;10,1,0)),IF(M391&lt;=0,1,IF(30/M391&gt;10,1,0)))),0)&gt;0,1,0))</f>
        <v/>
      </c>
      <c r="O391" s="22">
        <f>IF(AND(J391=1,N391=0),1,0)</f>
        <v/>
      </c>
      <c r="P391" s="22">
        <f>INDEX(Personendaten!$J$2:$J$32,MATCH(A391,Personendaten!$A$2:$A$32,0))</f>
        <v/>
      </c>
      <c r="Q391" s="22">
        <f>IF(O391=1,"",IF(AND(B391="post",P391="nicht angetreten"),"NANG",IF(N391=1,"AUSL",IFERROR(VLOOKUP(H391,Vokabular!$A$2:$B$8,2,FALSE),"UNBEKANNT"))))</f>
        <v/>
      </c>
    </row>
    <row r="392">
      <c r="A392" s="5" t="inlineStr">
        <is>
          <t>VS-04</t>
        </is>
      </c>
      <c r="B392" s="5" t="inlineStr">
        <is>
          <t>prä</t>
        </is>
      </c>
      <c r="C392" s="5" t="inlineStr">
        <is>
          <t>COD_505</t>
        </is>
      </c>
      <c r="D392" s="5" t="inlineStr">
        <is>
          <t>L</t>
        </is>
      </c>
      <c r="E392" s="5" t="n">
        <v>1</v>
      </c>
      <c r="F392" s="5" t="n">
        <v>2.74</v>
      </c>
      <c r="G392" s="5" t="n"/>
      <c r="H392" s="5" t="n"/>
      <c r="I392" s="22">
        <f>INDEX(Personendaten!$C$2:$C$32,MATCH(A392,Personendaten!$A$2:$A$32,0))</f>
        <v/>
      </c>
      <c r="J392" s="22">
        <f>IF(AND(F392&lt;&gt;"",G392=""),1,0)</f>
        <v/>
      </c>
      <c r="K392" s="22">
        <f>IF(LEFT(C392,7)&lt;&gt;"Sprint_","",IF(COUNTIFS(Versuchsdaten!$A$2:$A$1117,$A392,Versuchsdaten!$B$2:$B$1117,$B392,Versuchsdaten!$C$2:$C$1117,"Sprint_5m",Versuchsdaten!$E$2:$E$1117,$E392,Versuchsdaten!$J$2:$J$1117,1)=1,SUMIFS(Versuchsdaten!$F$2:$F$1117,Versuchsdaten!$A$2:$A$1117,$A392,Versuchsdaten!$B$2:$B$1117,$B392,Versuchsdaten!$C$2:$C$1117,"Sprint_5m",Versuchsdaten!$E$2:$E$1117,$E392,Versuchsdaten!$J$2:$J$1117,1),""))</f>
        <v/>
      </c>
      <c r="L392" s="22">
        <f>IF(LEFT(C392,7)&lt;&gt;"Sprint_","",IF(COUNTIFS(Versuchsdaten!$A$2:$A$1117,$A392,Versuchsdaten!$B$2:$B$1117,$B392,Versuchsdaten!$C$2:$C$1117,"Sprint_10m",Versuchsdaten!$E$2:$E$1117,$E392,Versuchsdaten!$J$2:$J$1117,1)=1,SUMIFS(Versuchsdaten!$F$2:$F$1117,Versuchsdaten!$A$2:$A$1117,$A392,Versuchsdaten!$B$2:$B$1117,$B392,Versuchsdaten!$C$2:$C$1117,"Sprint_10m",Versuchsdaten!$E$2:$E$1117,$E392,Versuchsdaten!$J$2:$J$1117,1),""))</f>
        <v/>
      </c>
      <c r="M392" s="22">
        <f>IF(LEFT(C392,7)&lt;&gt;"Sprint_","",IF(COUNTIFS(Versuchsdaten!$A$2:$A$1117,$A392,Versuchsdaten!$B$2:$B$1117,$B392,Versuchsdaten!$C$2:$C$1117,"Sprint_30m",Versuchsdaten!$E$2:$E$1117,$E392,Versuchsdaten!$J$2:$J$1117,1)=1,SUMIFS(Versuchsdaten!$F$2:$F$1117,Versuchsdaten!$A$2:$A$1117,$A392,Versuchsdaten!$B$2:$B$1117,$B392,Versuchsdaten!$C$2:$C$1117,"Sprint_30m",Versuchsdaten!$E$2:$E$1117,$E392,Versuchsdaten!$J$2:$J$1117,1),""))</f>
        <v/>
      </c>
      <c r="N392" s="22">
        <f>IF(LEFT(C392,7)&lt;&gt;"Sprint_",0,IF(IF(ISNUMBER(K392),IF(K392&lt;=0,1,IF(5/K392&gt;10,1,0)),0)+IF(ISNUMBER(L392),IF(ISNUMBER(K392),IF(L392-K392&lt;=0,1,IF(5/(L392-K392)&gt;10,1,0)),IF(L392&lt;=0,1,IF(10/L392&gt;10,1,0))),0)+IF(ISNUMBER(M392),IF(ISNUMBER(L392),IF(M392-L392&lt;=0,1,IF(20/(M392-L392)&gt;10,1,0)),IF(ISNUMBER(K392),IF(M392-K392&lt;=0,1,IF(25/(M392-K392)&gt;10,1,0)),IF(M392&lt;=0,1,IF(30/M392&gt;10,1,0)))),0)&gt;0,1,0))</f>
        <v/>
      </c>
      <c r="O392" s="22">
        <f>IF(AND(J392=1,N392=0),1,0)</f>
        <v/>
      </c>
      <c r="P392" s="22">
        <f>INDEX(Personendaten!$J$2:$J$32,MATCH(A392,Personendaten!$A$2:$A$32,0))</f>
        <v/>
      </c>
      <c r="Q392" s="22">
        <f>IF(O392=1,"",IF(AND(B392="post",P392="nicht angetreten"),"NANG",IF(N392=1,"AUSL",IFERROR(VLOOKUP(H392,Vokabular!$A$2:$B$8,2,FALSE),"UNBEKANNT"))))</f>
        <v/>
      </c>
    </row>
    <row r="393">
      <c r="A393" s="5" t="inlineStr">
        <is>
          <t>VS-04</t>
        </is>
      </c>
      <c r="B393" s="5" t="inlineStr">
        <is>
          <t>prä</t>
        </is>
      </c>
      <c r="C393" s="5" t="inlineStr">
        <is>
          <t>COD_505</t>
        </is>
      </c>
      <c r="D393" s="5" t="inlineStr">
        <is>
          <t>L</t>
        </is>
      </c>
      <c r="E393" s="5" t="n">
        <v>2</v>
      </c>
      <c r="F393" s="5" t="n">
        <v>2.8</v>
      </c>
      <c r="G393" s="5" t="n"/>
      <c r="H393" s="5" t="n"/>
      <c r="I393" s="22">
        <f>INDEX(Personendaten!$C$2:$C$32,MATCH(A393,Personendaten!$A$2:$A$32,0))</f>
        <v/>
      </c>
      <c r="J393" s="22">
        <f>IF(AND(F393&lt;&gt;"",G393=""),1,0)</f>
        <v/>
      </c>
      <c r="K393" s="22">
        <f>IF(LEFT(C393,7)&lt;&gt;"Sprint_","",IF(COUNTIFS(Versuchsdaten!$A$2:$A$1117,$A393,Versuchsdaten!$B$2:$B$1117,$B393,Versuchsdaten!$C$2:$C$1117,"Sprint_5m",Versuchsdaten!$E$2:$E$1117,$E393,Versuchsdaten!$J$2:$J$1117,1)=1,SUMIFS(Versuchsdaten!$F$2:$F$1117,Versuchsdaten!$A$2:$A$1117,$A393,Versuchsdaten!$B$2:$B$1117,$B393,Versuchsdaten!$C$2:$C$1117,"Sprint_5m",Versuchsdaten!$E$2:$E$1117,$E393,Versuchsdaten!$J$2:$J$1117,1),""))</f>
        <v/>
      </c>
      <c r="L393" s="22">
        <f>IF(LEFT(C393,7)&lt;&gt;"Sprint_","",IF(COUNTIFS(Versuchsdaten!$A$2:$A$1117,$A393,Versuchsdaten!$B$2:$B$1117,$B393,Versuchsdaten!$C$2:$C$1117,"Sprint_10m",Versuchsdaten!$E$2:$E$1117,$E393,Versuchsdaten!$J$2:$J$1117,1)=1,SUMIFS(Versuchsdaten!$F$2:$F$1117,Versuchsdaten!$A$2:$A$1117,$A393,Versuchsdaten!$B$2:$B$1117,$B393,Versuchsdaten!$C$2:$C$1117,"Sprint_10m",Versuchsdaten!$E$2:$E$1117,$E393,Versuchsdaten!$J$2:$J$1117,1),""))</f>
        <v/>
      </c>
      <c r="M393" s="22">
        <f>IF(LEFT(C393,7)&lt;&gt;"Sprint_","",IF(COUNTIFS(Versuchsdaten!$A$2:$A$1117,$A393,Versuchsdaten!$B$2:$B$1117,$B393,Versuchsdaten!$C$2:$C$1117,"Sprint_30m",Versuchsdaten!$E$2:$E$1117,$E393,Versuchsdaten!$J$2:$J$1117,1)=1,SUMIFS(Versuchsdaten!$F$2:$F$1117,Versuchsdaten!$A$2:$A$1117,$A393,Versuchsdaten!$B$2:$B$1117,$B393,Versuchsdaten!$C$2:$C$1117,"Sprint_30m",Versuchsdaten!$E$2:$E$1117,$E393,Versuchsdaten!$J$2:$J$1117,1),""))</f>
        <v/>
      </c>
      <c r="N393" s="22">
        <f>IF(LEFT(C393,7)&lt;&gt;"Sprint_",0,IF(IF(ISNUMBER(K393),IF(K393&lt;=0,1,IF(5/K393&gt;10,1,0)),0)+IF(ISNUMBER(L393),IF(ISNUMBER(K393),IF(L393-K393&lt;=0,1,IF(5/(L393-K393)&gt;10,1,0)),IF(L393&lt;=0,1,IF(10/L393&gt;10,1,0))),0)+IF(ISNUMBER(M393),IF(ISNUMBER(L393),IF(M393-L393&lt;=0,1,IF(20/(M393-L393)&gt;10,1,0)),IF(ISNUMBER(K393),IF(M393-K393&lt;=0,1,IF(25/(M393-K393)&gt;10,1,0)),IF(M393&lt;=0,1,IF(30/M393&gt;10,1,0)))),0)&gt;0,1,0))</f>
        <v/>
      </c>
      <c r="O393" s="22">
        <f>IF(AND(J393=1,N393=0),1,0)</f>
        <v/>
      </c>
      <c r="P393" s="22">
        <f>INDEX(Personendaten!$J$2:$J$32,MATCH(A393,Personendaten!$A$2:$A$32,0))</f>
        <v/>
      </c>
      <c r="Q393" s="22">
        <f>IF(O393=1,"",IF(AND(B393="post",P393="nicht angetreten"),"NANG",IF(N393=1,"AUSL",IFERROR(VLOOKUP(H393,Vokabular!$A$2:$B$8,2,FALSE),"UNBEKANNT"))))</f>
        <v/>
      </c>
    </row>
    <row r="394">
      <c r="A394" s="5" t="inlineStr">
        <is>
          <t>VS-04</t>
        </is>
      </c>
      <c r="B394" s="5" t="inlineStr">
        <is>
          <t>prä</t>
        </is>
      </c>
      <c r="C394" s="5" t="inlineStr">
        <is>
          <t>COD_505</t>
        </is>
      </c>
      <c r="D394" s="5" t="inlineStr">
        <is>
          <t>L</t>
        </is>
      </c>
      <c r="E394" s="5" t="n">
        <v>3</v>
      </c>
      <c r="F394" s="5" t="n">
        <v>2.64</v>
      </c>
      <c r="G394" s="5" t="n"/>
      <c r="H394" s="5" t="n"/>
      <c r="I394" s="22">
        <f>INDEX(Personendaten!$C$2:$C$32,MATCH(A394,Personendaten!$A$2:$A$32,0))</f>
        <v/>
      </c>
      <c r="J394" s="22">
        <f>IF(AND(F394&lt;&gt;"",G394=""),1,0)</f>
        <v/>
      </c>
      <c r="K394" s="22">
        <f>IF(LEFT(C394,7)&lt;&gt;"Sprint_","",IF(COUNTIFS(Versuchsdaten!$A$2:$A$1117,$A394,Versuchsdaten!$B$2:$B$1117,$B394,Versuchsdaten!$C$2:$C$1117,"Sprint_5m",Versuchsdaten!$E$2:$E$1117,$E394,Versuchsdaten!$J$2:$J$1117,1)=1,SUMIFS(Versuchsdaten!$F$2:$F$1117,Versuchsdaten!$A$2:$A$1117,$A394,Versuchsdaten!$B$2:$B$1117,$B394,Versuchsdaten!$C$2:$C$1117,"Sprint_5m",Versuchsdaten!$E$2:$E$1117,$E394,Versuchsdaten!$J$2:$J$1117,1),""))</f>
        <v/>
      </c>
      <c r="L394" s="22">
        <f>IF(LEFT(C394,7)&lt;&gt;"Sprint_","",IF(COUNTIFS(Versuchsdaten!$A$2:$A$1117,$A394,Versuchsdaten!$B$2:$B$1117,$B394,Versuchsdaten!$C$2:$C$1117,"Sprint_10m",Versuchsdaten!$E$2:$E$1117,$E394,Versuchsdaten!$J$2:$J$1117,1)=1,SUMIFS(Versuchsdaten!$F$2:$F$1117,Versuchsdaten!$A$2:$A$1117,$A394,Versuchsdaten!$B$2:$B$1117,$B394,Versuchsdaten!$C$2:$C$1117,"Sprint_10m",Versuchsdaten!$E$2:$E$1117,$E394,Versuchsdaten!$J$2:$J$1117,1),""))</f>
        <v/>
      </c>
      <c r="M394" s="22">
        <f>IF(LEFT(C394,7)&lt;&gt;"Sprint_","",IF(COUNTIFS(Versuchsdaten!$A$2:$A$1117,$A394,Versuchsdaten!$B$2:$B$1117,$B394,Versuchsdaten!$C$2:$C$1117,"Sprint_30m",Versuchsdaten!$E$2:$E$1117,$E394,Versuchsdaten!$J$2:$J$1117,1)=1,SUMIFS(Versuchsdaten!$F$2:$F$1117,Versuchsdaten!$A$2:$A$1117,$A394,Versuchsdaten!$B$2:$B$1117,$B394,Versuchsdaten!$C$2:$C$1117,"Sprint_30m",Versuchsdaten!$E$2:$E$1117,$E394,Versuchsdaten!$J$2:$J$1117,1),""))</f>
        <v/>
      </c>
      <c r="N394" s="22">
        <f>IF(LEFT(C394,7)&lt;&gt;"Sprint_",0,IF(IF(ISNUMBER(K394),IF(K394&lt;=0,1,IF(5/K394&gt;10,1,0)),0)+IF(ISNUMBER(L394),IF(ISNUMBER(K394),IF(L394-K394&lt;=0,1,IF(5/(L394-K394)&gt;10,1,0)),IF(L394&lt;=0,1,IF(10/L394&gt;10,1,0))),0)+IF(ISNUMBER(M394),IF(ISNUMBER(L394),IF(M394-L394&lt;=0,1,IF(20/(M394-L394)&gt;10,1,0)),IF(ISNUMBER(K394),IF(M394-K394&lt;=0,1,IF(25/(M394-K394)&gt;10,1,0)),IF(M394&lt;=0,1,IF(30/M394&gt;10,1,0)))),0)&gt;0,1,0))</f>
        <v/>
      </c>
      <c r="O394" s="22">
        <f>IF(AND(J394=1,N394=0),1,0)</f>
        <v/>
      </c>
      <c r="P394" s="22">
        <f>INDEX(Personendaten!$J$2:$J$32,MATCH(A394,Personendaten!$A$2:$A$32,0))</f>
        <v/>
      </c>
      <c r="Q394" s="22">
        <f>IF(O394=1,"",IF(AND(B394="post",P394="nicht angetreten"),"NANG",IF(N394=1,"AUSL",IFERROR(VLOOKUP(H394,Vokabular!$A$2:$B$8,2,FALSE),"UNBEKANNT"))))</f>
        <v/>
      </c>
    </row>
    <row r="395">
      <c r="A395" s="5" t="inlineStr">
        <is>
          <t>VS-04</t>
        </is>
      </c>
      <c r="B395" s="5" t="inlineStr">
        <is>
          <t>prä</t>
        </is>
      </c>
      <c r="C395" s="5" t="inlineStr">
        <is>
          <t>COD_505</t>
        </is>
      </c>
      <c r="D395" s="5" t="inlineStr">
        <is>
          <t>R</t>
        </is>
      </c>
      <c r="E395" s="5" t="n">
        <v>1</v>
      </c>
      <c r="F395" s="5" t="n">
        <v>2.69</v>
      </c>
      <c r="G395" s="5" t="n"/>
      <c r="H395" s="5" t="n"/>
      <c r="I395" s="22">
        <f>INDEX(Personendaten!$C$2:$C$32,MATCH(A395,Personendaten!$A$2:$A$32,0))</f>
        <v/>
      </c>
      <c r="J395" s="22">
        <f>IF(AND(F395&lt;&gt;"",G395=""),1,0)</f>
        <v/>
      </c>
      <c r="K395" s="22">
        <f>IF(LEFT(C395,7)&lt;&gt;"Sprint_","",IF(COUNTIFS(Versuchsdaten!$A$2:$A$1117,$A395,Versuchsdaten!$B$2:$B$1117,$B395,Versuchsdaten!$C$2:$C$1117,"Sprint_5m",Versuchsdaten!$E$2:$E$1117,$E395,Versuchsdaten!$J$2:$J$1117,1)=1,SUMIFS(Versuchsdaten!$F$2:$F$1117,Versuchsdaten!$A$2:$A$1117,$A395,Versuchsdaten!$B$2:$B$1117,$B395,Versuchsdaten!$C$2:$C$1117,"Sprint_5m",Versuchsdaten!$E$2:$E$1117,$E395,Versuchsdaten!$J$2:$J$1117,1),""))</f>
        <v/>
      </c>
      <c r="L395" s="22">
        <f>IF(LEFT(C395,7)&lt;&gt;"Sprint_","",IF(COUNTIFS(Versuchsdaten!$A$2:$A$1117,$A395,Versuchsdaten!$B$2:$B$1117,$B395,Versuchsdaten!$C$2:$C$1117,"Sprint_10m",Versuchsdaten!$E$2:$E$1117,$E395,Versuchsdaten!$J$2:$J$1117,1)=1,SUMIFS(Versuchsdaten!$F$2:$F$1117,Versuchsdaten!$A$2:$A$1117,$A395,Versuchsdaten!$B$2:$B$1117,$B395,Versuchsdaten!$C$2:$C$1117,"Sprint_10m",Versuchsdaten!$E$2:$E$1117,$E395,Versuchsdaten!$J$2:$J$1117,1),""))</f>
        <v/>
      </c>
      <c r="M395" s="22">
        <f>IF(LEFT(C395,7)&lt;&gt;"Sprint_","",IF(COUNTIFS(Versuchsdaten!$A$2:$A$1117,$A395,Versuchsdaten!$B$2:$B$1117,$B395,Versuchsdaten!$C$2:$C$1117,"Sprint_30m",Versuchsdaten!$E$2:$E$1117,$E395,Versuchsdaten!$J$2:$J$1117,1)=1,SUMIFS(Versuchsdaten!$F$2:$F$1117,Versuchsdaten!$A$2:$A$1117,$A395,Versuchsdaten!$B$2:$B$1117,$B395,Versuchsdaten!$C$2:$C$1117,"Sprint_30m",Versuchsdaten!$E$2:$E$1117,$E395,Versuchsdaten!$J$2:$J$1117,1),""))</f>
        <v/>
      </c>
      <c r="N395" s="22">
        <f>IF(LEFT(C395,7)&lt;&gt;"Sprint_",0,IF(IF(ISNUMBER(K395),IF(K395&lt;=0,1,IF(5/K395&gt;10,1,0)),0)+IF(ISNUMBER(L395),IF(ISNUMBER(K395),IF(L395-K395&lt;=0,1,IF(5/(L395-K395)&gt;10,1,0)),IF(L395&lt;=0,1,IF(10/L395&gt;10,1,0))),0)+IF(ISNUMBER(M395),IF(ISNUMBER(L395),IF(M395-L395&lt;=0,1,IF(20/(M395-L395)&gt;10,1,0)),IF(ISNUMBER(K395),IF(M395-K395&lt;=0,1,IF(25/(M395-K395)&gt;10,1,0)),IF(M395&lt;=0,1,IF(30/M395&gt;10,1,0)))),0)&gt;0,1,0))</f>
        <v/>
      </c>
      <c r="O395" s="22">
        <f>IF(AND(J395=1,N395=0),1,0)</f>
        <v/>
      </c>
      <c r="P395" s="22">
        <f>INDEX(Personendaten!$J$2:$J$32,MATCH(A395,Personendaten!$A$2:$A$32,0))</f>
        <v/>
      </c>
      <c r="Q395" s="22">
        <f>IF(O395=1,"",IF(AND(B395="post",P395="nicht angetreten"),"NANG",IF(N395=1,"AUSL",IFERROR(VLOOKUP(H395,Vokabular!$A$2:$B$8,2,FALSE),"UNBEKANNT"))))</f>
        <v/>
      </c>
    </row>
    <row r="396">
      <c r="A396" s="5" t="inlineStr">
        <is>
          <t>VS-04</t>
        </is>
      </c>
      <c r="B396" s="5" t="inlineStr">
        <is>
          <t>prä</t>
        </is>
      </c>
      <c r="C396" s="5" t="inlineStr">
        <is>
          <t>COD_505</t>
        </is>
      </c>
      <c r="D396" s="5" t="inlineStr">
        <is>
          <t>R</t>
        </is>
      </c>
      <c r="E396" s="5" t="n">
        <v>2</v>
      </c>
      <c r="F396" s="5" t="n">
        <v>2.61</v>
      </c>
      <c r="G396" s="5" t="n"/>
      <c r="H396" s="5" t="n"/>
      <c r="I396" s="22">
        <f>INDEX(Personendaten!$C$2:$C$32,MATCH(A396,Personendaten!$A$2:$A$32,0))</f>
        <v/>
      </c>
      <c r="J396" s="22">
        <f>IF(AND(F396&lt;&gt;"",G396=""),1,0)</f>
        <v/>
      </c>
      <c r="K396" s="22">
        <f>IF(LEFT(C396,7)&lt;&gt;"Sprint_","",IF(COUNTIFS(Versuchsdaten!$A$2:$A$1117,$A396,Versuchsdaten!$B$2:$B$1117,$B396,Versuchsdaten!$C$2:$C$1117,"Sprint_5m",Versuchsdaten!$E$2:$E$1117,$E396,Versuchsdaten!$J$2:$J$1117,1)=1,SUMIFS(Versuchsdaten!$F$2:$F$1117,Versuchsdaten!$A$2:$A$1117,$A396,Versuchsdaten!$B$2:$B$1117,$B396,Versuchsdaten!$C$2:$C$1117,"Sprint_5m",Versuchsdaten!$E$2:$E$1117,$E396,Versuchsdaten!$J$2:$J$1117,1),""))</f>
        <v/>
      </c>
      <c r="L396" s="22">
        <f>IF(LEFT(C396,7)&lt;&gt;"Sprint_","",IF(COUNTIFS(Versuchsdaten!$A$2:$A$1117,$A396,Versuchsdaten!$B$2:$B$1117,$B396,Versuchsdaten!$C$2:$C$1117,"Sprint_10m",Versuchsdaten!$E$2:$E$1117,$E396,Versuchsdaten!$J$2:$J$1117,1)=1,SUMIFS(Versuchsdaten!$F$2:$F$1117,Versuchsdaten!$A$2:$A$1117,$A396,Versuchsdaten!$B$2:$B$1117,$B396,Versuchsdaten!$C$2:$C$1117,"Sprint_10m",Versuchsdaten!$E$2:$E$1117,$E396,Versuchsdaten!$J$2:$J$1117,1),""))</f>
        <v/>
      </c>
      <c r="M396" s="22">
        <f>IF(LEFT(C396,7)&lt;&gt;"Sprint_","",IF(COUNTIFS(Versuchsdaten!$A$2:$A$1117,$A396,Versuchsdaten!$B$2:$B$1117,$B396,Versuchsdaten!$C$2:$C$1117,"Sprint_30m",Versuchsdaten!$E$2:$E$1117,$E396,Versuchsdaten!$J$2:$J$1117,1)=1,SUMIFS(Versuchsdaten!$F$2:$F$1117,Versuchsdaten!$A$2:$A$1117,$A396,Versuchsdaten!$B$2:$B$1117,$B396,Versuchsdaten!$C$2:$C$1117,"Sprint_30m",Versuchsdaten!$E$2:$E$1117,$E396,Versuchsdaten!$J$2:$J$1117,1),""))</f>
        <v/>
      </c>
      <c r="N396" s="22">
        <f>IF(LEFT(C396,7)&lt;&gt;"Sprint_",0,IF(IF(ISNUMBER(K396),IF(K396&lt;=0,1,IF(5/K396&gt;10,1,0)),0)+IF(ISNUMBER(L396),IF(ISNUMBER(K396),IF(L396-K396&lt;=0,1,IF(5/(L396-K396)&gt;10,1,0)),IF(L396&lt;=0,1,IF(10/L396&gt;10,1,0))),0)+IF(ISNUMBER(M396),IF(ISNUMBER(L396),IF(M396-L396&lt;=0,1,IF(20/(M396-L396)&gt;10,1,0)),IF(ISNUMBER(K396),IF(M396-K396&lt;=0,1,IF(25/(M396-K396)&gt;10,1,0)),IF(M396&lt;=0,1,IF(30/M396&gt;10,1,0)))),0)&gt;0,1,0))</f>
        <v/>
      </c>
      <c r="O396" s="22">
        <f>IF(AND(J396=1,N396=0),1,0)</f>
        <v/>
      </c>
      <c r="P396" s="22">
        <f>INDEX(Personendaten!$J$2:$J$32,MATCH(A396,Personendaten!$A$2:$A$32,0))</f>
        <v/>
      </c>
      <c r="Q396" s="22">
        <f>IF(O396=1,"",IF(AND(B396="post",P396="nicht angetreten"),"NANG",IF(N396=1,"AUSL",IFERROR(VLOOKUP(H396,Vokabular!$A$2:$B$8,2,FALSE),"UNBEKANNT"))))</f>
        <v/>
      </c>
    </row>
    <row r="397">
      <c r="A397" s="5" t="inlineStr">
        <is>
          <t>VS-04</t>
        </is>
      </c>
      <c r="B397" s="5" t="inlineStr">
        <is>
          <t>prä</t>
        </is>
      </c>
      <c r="C397" s="5" t="inlineStr">
        <is>
          <t>COD_505</t>
        </is>
      </c>
      <c r="D397" s="5" t="inlineStr">
        <is>
          <t>R</t>
        </is>
      </c>
      <c r="E397" s="5" t="n">
        <v>3</v>
      </c>
      <c r="F397" s="5" t="n">
        <v>2.59</v>
      </c>
      <c r="G397" s="5" t="n"/>
      <c r="H397" s="5" t="n"/>
      <c r="I397" s="22">
        <f>INDEX(Personendaten!$C$2:$C$32,MATCH(A397,Personendaten!$A$2:$A$32,0))</f>
        <v/>
      </c>
      <c r="J397" s="22">
        <f>IF(AND(F397&lt;&gt;"",G397=""),1,0)</f>
        <v/>
      </c>
      <c r="K397" s="22">
        <f>IF(LEFT(C397,7)&lt;&gt;"Sprint_","",IF(COUNTIFS(Versuchsdaten!$A$2:$A$1117,$A397,Versuchsdaten!$B$2:$B$1117,$B397,Versuchsdaten!$C$2:$C$1117,"Sprint_5m",Versuchsdaten!$E$2:$E$1117,$E397,Versuchsdaten!$J$2:$J$1117,1)=1,SUMIFS(Versuchsdaten!$F$2:$F$1117,Versuchsdaten!$A$2:$A$1117,$A397,Versuchsdaten!$B$2:$B$1117,$B397,Versuchsdaten!$C$2:$C$1117,"Sprint_5m",Versuchsdaten!$E$2:$E$1117,$E397,Versuchsdaten!$J$2:$J$1117,1),""))</f>
        <v/>
      </c>
      <c r="L397" s="22">
        <f>IF(LEFT(C397,7)&lt;&gt;"Sprint_","",IF(COUNTIFS(Versuchsdaten!$A$2:$A$1117,$A397,Versuchsdaten!$B$2:$B$1117,$B397,Versuchsdaten!$C$2:$C$1117,"Sprint_10m",Versuchsdaten!$E$2:$E$1117,$E397,Versuchsdaten!$J$2:$J$1117,1)=1,SUMIFS(Versuchsdaten!$F$2:$F$1117,Versuchsdaten!$A$2:$A$1117,$A397,Versuchsdaten!$B$2:$B$1117,$B397,Versuchsdaten!$C$2:$C$1117,"Sprint_10m",Versuchsdaten!$E$2:$E$1117,$E397,Versuchsdaten!$J$2:$J$1117,1),""))</f>
        <v/>
      </c>
      <c r="M397" s="22">
        <f>IF(LEFT(C397,7)&lt;&gt;"Sprint_","",IF(COUNTIFS(Versuchsdaten!$A$2:$A$1117,$A397,Versuchsdaten!$B$2:$B$1117,$B397,Versuchsdaten!$C$2:$C$1117,"Sprint_30m",Versuchsdaten!$E$2:$E$1117,$E397,Versuchsdaten!$J$2:$J$1117,1)=1,SUMIFS(Versuchsdaten!$F$2:$F$1117,Versuchsdaten!$A$2:$A$1117,$A397,Versuchsdaten!$B$2:$B$1117,$B397,Versuchsdaten!$C$2:$C$1117,"Sprint_30m",Versuchsdaten!$E$2:$E$1117,$E397,Versuchsdaten!$J$2:$J$1117,1),""))</f>
        <v/>
      </c>
      <c r="N397" s="22">
        <f>IF(LEFT(C397,7)&lt;&gt;"Sprint_",0,IF(IF(ISNUMBER(K397),IF(K397&lt;=0,1,IF(5/K397&gt;10,1,0)),0)+IF(ISNUMBER(L397),IF(ISNUMBER(K397),IF(L397-K397&lt;=0,1,IF(5/(L397-K397)&gt;10,1,0)),IF(L397&lt;=0,1,IF(10/L397&gt;10,1,0))),0)+IF(ISNUMBER(M397),IF(ISNUMBER(L397),IF(M397-L397&lt;=0,1,IF(20/(M397-L397)&gt;10,1,0)),IF(ISNUMBER(K397),IF(M397-K397&lt;=0,1,IF(25/(M397-K397)&gt;10,1,0)),IF(M397&lt;=0,1,IF(30/M397&gt;10,1,0)))),0)&gt;0,1,0))</f>
        <v/>
      </c>
      <c r="O397" s="22">
        <f>IF(AND(J397=1,N397=0),1,0)</f>
        <v/>
      </c>
      <c r="P397" s="22">
        <f>INDEX(Personendaten!$J$2:$J$32,MATCH(A397,Personendaten!$A$2:$A$32,0))</f>
        <v/>
      </c>
      <c r="Q397" s="22">
        <f>IF(O397=1,"",IF(AND(B397="post",P397="nicht angetreten"),"NANG",IF(N397=1,"AUSL",IFERROR(VLOOKUP(H397,Vokabular!$A$2:$B$8,2,FALSE),"UNBEKANNT"))))</f>
        <v/>
      </c>
    </row>
    <row r="398">
      <c r="A398" s="5" t="inlineStr">
        <is>
          <t>VS-05</t>
        </is>
      </c>
      <c r="B398" s="5" t="inlineStr">
        <is>
          <t>prä</t>
        </is>
      </c>
      <c r="C398" s="5" t="inlineStr">
        <is>
          <t>Sprint_5m</t>
        </is>
      </c>
      <c r="D398" s="5" t="inlineStr">
        <is>
          <t>–</t>
        </is>
      </c>
      <c r="E398" s="5" t="n">
        <v>1</v>
      </c>
      <c r="F398" s="5" t="n">
        <v>1.2</v>
      </c>
      <c r="G398" s="5" t="n"/>
      <c r="H398" s="5" t="n"/>
      <c r="I398" s="22">
        <f>INDEX(Personendaten!$C$2:$C$32,MATCH(A398,Personendaten!$A$2:$A$32,0))</f>
        <v/>
      </c>
      <c r="J398" s="22">
        <f>IF(AND(F398&lt;&gt;"",G398=""),1,0)</f>
        <v/>
      </c>
      <c r="K398" s="22">
        <f>IF(LEFT(C398,7)&lt;&gt;"Sprint_","",IF(COUNTIFS(Versuchsdaten!$A$2:$A$1117,$A398,Versuchsdaten!$B$2:$B$1117,$B398,Versuchsdaten!$C$2:$C$1117,"Sprint_5m",Versuchsdaten!$E$2:$E$1117,$E398,Versuchsdaten!$J$2:$J$1117,1)=1,SUMIFS(Versuchsdaten!$F$2:$F$1117,Versuchsdaten!$A$2:$A$1117,$A398,Versuchsdaten!$B$2:$B$1117,$B398,Versuchsdaten!$C$2:$C$1117,"Sprint_5m",Versuchsdaten!$E$2:$E$1117,$E398,Versuchsdaten!$J$2:$J$1117,1),""))</f>
        <v/>
      </c>
      <c r="L398" s="22">
        <f>IF(LEFT(C398,7)&lt;&gt;"Sprint_","",IF(COUNTIFS(Versuchsdaten!$A$2:$A$1117,$A398,Versuchsdaten!$B$2:$B$1117,$B398,Versuchsdaten!$C$2:$C$1117,"Sprint_10m",Versuchsdaten!$E$2:$E$1117,$E398,Versuchsdaten!$J$2:$J$1117,1)=1,SUMIFS(Versuchsdaten!$F$2:$F$1117,Versuchsdaten!$A$2:$A$1117,$A398,Versuchsdaten!$B$2:$B$1117,$B398,Versuchsdaten!$C$2:$C$1117,"Sprint_10m",Versuchsdaten!$E$2:$E$1117,$E398,Versuchsdaten!$J$2:$J$1117,1),""))</f>
        <v/>
      </c>
      <c r="M398" s="22">
        <f>IF(LEFT(C398,7)&lt;&gt;"Sprint_","",IF(COUNTIFS(Versuchsdaten!$A$2:$A$1117,$A398,Versuchsdaten!$B$2:$B$1117,$B398,Versuchsdaten!$C$2:$C$1117,"Sprint_30m",Versuchsdaten!$E$2:$E$1117,$E398,Versuchsdaten!$J$2:$J$1117,1)=1,SUMIFS(Versuchsdaten!$F$2:$F$1117,Versuchsdaten!$A$2:$A$1117,$A398,Versuchsdaten!$B$2:$B$1117,$B398,Versuchsdaten!$C$2:$C$1117,"Sprint_30m",Versuchsdaten!$E$2:$E$1117,$E398,Versuchsdaten!$J$2:$J$1117,1),""))</f>
        <v/>
      </c>
      <c r="N398" s="22">
        <f>IF(LEFT(C398,7)&lt;&gt;"Sprint_",0,IF(IF(ISNUMBER(K398),IF(K398&lt;=0,1,IF(5/K398&gt;10,1,0)),0)+IF(ISNUMBER(L398),IF(ISNUMBER(K398),IF(L398-K398&lt;=0,1,IF(5/(L398-K398)&gt;10,1,0)),IF(L398&lt;=0,1,IF(10/L398&gt;10,1,0))),0)+IF(ISNUMBER(M398),IF(ISNUMBER(L398),IF(M398-L398&lt;=0,1,IF(20/(M398-L398)&gt;10,1,0)),IF(ISNUMBER(K398),IF(M398-K398&lt;=0,1,IF(25/(M398-K398)&gt;10,1,0)),IF(M398&lt;=0,1,IF(30/M398&gt;10,1,0)))),0)&gt;0,1,0))</f>
        <v/>
      </c>
      <c r="O398" s="22">
        <f>IF(AND(J398=1,N398=0),1,0)</f>
        <v/>
      </c>
      <c r="P398" s="22">
        <f>INDEX(Personendaten!$J$2:$J$32,MATCH(A398,Personendaten!$A$2:$A$32,0))</f>
        <v/>
      </c>
      <c r="Q398" s="22">
        <f>IF(O398=1,"",IF(AND(B398="post",P398="nicht angetreten"),"NANG",IF(N398=1,"AUSL",IFERROR(VLOOKUP(H398,Vokabular!$A$2:$B$8,2,FALSE),"UNBEKANNT"))))</f>
        <v/>
      </c>
    </row>
    <row r="399">
      <c r="A399" s="5" t="inlineStr">
        <is>
          <t>VS-05</t>
        </is>
      </c>
      <c r="B399" s="5" t="inlineStr">
        <is>
          <t>prä</t>
        </is>
      </c>
      <c r="C399" s="5" t="inlineStr">
        <is>
          <t>Sprint_5m</t>
        </is>
      </c>
      <c r="D399" s="5" t="inlineStr">
        <is>
          <t>–</t>
        </is>
      </c>
      <c r="E399" s="5" t="n">
        <v>2</v>
      </c>
      <c r="F399" s="5" t="n"/>
      <c r="G399" s="5" t="n"/>
      <c r="H399" s="5" t="inlineStr">
        <is>
          <t>System nicht aufgenommen</t>
        </is>
      </c>
      <c r="I399" s="22">
        <f>INDEX(Personendaten!$C$2:$C$32,MATCH(A399,Personendaten!$A$2:$A$32,0))</f>
        <v/>
      </c>
      <c r="J399" s="22">
        <f>IF(AND(F399&lt;&gt;"",G399=""),1,0)</f>
        <v/>
      </c>
      <c r="K399" s="22">
        <f>IF(LEFT(C399,7)&lt;&gt;"Sprint_","",IF(COUNTIFS(Versuchsdaten!$A$2:$A$1117,$A399,Versuchsdaten!$B$2:$B$1117,$B399,Versuchsdaten!$C$2:$C$1117,"Sprint_5m",Versuchsdaten!$E$2:$E$1117,$E399,Versuchsdaten!$J$2:$J$1117,1)=1,SUMIFS(Versuchsdaten!$F$2:$F$1117,Versuchsdaten!$A$2:$A$1117,$A399,Versuchsdaten!$B$2:$B$1117,$B399,Versuchsdaten!$C$2:$C$1117,"Sprint_5m",Versuchsdaten!$E$2:$E$1117,$E399,Versuchsdaten!$J$2:$J$1117,1),""))</f>
        <v/>
      </c>
      <c r="L399" s="22">
        <f>IF(LEFT(C399,7)&lt;&gt;"Sprint_","",IF(COUNTIFS(Versuchsdaten!$A$2:$A$1117,$A399,Versuchsdaten!$B$2:$B$1117,$B399,Versuchsdaten!$C$2:$C$1117,"Sprint_10m",Versuchsdaten!$E$2:$E$1117,$E399,Versuchsdaten!$J$2:$J$1117,1)=1,SUMIFS(Versuchsdaten!$F$2:$F$1117,Versuchsdaten!$A$2:$A$1117,$A399,Versuchsdaten!$B$2:$B$1117,$B399,Versuchsdaten!$C$2:$C$1117,"Sprint_10m",Versuchsdaten!$E$2:$E$1117,$E399,Versuchsdaten!$J$2:$J$1117,1),""))</f>
        <v/>
      </c>
      <c r="M399" s="22">
        <f>IF(LEFT(C399,7)&lt;&gt;"Sprint_","",IF(COUNTIFS(Versuchsdaten!$A$2:$A$1117,$A399,Versuchsdaten!$B$2:$B$1117,$B399,Versuchsdaten!$C$2:$C$1117,"Sprint_30m",Versuchsdaten!$E$2:$E$1117,$E399,Versuchsdaten!$J$2:$J$1117,1)=1,SUMIFS(Versuchsdaten!$F$2:$F$1117,Versuchsdaten!$A$2:$A$1117,$A399,Versuchsdaten!$B$2:$B$1117,$B399,Versuchsdaten!$C$2:$C$1117,"Sprint_30m",Versuchsdaten!$E$2:$E$1117,$E399,Versuchsdaten!$J$2:$J$1117,1),""))</f>
        <v/>
      </c>
      <c r="N399" s="22">
        <f>IF(LEFT(C399,7)&lt;&gt;"Sprint_",0,IF(IF(ISNUMBER(K399),IF(K399&lt;=0,1,IF(5/K399&gt;10,1,0)),0)+IF(ISNUMBER(L399),IF(ISNUMBER(K399),IF(L399-K399&lt;=0,1,IF(5/(L399-K399)&gt;10,1,0)),IF(L399&lt;=0,1,IF(10/L399&gt;10,1,0))),0)+IF(ISNUMBER(M399),IF(ISNUMBER(L399),IF(M399-L399&lt;=0,1,IF(20/(M399-L399)&gt;10,1,0)),IF(ISNUMBER(K399),IF(M399-K399&lt;=0,1,IF(25/(M399-K399)&gt;10,1,0)),IF(M399&lt;=0,1,IF(30/M399&gt;10,1,0)))),0)&gt;0,1,0))</f>
        <v/>
      </c>
      <c r="O399" s="22">
        <f>IF(AND(J399=1,N399=0),1,0)</f>
        <v/>
      </c>
      <c r="P399" s="22">
        <f>INDEX(Personendaten!$J$2:$J$32,MATCH(A399,Personendaten!$A$2:$A$32,0))</f>
        <v/>
      </c>
      <c r="Q399" s="22">
        <f>IF(O399=1,"",IF(AND(B399="post",P399="nicht angetreten"),"NANG",IF(N399=1,"AUSL",IFERROR(VLOOKUP(H399,Vokabular!$A$2:$B$8,2,FALSE),"UNBEKANNT"))))</f>
        <v/>
      </c>
    </row>
    <row r="400">
      <c r="A400" s="5" t="inlineStr">
        <is>
          <t>VS-05</t>
        </is>
      </c>
      <c r="B400" s="5" t="inlineStr">
        <is>
          <t>prä</t>
        </is>
      </c>
      <c r="C400" s="5" t="inlineStr">
        <is>
          <t>Sprint_5m</t>
        </is>
      </c>
      <c r="D400" s="5" t="inlineStr">
        <is>
          <t>–</t>
        </is>
      </c>
      <c r="E400" s="5" t="n">
        <v>3</v>
      </c>
      <c r="F400" s="5" t="n">
        <v>1.14</v>
      </c>
      <c r="G400" s="5" t="n"/>
      <c r="H400" s="5" t="n"/>
      <c r="I400" s="22">
        <f>INDEX(Personendaten!$C$2:$C$32,MATCH(A400,Personendaten!$A$2:$A$32,0))</f>
        <v/>
      </c>
      <c r="J400" s="22">
        <f>IF(AND(F400&lt;&gt;"",G400=""),1,0)</f>
        <v/>
      </c>
      <c r="K400" s="22">
        <f>IF(LEFT(C400,7)&lt;&gt;"Sprint_","",IF(COUNTIFS(Versuchsdaten!$A$2:$A$1117,$A400,Versuchsdaten!$B$2:$B$1117,$B400,Versuchsdaten!$C$2:$C$1117,"Sprint_5m",Versuchsdaten!$E$2:$E$1117,$E400,Versuchsdaten!$J$2:$J$1117,1)=1,SUMIFS(Versuchsdaten!$F$2:$F$1117,Versuchsdaten!$A$2:$A$1117,$A400,Versuchsdaten!$B$2:$B$1117,$B400,Versuchsdaten!$C$2:$C$1117,"Sprint_5m",Versuchsdaten!$E$2:$E$1117,$E400,Versuchsdaten!$J$2:$J$1117,1),""))</f>
        <v/>
      </c>
      <c r="L400" s="22">
        <f>IF(LEFT(C400,7)&lt;&gt;"Sprint_","",IF(COUNTIFS(Versuchsdaten!$A$2:$A$1117,$A400,Versuchsdaten!$B$2:$B$1117,$B400,Versuchsdaten!$C$2:$C$1117,"Sprint_10m",Versuchsdaten!$E$2:$E$1117,$E400,Versuchsdaten!$J$2:$J$1117,1)=1,SUMIFS(Versuchsdaten!$F$2:$F$1117,Versuchsdaten!$A$2:$A$1117,$A400,Versuchsdaten!$B$2:$B$1117,$B400,Versuchsdaten!$C$2:$C$1117,"Sprint_10m",Versuchsdaten!$E$2:$E$1117,$E400,Versuchsdaten!$J$2:$J$1117,1),""))</f>
        <v/>
      </c>
      <c r="M400" s="22">
        <f>IF(LEFT(C400,7)&lt;&gt;"Sprint_","",IF(COUNTIFS(Versuchsdaten!$A$2:$A$1117,$A400,Versuchsdaten!$B$2:$B$1117,$B400,Versuchsdaten!$C$2:$C$1117,"Sprint_30m",Versuchsdaten!$E$2:$E$1117,$E400,Versuchsdaten!$J$2:$J$1117,1)=1,SUMIFS(Versuchsdaten!$F$2:$F$1117,Versuchsdaten!$A$2:$A$1117,$A400,Versuchsdaten!$B$2:$B$1117,$B400,Versuchsdaten!$C$2:$C$1117,"Sprint_30m",Versuchsdaten!$E$2:$E$1117,$E400,Versuchsdaten!$J$2:$J$1117,1),""))</f>
        <v/>
      </c>
      <c r="N400" s="22">
        <f>IF(LEFT(C400,7)&lt;&gt;"Sprint_",0,IF(IF(ISNUMBER(K400),IF(K400&lt;=0,1,IF(5/K400&gt;10,1,0)),0)+IF(ISNUMBER(L400),IF(ISNUMBER(K400),IF(L400-K400&lt;=0,1,IF(5/(L400-K400)&gt;10,1,0)),IF(L400&lt;=0,1,IF(10/L400&gt;10,1,0))),0)+IF(ISNUMBER(M400),IF(ISNUMBER(L400),IF(M400-L400&lt;=0,1,IF(20/(M400-L400)&gt;10,1,0)),IF(ISNUMBER(K400),IF(M400-K400&lt;=0,1,IF(25/(M400-K400)&gt;10,1,0)),IF(M400&lt;=0,1,IF(30/M400&gt;10,1,0)))),0)&gt;0,1,0))</f>
        <v/>
      </c>
      <c r="O400" s="22">
        <f>IF(AND(J400=1,N400=0),1,0)</f>
        <v/>
      </c>
      <c r="P400" s="22">
        <f>INDEX(Personendaten!$J$2:$J$32,MATCH(A400,Personendaten!$A$2:$A$32,0))</f>
        <v/>
      </c>
      <c r="Q400" s="22">
        <f>IF(O400=1,"",IF(AND(B400="post",P400="nicht angetreten"),"NANG",IF(N400=1,"AUSL",IFERROR(VLOOKUP(H400,Vokabular!$A$2:$B$8,2,FALSE),"UNBEKANNT"))))</f>
        <v/>
      </c>
    </row>
    <row r="401">
      <c r="A401" s="5" t="inlineStr">
        <is>
          <t>VS-05</t>
        </is>
      </c>
      <c r="B401" s="5" t="inlineStr">
        <is>
          <t>prä</t>
        </is>
      </c>
      <c r="C401" s="5" t="inlineStr">
        <is>
          <t>Sprint_10m</t>
        </is>
      </c>
      <c r="D401" s="5" t="inlineStr">
        <is>
          <t>–</t>
        </is>
      </c>
      <c r="E401" s="5" t="n">
        <v>1</v>
      </c>
      <c r="F401" s="5" t="n">
        <v>2.05</v>
      </c>
      <c r="G401" s="5" t="n"/>
      <c r="H401" s="5" t="n"/>
      <c r="I401" s="22">
        <f>INDEX(Personendaten!$C$2:$C$32,MATCH(A401,Personendaten!$A$2:$A$32,0))</f>
        <v/>
      </c>
      <c r="J401" s="22">
        <f>IF(AND(F401&lt;&gt;"",G401=""),1,0)</f>
        <v/>
      </c>
      <c r="K401" s="22">
        <f>IF(LEFT(C401,7)&lt;&gt;"Sprint_","",IF(COUNTIFS(Versuchsdaten!$A$2:$A$1117,$A401,Versuchsdaten!$B$2:$B$1117,$B401,Versuchsdaten!$C$2:$C$1117,"Sprint_5m",Versuchsdaten!$E$2:$E$1117,$E401,Versuchsdaten!$J$2:$J$1117,1)=1,SUMIFS(Versuchsdaten!$F$2:$F$1117,Versuchsdaten!$A$2:$A$1117,$A401,Versuchsdaten!$B$2:$B$1117,$B401,Versuchsdaten!$C$2:$C$1117,"Sprint_5m",Versuchsdaten!$E$2:$E$1117,$E401,Versuchsdaten!$J$2:$J$1117,1),""))</f>
        <v/>
      </c>
      <c r="L401" s="22">
        <f>IF(LEFT(C401,7)&lt;&gt;"Sprint_","",IF(COUNTIFS(Versuchsdaten!$A$2:$A$1117,$A401,Versuchsdaten!$B$2:$B$1117,$B401,Versuchsdaten!$C$2:$C$1117,"Sprint_10m",Versuchsdaten!$E$2:$E$1117,$E401,Versuchsdaten!$J$2:$J$1117,1)=1,SUMIFS(Versuchsdaten!$F$2:$F$1117,Versuchsdaten!$A$2:$A$1117,$A401,Versuchsdaten!$B$2:$B$1117,$B401,Versuchsdaten!$C$2:$C$1117,"Sprint_10m",Versuchsdaten!$E$2:$E$1117,$E401,Versuchsdaten!$J$2:$J$1117,1),""))</f>
        <v/>
      </c>
      <c r="M401" s="22">
        <f>IF(LEFT(C401,7)&lt;&gt;"Sprint_","",IF(COUNTIFS(Versuchsdaten!$A$2:$A$1117,$A401,Versuchsdaten!$B$2:$B$1117,$B401,Versuchsdaten!$C$2:$C$1117,"Sprint_30m",Versuchsdaten!$E$2:$E$1117,$E401,Versuchsdaten!$J$2:$J$1117,1)=1,SUMIFS(Versuchsdaten!$F$2:$F$1117,Versuchsdaten!$A$2:$A$1117,$A401,Versuchsdaten!$B$2:$B$1117,$B401,Versuchsdaten!$C$2:$C$1117,"Sprint_30m",Versuchsdaten!$E$2:$E$1117,$E401,Versuchsdaten!$J$2:$J$1117,1),""))</f>
        <v/>
      </c>
      <c r="N401" s="22">
        <f>IF(LEFT(C401,7)&lt;&gt;"Sprint_",0,IF(IF(ISNUMBER(K401),IF(K401&lt;=0,1,IF(5/K401&gt;10,1,0)),0)+IF(ISNUMBER(L401),IF(ISNUMBER(K401),IF(L401-K401&lt;=0,1,IF(5/(L401-K401)&gt;10,1,0)),IF(L401&lt;=0,1,IF(10/L401&gt;10,1,0))),0)+IF(ISNUMBER(M401),IF(ISNUMBER(L401),IF(M401-L401&lt;=0,1,IF(20/(M401-L401)&gt;10,1,0)),IF(ISNUMBER(K401),IF(M401-K401&lt;=0,1,IF(25/(M401-K401)&gt;10,1,0)),IF(M401&lt;=0,1,IF(30/M401&gt;10,1,0)))),0)&gt;0,1,0))</f>
        <v/>
      </c>
      <c r="O401" s="22">
        <f>IF(AND(J401=1,N401=0),1,0)</f>
        <v/>
      </c>
      <c r="P401" s="22">
        <f>INDEX(Personendaten!$J$2:$J$32,MATCH(A401,Personendaten!$A$2:$A$32,0))</f>
        <v/>
      </c>
      <c r="Q401" s="22">
        <f>IF(O401=1,"",IF(AND(B401="post",P401="nicht angetreten"),"NANG",IF(N401=1,"AUSL",IFERROR(VLOOKUP(H401,Vokabular!$A$2:$B$8,2,FALSE),"UNBEKANNT"))))</f>
        <v/>
      </c>
    </row>
    <row r="402">
      <c r="A402" s="5" t="inlineStr">
        <is>
          <t>VS-05</t>
        </is>
      </c>
      <c r="B402" s="5" t="inlineStr">
        <is>
          <t>prä</t>
        </is>
      </c>
      <c r="C402" s="5" t="inlineStr">
        <is>
          <t>Sprint_10m</t>
        </is>
      </c>
      <c r="D402" s="5" t="inlineStr">
        <is>
          <t>–</t>
        </is>
      </c>
      <c r="E402" s="5" t="n">
        <v>2</v>
      </c>
      <c r="F402" s="5" t="n"/>
      <c r="G402" s="5" t="n"/>
      <c r="H402" s="5" t="inlineStr">
        <is>
          <t>System nicht aufgenommen</t>
        </is>
      </c>
      <c r="I402" s="22">
        <f>INDEX(Personendaten!$C$2:$C$32,MATCH(A402,Personendaten!$A$2:$A$32,0))</f>
        <v/>
      </c>
      <c r="J402" s="22">
        <f>IF(AND(F402&lt;&gt;"",G402=""),1,0)</f>
        <v/>
      </c>
      <c r="K402" s="22">
        <f>IF(LEFT(C402,7)&lt;&gt;"Sprint_","",IF(COUNTIFS(Versuchsdaten!$A$2:$A$1117,$A402,Versuchsdaten!$B$2:$B$1117,$B402,Versuchsdaten!$C$2:$C$1117,"Sprint_5m",Versuchsdaten!$E$2:$E$1117,$E402,Versuchsdaten!$J$2:$J$1117,1)=1,SUMIFS(Versuchsdaten!$F$2:$F$1117,Versuchsdaten!$A$2:$A$1117,$A402,Versuchsdaten!$B$2:$B$1117,$B402,Versuchsdaten!$C$2:$C$1117,"Sprint_5m",Versuchsdaten!$E$2:$E$1117,$E402,Versuchsdaten!$J$2:$J$1117,1),""))</f>
        <v/>
      </c>
      <c r="L402" s="22">
        <f>IF(LEFT(C402,7)&lt;&gt;"Sprint_","",IF(COUNTIFS(Versuchsdaten!$A$2:$A$1117,$A402,Versuchsdaten!$B$2:$B$1117,$B402,Versuchsdaten!$C$2:$C$1117,"Sprint_10m",Versuchsdaten!$E$2:$E$1117,$E402,Versuchsdaten!$J$2:$J$1117,1)=1,SUMIFS(Versuchsdaten!$F$2:$F$1117,Versuchsdaten!$A$2:$A$1117,$A402,Versuchsdaten!$B$2:$B$1117,$B402,Versuchsdaten!$C$2:$C$1117,"Sprint_10m",Versuchsdaten!$E$2:$E$1117,$E402,Versuchsdaten!$J$2:$J$1117,1),""))</f>
        <v/>
      </c>
      <c r="M402" s="22">
        <f>IF(LEFT(C402,7)&lt;&gt;"Sprint_","",IF(COUNTIFS(Versuchsdaten!$A$2:$A$1117,$A402,Versuchsdaten!$B$2:$B$1117,$B402,Versuchsdaten!$C$2:$C$1117,"Sprint_30m",Versuchsdaten!$E$2:$E$1117,$E402,Versuchsdaten!$J$2:$J$1117,1)=1,SUMIFS(Versuchsdaten!$F$2:$F$1117,Versuchsdaten!$A$2:$A$1117,$A402,Versuchsdaten!$B$2:$B$1117,$B402,Versuchsdaten!$C$2:$C$1117,"Sprint_30m",Versuchsdaten!$E$2:$E$1117,$E402,Versuchsdaten!$J$2:$J$1117,1),""))</f>
        <v/>
      </c>
      <c r="N402" s="22">
        <f>IF(LEFT(C402,7)&lt;&gt;"Sprint_",0,IF(IF(ISNUMBER(K402),IF(K402&lt;=0,1,IF(5/K402&gt;10,1,0)),0)+IF(ISNUMBER(L402),IF(ISNUMBER(K402),IF(L402-K402&lt;=0,1,IF(5/(L402-K402)&gt;10,1,0)),IF(L402&lt;=0,1,IF(10/L402&gt;10,1,0))),0)+IF(ISNUMBER(M402),IF(ISNUMBER(L402),IF(M402-L402&lt;=0,1,IF(20/(M402-L402)&gt;10,1,0)),IF(ISNUMBER(K402),IF(M402-K402&lt;=0,1,IF(25/(M402-K402)&gt;10,1,0)),IF(M402&lt;=0,1,IF(30/M402&gt;10,1,0)))),0)&gt;0,1,0))</f>
        <v/>
      </c>
      <c r="O402" s="22">
        <f>IF(AND(J402=1,N402=0),1,0)</f>
        <v/>
      </c>
      <c r="P402" s="22">
        <f>INDEX(Personendaten!$J$2:$J$32,MATCH(A402,Personendaten!$A$2:$A$32,0))</f>
        <v/>
      </c>
      <c r="Q402" s="22">
        <f>IF(O402=1,"",IF(AND(B402="post",P402="nicht angetreten"),"NANG",IF(N402=1,"AUSL",IFERROR(VLOOKUP(H402,Vokabular!$A$2:$B$8,2,FALSE),"UNBEKANNT"))))</f>
        <v/>
      </c>
    </row>
    <row r="403">
      <c r="A403" s="5" t="inlineStr">
        <is>
          <t>VS-05</t>
        </is>
      </c>
      <c r="B403" s="5" t="inlineStr">
        <is>
          <t>prä</t>
        </is>
      </c>
      <c r="C403" s="5" t="inlineStr">
        <is>
          <t>Sprint_10m</t>
        </is>
      </c>
      <c r="D403" s="5" t="inlineStr">
        <is>
          <t>–</t>
        </is>
      </c>
      <c r="E403" s="5" t="n">
        <v>3</v>
      </c>
      <c r="F403" s="5" t="n">
        <v>1.98</v>
      </c>
      <c r="G403" s="5" t="n"/>
      <c r="H403" s="5" t="n"/>
      <c r="I403" s="22">
        <f>INDEX(Personendaten!$C$2:$C$32,MATCH(A403,Personendaten!$A$2:$A$32,0))</f>
        <v/>
      </c>
      <c r="J403" s="22">
        <f>IF(AND(F403&lt;&gt;"",G403=""),1,0)</f>
        <v/>
      </c>
      <c r="K403" s="22">
        <f>IF(LEFT(C403,7)&lt;&gt;"Sprint_","",IF(COUNTIFS(Versuchsdaten!$A$2:$A$1117,$A403,Versuchsdaten!$B$2:$B$1117,$B403,Versuchsdaten!$C$2:$C$1117,"Sprint_5m",Versuchsdaten!$E$2:$E$1117,$E403,Versuchsdaten!$J$2:$J$1117,1)=1,SUMIFS(Versuchsdaten!$F$2:$F$1117,Versuchsdaten!$A$2:$A$1117,$A403,Versuchsdaten!$B$2:$B$1117,$B403,Versuchsdaten!$C$2:$C$1117,"Sprint_5m",Versuchsdaten!$E$2:$E$1117,$E403,Versuchsdaten!$J$2:$J$1117,1),""))</f>
        <v/>
      </c>
      <c r="L403" s="22">
        <f>IF(LEFT(C403,7)&lt;&gt;"Sprint_","",IF(COUNTIFS(Versuchsdaten!$A$2:$A$1117,$A403,Versuchsdaten!$B$2:$B$1117,$B403,Versuchsdaten!$C$2:$C$1117,"Sprint_10m",Versuchsdaten!$E$2:$E$1117,$E403,Versuchsdaten!$J$2:$J$1117,1)=1,SUMIFS(Versuchsdaten!$F$2:$F$1117,Versuchsdaten!$A$2:$A$1117,$A403,Versuchsdaten!$B$2:$B$1117,$B403,Versuchsdaten!$C$2:$C$1117,"Sprint_10m",Versuchsdaten!$E$2:$E$1117,$E403,Versuchsdaten!$J$2:$J$1117,1),""))</f>
        <v/>
      </c>
      <c r="M403" s="22">
        <f>IF(LEFT(C403,7)&lt;&gt;"Sprint_","",IF(COUNTIFS(Versuchsdaten!$A$2:$A$1117,$A403,Versuchsdaten!$B$2:$B$1117,$B403,Versuchsdaten!$C$2:$C$1117,"Sprint_30m",Versuchsdaten!$E$2:$E$1117,$E403,Versuchsdaten!$J$2:$J$1117,1)=1,SUMIFS(Versuchsdaten!$F$2:$F$1117,Versuchsdaten!$A$2:$A$1117,$A403,Versuchsdaten!$B$2:$B$1117,$B403,Versuchsdaten!$C$2:$C$1117,"Sprint_30m",Versuchsdaten!$E$2:$E$1117,$E403,Versuchsdaten!$J$2:$J$1117,1),""))</f>
        <v/>
      </c>
      <c r="N403" s="22">
        <f>IF(LEFT(C403,7)&lt;&gt;"Sprint_",0,IF(IF(ISNUMBER(K403),IF(K403&lt;=0,1,IF(5/K403&gt;10,1,0)),0)+IF(ISNUMBER(L403),IF(ISNUMBER(K403),IF(L403-K403&lt;=0,1,IF(5/(L403-K403)&gt;10,1,0)),IF(L403&lt;=0,1,IF(10/L403&gt;10,1,0))),0)+IF(ISNUMBER(M403),IF(ISNUMBER(L403),IF(M403-L403&lt;=0,1,IF(20/(M403-L403)&gt;10,1,0)),IF(ISNUMBER(K403),IF(M403-K403&lt;=0,1,IF(25/(M403-K403)&gt;10,1,0)),IF(M403&lt;=0,1,IF(30/M403&gt;10,1,0)))),0)&gt;0,1,0))</f>
        <v/>
      </c>
      <c r="O403" s="22">
        <f>IF(AND(J403=1,N403=0),1,0)</f>
        <v/>
      </c>
      <c r="P403" s="22">
        <f>INDEX(Personendaten!$J$2:$J$32,MATCH(A403,Personendaten!$A$2:$A$32,0))</f>
        <v/>
      </c>
      <c r="Q403" s="22">
        <f>IF(O403=1,"",IF(AND(B403="post",P403="nicht angetreten"),"NANG",IF(N403=1,"AUSL",IFERROR(VLOOKUP(H403,Vokabular!$A$2:$B$8,2,FALSE),"UNBEKANNT"))))</f>
        <v/>
      </c>
    </row>
    <row r="404">
      <c r="A404" s="5" t="inlineStr">
        <is>
          <t>VS-05</t>
        </is>
      </c>
      <c r="B404" s="5" t="inlineStr">
        <is>
          <t>prä</t>
        </is>
      </c>
      <c r="C404" s="5" t="inlineStr">
        <is>
          <t>Sprint_30m</t>
        </is>
      </c>
      <c r="D404" s="5" t="inlineStr">
        <is>
          <t>–</t>
        </is>
      </c>
      <c r="E404" s="5" t="n">
        <v>1</v>
      </c>
      <c r="F404" s="5" t="n">
        <v>5.05</v>
      </c>
      <c r="G404" s="5" t="n"/>
      <c r="H404" s="5" t="n"/>
      <c r="I404" s="22">
        <f>INDEX(Personendaten!$C$2:$C$32,MATCH(A404,Personendaten!$A$2:$A$32,0))</f>
        <v/>
      </c>
      <c r="J404" s="22">
        <f>IF(AND(F404&lt;&gt;"",G404=""),1,0)</f>
        <v/>
      </c>
      <c r="K404" s="22">
        <f>IF(LEFT(C404,7)&lt;&gt;"Sprint_","",IF(COUNTIFS(Versuchsdaten!$A$2:$A$1117,$A404,Versuchsdaten!$B$2:$B$1117,$B404,Versuchsdaten!$C$2:$C$1117,"Sprint_5m",Versuchsdaten!$E$2:$E$1117,$E404,Versuchsdaten!$J$2:$J$1117,1)=1,SUMIFS(Versuchsdaten!$F$2:$F$1117,Versuchsdaten!$A$2:$A$1117,$A404,Versuchsdaten!$B$2:$B$1117,$B404,Versuchsdaten!$C$2:$C$1117,"Sprint_5m",Versuchsdaten!$E$2:$E$1117,$E404,Versuchsdaten!$J$2:$J$1117,1),""))</f>
        <v/>
      </c>
      <c r="L404" s="22">
        <f>IF(LEFT(C404,7)&lt;&gt;"Sprint_","",IF(COUNTIFS(Versuchsdaten!$A$2:$A$1117,$A404,Versuchsdaten!$B$2:$B$1117,$B404,Versuchsdaten!$C$2:$C$1117,"Sprint_10m",Versuchsdaten!$E$2:$E$1117,$E404,Versuchsdaten!$J$2:$J$1117,1)=1,SUMIFS(Versuchsdaten!$F$2:$F$1117,Versuchsdaten!$A$2:$A$1117,$A404,Versuchsdaten!$B$2:$B$1117,$B404,Versuchsdaten!$C$2:$C$1117,"Sprint_10m",Versuchsdaten!$E$2:$E$1117,$E404,Versuchsdaten!$J$2:$J$1117,1),""))</f>
        <v/>
      </c>
      <c r="M404" s="22">
        <f>IF(LEFT(C404,7)&lt;&gt;"Sprint_","",IF(COUNTIFS(Versuchsdaten!$A$2:$A$1117,$A404,Versuchsdaten!$B$2:$B$1117,$B404,Versuchsdaten!$C$2:$C$1117,"Sprint_30m",Versuchsdaten!$E$2:$E$1117,$E404,Versuchsdaten!$J$2:$J$1117,1)=1,SUMIFS(Versuchsdaten!$F$2:$F$1117,Versuchsdaten!$A$2:$A$1117,$A404,Versuchsdaten!$B$2:$B$1117,$B404,Versuchsdaten!$C$2:$C$1117,"Sprint_30m",Versuchsdaten!$E$2:$E$1117,$E404,Versuchsdaten!$J$2:$J$1117,1),""))</f>
        <v/>
      </c>
      <c r="N404" s="22">
        <f>IF(LEFT(C404,7)&lt;&gt;"Sprint_",0,IF(IF(ISNUMBER(K404),IF(K404&lt;=0,1,IF(5/K404&gt;10,1,0)),0)+IF(ISNUMBER(L404),IF(ISNUMBER(K404),IF(L404-K404&lt;=0,1,IF(5/(L404-K404)&gt;10,1,0)),IF(L404&lt;=0,1,IF(10/L404&gt;10,1,0))),0)+IF(ISNUMBER(M404),IF(ISNUMBER(L404),IF(M404-L404&lt;=0,1,IF(20/(M404-L404)&gt;10,1,0)),IF(ISNUMBER(K404),IF(M404-K404&lt;=0,1,IF(25/(M404-K404)&gt;10,1,0)),IF(M404&lt;=0,1,IF(30/M404&gt;10,1,0)))),0)&gt;0,1,0))</f>
        <v/>
      </c>
      <c r="O404" s="22">
        <f>IF(AND(J404=1,N404=0),1,0)</f>
        <v/>
      </c>
      <c r="P404" s="22">
        <f>INDEX(Personendaten!$J$2:$J$32,MATCH(A404,Personendaten!$A$2:$A$32,0))</f>
        <v/>
      </c>
      <c r="Q404" s="22">
        <f>IF(O404=1,"",IF(AND(B404="post",P404="nicht angetreten"),"NANG",IF(N404=1,"AUSL",IFERROR(VLOOKUP(H404,Vokabular!$A$2:$B$8,2,FALSE),"UNBEKANNT"))))</f>
        <v/>
      </c>
    </row>
    <row r="405">
      <c r="A405" s="5" t="inlineStr">
        <is>
          <t>VS-05</t>
        </is>
      </c>
      <c r="B405" s="5" t="inlineStr">
        <is>
          <t>prä</t>
        </is>
      </c>
      <c r="C405" s="5" t="inlineStr">
        <is>
          <t>Sprint_30m</t>
        </is>
      </c>
      <c r="D405" s="5" t="inlineStr">
        <is>
          <t>–</t>
        </is>
      </c>
      <c r="E405" s="5" t="n">
        <v>2</v>
      </c>
      <c r="F405" s="5" t="n"/>
      <c r="G405" s="5" t="n"/>
      <c r="H405" s="5" t="inlineStr">
        <is>
          <t>System nicht aufgenommen</t>
        </is>
      </c>
      <c r="I405" s="22">
        <f>INDEX(Personendaten!$C$2:$C$32,MATCH(A405,Personendaten!$A$2:$A$32,0))</f>
        <v/>
      </c>
      <c r="J405" s="22">
        <f>IF(AND(F405&lt;&gt;"",G405=""),1,0)</f>
        <v/>
      </c>
      <c r="K405" s="22">
        <f>IF(LEFT(C405,7)&lt;&gt;"Sprint_","",IF(COUNTIFS(Versuchsdaten!$A$2:$A$1117,$A405,Versuchsdaten!$B$2:$B$1117,$B405,Versuchsdaten!$C$2:$C$1117,"Sprint_5m",Versuchsdaten!$E$2:$E$1117,$E405,Versuchsdaten!$J$2:$J$1117,1)=1,SUMIFS(Versuchsdaten!$F$2:$F$1117,Versuchsdaten!$A$2:$A$1117,$A405,Versuchsdaten!$B$2:$B$1117,$B405,Versuchsdaten!$C$2:$C$1117,"Sprint_5m",Versuchsdaten!$E$2:$E$1117,$E405,Versuchsdaten!$J$2:$J$1117,1),""))</f>
        <v/>
      </c>
      <c r="L405" s="22">
        <f>IF(LEFT(C405,7)&lt;&gt;"Sprint_","",IF(COUNTIFS(Versuchsdaten!$A$2:$A$1117,$A405,Versuchsdaten!$B$2:$B$1117,$B405,Versuchsdaten!$C$2:$C$1117,"Sprint_10m",Versuchsdaten!$E$2:$E$1117,$E405,Versuchsdaten!$J$2:$J$1117,1)=1,SUMIFS(Versuchsdaten!$F$2:$F$1117,Versuchsdaten!$A$2:$A$1117,$A405,Versuchsdaten!$B$2:$B$1117,$B405,Versuchsdaten!$C$2:$C$1117,"Sprint_10m",Versuchsdaten!$E$2:$E$1117,$E405,Versuchsdaten!$J$2:$J$1117,1),""))</f>
        <v/>
      </c>
      <c r="M405" s="22">
        <f>IF(LEFT(C405,7)&lt;&gt;"Sprint_","",IF(COUNTIFS(Versuchsdaten!$A$2:$A$1117,$A405,Versuchsdaten!$B$2:$B$1117,$B405,Versuchsdaten!$C$2:$C$1117,"Sprint_30m",Versuchsdaten!$E$2:$E$1117,$E405,Versuchsdaten!$J$2:$J$1117,1)=1,SUMIFS(Versuchsdaten!$F$2:$F$1117,Versuchsdaten!$A$2:$A$1117,$A405,Versuchsdaten!$B$2:$B$1117,$B405,Versuchsdaten!$C$2:$C$1117,"Sprint_30m",Versuchsdaten!$E$2:$E$1117,$E405,Versuchsdaten!$J$2:$J$1117,1),""))</f>
        <v/>
      </c>
      <c r="N405" s="22">
        <f>IF(LEFT(C405,7)&lt;&gt;"Sprint_",0,IF(IF(ISNUMBER(K405),IF(K405&lt;=0,1,IF(5/K405&gt;10,1,0)),0)+IF(ISNUMBER(L405),IF(ISNUMBER(K405),IF(L405-K405&lt;=0,1,IF(5/(L405-K405)&gt;10,1,0)),IF(L405&lt;=0,1,IF(10/L405&gt;10,1,0))),0)+IF(ISNUMBER(M405),IF(ISNUMBER(L405),IF(M405-L405&lt;=0,1,IF(20/(M405-L405)&gt;10,1,0)),IF(ISNUMBER(K405),IF(M405-K405&lt;=0,1,IF(25/(M405-K405)&gt;10,1,0)),IF(M405&lt;=0,1,IF(30/M405&gt;10,1,0)))),0)&gt;0,1,0))</f>
        <v/>
      </c>
      <c r="O405" s="22">
        <f>IF(AND(J405=1,N405=0),1,0)</f>
        <v/>
      </c>
      <c r="P405" s="22">
        <f>INDEX(Personendaten!$J$2:$J$32,MATCH(A405,Personendaten!$A$2:$A$32,0))</f>
        <v/>
      </c>
      <c r="Q405" s="22">
        <f>IF(O405=1,"",IF(AND(B405="post",P405="nicht angetreten"),"NANG",IF(N405=1,"AUSL",IFERROR(VLOOKUP(H405,Vokabular!$A$2:$B$8,2,FALSE),"UNBEKANNT"))))</f>
        <v/>
      </c>
    </row>
    <row r="406">
      <c r="A406" s="5" t="inlineStr">
        <is>
          <t>VS-05</t>
        </is>
      </c>
      <c r="B406" s="5" t="inlineStr">
        <is>
          <t>prä</t>
        </is>
      </c>
      <c r="C406" s="5" t="inlineStr">
        <is>
          <t>Sprint_30m</t>
        </is>
      </c>
      <c r="D406" s="5" t="inlineStr">
        <is>
          <t>–</t>
        </is>
      </c>
      <c r="E406" s="5" t="n">
        <v>3</v>
      </c>
      <c r="F406" s="5" t="n">
        <v>4.95</v>
      </c>
      <c r="G406" s="5" t="n"/>
      <c r="H406" s="5" t="n"/>
      <c r="I406" s="22">
        <f>INDEX(Personendaten!$C$2:$C$32,MATCH(A406,Personendaten!$A$2:$A$32,0))</f>
        <v/>
      </c>
      <c r="J406" s="22">
        <f>IF(AND(F406&lt;&gt;"",G406=""),1,0)</f>
        <v/>
      </c>
      <c r="K406" s="22">
        <f>IF(LEFT(C406,7)&lt;&gt;"Sprint_","",IF(COUNTIFS(Versuchsdaten!$A$2:$A$1117,$A406,Versuchsdaten!$B$2:$B$1117,$B406,Versuchsdaten!$C$2:$C$1117,"Sprint_5m",Versuchsdaten!$E$2:$E$1117,$E406,Versuchsdaten!$J$2:$J$1117,1)=1,SUMIFS(Versuchsdaten!$F$2:$F$1117,Versuchsdaten!$A$2:$A$1117,$A406,Versuchsdaten!$B$2:$B$1117,$B406,Versuchsdaten!$C$2:$C$1117,"Sprint_5m",Versuchsdaten!$E$2:$E$1117,$E406,Versuchsdaten!$J$2:$J$1117,1),""))</f>
        <v/>
      </c>
      <c r="L406" s="22">
        <f>IF(LEFT(C406,7)&lt;&gt;"Sprint_","",IF(COUNTIFS(Versuchsdaten!$A$2:$A$1117,$A406,Versuchsdaten!$B$2:$B$1117,$B406,Versuchsdaten!$C$2:$C$1117,"Sprint_10m",Versuchsdaten!$E$2:$E$1117,$E406,Versuchsdaten!$J$2:$J$1117,1)=1,SUMIFS(Versuchsdaten!$F$2:$F$1117,Versuchsdaten!$A$2:$A$1117,$A406,Versuchsdaten!$B$2:$B$1117,$B406,Versuchsdaten!$C$2:$C$1117,"Sprint_10m",Versuchsdaten!$E$2:$E$1117,$E406,Versuchsdaten!$J$2:$J$1117,1),""))</f>
        <v/>
      </c>
      <c r="M406" s="22">
        <f>IF(LEFT(C406,7)&lt;&gt;"Sprint_","",IF(COUNTIFS(Versuchsdaten!$A$2:$A$1117,$A406,Versuchsdaten!$B$2:$B$1117,$B406,Versuchsdaten!$C$2:$C$1117,"Sprint_30m",Versuchsdaten!$E$2:$E$1117,$E406,Versuchsdaten!$J$2:$J$1117,1)=1,SUMIFS(Versuchsdaten!$F$2:$F$1117,Versuchsdaten!$A$2:$A$1117,$A406,Versuchsdaten!$B$2:$B$1117,$B406,Versuchsdaten!$C$2:$C$1117,"Sprint_30m",Versuchsdaten!$E$2:$E$1117,$E406,Versuchsdaten!$J$2:$J$1117,1),""))</f>
        <v/>
      </c>
      <c r="N406" s="22">
        <f>IF(LEFT(C406,7)&lt;&gt;"Sprint_",0,IF(IF(ISNUMBER(K406),IF(K406&lt;=0,1,IF(5/K406&gt;10,1,0)),0)+IF(ISNUMBER(L406),IF(ISNUMBER(K406),IF(L406-K406&lt;=0,1,IF(5/(L406-K406)&gt;10,1,0)),IF(L406&lt;=0,1,IF(10/L406&gt;10,1,0))),0)+IF(ISNUMBER(M406),IF(ISNUMBER(L406),IF(M406-L406&lt;=0,1,IF(20/(M406-L406)&gt;10,1,0)),IF(ISNUMBER(K406),IF(M406-K406&lt;=0,1,IF(25/(M406-K406)&gt;10,1,0)),IF(M406&lt;=0,1,IF(30/M406&gt;10,1,0)))),0)&gt;0,1,0))</f>
        <v/>
      </c>
      <c r="O406" s="22">
        <f>IF(AND(J406=1,N406=0),1,0)</f>
        <v/>
      </c>
      <c r="P406" s="22">
        <f>INDEX(Personendaten!$J$2:$J$32,MATCH(A406,Personendaten!$A$2:$A$32,0))</f>
        <v/>
      </c>
      <c r="Q406" s="22">
        <f>IF(O406=1,"",IF(AND(B406="post",P406="nicht angetreten"),"NANG",IF(N406=1,"AUSL",IFERROR(VLOOKUP(H406,Vokabular!$A$2:$B$8,2,FALSE),"UNBEKANNT"))))</f>
        <v/>
      </c>
    </row>
    <row r="407">
      <c r="A407" s="5" t="inlineStr">
        <is>
          <t>VS-05</t>
        </is>
      </c>
      <c r="B407" s="5" t="inlineStr">
        <is>
          <t>prä</t>
        </is>
      </c>
      <c r="C407" s="5" t="inlineStr">
        <is>
          <t>Standweitsprung</t>
        </is>
      </c>
      <c r="D407" s="5" t="inlineStr">
        <is>
          <t>–</t>
        </is>
      </c>
      <c r="E407" s="5" t="n">
        <v>1</v>
      </c>
      <c r="F407" s="5" t="n"/>
      <c r="G407" s="5" t="n"/>
      <c r="H407" s="5" t="inlineStr">
        <is>
          <t>System nicht aufgenommen</t>
        </is>
      </c>
      <c r="I407" s="22">
        <f>INDEX(Personendaten!$C$2:$C$32,MATCH(A407,Personendaten!$A$2:$A$32,0))</f>
        <v/>
      </c>
      <c r="J407" s="22">
        <f>IF(AND(F407&lt;&gt;"",G407=""),1,0)</f>
        <v/>
      </c>
      <c r="K407" s="22">
        <f>IF(LEFT(C407,7)&lt;&gt;"Sprint_","",IF(COUNTIFS(Versuchsdaten!$A$2:$A$1117,$A407,Versuchsdaten!$B$2:$B$1117,$B407,Versuchsdaten!$C$2:$C$1117,"Sprint_5m",Versuchsdaten!$E$2:$E$1117,$E407,Versuchsdaten!$J$2:$J$1117,1)=1,SUMIFS(Versuchsdaten!$F$2:$F$1117,Versuchsdaten!$A$2:$A$1117,$A407,Versuchsdaten!$B$2:$B$1117,$B407,Versuchsdaten!$C$2:$C$1117,"Sprint_5m",Versuchsdaten!$E$2:$E$1117,$E407,Versuchsdaten!$J$2:$J$1117,1),""))</f>
        <v/>
      </c>
      <c r="L407" s="22">
        <f>IF(LEFT(C407,7)&lt;&gt;"Sprint_","",IF(COUNTIFS(Versuchsdaten!$A$2:$A$1117,$A407,Versuchsdaten!$B$2:$B$1117,$B407,Versuchsdaten!$C$2:$C$1117,"Sprint_10m",Versuchsdaten!$E$2:$E$1117,$E407,Versuchsdaten!$J$2:$J$1117,1)=1,SUMIFS(Versuchsdaten!$F$2:$F$1117,Versuchsdaten!$A$2:$A$1117,$A407,Versuchsdaten!$B$2:$B$1117,$B407,Versuchsdaten!$C$2:$C$1117,"Sprint_10m",Versuchsdaten!$E$2:$E$1117,$E407,Versuchsdaten!$J$2:$J$1117,1),""))</f>
        <v/>
      </c>
      <c r="M407" s="22">
        <f>IF(LEFT(C407,7)&lt;&gt;"Sprint_","",IF(COUNTIFS(Versuchsdaten!$A$2:$A$1117,$A407,Versuchsdaten!$B$2:$B$1117,$B407,Versuchsdaten!$C$2:$C$1117,"Sprint_30m",Versuchsdaten!$E$2:$E$1117,$E407,Versuchsdaten!$J$2:$J$1117,1)=1,SUMIFS(Versuchsdaten!$F$2:$F$1117,Versuchsdaten!$A$2:$A$1117,$A407,Versuchsdaten!$B$2:$B$1117,$B407,Versuchsdaten!$C$2:$C$1117,"Sprint_30m",Versuchsdaten!$E$2:$E$1117,$E407,Versuchsdaten!$J$2:$J$1117,1),""))</f>
        <v/>
      </c>
      <c r="N407" s="22">
        <f>IF(LEFT(C407,7)&lt;&gt;"Sprint_",0,IF(IF(ISNUMBER(K407),IF(K407&lt;=0,1,IF(5/K407&gt;10,1,0)),0)+IF(ISNUMBER(L407),IF(ISNUMBER(K407),IF(L407-K407&lt;=0,1,IF(5/(L407-K407)&gt;10,1,0)),IF(L407&lt;=0,1,IF(10/L407&gt;10,1,0))),0)+IF(ISNUMBER(M407),IF(ISNUMBER(L407),IF(M407-L407&lt;=0,1,IF(20/(M407-L407)&gt;10,1,0)),IF(ISNUMBER(K407),IF(M407-K407&lt;=0,1,IF(25/(M407-K407)&gt;10,1,0)),IF(M407&lt;=0,1,IF(30/M407&gt;10,1,0)))),0)&gt;0,1,0))</f>
        <v/>
      </c>
      <c r="O407" s="22">
        <f>IF(AND(J407=1,N407=0),1,0)</f>
        <v/>
      </c>
      <c r="P407" s="22">
        <f>INDEX(Personendaten!$J$2:$J$32,MATCH(A407,Personendaten!$A$2:$A$32,0))</f>
        <v/>
      </c>
      <c r="Q407" s="22">
        <f>IF(O407=1,"",IF(AND(B407="post",P407="nicht angetreten"),"NANG",IF(N407=1,"AUSL",IFERROR(VLOOKUP(H407,Vokabular!$A$2:$B$8,2,FALSE),"UNBEKANNT"))))</f>
        <v/>
      </c>
    </row>
    <row r="408">
      <c r="A408" s="5" t="inlineStr">
        <is>
          <t>VS-05</t>
        </is>
      </c>
      <c r="B408" s="5" t="inlineStr">
        <is>
          <t>prä</t>
        </is>
      </c>
      <c r="C408" s="5" t="inlineStr">
        <is>
          <t>Standweitsprung</t>
        </is>
      </c>
      <c r="D408" s="5" t="inlineStr">
        <is>
          <t>–</t>
        </is>
      </c>
      <c r="E408" s="5" t="n">
        <v>2</v>
      </c>
      <c r="F408" s="5" t="n">
        <v>207</v>
      </c>
      <c r="G408" s="5" t="n"/>
      <c r="H408" s="5" t="n"/>
      <c r="I408" s="22">
        <f>INDEX(Personendaten!$C$2:$C$32,MATCH(A408,Personendaten!$A$2:$A$32,0))</f>
        <v/>
      </c>
      <c r="J408" s="22">
        <f>IF(AND(F408&lt;&gt;"",G408=""),1,0)</f>
        <v/>
      </c>
      <c r="K408" s="22">
        <f>IF(LEFT(C408,7)&lt;&gt;"Sprint_","",IF(COUNTIFS(Versuchsdaten!$A$2:$A$1117,$A408,Versuchsdaten!$B$2:$B$1117,$B408,Versuchsdaten!$C$2:$C$1117,"Sprint_5m",Versuchsdaten!$E$2:$E$1117,$E408,Versuchsdaten!$J$2:$J$1117,1)=1,SUMIFS(Versuchsdaten!$F$2:$F$1117,Versuchsdaten!$A$2:$A$1117,$A408,Versuchsdaten!$B$2:$B$1117,$B408,Versuchsdaten!$C$2:$C$1117,"Sprint_5m",Versuchsdaten!$E$2:$E$1117,$E408,Versuchsdaten!$J$2:$J$1117,1),""))</f>
        <v/>
      </c>
      <c r="L408" s="22">
        <f>IF(LEFT(C408,7)&lt;&gt;"Sprint_","",IF(COUNTIFS(Versuchsdaten!$A$2:$A$1117,$A408,Versuchsdaten!$B$2:$B$1117,$B408,Versuchsdaten!$C$2:$C$1117,"Sprint_10m",Versuchsdaten!$E$2:$E$1117,$E408,Versuchsdaten!$J$2:$J$1117,1)=1,SUMIFS(Versuchsdaten!$F$2:$F$1117,Versuchsdaten!$A$2:$A$1117,$A408,Versuchsdaten!$B$2:$B$1117,$B408,Versuchsdaten!$C$2:$C$1117,"Sprint_10m",Versuchsdaten!$E$2:$E$1117,$E408,Versuchsdaten!$J$2:$J$1117,1),""))</f>
        <v/>
      </c>
      <c r="M408" s="22">
        <f>IF(LEFT(C408,7)&lt;&gt;"Sprint_","",IF(COUNTIFS(Versuchsdaten!$A$2:$A$1117,$A408,Versuchsdaten!$B$2:$B$1117,$B408,Versuchsdaten!$C$2:$C$1117,"Sprint_30m",Versuchsdaten!$E$2:$E$1117,$E408,Versuchsdaten!$J$2:$J$1117,1)=1,SUMIFS(Versuchsdaten!$F$2:$F$1117,Versuchsdaten!$A$2:$A$1117,$A408,Versuchsdaten!$B$2:$B$1117,$B408,Versuchsdaten!$C$2:$C$1117,"Sprint_30m",Versuchsdaten!$E$2:$E$1117,$E408,Versuchsdaten!$J$2:$J$1117,1),""))</f>
        <v/>
      </c>
      <c r="N408" s="22">
        <f>IF(LEFT(C408,7)&lt;&gt;"Sprint_",0,IF(IF(ISNUMBER(K408),IF(K408&lt;=0,1,IF(5/K408&gt;10,1,0)),0)+IF(ISNUMBER(L408),IF(ISNUMBER(K408),IF(L408-K408&lt;=0,1,IF(5/(L408-K408)&gt;10,1,0)),IF(L408&lt;=0,1,IF(10/L408&gt;10,1,0))),0)+IF(ISNUMBER(M408),IF(ISNUMBER(L408),IF(M408-L408&lt;=0,1,IF(20/(M408-L408)&gt;10,1,0)),IF(ISNUMBER(K408),IF(M408-K408&lt;=0,1,IF(25/(M408-K408)&gt;10,1,0)),IF(M408&lt;=0,1,IF(30/M408&gt;10,1,0)))),0)&gt;0,1,0))</f>
        <v/>
      </c>
      <c r="O408" s="22">
        <f>IF(AND(J408=1,N408=0),1,0)</f>
        <v/>
      </c>
      <c r="P408" s="22">
        <f>INDEX(Personendaten!$J$2:$J$32,MATCH(A408,Personendaten!$A$2:$A$32,0))</f>
        <v/>
      </c>
      <c r="Q408" s="22">
        <f>IF(O408=1,"",IF(AND(B408="post",P408="nicht angetreten"),"NANG",IF(N408=1,"AUSL",IFERROR(VLOOKUP(H408,Vokabular!$A$2:$B$8,2,FALSE),"UNBEKANNT"))))</f>
        <v/>
      </c>
    </row>
    <row r="409">
      <c r="A409" s="5" t="inlineStr">
        <is>
          <t>VS-05</t>
        </is>
      </c>
      <c r="B409" s="5" t="inlineStr">
        <is>
          <t>prä</t>
        </is>
      </c>
      <c r="C409" s="5" t="inlineStr">
        <is>
          <t>Standweitsprung</t>
        </is>
      </c>
      <c r="D409" s="5" t="inlineStr">
        <is>
          <t>–</t>
        </is>
      </c>
      <c r="E409" s="5" t="n">
        <v>3</v>
      </c>
      <c r="F409" s="5" t="n">
        <v>228</v>
      </c>
      <c r="G409" s="5" t="n"/>
      <c r="H409" s="5" t="n"/>
      <c r="I409" s="22">
        <f>INDEX(Personendaten!$C$2:$C$32,MATCH(A409,Personendaten!$A$2:$A$32,0))</f>
        <v/>
      </c>
      <c r="J409" s="22">
        <f>IF(AND(F409&lt;&gt;"",G409=""),1,0)</f>
        <v/>
      </c>
      <c r="K409" s="22">
        <f>IF(LEFT(C409,7)&lt;&gt;"Sprint_","",IF(COUNTIFS(Versuchsdaten!$A$2:$A$1117,$A409,Versuchsdaten!$B$2:$B$1117,$B409,Versuchsdaten!$C$2:$C$1117,"Sprint_5m",Versuchsdaten!$E$2:$E$1117,$E409,Versuchsdaten!$J$2:$J$1117,1)=1,SUMIFS(Versuchsdaten!$F$2:$F$1117,Versuchsdaten!$A$2:$A$1117,$A409,Versuchsdaten!$B$2:$B$1117,$B409,Versuchsdaten!$C$2:$C$1117,"Sprint_5m",Versuchsdaten!$E$2:$E$1117,$E409,Versuchsdaten!$J$2:$J$1117,1),""))</f>
        <v/>
      </c>
      <c r="L409" s="22">
        <f>IF(LEFT(C409,7)&lt;&gt;"Sprint_","",IF(COUNTIFS(Versuchsdaten!$A$2:$A$1117,$A409,Versuchsdaten!$B$2:$B$1117,$B409,Versuchsdaten!$C$2:$C$1117,"Sprint_10m",Versuchsdaten!$E$2:$E$1117,$E409,Versuchsdaten!$J$2:$J$1117,1)=1,SUMIFS(Versuchsdaten!$F$2:$F$1117,Versuchsdaten!$A$2:$A$1117,$A409,Versuchsdaten!$B$2:$B$1117,$B409,Versuchsdaten!$C$2:$C$1117,"Sprint_10m",Versuchsdaten!$E$2:$E$1117,$E409,Versuchsdaten!$J$2:$J$1117,1),""))</f>
        <v/>
      </c>
      <c r="M409" s="22">
        <f>IF(LEFT(C409,7)&lt;&gt;"Sprint_","",IF(COUNTIFS(Versuchsdaten!$A$2:$A$1117,$A409,Versuchsdaten!$B$2:$B$1117,$B409,Versuchsdaten!$C$2:$C$1117,"Sprint_30m",Versuchsdaten!$E$2:$E$1117,$E409,Versuchsdaten!$J$2:$J$1117,1)=1,SUMIFS(Versuchsdaten!$F$2:$F$1117,Versuchsdaten!$A$2:$A$1117,$A409,Versuchsdaten!$B$2:$B$1117,$B409,Versuchsdaten!$C$2:$C$1117,"Sprint_30m",Versuchsdaten!$E$2:$E$1117,$E409,Versuchsdaten!$J$2:$J$1117,1),""))</f>
        <v/>
      </c>
      <c r="N409" s="22">
        <f>IF(LEFT(C409,7)&lt;&gt;"Sprint_",0,IF(IF(ISNUMBER(K409),IF(K409&lt;=0,1,IF(5/K409&gt;10,1,0)),0)+IF(ISNUMBER(L409),IF(ISNUMBER(K409),IF(L409-K409&lt;=0,1,IF(5/(L409-K409)&gt;10,1,0)),IF(L409&lt;=0,1,IF(10/L409&gt;10,1,0))),0)+IF(ISNUMBER(M409),IF(ISNUMBER(L409),IF(M409-L409&lt;=0,1,IF(20/(M409-L409)&gt;10,1,0)),IF(ISNUMBER(K409),IF(M409-K409&lt;=0,1,IF(25/(M409-K409)&gt;10,1,0)),IF(M409&lt;=0,1,IF(30/M409&gt;10,1,0)))),0)&gt;0,1,0))</f>
        <v/>
      </c>
      <c r="O409" s="22">
        <f>IF(AND(J409=1,N409=0),1,0)</f>
        <v/>
      </c>
      <c r="P409" s="22">
        <f>INDEX(Personendaten!$J$2:$J$32,MATCH(A409,Personendaten!$A$2:$A$32,0))</f>
        <v/>
      </c>
      <c r="Q409" s="22">
        <f>IF(O409=1,"",IF(AND(B409="post",P409="nicht angetreten"),"NANG",IF(N409=1,"AUSL",IFERROR(VLOOKUP(H409,Vokabular!$A$2:$B$8,2,FALSE),"UNBEKANNT"))))</f>
        <v/>
      </c>
    </row>
    <row r="410">
      <c r="A410" s="5" t="inlineStr">
        <is>
          <t>VS-05</t>
        </is>
      </c>
      <c r="B410" s="5" t="inlineStr">
        <is>
          <t>prä</t>
        </is>
      </c>
      <c r="C410" s="5" t="inlineStr">
        <is>
          <t>COD_505</t>
        </is>
      </c>
      <c r="D410" s="5" t="inlineStr">
        <is>
          <t>L</t>
        </is>
      </c>
      <c r="E410" s="5" t="n">
        <v>1</v>
      </c>
      <c r="F410" s="5" t="n"/>
      <c r="G410" s="5" t="n"/>
      <c r="H410" s="5" t="inlineStr">
        <is>
          <t>System nicht aufgenommen</t>
        </is>
      </c>
      <c r="I410" s="22">
        <f>INDEX(Personendaten!$C$2:$C$32,MATCH(A410,Personendaten!$A$2:$A$32,0))</f>
        <v/>
      </c>
      <c r="J410" s="22">
        <f>IF(AND(F410&lt;&gt;"",G410=""),1,0)</f>
        <v/>
      </c>
      <c r="K410" s="22">
        <f>IF(LEFT(C410,7)&lt;&gt;"Sprint_","",IF(COUNTIFS(Versuchsdaten!$A$2:$A$1117,$A410,Versuchsdaten!$B$2:$B$1117,$B410,Versuchsdaten!$C$2:$C$1117,"Sprint_5m",Versuchsdaten!$E$2:$E$1117,$E410,Versuchsdaten!$J$2:$J$1117,1)=1,SUMIFS(Versuchsdaten!$F$2:$F$1117,Versuchsdaten!$A$2:$A$1117,$A410,Versuchsdaten!$B$2:$B$1117,$B410,Versuchsdaten!$C$2:$C$1117,"Sprint_5m",Versuchsdaten!$E$2:$E$1117,$E410,Versuchsdaten!$J$2:$J$1117,1),""))</f>
        <v/>
      </c>
      <c r="L410" s="22">
        <f>IF(LEFT(C410,7)&lt;&gt;"Sprint_","",IF(COUNTIFS(Versuchsdaten!$A$2:$A$1117,$A410,Versuchsdaten!$B$2:$B$1117,$B410,Versuchsdaten!$C$2:$C$1117,"Sprint_10m",Versuchsdaten!$E$2:$E$1117,$E410,Versuchsdaten!$J$2:$J$1117,1)=1,SUMIFS(Versuchsdaten!$F$2:$F$1117,Versuchsdaten!$A$2:$A$1117,$A410,Versuchsdaten!$B$2:$B$1117,$B410,Versuchsdaten!$C$2:$C$1117,"Sprint_10m",Versuchsdaten!$E$2:$E$1117,$E410,Versuchsdaten!$J$2:$J$1117,1),""))</f>
        <v/>
      </c>
      <c r="M410" s="22">
        <f>IF(LEFT(C410,7)&lt;&gt;"Sprint_","",IF(COUNTIFS(Versuchsdaten!$A$2:$A$1117,$A410,Versuchsdaten!$B$2:$B$1117,$B410,Versuchsdaten!$C$2:$C$1117,"Sprint_30m",Versuchsdaten!$E$2:$E$1117,$E410,Versuchsdaten!$J$2:$J$1117,1)=1,SUMIFS(Versuchsdaten!$F$2:$F$1117,Versuchsdaten!$A$2:$A$1117,$A410,Versuchsdaten!$B$2:$B$1117,$B410,Versuchsdaten!$C$2:$C$1117,"Sprint_30m",Versuchsdaten!$E$2:$E$1117,$E410,Versuchsdaten!$J$2:$J$1117,1),""))</f>
        <v/>
      </c>
      <c r="N410" s="22">
        <f>IF(LEFT(C410,7)&lt;&gt;"Sprint_",0,IF(IF(ISNUMBER(K410),IF(K410&lt;=0,1,IF(5/K410&gt;10,1,0)),0)+IF(ISNUMBER(L410),IF(ISNUMBER(K410),IF(L410-K410&lt;=0,1,IF(5/(L410-K410)&gt;10,1,0)),IF(L410&lt;=0,1,IF(10/L410&gt;10,1,0))),0)+IF(ISNUMBER(M410),IF(ISNUMBER(L410),IF(M410-L410&lt;=0,1,IF(20/(M410-L410)&gt;10,1,0)),IF(ISNUMBER(K410),IF(M410-K410&lt;=0,1,IF(25/(M410-K410)&gt;10,1,0)),IF(M410&lt;=0,1,IF(30/M410&gt;10,1,0)))),0)&gt;0,1,0))</f>
        <v/>
      </c>
      <c r="O410" s="22">
        <f>IF(AND(J410=1,N410=0),1,0)</f>
        <v/>
      </c>
      <c r="P410" s="22">
        <f>INDEX(Personendaten!$J$2:$J$32,MATCH(A410,Personendaten!$A$2:$A$32,0))</f>
        <v/>
      </c>
      <c r="Q410" s="22">
        <f>IF(O410=1,"",IF(AND(B410="post",P410="nicht angetreten"),"NANG",IF(N410=1,"AUSL",IFERROR(VLOOKUP(H410,Vokabular!$A$2:$B$8,2,FALSE),"UNBEKANNT"))))</f>
        <v/>
      </c>
    </row>
    <row r="411">
      <c r="A411" s="5" t="inlineStr">
        <is>
          <t>VS-05</t>
        </is>
      </c>
      <c r="B411" s="5" t="inlineStr">
        <is>
          <t>prä</t>
        </is>
      </c>
      <c r="C411" s="5" t="inlineStr">
        <is>
          <t>COD_505</t>
        </is>
      </c>
      <c r="D411" s="5" t="inlineStr">
        <is>
          <t>L</t>
        </is>
      </c>
      <c r="E411" s="5" t="n">
        <v>2</v>
      </c>
      <c r="F411" s="5" t="n"/>
      <c r="G411" s="5" t="n"/>
      <c r="H411" s="5" t="inlineStr">
        <is>
          <t>System nicht aufgenommen</t>
        </is>
      </c>
      <c r="I411" s="22">
        <f>INDEX(Personendaten!$C$2:$C$32,MATCH(A411,Personendaten!$A$2:$A$32,0))</f>
        <v/>
      </c>
      <c r="J411" s="22">
        <f>IF(AND(F411&lt;&gt;"",G411=""),1,0)</f>
        <v/>
      </c>
      <c r="K411" s="22">
        <f>IF(LEFT(C411,7)&lt;&gt;"Sprint_","",IF(COUNTIFS(Versuchsdaten!$A$2:$A$1117,$A411,Versuchsdaten!$B$2:$B$1117,$B411,Versuchsdaten!$C$2:$C$1117,"Sprint_5m",Versuchsdaten!$E$2:$E$1117,$E411,Versuchsdaten!$J$2:$J$1117,1)=1,SUMIFS(Versuchsdaten!$F$2:$F$1117,Versuchsdaten!$A$2:$A$1117,$A411,Versuchsdaten!$B$2:$B$1117,$B411,Versuchsdaten!$C$2:$C$1117,"Sprint_5m",Versuchsdaten!$E$2:$E$1117,$E411,Versuchsdaten!$J$2:$J$1117,1),""))</f>
        <v/>
      </c>
      <c r="L411" s="22">
        <f>IF(LEFT(C411,7)&lt;&gt;"Sprint_","",IF(COUNTIFS(Versuchsdaten!$A$2:$A$1117,$A411,Versuchsdaten!$B$2:$B$1117,$B411,Versuchsdaten!$C$2:$C$1117,"Sprint_10m",Versuchsdaten!$E$2:$E$1117,$E411,Versuchsdaten!$J$2:$J$1117,1)=1,SUMIFS(Versuchsdaten!$F$2:$F$1117,Versuchsdaten!$A$2:$A$1117,$A411,Versuchsdaten!$B$2:$B$1117,$B411,Versuchsdaten!$C$2:$C$1117,"Sprint_10m",Versuchsdaten!$E$2:$E$1117,$E411,Versuchsdaten!$J$2:$J$1117,1),""))</f>
        <v/>
      </c>
      <c r="M411" s="22">
        <f>IF(LEFT(C411,7)&lt;&gt;"Sprint_","",IF(COUNTIFS(Versuchsdaten!$A$2:$A$1117,$A411,Versuchsdaten!$B$2:$B$1117,$B411,Versuchsdaten!$C$2:$C$1117,"Sprint_30m",Versuchsdaten!$E$2:$E$1117,$E411,Versuchsdaten!$J$2:$J$1117,1)=1,SUMIFS(Versuchsdaten!$F$2:$F$1117,Versuchsdaten!$A$2:$A$1117,$A411,Versuchsdaten!$B$2:$B$1117,$B411,Versuchsdaten!$C$2:$C$1117,"Sprint_30m",Versuchsdaten!$E$2:$E$1117,$E411,Versuchsdaten!$J$2:$J$1117,1),""))</f>
        <v/>
      </c>
      <c r="N411" s="22">
        <f>IF(LEFT(C411,7)&lt;&gt;"Sprint_",0,IF(IF(ISNUMBER(K411),IF(K411&lt;=0,1,IF(5/K411&gt;10,1,0)),0)+IF(ISNUMBER(L411),IF(ISNUMBER(K411),IF(L411-K411&lt;=0,1,IF(5/(L411-K411)&gt;10,1,0)),IF(L411&lt;=0,1,IF(10/L411&gt;10,1,0))),0)+IF(ISNUMBER(M411),IF(ISNUMBER(L411),IF(M411-L411&lt;=0,1,IF(20/(M411-L411)&gt;10,1,0)),IF(ISNUMBER(K411),IF(M411-K411&lt;=0,1,IF(25/(M411-K411)&gt;10,1,0)),IF(M411&lt;=0,1,IF(30/M411&gt;10,1,0)))),0)&gt;0,1,0))</f>
        <v/>
      </c>
      <c r="O411" s="22">
        <f>IF(AND(J411=1,N411=0),1,0)</f>
        <v/>
      </c>
      <c r="P411" s="22">
        <f>INDEX(Personendaten!$J$2:$J$32,MATCH(A411,Personendaten!$A$2:$A$32,0))</f>
        <v/>
      </c>
      <c r="Q411" s="22">
        <f>IF(O411=1,"",IF(AND(B411="post",P411="nicht angetreten"),"NANG",IF(N411=1,"AUSL",IFERROR(VLOOKUP(H411,Vokabular!$A$2:$B$8,2,FALSE),"UNBEKANNT"))))</f>
        <v/>
      </c>
    </row>
    <row r="412">
      <c r="A412" s="5" t="inlineStr">
        <is>
          <t>VS-05</t>
        </is>
      </c>
      <c r="B412" s="5" t="inlineStr">
        <is>
          <t>prä</t>
        </is>
      </c>
      <c r="C412" s="5" t="inlineStr">
        <is>
          <t>COD_505</t>
        </is>
      </c>
      <c r="D412" s="5" t="inlineStr">
        <is>
          <t>L</t>
        </is>
      </c>
      <c r="E412" s="5" t="n">
        <v>3</v>
      </c>
      <c r="F412" s="5" t="n">
        <v>2.58</v>
      </c>
      <c r="G412" s="5" t="n"/>
      <c r="H412" s="5" t="n"/>
      <c r="I412" s="22">
        <f>INDEX(Personendaten!$C$2:$C$32,MATCH(A412,Personendaten!$A$2:$A$32,0))</f>
        <v/>
      </c>
      <c r="J412" s="22">
        <f>IF(AND(F412&lt;&gt;"",G412=""),1,0)</f>
        <v/>
      </c>
      <c r="K412" s="22">
        <f>IF(LEFT(C412,7)&lt;&gt;"Sprint_","",IF(COUNTIFS(Versuchsdaten!$A$2:$A$1117,$A412,Versuchsdaten!$B$2:$B$1117,$B412,Versuchsdaten!$C$2:$C$1117,"Sprint_5m",Versuchsdaten!$E$2:$E$1117,$E412,Versuchsdaten!$J$2:$J$1117,1)=1,SUMIFS(Versuchsdaten!$F$2:$F$1117,Versuchsdaten!$A$2:$A$1117,$A412,Versuchsdaten!$B$2:$B$1117,$B412,Versuchsdaten!$C$2:$C$1117,"Sprint_5m",Versuchsdaten!$E$2:$E$1117,$E412,Versuchsdaten!$J$2:$J$1117,1),""))</f>
        <v/>
      </c>
      <c r="L412" s="22">
        <f>IF(LEFT(C412,7)&lt;&gt;"Sprint_","",IF(COUNTIFS(Versuchsdaten!$A$2:$A$1117,$A412,Versuchsdaten!$B$2:$B$1117,$B412,Versuchsdaten!$C$2:$C$1117,"Sprint_10m",Versuchsdaten!$E$2:$E$1117,$E412,Versuchsdaten!$J$2:$J$1117,1)=1,SUMIFS(Versuchsdaten!$F$2:$F$1117,Versuchsdaten!$A$2:$A$1117,$A412,Versuchsdaten!$B$2:$B$1117,$B412,Versuchsdaten!$C$2:$C$1117,"Sprint_10m",Versuchsdaten!$E$2:$E$1117,$E412,Versuchsdaten!$J$2:$J$1117,1),""))</f>
        <v/>
      </c>
      <c r="M412" s="22">
        <f>IF(LEFT(C412,7)&lt;&gt;"Sprint_","",IF(COUNTIFS(Versuchsdaten!$A$2:$A$1117,$A412,Versuchsdaten!$B$2:$B$1117,$B412,Versuchsdaten!$C$2:$C$1117,"Sprint_30m",Versuchsdaten!$E$2:$E$1117,$E412,Versuchsdaten!$J$2:$J$1117,1)=1,SUMIFS(Versuchsdaten!$F$2:$F$1117,Versuchsdaten!$A$2:$A$1117,$A412,Versuchsdaten!$B$2:$B$1117,$B412,Versuchsdaten!$C$2:$C$1117,"Sprint_30m",Versuchsdaten!$E$2:$E$1117,$E412,Versuchsdaten!$J$2:$J$1117,1),""))</f>
        <v/>
      </c>
      <c r="N412" s="22">
        <f>IF(LEFT(C412,7)&lt;&gt;"Sprint_",0,IF(IF(ISNUMBER(K412),IF(K412&lt;=0,1,IF(5/K412&gt;10,1,0)),0)+IF(ISNUMBER(L412),IF(ISNUMBER(K412),IF(L412-K412&lt;=0,1,IF(5/(L412-K412)&gt;10,1,0)),IF(L412&lt;=0,1,IF(10/L412&gt;10,1,0))),0)+IF(ISNUMBER(M412),IF(ISNUMBER(L412),IF(M412-L412&lt;=0,1,IF(20/(M412-L412)&gt;10,1,0)),IF(ISNUMBER(K412),IF(M412-K412&lt;=0,1,IF(25/(M412-K412)&gt;10,1,0)),IF(M412&lt;=0,1,IF(30/M412&gt;10,1,0)))),0)&gt;0,1,0))</f>
        <v/>
      </c>
      <c r="O412" s="22">
        <f>IF(AND(J412=1,N412=0),1,0)</f>
        <v/>
      </c>
      <c r="P412" s="22">
        <f>INDEX(Personendaten!$J$2:$J$32,MATCH(A412,Personendaten!$A$2:$A$32,0))</f>
        <v/>
      </c>
      <c r="Q412" s="22">
        <f>IF(O412=1,"",IF(AND(B412="post",P412="nicht angetreten"),"NANG",IF(N412=1,"AUSL",IFERROR(VLOOKUP(H412,Vokabular!$A$2:$B$8,2,FALSE),"UNBEKANNT"))))</f>
        <v/>
      </c>
    </row>
    <row r="413">
      <c r="A413" s="5" t="inlineStr">
        <is>
          <t>VS-05</t>
        </is>
      </c>
      <c r="B413" s="5" t="inlineStr">
        <is>
          <t>prä</t>
        </is>
      </c>
      <c r="C413" s="5" t="inlineStr">
        <is>
          <t>COD_505</t>
        </is>
      </c>
      <c r="D413" s="5" t="inlineStr">
        <is>
          <t>R</t>
        </is>
      </c>
      <c r="E413" s="5" t="n">
        <v>1</v>
      </c>
      <c r="F413" s="5" t="n"/>
      <c r="G413" s="5" t="n"/>
      <c r="H413" s="5" t="inlineStr">
        <is>
          <t>System nicht aufgenommen</t>
        </is>
      </c>
      <c r="I413" s="22">
        <f>INDEX(Personendaten!$C$2:$C$32,MATCH(A413,Personendaten!$A$2:$A$32,0))</f>
        <v/>
      </c>
      <c r="J413" s="22">
        <f>IF(AND(F413&lt;&gt;"",G413=""),1,0)</f>
        <v/>
      </c>
      <c r="K413" s="22">
        <f>IF(LEFT(C413,7)&lt;&gt;"Sprint_","",IF(COUNTIFS(Versuchsdaten!$A$2:$A$1117,$A413,Versuchsdaten!$B$2:$B$1117,$B413,Versuchsdaten!$C$2:$C$1117,"Sprint_5m",Versuchsdaten!$E$2:$E$1117,$E413,Versuchsdaten!$J$2:$J$1117,1)=1,SUMIFS(Versuchsdaten!$F$2:$F$1117,Versuchsdaten!$A$2:$A$1117,$A413,Versuchsdaten!$B$2:$B$1117,$B413,Versuchsdaten!$C$2:$C$1117,"Sprint_5m",Versuchsdaten!$E$2:$E$1117,$E413,Versuchsdaten!$J$2:$J$1117,1),""))</f>
        <v/>
      </c>
      <c r="L413" s="22">
        <f>IF(LEFT(C413,7)&lt;&gt;"Sprint_","",IF(COUNTIFS(Versuchsdaten!$A$2:$A$1117,$A413,Versuchsdaten!$B$2:$B$1117,$B413,Versuchsdaten!$C$2:$C$1117,"Sprint_10m",Versuchsdaten!$E$2:$E$1117,$E413,Versuchsdaten!$J$2:$J$1117,1)=1,SUMIFS(Versuchsdaten!$F$2:$F$1117,Versuchsdaten!$A$2:$A$1117,$A413,Versuchsdaten!$B$2:$B$1117,$B413,Versuchsdaten!$C$2:$C$1117,"Sprint_10m",Versuchsdaten!$E$2:$E$1117,$E413,Versuchsdaten!$J$2:$J$1117,1),""))</f>
        <v/>
      </c>
      <c r="M413" s="22">
        <f>IF(LEFT(C413,7)&lt;&gt;"Sprint_","",IF(COUNTIFS(Versuchsdaten!$A$2:$A$1117,$A413,Versuchsdaten!$B$2:$B$1117,$B413,Versuchsdaten!$C$2:$C$1117,"Sprint_30m",Versuchsdaten!$E$2:$E$1117,$E413,Versuchsdaten!$J$2:$J$1117,1)=1,SUMIFS(Versuchsdaten!$F$2:$F$1117,Versuchsdaten!$A$2:$A$1117,$A413,Versuchsdaten!$B$2:$B$1117,$B413,Versuchsdaten!$C$2:$C$1117,"Sprint_30m",Versuchsdaten!$E$2:$E$1117,$E413,Versuchsdaten!$J$2:$J$1117,1),""))</f>
        <v/>
      </c>
      <c r="N413" s="22">
        <f>IF(LEFT(C413,7)&lt;&gt;"Sprint_",0,IF(IF(ISNUMBER(K413),IF(K413&lt;=0,1,IF(5/K413&gt;10,1,0)),0)+IF(ISNUMBER(L413),IF(ISNUMBER(K413),IF(L413-K413&lt;=0,1,IF(5/(L413-K413)&gt;10,1,0)),IF(L413&lt;=0,1,IF(10/L413&gt;10,1,0))),0)+IF(ISNUMBER(M413),IF(ISNUMBER(L413),IF(M413-L413&lt;=0,1,IF(20/(M413-L413)&gt;10,1,0)),IF(ISNUMBER(K413),IF(M413-K413&lt;=0,1,IF(25/(M413-K413)&gt;10,1,0)),IF(M413&lt;=0,1,IF(30/M413&gt;10,1,0)))),0)&gt;0,1,0))</f>
        <v/>
      </c>
      <c r="O413" s="22">
        <f>IF(AND(J413=1,N413=0),1,0)</f>
        <v/>
      </c>
      <c r="P413" s="22">
        <f>INDEX(Personendaten!$J$2:$J$32,MATCH(A413,Personendaten!$A$2:$A$32,0))</f>
        <v/>
      </c>
      <c r="Q413" s="22">
        <f>IF(O413=1,"",IF(AND(B413="post",P413="nicht angetreten"),"NANG",IF(N413=1,"AUSL",IFERROR(VLOOKUP(H413,Vokabular!$A$2:$B$8,2,FALSE),"UNBEKANNT"))))</f>
        <v/>
      </c>
    </row>
    <row r="414">
      <c r="A414" s="5" t="inlineStr">
        <is>
          <t>VS-05</t>
        </is>
      </c>
      <c r="B414" s="5" t="inlineStr">
        <is>
          <t>prä</t>
        </is>
      </c>
      <c r="C414" s="5" t="inlineStr">
        <is>
          <t>COD_505</t>
        </is>
      </c>
      <c r="D414" s="5" t="inlineStr">
        <is>
          <t>R</t>
        </is>
      </c>
      <c r="E414" s="5" t="n">
        <v>2</v>
      </c>
      <c r="F414" s="5" t="n">
        <v>2.5</v>
      </c>
      <c r="G414" s="5" t="n"/>
      <c r="H414" s="5" t="n"/>
      <c r="I414" s="22">
        <f>INDEX(Personendaten!$C$2:$C$32,MATCH(A414,Personendaten!$A$2:$A$32,0))</f>
        <v/>
      </c>
      <c r="J414" s="22">
        <f>IF(AND(F414&lt;&gt;"",G414=""),1,0)</f>
        <v/>
      </c>
      <c r="K414" s="22">
        <f>IF(LEFT(C414,7)&lt;&gt;"Sprint_","",IF(COUNTIFS(Versuchsdaten!$A$2:$A$1117,$A414,Versuchsdaten!$B$2:$B$1117,$B414,Versuchsdaten!$C$2:$C$1117,"Sprint_5m",Versuchsdaten!$E$2:$E$1117,$E414,Versuchsdaten!$J$2:$J$1117,1)=1,SUMIFS(Versuchsdaten!$F$2:$F$1117,Versuchsdaten!$A$2:$A$1117,$A414,Versuchsdaten!$B$2:$B$1117,$B414,Versuchsdaten!$C$2:$C$1117,"Sprint_5m",Versuchsdaten!$E$2:$E$1117,$E414,Versuchsdaten!$J$2:$J$1117,1),""))</f>
        <v/>
      </c>
      <c r="L414" s="22">
        <f>IF(LEFT(C414,7)&lt;&gt;"Sprint_","",IF(COUNTIFS(Versuchsdaten!$A$2:$A$1117,$A414,Versuchsdaten!$B$2:$B$1117,$B414,Versuchsdaten!$C$2:$C$1117,"Sprint_10m",Versuchsdaten!$E$2:$E$1117,$E414,Versuchsdaten!$J$2:$J$1117,1)=1,SUMIFS(Versuchsdaten!$F$2:$F$1117,Versuchsdaten!$A$2:$A$1117,$A414,Versuchsdaten!$B$2:$B$1117,$B414,Versuchsdaten!$C$2:$C$1117,"Sprint_10m",Versuchsdaten!$E$2:$E$1117,$E414,Versuchsdaten!$J$2:$J$1117,1),""))</f>
        <v/>
      </c>
      <c r="M414" s="22">
        <f>IF(LEFT(C414,7)&lt;&gt;"Sprint_","",IF(COUNTIFS(Versuchsdaten!$A$2:$A$1117,$A414,Versuchsdaten!$B$2:$B$1117,$B414,Versuchsdaten!$C$2:$C$1117,"Sprint_30m",Versuchsdaten!$E$2:$E$1117,$E414,Versuchsdaten!$J$2:$J$1117,1)=1,SUMIFS(Versuchsdaten!$F$2:$F$1117,Versuchsdaten!$A$2:$A$1117,$A414,Versuchsdaten!$B$2:$B$1117,$B414,Versuchsdaten!$C$2:$C$1117,"Sprint_30m",Versuchsdaten!$E$2:$E$1117,$E414,Versuchsdaten!$J$2:$J$1117,1),""))</f>
        <v/>
      </c>
      <c r="N414" s="22">
        <f>IF(LEFT(C414,7)&lt;&gt;"Sprint_",0,IF(IF(ISNUMBER(K414),IF(K414&lt;=0,1,IF(5/K414&gt;10,1,0)),0)+IF(ISNUMBER(L414),IF(ISNUMBER(K414),IF(L414-K414&lt;=0,1,IF(5/(L414-K414)&gt;10,1,0)),IF(L414&lt;=0,1,IF(10/L414&gt;10,1,0))),0)+IF(ISNUMBER(M414),IF(ISNUMBER(L414),IF(M414-L414&lt;=0,1,IF(20/(M414-L414)&gt;10,1,0)),IF(ISNUMBER(K414),IF(M414-K414&lt;=0,1,IF(25/(M414-K414)&gt;10,1,0)),IF(M414&lt;=0,1,IF(30/M414&gt;10,1,0)))),0)&gt;0,1,0))</f>
        <v/>
      </c>
      <c r="O414" s="22">
        <f>IF(AND(J414=1,N414=0),1,0)</f>
        <v/>
      </c>
      <c r="P414" s="22">
        <f>INDEX(Personendaten!$J$2:$J$32,MATCH(A414,Personendaten!$A$2:$A$32,0))</f>
        <v/>
      </c>
      <c r="Q414" s="22">
        <f>IF(O414=1,"",IF(AND(B414="post",P414="nicht angetreten"),"NANG",IF(N414=1,"AUSL",IFERROR(VLOOKUP(H414,Vokabular!$A$2:$B$8,2,FALSE),"UNBEKANNT"))))</f>
        <v/>
      </c>
    </row>
    <row r="415">
      <c r="A415" s="5" t="inlineStr">
        <is>
          <t>VS-05</t>
        </is>
      </c>
      <c r="B415" s="5" t="inlineStr">
        <is>
          <t>prä</t>
        </is>
      </c>
      <c r="C415" s="5" t="inlineStr">
        <is>
          <t>COD_505</t>
        </is>
      </c>
      <c r="D415" s="5" t="inlineStr">
        <is>
          <t>R</t>
        </is>
      </c>
      <c r="E415" s="5" t="n">
        <v>3</v>
      </c>
      <c r="F415" s="5" t="n">
        <v>2.56</v>
      </c>
      <c r="G415" s="5" t="n"/>
      <c r="H415" s="5" t="n"/>
      <c r="I415" s="22">
        <f>INDEX(Personendaten!$C$2:$C$32,MATCH(A415,Personendaten!$A$2:$A$32,0))</f>
        <v/>
      </c>
      <c r="J415" s="22">
        <f>IF(AND(F415&lt;&gt;"",G415=""),1,0)</f>
        <v/>
      </c>
      <c r="K415" s="22">
        <f>IF(LEFT(C415,7)&lt;&gt;"Sprint_","",IF(COUNTIFS(Versuchsdaten!$A$2:$A$1117,$A415,Versuchsdaten!$B$2:$B$1117,$B415,Versuchsdaten!$C$2:$C$1117,"Sprint_5m",Versuchsdaten!$E$2:$E$1117,$E415,Versuchsdaten!$J$2:$J$1117,1)=1,SUMIFS(Versuchsdaten!$F$2:$F$1117,Versuchsdaten!$A$2:$A$1117,$A415,Versuchsdaten!$B$2:$B$1117,$B415,Versuchsdaten!$C$2:$C$1117,"Sprint_5m",Versuchsdaten!$E$2:$E$1117,$E415,Versuchsdaten!$J$2:$J$1117,1),""))</f>
        <v/>
      </c>
      <c r="L415" s="22">
        <f>IF(LEFT(C415,7)&lt;&gt;"Sprint_","",IF(COUNTIFS(Versuchsdaten!$A$2:$A$1117,$A415,Versuchsdaten!$B$2:$B$1117,$B415,Versuchsdaten!$C$2:$C$1117,"Sprint_10m",Versuchsdaten!$E$2:$E$1117,$E415,Versuchsdaten!$J$2:$J$1117,1)=1,SUMIFS(Versuchsdaten!$F$2:$F$1117,Versuchsdaten!$A$2:$A$1117,$A415,Versuchsdaten!$B$2:$B$1117,$B415,Versuchsdaten!$C$2:$C$1117,"Sprint_10m",Versuchsdaten!$E$2:$E$1117,$E415,Versuchsdaten!$J$2:$J$1117,1),""))</f>
        <v/>
      </c>
      <c r="M415" s="22">
        <f>IF(LEFT(C415,7)&lt;&gt;"Sprint_","",IF(COUNTIFS(Versuchsdaten!$A$2:$A$1117,$A415,Versuchsdaten!$B$2:$B$1117,$B415,Versuchsdaten!$C$2:$C$1117,"Sprint_30m",Versuchsdaten!$E$2:$E$1117,$E415,Versuchsdaten!$J$2:$J$1117,1)=1,SUMIFS(Versuchsdaten!$F$2:$F$1117,Versuchsdaten!$A$2:$A$1117,$A415,Versuchsdaten!$B$2:$B$1117,$B415,Versuchsdaten!$C$2:$C$1117,"Sprint_30m",Versuchsdaten!$E$2:$E$1117,$E415,Versuchsdaten!$J$2:$J$1117,1),""))</f>
        <v/>
      </c>
      <c r="N415" s="22">
        <f>IF(LEFT(C415,7)&lt;&gt;"Sprint_",0,IF(IF(ISNUMBER(K415),IF(K415&lt;=0,1,IF(5/K415&gt;10,1,0)),0)+IF(ISNUMBER(L415),IF(ISNUMBER(K415),IF(L415-K415&lt;=0,1,IF(5/(L415-K415)&gt;10,1,0)),IF(L415&lt;=0,1,IF(10/L415&gt;10,1,0))),0)+IF(ISNUMBER(M415),IF(ISNUMBER(L415),IF(M415-L415&lt;=0,1,IF(20/(M415-L415)&gt;10,1,0)),IF(ISNUMBER(K415),IF(M415-K415&lt;=0,1,IF(25/(M415-K415)&gt;10,1,0)),IF(M415&lt;=0,1,IF(30/M415&gt;10,1,0)))),0)&gt;0,1,0))</f>
        <v/>
      </c>
      <c r="O415" s="22">
        <f>IF(AND(J415=1,N415=0),1,0)</f>
        <v/>
      </c>
      <c r="P415" s="22">
        <f>INDEX(Personendaten!$J$2:$J$32,MATCH(A415,Personendaten!$A$2:$A$32,0))</f>
        <v/>
      </c>
      <c r="Q415" s="22">
        <f>IF(O415=1,"",IF(AND(B415="post",P415="nicht angetreten"),"NANG",IF(N415=1,"AUSL",IFERROR(VLOOKUP(H415,Vokabular!$A$2:$B$8,2,FALSE),"UNBEKANNT"))))</f>
        <v/>
      </c>
    </row>
    <row r="416">
      <c r="A416" s="5" t="inlineStr">
        <is>
          <t>VS-06</t>
        </is>
      </c>
      <c r="B416" s="5" t="inlineStr">
        <is>
          <t>prä</t>
        </is>
      </c>
      <c r="C416" s="5" t="inlineStr">
        <is>
          <t>Sprint_5m</t>
        </is>
      </c>
      <c r="D416" s="5" t="inlineStr">
        <is>
          <t>–</t>
        </is>
      </c>
      <c r="E416" s="5" t="n">
        <v>1</v>
      </c>
      <c r="F416" s="5" t="n"/>
      <c r="G416" s="5" t="n"/>
      <c r="H416" s="5" t="inlineStr">
        <is>
          <t>System nicht aufgenommen</t>
        </is>
      </c>
      <c r="I416" s="22">
        <f>INDEX(Personendaten!$C$2:$C$32,MATCH(A416,Personendaten!$A$2:$A$32,0))</f>
        <v/>
      </c>
      <c r="J416" s="22">
        <f>IF(AND(F416&lt;&gt;"",G416=""),1,0)</f>
        <v/>
      </c>
      <c r="K416" s="22">
        <f>IF(LEFT(C416,7)&lt;&gt;"Sprint_","",IF(COUNTIFS(Versuchsdaten!$A$2:$A$1117,$A416,Versuchsdaten!$B$2:$B$1117,$B416,Versuchsdaten!$C$2:$C$1117,"Sprint_5m",Versuchsdaten!$E$2:$E$1117,$E416,Versuchsdaten!$J$2:$J$1117,1)=1,SUMIFS(Versuchsdaten!$F$2:$F$1117,Versuchsdaten!$A$2:$A$1117,$A416,Versuchsdaten!$B$2:$B$1117,$B416,Versuchsdaten!$C$2:$C$1117,"Sprint_5m",Versuchsdaten!$E$2:$E$1117,$E416,Versuchsdaten!$J$2:$J$1117,1),""))</f>
        <v/>
      </c>
      <c r="L416" s="22">
        <f>IF(LEFT(C416,7)&lt;&gt;"Sprint_","",IF(COUNTIFS(Versuchsdaten!$A$2:$A$1117,$A416,Versuchsdaten!$B$2:$B$1117,$B416,Versuchsdaten!$C$2:$C$1117,"Sprint_10m",Versuchsdaten!$E$2:$E$1117,$E416,Versuchsdaten!$J$2:$J$1117,1)=1,SUMIFS(Versuchsdaten!$F$2:$F$1117,Versuchsdaten!$A$2:$A$1117,$A416,Versuchsdaten!$B$2:$B$1117,$B416,Versuchsdaten!$C$2:$C$1117,"Sprint_10m",Versuchsdaten!$E$2:$E$1117,$E416,Versuchsdaten!$J$2:$J$1117,1),""))</f>
        <v/>
      </c>
      <c r="M416" s="22">
        <f>IF(LEFT(C416,7)&lt;&gt;"Sprint_","",IF(COUNTIFS(Versuchsdaten!$A$2:$A$1117,$A416,Versuchsdaten!$B$2:$B$1117,$B416,Versuchsdaten!$C$2:$C$1117,"Sprint_30m",Versuchsdaten!$E$2:$E$1117,$E416,Versuchsdaten!$J$2:$J$1117,1)=1,SUMIFS(Versuchsdaten!$F$2:$F$1117,Versuchsdaten!$A$2:$A$1117,$A416,Versuchsdaten!$B$2:$B$1117,$B416,Versuchsdaten!$C$2:$C$1117,"Sprint_30m",Versuchsdaten!$E$2:$E$1117,$E416,Versuchsdaten!$J$2:$J$1117,1),""))</f>
        <v/>
      </c>
      <c r="N416" s="22">
        <f>IF(LEFT(C416,7)&lt;&gt;"Sprint_",0,IF(IF(ISNUMBER(K416),IF(K416&lt;=0,1,IF(5/K416&gt;10,1,0)),0)+IF(ISNUMBER(L416),IF(ISNUMBER(K416),IF(L416-K416&lt;=0,1,IF(5/(L416-K416)&gt;10,1,0)),IF(L416&lt;=0,1,IF(10/L416&gt;10,1,0))),0)+IF(ISNUMBER(M416),IF(ISNUMBER(L416),IF(M416-L416&lt;=0,1,IF(20/(M416-L416)&gt;10,1,0)),IF(ISNUMBER(K416),IF(M416-K416&lt;=0,1,IF(25/(M416-K416)&gt;10,1,0)),IF(M416&lt;=0,1,IF(30/M416&gt;10,1,0)))),0)&gt;0,1,0))</f>
        <v/>
      </c>
      <c r="O416" s="22">
        <f>IF(AND(J416=1,N416=0),1,0)</f>
        <v/>
      </c>
      <c r="P416" s="22">
        <f>INDEX(Personendaten!$J$2:$J$32,MATCH(A416,Personendaten!$A$2:$A$32,0))</f>
        <v/>
      </c>
      <c r="Q416" s="22">
        <f>IF(O416=1,"",IF(AND(B416="post",P416="nicht angetreten"),"NANG",IF(N416=1,"AUSL",IFERROR(VLOOKUP(H416,Vokabular!$A$2:$B$8,2,FALSE),"UNBEKANNT"))))</f>
        <v/>
      </c>
    </row>
    <row r="417">
      <c r="A417" s="5" t="inlineStr">
        <is>
          <t>VS-06</t>
        </is>
      </c>
      <c r="B417" s="5" t="inlineStr">
        <is>
          <t>prä</t>
        </is>
      </c>
      <c r="C417" s="5" t="inlineStr">
        <is>
          <t>Sprint_5m</t>
        </is>
      </c>
      <c r="D417" s="5" t="inlineStr">
        <is>
          <t>–</t>
        </is>
      </c>
      <c r="E417" s="5" t="n">
        <v>2</v>
      </c>
      <c r="F417" s="5" t="n"/>
      <c r="G417" s="5" t="n"/>
      <c r="H417" s="5" t="inlineStr">
        <is>
          <t>System nicht aufgenommen</t>
        </is>
      </c>
      <c r="I417" s="22">
        <f>INDEX(Personendaten!$C$2:$C$32,MATCH(A417,Personendaten!$A$2:$A$32,0))</f>
        <v/>
      </c>
      <c r="J417" s="22">
        <f>IF(AND(F417&lt;&gt;"",G417=""),1,0)</f>
        <v/>
      </c>
      <c r="K417" s="22">
        <f>IF(LEFT(C417,7)&lt;&gt;"Sprint_","",IF(COUNTIFS(Versuchsdaten!$A$2:$A$1117,$A417,Versuchsdaten!$B$2:$B$1117,$B417,Versuchsdaten!$C$2:$C$1117,"Sprint_5m",Versuchsdaten!$E$2:$E$1117,$E417,Versuchsdaten!$J$2:$J$1117,1)=1,SUMIFS(Versuchsdaten!$F$2:$F$1117,Versuchsdaten!$A$2:$A$1117,$A417,Versuchsdaten!$B$2:$B$1117,$B417,Versuchsdaten!$C$2:$C$1117,"Sprint_5m",Versuchsdaten!$E$2:$E$1117,$E417,Versuchsdaten!$J$2:$J$1117,1),""))</f>
        <v/>
      </c>
      <c r="L417" s="22">
        <f>IF(LEFT(C417,7)&lt;&gt;"Sprint_","",IF(COUNTIFS(Versuchsdaten!$A$2:$A$1117,$A417,Versuchsdaten!$B$2:$B$1117,$B417,Versuchsdaten!$C$2:$C$1117,"Sprint_10m",Versuchsdaten!$E$2:$E$1117,$E417,Versuchsdaten!$J$2:$J$1117,1)=1,SUMIFS(Versuchsdaten!$F$2:$F$1117,Versuchsdaten!$A$2:$A$1117,$A417,Versuchsdaten!$B$2:$B$1117,$B417,Versuchsdaten!$C$2:$C$1117,"Sprint_10m",Versuchsdaten!$E$2:$E$1117,$E417,Versuchsdaten!$J$2:$J$1117,1),""))</f>
        <v/>
      </c>
      <c r="M417" s="22">
        <f>IF(LEFT(C417,7)&lt;&gt;"Sprint_","",IF(COUNTIFS(Versuchsdaten!$A$2:$A$1117,$A417,Versuchsdaten!$B$2:$B$1117,$B417,Versuchsdaten!$C$2:$C$1117,"Sprint_30m",Versuchsdaten!$E$2:$E$1117,$E417,Versuchsdaten!$J$2:$J$1117,1)=1,SUMIFS(Versuchsdaten!$F$2:$F$1117,Versuchsdaten!$A$2:$A$1117,$A417,Versuchsdaten!$B$2:$B$1117,$B417,Versuchsdaten!$C$2:$C$1117,"Sprint_30m",Versuchsdaten!$E$2:$E$1117,$E417,Versuchsdaten!$J$2:$J$1117,1),""))</f>
        <v/>
      </c>
      <c r="N417" s="22">
        <f>IF(LEFT(C417,7)&lt;&gt;"Sprint_",0,IF(IF(ISNUMBER(K417),IF(K417&lt;=0,1,IF(5/K417&gt;10,1,0)),0)+IF(ISNUMBER(L417),IF(ISNUMBER(K417),IF(L417-K417&lt;=0,1,IF(5/(L417-K417)&gt;10,1,0)),IF(L417&lt;=0,1,IF(10/L417&gt;10,1,0))),0)+IF(ISNUMBER(M417),IF(ISNUMBER(L417),IF(M417-L417&lt;=0,1,IF(20/(M417-L417)&gt;10,1,0)),IF(ISNUMBER(K417),IF(M417-K417&lt;=0,1,IF(25/(M417-K417)&gt;10,1,0)),IF(M417&lt;=0,1,IF(30/M417&gt;10,1,0)))),0)&gt;0,1,0))</f>
        <v/>
      </c>
      <c r="O417" s="22">
        <f>IF(AND(J417=1,N417=0),1,0)</f>
        <v/>
      </c>
      <c r="P417" s="22">
        <f>INDEX(Personendaten!$J$2:$J$32,MATCH(A417,Personendaten!$A$2:$A$32,0))</f>
        <v/>
      </c>
      <c r="Q417" s="22">
        <f>IF(O417=1,"",IF(AND(B417="post",P417="nicht angetreten"),"NANG",IF(N417=1,"AUSL",IFERROR(VLOOKUP(H417,Vokabular!$A$2:$B$8,2,FALSE),"UNBEKANNT"))))</f>
        <v/>
      </c>
    </row>
    <row r="418">
      <c r="A418" s="5" t="inlineStr">
        <is>
          <t>VS-06</t>
        </is>
      </c>
      <c r="B418" s="5" t="inlineStr">
        <is>
          <t>prä</t>
        </is>
      </c>
      <c r="C418" s="5" t="inlineStr">
        <is>
          <t>Sprint_5m</t>
        </is>
      </c>
      <c r="D418" s="5" t="inlineStr">
        <is>
          <t>–</t>
        </is>
      </c>
      <c r="E418" s="5" t="n">
        <v>3</v>
      </c>
      <c r="F418" s="5" t="n"/>
      <c r="G418" s="5" t="n"/>
      <c r="H418" s="5" t="inlineStr">
        <is>
          <t>System nicht aufgenommen</t>
        </is>
      </c>
      <c r="I418" s="22">
        <f>INDEX(Personendaten!$C$2:$C$32,MATCH(A418,Personendaten!$A$2:$A$32,0))</f>
        <v/>
      </c>
      <c r="J418" s="22">
        <f>IF(AND(F418&lt;&gt;"",G418=""),1,0)</f>
        <v/>
      </c>
      <c r="K418" s="22">
        <f>IF(LEFT(C418,7)&lt;&gt;"Sprint_","",IF(COUNTIFS(Versuchsdaten!$A$2:$A$1117,$A418,Versuchsdaten!$B$2:$B$1117,$B418,Versuchsdaten!$C$2:$C$1117,"Sprint_5m",Versuchsdaten!$E$2:$E$1117,$E418,Versuchsdaten!$J$2:$J$1117,1)=1,SUMIFS(Versuchsdaten!$F$2:$F$1117,Versuchsdaten!$A$2:$A$1117,$A418,Versuchsdaten!$B$2:$B$1117,$B418,Versuchsdaten!$C$2:$C$1117,"Sprint_5m",Versuchsdaten!$E$2:$E$1117,$E418,Versuchsdaten!$J$2:$J$1117,1),""))</f>
        <v/>
      </c>
      <c r="L418" s="22">
        <f>IF(LEFT(C418,7)&lt;&gt;"Sprint_","",IF(COUNTIFS(Versuchsdaten!$A$2:$A$1117,$A418,Versuchsdaten!$B$2:$B$1117,$B418,Versuchsdaten!$C$2:$C$1117,"Sprint_10m",Versuchsdaten!$E$2:$E$1117,$E418,Versuchsdaten!$J$2:$J$1117,1)=1,SUMIFS(Versuchsdaten!$F$2:$F$1117,Versuchsdaten!$A$2:$A$1117,$A418,Versuchsdaten!$B$2:$B$1117,$B418,Versuchsdaten!$C$2:$C$1117,"Sprint_10m",Versuchsdaten!$E$2:$E$1117,$E418,Versuchsdaten!$J$2:$J$1117,1),""))</f>
        <v/>
      </c>
      <c r="M418" s="22">
        <f>IF(LEFT(C418,7)&lt;&gt;"Sprint_","",IF(COUNTIFS(Versuchsdaten!$A$2:$A$1117,$A418,Versuchsdaten!$B$2:$B$1117,$B418,Versuchsdaten!$C$2:$C$1117,"Sprint_30m",Versuchsdaten!$E$2:$E$1117,$E418,Versuchsdaten!$J$2:$J$1117,1)=1,SUMIFS(Versuchsdaten!$F$2:$F$1117,Versuchsdaten!$A$2:$A$1117,$A418,Versuchsdaten!$B$2:$B$1117,$B418,Versuchsdaten!$C$2:$C$1117,"Sprint_30m",Versuchsdaten!$E$2:$E$1117,$E418,Versuchsdaten!$J$2:$J$1117,1),""))</f>
        <v/>
      </c>
      <c r="N418" s="22">
        <f>IF(LEFT(C418,7)&lt;&gt;"Sprint_",0,IF(IF(ISNUMBER(K418),IF(K418&lt;=0,1,IF(5/K418&gt;10,1,0)),0)+IF(ISNUMBER(L418),IF(ISNUMBER(K418),IF(L418-K418&lt;=0,1,IF(5/(L418-K418)&gt;10,1,0)),IF(L418&lt;=0,1,IF(10/L418&gt;10,1,0))),0)+IF(ISNUMBER(M418),IF(ISNUMBER(L418),IF(M418-L418&lt;=0,1,IF(20/(M418-L418)&gt;10,1,0)),IF(ISNUMBER(K418),IF(M418-K418&lt;=0,1,IF(25/(M418-K418)&gt;10,1,0)),IF(M418&lt;=0,1,IF(30/M418&gt;10,1,0)))),0)&gt;0,1,0))</f>
        <v/>
      </c>
      <c r="O418" s="22">
        <f>IF(AND(J418=1,N418=0),1,0)</f>
        <v/>
      </c>
      <c r="P418" s="22">
        <f>INDEX(Personendaten!$J$2:$J$32,MATCH(A418,Personendaten!$A$2:$A$32,0))</f>
        <v/>
      </c>
      <c r="Q418" s="22">
        <f>IF(O418=1,"",IF(AND(B418="post",P418="nicht angetreten"),"NANG",IF(N418=1,"AUSL",IFERROR(VLOOKUP(H418,Vokabular!$A$2:$B$8,2,FALSE),"UNBEKANNT"))))</f>
        <v/>
      </c>
    </row>
    <row r="419">
      <c r="A419" s="5" t="inlineStr">
        <is>
          <t>VS-06</t>
        </is>
      </c>
      <c r="B419" s="5" t="inlineStr">
        <is>
          <t>prä</t>
        </is>
      </c>
      <c r="C419" s="5" t="inlineStr">
        <is>
          <t>Sprint_10m</t>
        </is>
      </c>
      <c r="D419" s="5" t="inlineStr">
        <is>
          <t>–</t>
        </is>
      </c>
      <c r="E419" s="5" t="n">
        <v>1</v>
      </c>
      <c r="F419" s="5" t="n">
        <v>1.85</v>
      </c>
      <c r="G419" s="5" t="n"/>
      <c r="H419" s="5" t="n"/>
      <c r="I419" s="22">
        <f>INDEX(Personendaten!$C$2:$C$32,MATCH(A419,Personendaten!$A$2:$A$32,0))</f>
        <v/>
      </c>
      <c r="J419" s="22">
        <f>IF(AND(F419&lt;&gt;"",G419=""),1,0)</f>
        <v/>
      </c>
      <c r="K419" s="22">
        <f>IF(LEFT(C419,7)&lt;&gt;"Sprint_","",IF(COUNTIFS(Versuchsdaten!$A$2:$A$1117,$A419,Versuchsdaten!$B$2:$B$1117,$B419,Versuchsdaten!$C$2:$C$1117,"Sprint_5m",Versuchsdaten!$E$2:$E$1117,$E419,Versuchsdaten!$J$2:$J$1117,1)=1,SUMIFS(Versuchsdaten!$F$2:$F$1117,Versuchsdaten!$A$2:$A$1117,$A419,Versuchsdaten!$B$2:$B$1117,$B419,Versuchsdaten!$C$2:$C$1117,"Sprint_5m",Versuchsdaten!$E$2:$E$1117,$E419,Versuchsdaten!$J$2:$J$1117,1),""))</f>
        <v/>
      </c>
      <c r="L419" s="22">
        <f>IF(LEFT(C419,7)&lt;&gt;"Sprint_","",IF(COUNTIFS(Versuchsdaten!$A$2:$A$1117,$A419,Versuchsdaten!$B$2:$B$1117,$B419,Versuchsdaten!$C$2:$C$1117,"Sprint_10m",Versuchsdaten!$E$2:$E$1117,$E419,Versuchsdaten!$J$2:$J$1117,1)=1,SUMIFS(Versuchsdaten!$F$2:$F$1117,Versuchsdaten!$A$2:$A$1117,$A419,Versuchsdaten!$B$2:$B$1117,$B419,Versuchsdaten!$C$2:$C$1117,"Sprint_10m",Versuchsdaten!$E$2:$E$1117,$E419,Versuchsdaten!$J$2:$J$1117,1),""))</f>
        <v/>
      </c>
      <c r="M419" s="22">
        <f>IF(LEFT(C419,7)&lt;&gt;"Sprint_","",IF(COUNTIFS(Versuchsdaten!$A$2:$A$1117,$A419,Versuchsdaten!$B$2:$B$1117,$B419,Versuchsdaten!$C$2:$C$1117,"Sprint_30m",Versuchsdaten!$E$2:$E$1117,$E419,Versuchsdaten!$J$2:$J$1117,1)=1,SUMIFS(Versuchsdaten!$F$2:$F$1117,Versuchsdaten!$A$2:$A$1117,$A419,Versuchsdaten!$B$2:$B$1117,$B419,Versuchsdaten!$C$2:$C$1117,"Sprint_30m",Versuchsdaten!$E$2:$E$1117,$E419,Versuchsdaten!$J$2:$J$1117,1),""))</f>
        <v/>
      </c>
      <c r="N419" s="22">
        <f>IF(LEFT(C419,7)&lt;&gt;"Sprint_",0,IF(IF(ISNUMBER(K419),IF(K419&lt;=0,1,IF(5/K419&gt;10,1,0)),0)+IF(ISNUMBER(L419),IF(ISNUMBER(K419),IF(L419-K419&lt;=0,1,IF(5/(L419-K419)&gt;10,1,0)),IF(L419&lt;=0,1,IF(10/L419&gt;10,1,0))),0)+IF(ISNUMBER(M419),IF(ISNUMBER(L419),IF(M419-L419&lt;=0,1,IF(20/(M419-L419)&gt;10,1,0)),IF(ISNUMBER(K419),IF(M419-K419&lt;=0,1,IF(25/(M419-K419)&gt;10,1,0)),IF(M419&lt;=0,1,IF(30/M419&gt;10,1,0)))),0)&gt;0,1,0))</f>
        <v/>
      </c>
      <c r="O419" s="22">
        <f>IF(AND(J419=1,N419=0),1,0)</f>
        <v/>
      </c>
      <c r="P419" s="22">
        <f>INDEX(Personendaten!$J$2:$J$32,MATCH(A419,Personendaten!$A$2:$A$32,0))</f>
        <v/>
      </c>
      <c r="Q419" s="22">
        <f>IF(O419=1,"",IF(AND(B419="post",P419="nicht angetreten"),"NANG",IF(N419=1,"AUSL",IFERROR(VLOOKUP(H419,Vokabular!$A$2:$B$8,2,FALSE),"UNBEKANNT"))))</f>
        <v/>
      </c>
    </row>
    <row r="420">
      <c r="A420" s="5" t="inlineStr">
        <is>
          <t>VS-06</t>
        </is>
      </c>
      <c r="B420" s="5" t="inlineStr">
        <is>
          <t>prä</t>
        </is>
      </c>
      <c r="C420" s="5" t="inlineStr">
        <is>
          <t>Sprint_10m</t>
        </is>
      </c>
      <c r="D420" s="5" t="inlineStr">
        <is>
          <t>–</t>
        </is>
      </c>
      <c r="E420" s="5" t="n">
        <v>2</v>
      </c>
      <c r="F420" s="5" t="n"/>
      <c r="G420" s="5" t="n"/>
      <c r="H420" s="5" t="inlineStr">
        <is>
          <t>System nicht aufgenommen</t>
        </is>
      </c>
      <c r="I420" s="22">
        <f>INDEX(Personendaten!$C$2:$C$32,MATCH(A420,Personendaten!$A$2:$A$32,0))</f>
        <v/>
      </c>
      <c r="J420" s="22">
        <f>IF(AND(F420&lt;&gt;"",G420=""),1,0)</f>
        <v/>
      </c>
      <c r="K420" s="22">
        <f>IF(LEFT(C420,7)&lt;&gt;"Sprint_","",IF(COUNTIFS(Versuchsdaten!$A$2:$A$1117,$A420,Versuchsdaten!$B$2:$B$1117,$B420,Versuchsdaten!$C$2:$C$1117,"Sprint_5m",Versuchsdaten!$E$2:$E$1117,$E420,Versuchsdaten!$J$2:$J$1117,1)=1,SUMIFS(Versuchsdaten!$F$2:$F$1117,Versuchsdaten!$A$2:$A$1117,$A420,Versuchsdaten!$B$2:$B$1117,$B420,Versuchsdaten!$C$2:$C$1117,"Sprint_5m",Versuchsdaten!$E$2:$E$1117,$E420,Versuchsdaten!$J$2:$J$1117,1),""))</f>
        <v/>
      </c>
      <c r="L420" s="22">
        <f>IF(LEFT(C420,7)&lt;&gt;"Sprint_","",IF(COUNTIFS(Versuchsdaten!$A$2:$A$1117,$A420,Versuchsdaten!$B$2:$B$1117,$B420,Versuchsdaten!$C$2:$C$1117,"Sprint_10m",Versuchsdaten!$E$2:$E$1117,$E420,Versuchsdaten!$J$2:$J$1117,1)=1,SUMIFS(Versuchsdaten!$F$2:$F$1117,Versuchsdaten!$A$2:$A$1117,$A420,Versuchsdaten!$B$2:$B$1117,$B420,Versuchsdaten!$C$2:$C$1117,"Sprint_10m",Versuchsdaten!$E$2:$E$1117,$E420,Versuchsdaten!$J$2:$J$1117,1),""))</f>
        <v/>
      </c>
      <c r="M420" s="22">
        <f>IF(LEFT(C420,7)&lt;&gt;"Sprint_","",IF(COUNTIFS(Versuchsdaten!$A$2:$A$1117,$A420,Versuchsdaten!$B$2:$B$1117,$B420,Versuchsdaten!$C$2:$C$1117,"Sprint_30m",Versuchsdaten!$E$2:$E$1117,$E420,Versuchsdaten!$J$2:$J$1117,1)=1,SUMIFS(Versuchsdaten!$F$2:$F$1117,Versuchsdaten!$A$2:$A$1117,$A420,Versuchsdaten!$B$2:$B$1117,$B420,Versuchsdaten!$C$2:$C$1117,"Sprint_30m",Versuchsdaten!$E$2:$E$1117,$E420,Versuchsdaten!$J$2:$J$1117,1),""))</f>
        <v/>
      </c>
      <c r="N420" s="22">
        <f>IF(LEFT(C420,7)&lt;&gt;"Sprint_",0,IF(IF(ISNUMBER(K420),IF(K420&lt;=0,1,IF(5/K420&gt;10,1,0)),0)+IF(ISNUMBER(L420),IF(ISNUMBER(K420),IF(L420-K420&lt;=0,1,IF(5/(L420-K420)&gt;10,1,0)),IF(L420&lt;=0,1,IF(10/L420&gt;10,1,0))),0)+IF(ISNUMBER(M420),IF(ISNUMBER(L420),IF(M420-L420&lt;=0,1,IF(20/(M420-L420)&gt;10,1,0)),IF(ISNUMBER(K420),IF(M420-K420&lt;=0,1,IF(25/(M420-K420)&gt;10,1,0)),IF(M420&lt;=0,1,IF(30/M420&gt;10,1,0)))),0)&gt;0,1,0))</f>
        <v/>
      </c>
      <c r="O420" s="22">
        <f>IF(AND(J420=1,N420=0),1,0)</f>
        <v/>
      </c>
      <c r="P420" s="22">
        <f>INDEX(Personendaten!$J$2:$J$32,MATCH(A420,Personendaten!$A$2:$A$32,0))</f>
        <v/>
      </c>
      <c r="Q420" s="22">
        <f>IF(O420=1,"",IF(AND(B420="post",P420="nicht angetreten"),"NANG",IF(N420=1,"AUSL",IFERROR(VLOOKUP(H420,Vokabular!$A$2:$B$8,2,FALSE),"UNBEKANNT"))))</f>
        <v/>
      </c>
    </row>
    <row r="421">
      <c r="A421" s="5" t="inlineStr">
        <is>
          <t>VS-06</t>
        </is>
      </c>
      <c r="B421" s="5" t="inlineStr">
        <is>
          <t>prä</t>
        </is>
      </c>
      <c r="C421" s="5" t="inlineStr">
        <is>
          <t>Sprint_10m</t>
        </is>
      </c>
      <c r="D421" s="5" t="inlineStr">
        <is>
          <t>–</t>
        </is>
      </c>
      <c r="E421" s="5" t="n">
        <v>3</v>
      </c>
      <c r="F421" s="5" t="n">
        <v>1.78</v>
      </c>
      <c r="G421" s="5" t="n"/>
      <c r="H421" s="5" t="n"/>
      <c r="I421" s="22">
        <f>INDEX(Personendaten!$C$2:$C$32,MATCH(A421,Personendaten!$A$2:$A$32,0))</f>
        <v/>
      </c>
      <c r="J421" s="22">
        <f>IF(AND(F421&lt;&gt;"",G421=""),1,0)</f>
        <v/>
      </c>
      <c r="K421" s="22">
        <f>IF(LEFT(C421,7)&lt;&gt;"Sprint_","",IF(COUNTIFS(Versuchsdaten!$A$2:$A$1117,$A421,Versuchsdaten!$B$2:$B$1117,$B421,Versuchsdaten!$C$2:$C$1117,"Sprint_5m",Versuchsdaten!$E$2:$E$1117,$E421,Versuchsdaten!$J$2:$J$1117,1)=1,SUMIFS(Versuchsdaten!$F$2:$F$1117,Versuchsdaten!$A$2:$A$1117,$A421,Versuchsdaten!$B$2:$B$1117,$B421,Versuchsdaten!$C$2:$C$1117,"Sprint_5m",Versuchsdaten!$E$2:$E$1117,$E421,Versuchsdaten!$J$2:$J$1117,1),""))</f>
        <v/>
      </c>
      <c r="L421" s="22">
        <f>IF(LEFT(C421,7)&lt;&gt;"Sprint_","",IF(COUNTIFS(Versuchsdaten!$A$2:$A$1117,$A421,Versuchsdaten!$B$2:$B$1117,$B421,Versuchsdaten!$C$2:$C$1117,"Sprint_10m",Versuchsdaten!$E$2:$E$1117,$E421,Versuchsdaten!$J$2:$J$1117,1)=1,SUMIFS(Versuchsdaten!$F$2:$F$1117,Versuchsdaten!$A$2:$A$1117,$A421,Versuchsdaten!$B$2:$B$1117,$B421,Versuchsdaten!$C$2:$C$1117,"Sprint_10m",Versuchsdaten!$E$2:$E$1117,$E421,Versuchsdaten!$J$2:$J$1117,1),""))</f>
        <v/>
      </c>
      <c r="M421" s="22">
        <f>IF(LEFT(C421,7)&lt;&gt;"Sprint_","",IF(COUNTIFS(Versuchsdaten!$A$2:$A$1117,$A421,Versuchsdaten!$B$2:$B$1117,$B421,Versuchsdaten!$C$2:$C$1117,"Sprint_30m",Versuchsdaten!$E$2:$E$1117,$E421,Versuchsdaten!$J$2:$J$1117,1)=1,SUMIFS(Versuchsdaten!$F$2:$F$1117,Versuchsdaten!$A$2:$A$1117,$A421,Versuchsdaten!$B$2:$B$1117,$B421,Versuchsdaten!$C$2:$C$1117,"Sprint_30m",Versuchsdaten!$E$2:$E$1117,$E421,Versuchsdaten!$J$2:$J$1117,1),""))</f>
        <v/>
      </c>
      <c r="N421" s="22">
        <f>IF(LEFT(C421,7)&lt;&gt;"Sprint_",0,IF(IF(ISNUMBER(K421),IF(K421&lt;=0,1,IF(5/K421&gt;10,1,0)),0)+IF(ISNUMBER(L421),IF(ISNUMBER(K421),IF(L421-K421&lt;=0,1,IF(5/(L421-K421)&gt;10,1,0)),IF(L421&lt;=0,1,IF(10/L421&gt;10,1,0))),0)+IF(ISNUMBER(M421),IF(ISNUMBER(L421),IF(M421-L421&lt;=0,1,IF(20/(M421-L421)&gt;10,1,0)),IF(ISNUMBER(K421),IF(M421-K421&lt;=0,1,IF(25/(M421-K421)&gt;10,1,0)),IF(M421&lt;=0,1,IF(30/M421&gt;10,1,0)))),0)&gt;0,1,0))</f>
        <v/>
      </c>
      <c r="O421" s="22">
        <f>IF(AND(J421=1,N421=0),1,0)</f>
        <v/>
      </c>
      <c r="P421" s="22">
        <f>INDEX(Personendaten!$J$2:$J$32,MATCH(A421,Personendaten!$A$2:$A$32,0))</f>
        <v/>
      </c>
      <c r="Q421" s="22">
        <f>IF(O421=1,"",IF(AND(B421="post",P421="nicht angetreten"),"NANG",IF(N421=1,"AUSL",IFERROR(VLOOKUP(H421,Vokabular!$A$2:$B$8,2,FALSE),"UNBEKANNT"))))</f>
        <v/>
      </c>
    </row>
    <row r="422">
      <c r="A422" s="5" t="inlineStr">
        <is>
          <t>VS-06</t>
        </is>
      </c>
      <c r="B422" s="5" t="inlineStr">
        <is>
          <t>prä</t>
        </is>
      </c>
      <c r="C422" s="5" t="inlineStr">
        <is>
          <t>Sprint_30m</t>
        </is>
      </c>
      <c r="D422" s="5" t="inlineStr">
        <is>
          <t>–</t>
        </is>
      </c>
      <c r="E422" s="5" t="n">
        <v>1</v>
      </c>
      <c r="F422" s="5" t="n">
        <v>4.48</v>
      </c>
      <c r="G422" s="5" t="n"/>
      <c r="H422" s="5" t="n"/>
      <c r="I422" s="22">
        <f>INDEX(Personendaten!$C$2:$C$32,MATCH(A422,Personendaten!$A$2:$A$32,0))</f>
        <v/>
      </c>
      <c r="J422" s="22">
        <f>IF(AND(F422&lt;&gt;"",G422=""),1,0)</f>
        <v/>
      </c>
      <c r="K422" s="22">
        <f>IF(LEFT(C422,7)&lt;&gt;"Sprint_","",IF(COUNTIFS(Versuchsdaten!$A$2:$A$1117,$A422,Versuchsdaten!$B$2:$B$1117,$B422,Versuchsdaten!$C$2:$C$1117,"Sprint_5m",Versuchsdaten!$E$2:$E$1117,$E422,Versuchsdaten!$J$2:$J$1117,1)=1,SUMIFS(Versuchsdaten!$F$2:$F$1117,Versuchsdaten!$A$2:$A$1117,$A422,Versuchsdaten!$B$2:$B$1117,$B422,Versuchsdaten!$C$2:$C$1117,"Sprint_5m",Versuchsdaten!$E$2:$E$1117,$E422,Versuchsdaten!$J$2:$J$1117,1),""))</f>
        <v/>
      </c>
      <c r="L422" s="22">
        <f>IF(LEFT(C422,7)&lt;&gt;"Sprint_","",IF(COUNTIFS(Versuchsdaten!$A$2:$A$1117,$A422,Versuchsdaten!$B$2:$B$1117,$B422,Versuchsdaten!$C$2:$C$1117,"Sprint_10m",Versuchsdaten!$E$2:$E$1117,$E422,Versuchsdaten!$J$2:$J$1117,1)=1,SUMIFS(Versuchsdaten!$F$2:$F$1117,Versuchsdaten!$A$2:$A$1117,$A422,Versuchsdaten!$B$2:$B$1117,$B422,Versuchsdaten!$C$2:$C$1117,"Sprint_10m",Versuchsdaten!$E$2:$E$1117,$E422,Versuchsdaten!$J$2:$J$1117,1),""))</f>
        <v/>
      </c>
      <c r="M422" s="22">
        <f>IF(LEFT(C422,7)&lt;&gt;"Sprint_","",IF(COUNTIFS(Versuchsdaten!$A$2:$A$1117,$A422,Versuchsdaten!$B$2:$B$1117,$B422,Versuchsdaten!$C$2:$C$1117,"Sprint_30m",Versuchsdaten!$E$2:$E$1117,$E422,Versuchsdaten!$J$2:$J$1117,1)=1,SUMIFS(Versuchsdaten!$F$2:$F$1117,Versuchsdaten!$A$2:$A$1117,$A422,Versuchsdaten!$B$2:$B$1117,$B422,Versuchsdaten!$C$2:$C$1117,"Sprint_30m",Versuchsdaten!$E$2:$E$1117,$E422,Versuchsdaten!$J$2:$J$1117,1),""))</f>
        <v/>
      </c>
      <c r="N422" s="22">
        <f>IF(LEFT(C422,7)&lt;&gt;"Sprint_",0,IF(IF(ISNUMBER(K422),IF(K422&lt;=0,1,IF(5/K422&gt;10,1,0)),0)+IF(ISNUMBER(L422),IF(ISNUMBER(K422),IF(L422-K422&lt;=0,1,IF(5/(L422-K422)&gt;10,1,0)),IF(L422&lt;=0,1,IF(10/L422&gt;10,1,0))),0)+IF(ISNUMBER(M422),IF(ISNUMBER(L422),IF(M422-L422&lt;=0,1,IF(20/(M422-L422)&gt;10,1,0)),IF(ISNUMBER(K422),IF(M422-K422&lt;=0,1,IF(25/(M422-K422)&gt;10,1,0)),IF(M422&lt;=0,1,IF(30/M422&gt;10,1,0)))),0)&gt;0,1,0))</f>
        <v/>
      </c>
      <c r="O422" s="22">
        <f>IF(AND(J422=1,N422=0),1,0)</f>
        <v/>
      </c>
      <c r="P422" s="22">
        <f>INDEX(Personendaten!$J$2:$J$32,MATCH(A422,Personendaten!$A$2:$A$32,0))</f>
        <v/>
      </c>
      <c r="Q422" s="22">
        <f>IF(O422=1,"",IF(AND(B422="post",P422="nicht angetreten"),"NANG",IF(N422=1,"AUSL",IFERROR(VLOOKUP(H422,Vokabular!$A$2:$B$8,2,FALSE),"UNBEKANNT"))))</f>
        <v/>
      </c>
    </row>
    <row r="423">
      <c r="A423" s="5" t="inlineStr">
        <is>
          <t>VS-06</t>
        </is>
      </c>
      <c r="B423" s="5" t="inlineStr">
        <is>
          <t>prä</t>
        </is>
      </c>
      <c r="C423" s="5" t="inlineStr">
        <is>
          <t>Sprint_30m</t>
        </is>
      </c>
      <c r="D423" s="5" t="inlineStr">
        <is>
          <t>–</t>
        </is>
      </c>
      <c r="E423" s="5" t="n">
        <v>2</v>
      </c>
      <c r="F423" s="5" t="n">
        <v>4.45</v>
      </c>
      <c r="G423" s="5" t="n"/>
      <c r="H423" s="5" t="n"/>
      <c r="I423" s="22">
        <f>INDEX(Personendaten!$C$2:$C$32,MATCH(A423,Personendaten!$A$2:$A$32,0))</f>
        <v/>
      </c>
      <c r="J423" s="22">
        <f>IF(AND(F423&lt;&gt;"",G423=""),1,0)</f>
        <v/>
      </c>
      <c r="K423" s="22">
        <f>IF(LEFT(C423,7)&lt;&gt;"Sprint_","",IF(COUNTIFS(Versuchsdaten!$A$2:$A$1117,$A423,Versuchsdaten!$B$2:$B$1117,$B423,Versuchsdaten!$C$2:$C$1117,"Sprint_5m",Versuchsdaten!$E$2:$E$1117,$E423,Versuchsdaten!$J$2:$J$1117,1)=1,SUMIFS(Versuchsdaten!$F$2:$F$1117,Versuchsdaten!$A$2:$A$1117,$A423,Versuchsdaten!$B$2:$B$1117,$B423,Versuchsdaten!$C$2:$C$1117,"Sprint_5m",Versuchsdaten!$E$2:$E$1117,$E423,Versuchsdaten!$J$2:$J$1117,1),""))</f>
        <v/>
      </c>
      <c r="L423" s="22">
        <f>IF(LEFT(C423,7)&lt;&gt;"Sprint_","",IF(COUNTIFS(Versuchsdaten!$A$2:$A$1117,$A423,Versuchsdaten!$B$2:$B$1117,$B423,Versuchsdaten!$C$2:$C$1117,"Sprint_10m",Versuchsdaten!$E$2:$E$1117,$E423,Versuchsdaten!$J$2:$J$1117,1)=1,SUMIFS(Versuchsdaten!$F$2:$F$1117,Versuchsdaten!$A$2:$A$1117,$A423,Versuchsdaten!$B$2:$B$1117,$B423,Versuchsdaten!$C$2:$C$1117,"Sprint_10m",Versuchsdaten!$E$2:$E$1117,$E423,Versuchsdaten!$J$2:$J$1117,1),""))</f>
        <v/>
      </c>
      <c r="M423" s="22">
        <f>IF(LEFT(C423,7)&lt;&gt;"Sprint_","",IF(COUNTIFS(Versuchsdaten!$A$2:$A$1117,$A423,Versuchsdaten!$B$2:$B$1117,$B423,Versuchsdaten!$C$2:$C$1117,"Sprint_30m",Versuchsdaten!$E$2:$E$1117,$E423,Versuchsdaten!$J$2:$J$1117,1)=1,SUMIFS(Versuchsdaten!$F$2:$F$1117,Versuchsdaten!$A$2:$A$1117,$A423,Versuchsdaten!$B$2:$B$1117,$B423,Versuchsdaten!$C$2:$C$1117,"Sprint_30m",Versuchsdaten!$E$2:$E$1117,$E423,Versuchsdaten!$J$2:$J$1117,1),""))</f>
        <v/>
      </c>
      <c r="N423" s="22">
        <f>IF(LEFT(C423,7)&lt;&gt;"Sprint_",0,IF(IF(ISNUMBER(K423),IF(K423&lt;=0,1,IF(5/K423&gt;10,1,0)),0)+IF(ISNUMBER(L423),IF(ISNUMBER(K423),IF(L423-K423&lt;=0,1,IF(5/(L423-K423)&gt;10,1,0)),IF(L423&lt;=0,1,IF(10/L423&gt;10,1,0))),0)+IF(ISNUMBER(M423),IF(ISNUMBER(L423),IF(M423-L423&lt;=0,1,IF(20/(M423-L423)&gt;10,1,0)),IF(ISNUMBER(K423),IF(M423-K423&lt;=0,1,IF(25/(M423-K423)&gt;10,1,0)),IF(M423&lt;=0,1,IF(30/M423&gt;10,1,0)))),0)&gt;0,1,0))</f>
        <v/>
      </c>
      <c r="O423" s="22">
        <f>IF(AND(J423=1,N423=0),1,0)</f>
        <v/>
      </c>
      <c r="P423" s="22">
        <f>INDEX(Personendaten!$J$2:$J$32,MATCH(A423,Personendaten!$A$2:$A$32,0))</f>
        <v/>
      </c>
      <c r="Q423" s="22">
        <f>IF(O423=1,"",IF(AND(B423="post",P423="nicht angetreten"),"NANG",IF(N423=1,"AUSL",IFERROR(VLOOKUP(H423,Vokabular!$A$2:$B$8,2,FALSE),"UNBEKANNT"))))</f>
        <v/>
      </c>
    </row>
    <row r="424">
      <c r="A424" s="5" t="inlineStr">
        <is>
          <t>VS-06</t>
        </is>
      </c>
      <c r="B424" s="5" t="inlineStr">
        <is>
          <t>prä</t>
        </is>
      </c>
      <c r="C424" s="5" t="inlineStr">
        <is>
          <t>Sprint_30m</t>
        </is>
      </c>
      <c r="D424" s="5" t="inlineStr">
        <is>
          <t>–</t>
        </is>
      </c>
      <c r="E424" s="5" t="n">
        <v>3</v>
      </c>
      <c r="F424" s="5" t="n">
        <v>4.5</v>
      </c>
      <c r="G424" s="5" t="n"/>
      <c r="H424" s="5" t="n"/>
      <c r="I424" s="22">
        <f>INDEX(Personendaten!$C$2:$C$32,MATCH(A424,Personendaten!$A$2:$A$32,0))</f>
        <v/>
      </c>
      <c r="J424" s="22">
        <f>IF(AND(F424&lt;&gt;"",G424=""),1,0)</f>
        <v/>
      </c>
      <c r="K424" s="22">
        <f>IF(LEFT(C424,7)&lt;&gt;"Sprint_","",IF(COUNTIFS(Versuchsdaten!$A$2:$A$1117,$A424,Versuchsdaten!$B$2:$B$1117,$B424,Versuchsdaten!$C$2:$C$1117,"Sprint_5m",Versuchsdaten!$E$2:$E$1117,$E424,Versuchsdaten!$J$2:$J$1117,1)=1,SUMIFS(Versuchsdaten!$F$2:$F$1117,Versuchsdaten!$A$2:$A$1117,$A424,Versuchsdaten!$B$2:$B$1117,$B424,Versuchsdaten!$C$2:$C$1117,"Sprint_5m",Versuchsdaten!$E$2:$E$1117,$E424,Versuchsdaten!$J$2:$J$1117,1),""))</f>
        <v/>
      </c>
      <c r="L424" s="22">
        <f>IF(LEFT(C424,7)&lt;&gt;"Sprint_","",IF(COUNTIFS(Versuchsdaten!$A$2:$A$1117,$A424,Versuchsdaten!$B$2:$B$1117,$B424,Versuchsdaten!$C$2:$C$1117,"Sprint_10m",Versuchsdaten!$E$2:$E$1117,$E424,Versuchsdaten!$J$2:$J$1117,1)=1,SUMIFS(Versuchsdaten!$F$2:$F$1117,Versuchsdaten!$A$2:$A$1117,$A424,Versuchsdaten!$B$2:$B$1117,$B424,Versuchsdaten!$C$2:$C$1117,"Sprint_10m",Versuchsdaten!$E$2:$E$1117,$E424,Versuchsdaten!$J$2:$J$1117,1),""))</f>
        <v/>
      </c>
      <c r="M424" s="22">
        <f>IF(LEFT(C424,7)&lt;&gt;"Sprint_","",IF(COUNTIFS(Versuchsdaten!$A$2:$A$1117,$A424,Versuchsdaten!$B$2:$B$1117,$B424,Versuchsdaten!$C$2:$C$1117,"Sprint_30m",Versuchsdaten!$E$2:$E$1117,$E424,Versuchsdaten!$J$2:$J$1117,1)=1,SUMIFS(Versuchsdaten!$F$2:$F$1117,Versuchsdaten!$A$2:$A$1117,$A424,Versuchsdaten!$B$2:$B$1117,$B424,Versuchsdaten!$C$2:$C$1117,"Sprint_30m",Versuchsdaten!$E$2:$E$1117,$E424,Versuchsdaten!$J$2:$J$1117,1),""))</f>
        <v/>
      </c>
      <c r="N424" s="22">
        <f>IF(LEFT(C424,7)&lt;&gt;"Sprint_",0,IF(IF(ISNUMBER(K424),IF(K424&lt;=0,1,IF(5/K424&gt;10,1,0)),0)+IF(ISNUMBER(L424),IF(ISNUMBER(K424),IF(L424-K424&lt;=0,1,IF(5/(L424-K424)&gt;10,1,0)),IF(L424&lt;=0,1,IF(10/L424&gt;10,1,0))),0)+IF(ISNUMBER(M424),IF(ISNUMBER(L424),IF(M424-L424&lt;=0,1,IF(20/(M424-L424)&gt;10,1,0)),IF(ISNUMBER(K424),IF(M424-K424&lt;=0,1,IF(25/(M424-K424)&gt;10,1,0)),IF(M424&lt;=0,1,IF(30/M424&gt;10,1,0)))),0)&gt;0,1,0))</f>
        <v/>
      </c>
      <c r="O424" s="22">
        <f>IF(AND(J424=1,N424=0),1,0)</f>
        <v/>
      </c>
      <c r="P424" s="22">
        <f>INDEX(Personendaten!$J$2:$J$32,MATCH(A424,Personendaten!$A$2:$A$32,0))</f>
        <v/>
      </c>
      <c r="Q424" s="22">
        <f>IF(O424=1,"",IF(AND(B424="post",P424="nicht angetreten"),"NANG",IF(N424=1,"AUSL",IFERROR(VLOOKUP(H424,Vokabular!$A$2:$B$8,2,FALSE),"UNBEKANNT"))))</f>
        <v/>
      </c>
    </row>
    <row r="425">
      <c r="A425" s="5" t="inlineStr">
        <is>
          <t>VS-06</t>
        </is>
      </c>
      <c r="B425" s="5" t="inlineStr">
        <is>
          <t>prä</t>
        </is>
      </c>
      <c r="C425" s="5" t="inlineStr">
        <is>
          <t>Standweitsprung</t>
        </is>
      </c>
      <c r="D425" s="5" t="inlineStr">
        <is>
          <t>–</t>
        </is>
      </c>
      <c r="E425" s="5" t="n">
        <v>1</v>
      </c>
      <c r="F425" s="5" t="n">
        <v>259</v>
      </c>
      <c r="G425" s="5" t="n"/>
      <c r="H425" s="5" t="n"/>
      <c r="I425" s="22">
        <f>INDEX(Personendaten!$C$2:$C$32,MATCH(A425,Personendaten!$A$2:$A$32,0))</f>
        <v/>
      </c>
      <c r="J425" s="22">
        <f>IF(AND(F425&lt;&gt;"",G425=""),1,0)</f>
        <v/>
      </c>
      <c r="K425" s="22">
        <f>IF(LEFT(C425,7)&lt;&gt;"Sprint_","",IF(COUNTIFS(Versuchsdaten!$A$2:$A$1117,$A425,Versuchsdaten!$B$2:$B$1117,$B425,Versuchsdaten!$C$2:$C$1117,"Sprint_5m",Versuchsdaten!$E$2:$E$1117,$E425,Versuchsdaten!$J$2:$J$1117,1)=1,SUMIFS(Versuchsdaten!$F$2:$F$1117,Versuchsdaten!$A$2:$A$1117,$A425,Versuchsdaten!$B$2:$B$1117,$B425,Versuchsdaten!$C$2:$C$1117,"Sprint_5m",Versuchsdaten!$E$2:$E$1117,$E425,Versuchsdaten!$J$2:$J$1117,1),""))</f>
        <v/>
      </c>
      <c r="L425" s="22">
        <f>IF(LEFT(C425,7)&lt;&gt;"Sprint_","",IF(COUNTIFS(Versuchsdaten!$A$2:$A$1117,$A425,Versuchsdaten!$B$2:$B$1117,$B425,Versuchsdaten!$C$2:$C$1117,"Sprint_10m",Versuchsdaten!$E$2:$E$1117,$E425,Versuchsdaten!$J$2:$J$1117,1)=1,SUMIFS(Versuchsdaten!$F$2:$F$1117,Versuchsdaten!$A$2:$A$1117,$A425,Versuchsdaten!$B$2:$B$1117,$B425,Versuchsdaten!$C$2:$C$1117,"Sprint_10m",Versuchsdaten!$E$2:$E$1117,$E425,Versuchsdaten!$J$2:$J$1117,1),""))</f>
        <v/>
      </c>
      <c r="M425" s="22">
        <f>IF(LEFT(C425,7)&lt;&gt;"Sprint_","",IF(COUNTIFS(Versuchsdaten!$A$2:$A$1117,$A425,Versuchsdaten!$B$2:$B$1117,$B425,Versuchsdaten!$C$2:$C$1117,"Sprint_30m",Versuchsdaten!$E$2:$E$1117,$E425,Versuchsdaten!$J$2:$J$1117,1)=1,SUMIFS(Versuchsdaten!$F$2:$F$1117,Versuchsdaten!$A$2:$A$1117,$A425,Versuchsdaten!$B$2:$B$1117,$B425,Versuchsdaten!$C$2:$C$1117,"Sprint_30m",Versuchsdaten!$E$2:$E$1117,$E425,Versuchsdaten!$J$2:$J$1117,1),""))</f>
        <v/>
      </c>
      <c r="N425" s="22">
        <f>IF(LEFT(C425,7)&lt;&gt;"Sprint_",0,IF(IF(ISNUMBER(K425),IF(K425&lt;=0,1,IF(5/K425&gt;10,1,0)),0)+IF(ISNUMBER(L425),IF(ISNUMBER(K425),IF(L425-K425&lt;=0,1,IF(5/(L425-K425)&gt;10,1,0)),IF(L425&lt;=0,1,IF(10/L425&gt;10,1,0))),0)+IF(ISNUMBER(M425),IF(ISNUMBER(L425),IF(M425-L425&lt;=0,1,IF(20/(M425-L425)&gt;10,1,0)),IF(ISNUMBER(K425),IF(M425-K425&lt;=0,1,IF(25/(M425-K425)&gt;10,1,0)),IF(M425&lt;=0,1,IF(30/M425&gt;10,1,0)))),0)&gt;0,1,0))</f>
        <v/>
      </c>
      <c r="O425" s="22">
        <f>IF(AND(J425=1,N425=0),1,0)</f>
        <v/>
      </c>
      <c r="P425" s="22">
        <f>INDEX(Personendaten!$J$2:$J$32,MATCH(A425,Personendaten!$A$2:$A$32,0))</f>
        <v/>
      </c>
      <c r="Q425" s="22">
        <f>IF(O425=1,"",IF(AND(B425="post",P425="nicht angetreten"),"NANG",IF(N425=1,"AUSL",IFERROR(VLOOKUP(H425,Vokabular!$A$2:$B$8,2,FALSE),"UNBEKANNT"))))</f>
        <v/>
      </c>
    </row>
    <row r="426">
      <c r="A426" s="5" t="inlineStr">
        <is>
          <t>VS-06</t>
        </is>
      </c>
      <c r="B426" s="5" t="inlineStr">
        <is>
          <t>prä</t>
        </is>
      </c>
      <c r="C426" s="5" t="inlineStr">
        <is>
          <t>Standweitsprung</t>
        </is>
      </c>
      <c r="D426" s="5" t="inlineStr">
        <is>
          <t>–</t>
        </is>
      </c>
      <c r="E426" s="5" t="n">
        <v>2</v>
      </c>
      <c r="F426" s="5" t="n">
        <v>255</v>
      </c>
      <c r="G426" s="5" t="n"/>
      <c r="H426" s="5" t="n"/>
      <c r="I426" s="22">
        <f>INDEX(Personendaten!$C$2:$C$32,MATCH(A426,Personendaten!$A$2:$A$32,0))</f>
        <v/>
      </c>
      <c r="J426" s="22">
        <f>IF(AND(F426&lt;&gt;"",G426=""),1,0)</f>
        <v/>
      </c>
      <c r="K426" s="22">
        <f>IF(LEFT(C426,7)&lt;&gt;"Sprint_","",IF(COUNTIFS(Versuchsdaten!$A$2:$A$1117,$A426,Versuchsdaten!$B$2:$B$1117,$B426,Versuchsdaten!$C$2:$C$1117,"Sprint_5m",Versuchsdaten!$E$2:$E$1117,$E426,Versuchsdaten!$J$2:$J$1117,1)=1,SUMIFS(Versuchsdaten!$F$2:$F$1117,Versuchsdaten!$A$2:$A$1117,$A426,Versuchsdaten!$B$2:$B$1117,$B426,Versuchsdaten!$C$2:$C$1117,"Sprint_5m",Versuchsdaten!$E$2:$E$1117,$E426,Versuchsdaten!$J$2:$J$1117,1),""))</f>
        <v/>
      </c>
      <c r="L426" s="22">
        <f>IF(LEFT(C426,7)&lt;&gt;"Sprint_","",IF(COUNTIFS(Versuchsdaten!$A$2:$A$1117,$A426,Versuchsdaten!$B$2:$B$1117,$B426,Versuchsdaten!$C$2:$C$1117,"Sprint_10m",Versuchsdaten!$E$2:$E$1117,$E426,Versuchsdaten!$J$2:$J$1117,1)=1,SUMIFS(Versuchsdaten!$F$2:$F$1117,Versuchsdaten!$A$2:$A$1117,$A426,Versuchsdaten!$B$2:$B$1117,$B426,Versuchsdaten!$C$2:$C$1117,"Sprint_10m",Versuchsdaten!$E$2:$E$1117,$E426,Versuchsdaten!$J$2:$J$1117,1),""))</f>
        <v/>
      </c>
      <c r="M426" s="22">
        <f>IF(LEFT(C426,7)&lt;&gt;"Sprint_","",IF(COUNTIFS(Versuchsdaten!$A$2:$A$1117,$A426,Versuchsdaten!$B$2:$B$1117,$B426,Versuchsdaten!$C$2:$C$1117,"Sprint_30m",Versuchsdaten!$E$2:$E$1117,$E426,Versuchsdaten!$J$2:$J$1117,1)=1,SUMIFS(Versuchsdaten!$F$2:$F$1117,Versuchsdaten!$A$2:$A$1117,$A426,Versuchsdaten!$B$2:$B$1117,$B426,Versuchsdaten!$C$2:$C$1117,"Sprint_30m",Versuchsdaten!$E$2:$E$1117,$E426,Versuchsdaten!$J$2:$J$1117,1),""))</f>
        <v/>
      </c>
      <c r="N426" s="22">
        <f>IF(LEFT(C426,7)&lt;&gt;"Sprint_",0,IF(IF(ISNUMBER(K426),IF(K426&lt;=0,1,IF(5/K426&gt;10,1,0)),0)+IF(ISNUMBER(L426),IF(ISNUMBER(K426),IF(L426-K426&lt;=0,1,IF(5/(L426-K426)&gt;10,1,0)),IF(L426&lt;=0,1,IF(10/L426&gt;10,1,0))),0)+IF(ISNUMBER(M426),IF(ISNUMBER(L426),IF(M426-L426&lt;=0,1,IF(20/(M426-L426)&gt;10,1,0)),IF(ISNUMBER(K426),IF(M426-K426&lt;=0,1,IF(25/(M426-K426)&gt;10,1,0)),IF(M426&lt;=0,1,IF(30/M426&gt;10,1,0)))),0)&gt;0,1,0))</f>
        <v/>
      </c>
      <c r="O426" s="22">
        <f>IF(AND(J426=1,N426=0),1,0)</f>
        <v/>
      </c>
      <c r="P426" s="22">
        <f>INDEX(Personendaten!$J$2:$J$32,MATCH(A426,Personendaten!$A$2:$A$32,0))</f>
        <v/>
      </c>
      <c r="Q426" s="22">
        <f>IF(O426=1,"",IF(AND(B426="post",P426="nicht angetreten"),"NANG",IF(N426=1,"AUSL",IFERROR(VLOOKUP(H426,Vokabular!$A$2:$B$8,2,FALSE),"UNBEKANNT"))))</f>
        <v/>
      </c>
    </row>
    <row r="427">
      <c r="A427" s="5" t="inlineStr">
        <is>
          <t>VS-06</t>
        </is>
      </c>
      <c r="B427" s="5" t="inlineStr">
        <is>
          <t>prä</t>
        </is>
      </c>
      <c r="C427" s="5" t="inlineStr">
        <is>
          <t>Standweitsprung</t>
        </is>
      </c>
      <c r="D427" s="5" t="inlineStr">
        <is>
          <t>–</t>
        </is>
      </c>
      <c r="E427" s="5" t="n">
        <v>3</v>
      </c>
      <c r="F427" s="5" t="n"/>
      <c r="G427" s="5" t="n"/>
      <c r="H427" s="5" t="inlineStr">
        <is>
          <t>Nur 2 Versuche aus Zeitmangel</t>
        </is>
      </c>
      <c r="I427" s="22">
        <f>INDEX(Personendaten!$C$2:$C$32,MATCH(A427,Personendaten!$A$2:$A$32,0))</f>
        <v/>
      </c>
      <c r="J427" s="22">
        <f>IF(AND(F427&lt;&gt;"",G427=""),1,0)</f>
        <v/>
      </c>
      <c r="K427" s="22">
        <f>IF(LEFT(C427,7)&lt;&gt;"Sprint_","",IF(COUNTIFS(Versuchsdaten!$A$2:$A$1117,$A427,Versuchsdaten!$B$2:$B$1117,$B427,Versuchsdaten!$C$2:$C$1117,"Sprint_5m",Versuchsdaten!$E$2:$E$1117,$E427,Versuchsdaten!$J$2:$J$1117,1)=1,SUMIFS(Versuchsdaten!$F$2:$F$1117,Versuchsdaten!$A$2:$A$1117,$A427,Versuchsdaten!$B$2:$B$1117,$B427,Versuchsdaten!$C$2:$C$1117,"Sprint_5m",Versuchsdaten!$E$2:$E$1117,$E427,Versuchsdaten!$J$2:$J$1117,1),""))</f>
        <v/>
      </c>
      <c r="L427" s="22">
        <f>IF(LEFT(C427,7)&lt;&gt;"Sprint_","",IF(COUNTIFS(Versuchsdaten!$A$2:$A$1117,$A427,Versuchsdaten!$B$2:$B$1117,$B427,Versuchsdaten!$C$2:$C$1117,"Sprint_10m",Versuchsdaten!$E$2:$E$1117,$E427,Versuchsdaten!$J$2:$J$1117,1)=1,SUMIFS(Versuchsdaten!$F$2:$F$1117,Versuchsdaten!$A$2:$A$1117,$A427,Versuchsdaten!$B$2:$B$1117,$B427,Versuchsdaten!$C$2:$C$1117,"Sprint_10m",Versuchsdaten!$E$2:$E$1117,$E427,Versuchsdaten!$J$2:$J$1117,1),""))</f>
        <v/>
      </c>
      <c r="M427" s="22">
        <f>IF(LEFT(C427,7)&lt;&gt;"Sprint_","",IF(COUNTIFS(Versuchsdaten!$A$2:$A$1117,$A427,Versuchsdaten!$B$2:$B$1117,$B427,Versuchsdaten!$C$2:$C$1117,"Sprint_30m",Versuchsdaten!$E$2:$E$1117,$E427,Versuchsdaten!$J$2:$J$1117,1)=1,SUMIFS(Versuchsdaten!$F$2:$F$1117,Versuchsdaten!$A$2:$A$1117,$A427,Versuchsdaten!$B$2:$B$1117,$B427,Versuchsdaten!$C$2:$C$1117,"Sprint_30m",Versuchsdaten!$E$2:$E$1117,$E427,Versuchsdaten!$J$2:$J$1117,1),""))</f>
        <v/>
      </c>
      <c r="N427" s="22">
        <f>IF(LEFT(C427,7)&lt;&gt;"Sprint_",0,IF(IF(ISNUMBER(K427),IF(K427&lt;=0,1,IF(5/K427&gt;10,1,0)),0)+IF(ISNUMBER(L427),IF(ISNUMBER(K427),IF(L427-K427&lt;=0,1,IF(5/(L427-K427)&gt;10,1,0)),IF(L427&lt;=0,1,IF(10/L427&gt;10,1,0))),0)+IF(ISNUMBER(M427),IF(ISNUMBER(L427),IF(M427-L427&lt;=0,1,IF(20/(M427-L427)&gt;10,1,0)),IF(ISNUMBER(K427),IF(M427-K427&lt;=0,1,IF(25/(M427-K427)&gt;10,1,0)),IF(M427&lt;=0,1,IF(30/M427&gt;10,1,0)))),0)&gt;0,1,0))</f>
        <v/>
      </c>
      <c r="O427" s="22">
        <f>IF(AND(J427=1,N427=0),1,0)</f>
        <v/>
      </c>
      <c r="P427" s="22">
        <f>INDEX(Personendaten!$J$2:$J$32,MATCH(A427,Personendaten!$A$2:$A$32,0))</f>
        <v/>
      </c>
      <c r="Q427" s="22">
        <f>IF(O427=1,"",IF(AND(B427="post",P427="nicht angetreten"),"NANG",IF(N427=1,"AUSL",IFERROR(VLOOKUP(H427,Vokabular!$A$2:$B$8,2,FALSE),"UNBEKANNT"))))</f>
        <v/>
      </c>
    </row>
    <row r="428">
      <c r="A428" s="5" t="inlineStr">
        <is>
          <t>VS-06</t>
        </is>
      </c>
      <c r="B428" s="5" t="inlineStr">
        <is>
          <t>prä</t>
        </is>
      </c>
      <c r="C428" s="5" t="inlineStr">
        <is>
          <t>COD_505</t>
        </is>
      </c>
      <c r="D428" s="5" t="inlineStr">
        <is>
          <t>L</t>
        </is>
      </c>
      <c r="E428" s="5" t="n">
        <v>1</v>
      </c>
      <c r="F428" s="5" t="n">
        <v>2.35</v>
      </c>
      <c r="G428" s="5" t="n"/>
      <c r="H428" s="5" t="n"/>
      <c r="I428" s="22">
        <f>INDEX(Personendaten!$C$2:$C$32,MATCH(A428,Personendaten!$A$2:$A$32,0))</f>
        <v/>
      </c>
      <c r="J428" s="22">
        <f>IF(AND(F428&lt;&gt;"",G428=""),1,0)</f>
        <v/>
      </c>
      <c r="K428" s="22">
        <f>IF(LEFT(C428,7)&lt;&gt;"Sprint_","",IF(COUNTIFS(Versuchsdaten!$A$2:$A$1117,$A428,Versuchsdaten!$B$2:$B$1117,$B428,Versuchsdaten!$C$2:$C$1117,"Sprint_5m",Versuchsdaten!$E$2:$E$1117,$E428,Versuchsdaten!$J$2:$J$1117,1)=1,SUMIFS(Versuchsdaten!$F$2:$F$1117,Versuchsdaten!$A$2:$A$1117,$A428,Versuchsdaten!$B$2:$B$1117,$B428,Versuchsdaten!$C$2:$C$1117,"Sprint_5m",Versuchsdaten!$E$2:$E$1117,$E428,Versuchsdaten!$J$2:$J$1117,1),""))</f>
        <v/>
      </c>
      <c r="L428" s="22">
        <f>IF(LEFT(C428,7)&lt;&gt;"Sprint_","",IF(COUNTIFS(Versuchsdaten!$A$2:$A$1117,$A428,Versuchsdaten!$B$2:$B$1117,$B428,Versuchsdaten!$C$2:$C$1117,"Sprint_10m",Versuchsdaten!$E$2:$E$1117,$E428,Versuchsdaten!$J$2:$J$1117,1)=1,SUMIFS(Versuchsdaten!$F$2:$F$1117,Versuchsdaten!$A$2:$A$1117,$A428,Versuchsdaten!$B$2:$B$1117,$B428,Versuchsdaten!$C$2:$C$1117,"Sprint_10m",Versuchsdaten!$E$2:$E$1117,$E428,Versuchsdaten!$J$2:$J$1117,1),""))</f>
        <v/>
      </c>
      <c r="M428" s="22">
        <f>IF(LEFT(C428,7)&lt;&gt;"Sprint_","",IF(COUNTIFS(Versuchsdaten!$A$2:$A$1117,$A428,Versuchsdaten!$B$2:$B$1117,$B428,Versuchsdaten!$C$2:$C$1117,"Sprint_30m",Versuchsdaten!$E$2:$E$1117,$E428,Versuchsdaten!$J$2:$J$1117,1)=1,SUMIFS(Versuchsdaten!$F$2:$F$1117,Versuchsdaten!$A$2:$A$1117,$A428,Versuchsdaten!$B$2:$B$1117,$B428,Versuchsdaten!$C$2:$C$1117,"Sprint_30m",Versuchsdaten!$E$2:$E$1117,$E428,Versuchsdaten!$J$2:$J$1117,1),""))</f>
        <v/>
      </c>
      <c r="N428" s="22">
        <f>IF(LEFT(C428,7)&lt;&gt;"Sprint_",0,IF(IF(ISNUMBER(K428),IF(K428&lt;=0,1,IF(5/K428&gt;10,1,0)),0)+IF(ISNUMBER(L428),IF(ISNUMBER(K428),IF(L428-K428&lt;=0,1,IF(5/(L428-K428)&gt;10,1,0)),IF(L428&lt;=0,1,IF(10/L428&gt;10,1,0))),0)+IF(ISNUMBER(M428),IF(ISNUMBER(L428),IF(M428-L428&lt;=0,1,IF(20/(M428-L428)&gt;10,1,0)),IF(ISNUMBER(K428),IF(M428-K428&lt;=0,1,IF(25/(M428-K428)&gt;10,1,0)),IF(M428&lt;=0,1,IF(30/M428&gt;10,1,0)))),0)&gt;0,1,0))</f>
        <v/>
      </c>
      <c r="O428" s="22">
        <f>IF(AND(J428=1,N428=0),1,0)</f>
        <v/>
      </c>
      <c r="P428" s="22">
        <f>INDEX(Personendaten!$J$2:$J$32,MATCH(A428,Personendaten!$A$2:$A$32,0))</f>
        <v/>
      </c>
      <c r="Q428" s="22">
        <f>IF(O428=1,"",IF(AND(B428="post",P428="nicht angetreten"),"NANG",IF(N428=1,"AUSL",IFERROR(VLOOKUP(H428,Vokabular!$A$2:$B$8,2,FALSE),"UNBEKANNT"))))</f>
        <v/>
      </c>
    </row>
    <row r="429">
      <c r="A429" s="5" t="inlineStr">
        <is>
          <t>VS-06</t>
        </is>
      </c>
      <c r="B429" s="5" t="inlineStr">
        <is>
          <t>prä</t>
        </is>
      </c>
      <c r="C429" s="5" t="inlineStr">
        <is>
          <t>COD_505</t>
        </is>
      </c>
      <c r="D429" s="5" t="inlineStr">
        <is>
          <t>L</t>
        </is>
      </c>
      <c r="E429" s="5" t="n">
        <v>2</v>
      </c>
      <c r="F429" s="5" t="n">
        <v>2.5</v>
      </c>
      <c r="G429" s="5" t="n"/>
      <c r="H429" s="5" t="n"/>
      <c r="I429" s="22">
        <f>INDEX(Personendaten!$C$2:$C$32,MATCH(A429,Personendaten!$A$2:$A$32,0))</f>
        <v/>
      </c>
      <c r="J429" s="22">
        <f>IF(AND(F429&lt;&gt;"",G429=""),1,0)</f>
        <v/>
      </c>
      <c r="K429" s="22">
        <f>IF(LEFT(C429,7)&lt;&gt;"Sprint_","",IF(COUNTIFS(Versuchsdaten!$A$2:$A$1117,$A429,Versuchsdaten!$B$2:$B$1117,$B429,Versuchsdaten!$C$2:$C$1117,"Sprint_5m",Versuchsdaten!$E$2:$E$1117,$E429,Versuchsdaten!$J$2:$J$1117,1)=1,SUMIFS(Versuchsdaten!$F$2:$F$1117,Versuchsdaten!$A$2:$A$1117,$A429,Versuchsdaten!$B$2:$B$1117,$B429,Versuchsdaten!$C$2:$C$1117,"Sprint_5m",Versuchsdaten!$E$2:$E$1117,$E429,Versuchsdaten!$J$2:$J$1117,1),""))</f>
        <v/>
      </c>
      <c r="L429" s="22">
        <f>IF(LEFT(C429,7)&lt;&gt;"Sprint_","",IF(COUNTIFS(Versuchsdaten!$A$2:$A$1117,$A429,Versuchsdaten!$B$2:$B$1117,$B429,Versuchsdaten!$C$2:$C$1117,"Sprint_10m",Versuchsdaten!$E$2:$E$1117,$E429,Versuchsdaten!$J$2:$J$1117,1)=1,SUMIFS(Versuchsdaten!$F$2:$F$1117,Versuchsdaten!$A$2:$A$1117,$A429,Versuchsdaten!$B$2:$B$1117,$B429,Versuchsdaten!$C$2:$C$1117,"Sprint_10m",Versuchsdaten!$E$2:$E$1117,$E429,Versuchsdaten!$J$2:$J$1117,1),""))</f>
        <v/>
      </c>
      <c r="M429" s="22">
        <f>IF(LEFT(C429,7)&lt;&gt;"Sprint_","",IF(COUNTIFS(Versuchsdaten!$A$2:$A$1117,$A429,Versuchsdaten!$B$2:$B$1117,$B429,Versuchsdaten!$C$2:$C$1117,"Sprint_30m",Versuchsdaten!$E$2:$E$1117,$E429,Versuchsdaten!$J$2:$J$1117,1)=1,SUMIFS(Versuchsdaten!$F$2:$F$1117,Versuchsdaten!$A$2:$A$1117,$A429,Versuchsdaten!$B$2:$B$1117,$B429,Versuchsdaten!$C$2:$C$1117,"Sprint_30m",Versuchsdaten!$E$2:$E$1117,$E429,Versuchsdaten!$J$2:$J$1117,1),""))</f>
        <v/>
      </c>
      <c r="N429" s="22">
        <f>IF(LEFT(C429,7)&lt;&gt;"Sprint_",0,IF(IF(ISNUMBER(K429),IF(K429&lt;=0,1,IF(5/K429&gt;10,1,0)),0)+IF(ISNUMBER(L429),IF(ISNUMBER(K429),IF(L429-K429&lt;=0,1,IF(5/(L429-K429)&gt;10,1,0)),IF(L429&lt;=0,1,IF(10/L429&gt;10,1,0))),0)+IF(ISNUMBER(M429),IF(ISNUMBER(L429),IF(M429-L429&lt;=0,1,IF(20/(M429-L429)&gt;10,1,0)),IF(ISNUMBER(K429),IF(M429-K429&lt;=0,1,IF(25/(M429-K429)&gt;10,1,0)),IF(M429&lt;=0,1,IF(30/M429&gt;10,1,0)))),0)&gt;0,1,0))</f>
        <v/>
      </c>
      <c r="O429" s="22">
        <f>IF(AND(J429=1,N429=0),1,0)</f>
        <v/>
      </c>
      <c r="P429" s="22">
        <f>INDEX(Personendaten!$J$2:$J$32,MATCH(A429,Personendaten!$A$2:$A$32,0))</f>
        <v/>
      </c>
      <c r="Q429" s="22">
        <f>IF(O429=1,"",IF(AND(B429="post",P429="nicht angetreten"),"NANG",IF(N429=1,"AUSL",IFERROR(VLOOKUP(H429,Vokabular!$A$2:$B$8,2,FALSE),"UNBEKANNT"))))</f>
        <v/>
      </c>
    </row>
    <row r="430">
      <c r="A430" s="5" t="inlineStr">
        <is>
          <t>VS-06</t>
        </is>
      </c>
      <c r="B430" s="5" t="inlineStr">
        <is>
          <t>prä</t>
        </is>
      </c>
      <c r="C430" s="5" t="inlineStr">
        <is>
          <t>COD_505</t>
        </is>
      </c>
      <c r="D430" s="5" t="inlineStr">
        <is>
          <t>L</t>
        </is>
      </c>
      <c r="E430" s="5" t="n">
        <v>3</v>
      </c>
      <c r="F430" s="5" t="n"/>
      <c r="G430" s="5" t="n"/>
      <c r="H430" s="5" t="inlineStr">
        <is>
          <t>Nur 2 Versuche aus Zeitmangel</t>
        </is>
      </c>
      <c r="I430" s="22">
        <f>INDEX(Personendaten!$C$2:$C$32,MATCH(A430,Personendaten!$A$2:$A$32,0))</f>
        <v/>
      </c>
      <c r="J430" s="22">
        <f>IF(AND(F430&lt;&gt;"",G430=""),1,0)</f>
        <v/>
      </c>
      <c r="K430" s="22">
        <f>IF(LEFT(C430,7)&lt;&gt;"Sprint_","",IF(COUNTIFS(Versuchsdaten!$A$2:$A$1117,$A430,Versuchsdaten!$B$2:$B$1117,$B430,Versuchsdaten!$C$2:$C$1117,"Sprint_5m",Versuchsdaten!$E$2:$E$1117,$E430,Versuchsdaten!$J$2:$J$1117,1)=1,SUMIFS(Versuchsdaten!$F$2:$F$1117,Versuchsdaten!$A$2:$A$1117,$A430,Versuchsdaten!$B$2:$B$1117,$B430,Versuchsdaten!$C$2:$C$1117,"Sprint_5m",Versuchsdaten!$E$2:$E$1117,$E430,Versuchsdaten!$J$2:$J$1117,1),""))</f>
        <v/>
      </c>
      <c r="L430" s="22">
        <f>IF(LEFT(C430,7)&lt;&gt;"Sprint_","",IF(COUNTIFS(Versuchsdaten!$A$2:$A$1117,$A430,Versuchsdaten!$B$2:$B$1117,$B430,Versuchsdaten!$C$2:$C$1117,"Sprint_10m",Versuchsdaten!$E$2:$E$1117,$E430,Versuchsdaten!$J$2:$J$1117,1)=1,SUMIFS(Versuchsdaten!$F$2:$F$1117,Versuchsdaten!$A$2:$A$1117,$A430,Versuchsdaten!$B$2:$B$1117,$B430,Versuchsdaten!$C$2:$C$1117,"Sprint_10m",Versuchsdaten!$E$2:$E$1117,$E430,Versuchsdaten!$J$2:$J$1117,1),""))</f>
        <v/>
      </c>
      <c r="M430" s="22">
        <f>IF(LEFT(C430,7)&lt;&gt;"Sprint_","",IF(COUNTIFS(Versuchsdaten!$A$2:$A$1117,$A430,Versuchsdaten!$B$2:$B$1117,$B430,Versuchsdaten!$C$2:$C$1117,"Sprint_30m",Versuchsdaten!$E$2:$E$1117,$E430,Versuchsdaten!$J$2:$J$1117,1)=1,SUMIFS(Versuchsdaten!$F$2:$F$1117,Versuchsdaten!$A$2:$A$1117,$A430,Versuchsdaten!$B$2:$B$1117,$B430,Versuchsdaten!$C$2:$C$1117,"Sprint_30m",Versuchsdaten!$E$2:$E$1117,$E430,Versuchsdaten!$J$2:$J$1117,1),""))</f>
        <v/>
      </c>
      <c r="N430" s="22">
        <f>IF(LEFT(C430,7)&lt;&gt;"Sprint_",0,IF(IF(ISNUMBER(K430),IF(K430&lt;=0,1,IF(5/K430&gt;10,1,0)),0)+IF(ISNUMBER(L430),IF(ISNUMBER(K430),IF(L430-K430&lt;=0,1,IF(5/(L430-K430)&gt;10,1,0)),IF(L430&lt;=0,1,IF(10/L430&gt;10,1,0))),0)+IF(ISNUMBER(M430),IF(ISNUMBER(L430),IF(M430-L430&lt;=0,1,IF(20/(M430-L430)&gt;10,1,0)),IF(ISNUMBER(K430),IF(M430-K430&lt;=0,1,IF(25/(M430-K430)&gt;10,1,0)),IF(M430&lt;=0,1,IF(30/M430&gt;10,1,0)))),0)&gt;0,1,0))</f>
        <v/>
      </c>
      <c r="O430" s="22">
        <f>IF(AND(J430=1,N430=0),1,0)</f>
        <v/>
      </c>
      <c r="P430" s="22">
        <f>INDEX(Personendaten!$J$2:$J$32,MATCH(A430,Personendaten!$A$2:$A$32,0))</f>
        <v/>
      </c>
      <c r="Q430" s="22">
        <f>IF(O430=1,"",IF(AND(B430="post",P430="nicht angetreten"),"NANG",IF(N430=1,"AUSL",IFERROR(VLOOKUP(H430,Vokabular!$A$2:$B$8,2,FALSE),"UNBEKANNT"))))</f>
        <v/>
      </c>
    </row>
    <row r="431">
      <c r="A431" s="5" t="inlineStr">
        <is>
          <t>VS-06</t>
        </is>
      </c>
      <c r="B431" s="5" t="inlineStr">
        <is>
          <t>prä</t>
        </is>
      </c>
      <c r="C431" s="5" t="inlineStr">
        <is>
          <t>COD_505</t>
        </is>
      </c>
      <c r="D431" s="5" t="inlineStr">
        <is>
          <t>R</t>
        </is>
      </c>
      <c r="E431" s="5" t="n">
        <v>1</v>
      </c>
      <c r="F431" s="5" t="n">
        <v>2.29</v>
      </c>
      <c r="G431" s="5" t="n"/>
      <c r="H431" s="5" t="n"/>
      <c r="I431" s="22">
        <f>INDEX(Personendaten!$C$2:$C$32,MATCH(A431,Personendaten!$A$2:$A$32,0))</f>
        <v/>
      </c>
      <c r="J431" s="22">
        <f>IF(AND(F431&lt;&gt;"",G431=""),1,0)</f>
        <v/>
      </c>
      <c r="K431" s="22">
        <f>IF(LEFT(C431,7)&lt;&gt;"Sprint_","",IF(COUNTIFS(Versuchsdaten!$A$2:$A$1117,$A431,Versuchsdaten!$B$2:$B$1117,$B431,Versuchsdaten!$C$2:$C$1117,"Sprint_5m",Versuchsdaten!$E$2:$E$1117,$E431,Versuchsdaten!$J$2:$J$1117,1)=1,SUMIFS(Versuchsdaten!$F$2:$F$1117,Versuchsdaten!$A$2:$A$1117,$A431,Versuchsdaten!$B$2:$B$1117,$B431,Versuchsdaten!$C$2:$C$1117,"Sprint_5m",Versuchsdaten!$E$2:$E$1117,$E431,Versuchsdaten!$J$2:$J$1117,1),""))</f>
        <v/>
      </c>
      <c r="L431" s="22">
        <f>IF(LEFT(C431,7)&lt;&gt;"Sprint_","",IF(COUNTIFS(Versuchsdaten!$A$2:$A$1117,$A431,Versuchsdaten!$B$2:$B$1117,$B431,Versuchsdaten!$C$2:$C$1117,"Sprint_10m",Versuchsdaten!$E$2:$E$1117,$E431,Versuchsdaten!$J$2:$J$1117,1)=1,SUMIFS(Versuchsdaten!$F$2:$F$1117,Versuchsdaten!$A$2:$A$1117,$A431,Versuchsdaten!$B$2:$B$1117,$B431,Versuchsdaten!$C$2:$C$1117,"Sprint_10m",Versuchsdaten!$E$2:$E$1117,$E431,Versuchsdaten!$J$2:$J$1117,1),""))</f>
        <v/>
      </c>
      <c r="M431" s="22">
        <f>IF(LEFT(C431,7)&lt;&gt;"Sprint_","",IF(COUNTIFS(Versuchsdaten!$A$2:$A$1117,$A431,Versuchsdaten!$B$2:$B$1117,$B431,Versuchsdaten!$C$2:$C$1117,"Sprint_30m",Versuchsdaten!$E$2:$E$1117,$E431,Versuchsdaten!$J$2:$J$1117,1)=1,SUMIFS(Versuchsdaten!$F$2:$F$1117,Versuchsdaten!$A$2:$A$1117,$A431,Versuchsdaten!$B$2:$B$1117,$B431,Versuchsdaten!$C$2:$C$1117,"Sprint_30m",Versuchsdaten!$E$2:$E$1117,$E431,Versuchsdaten!$J$2:$J$1117,1),""))</f>
        <v/>
      </c>
      <c r="N431" s="22">
        <f>IF(LEFT(C431,7)&lt;&gt;"Sprint_",0,IF(IF(ISNUMBER(K431),IF(K431&lt;=0,1,IF(5/K431&gt;10,1,0)),0)+IF(ISNUMBER(L431),IF(ISNUMBER(K431),IF(L431-K431&lt;=0,1,IF(5/(L431-K431)&gt;10,1,0)),IF(L431&lt;=0,1,IF(10/L431&gt;10,1,0))),0)+IF(ISNUMBER(M431),IF(ISNUMBER(L431),IF(M431-L431&lt;=0,1,IF(20/(M431-L431)&gt;10,1,0)),IF(ISNUMBER(K431),IF(M431-K431&lt;=0,1,IF(25/(M431-K431)&gt;10,1,0)),IF(M431&lt;=0,1,IF(30/M431&gt;10,1,0)))),0)&gt;0,1,0))</f>
        <v/>
      </c>
      <c r="O431" s="22">
        <f>IF(AND(J431=1,N431=0),1,0)</f>
        <v/>
      </c>
      <c r="P431" s="22">
        <f>INDEX(Personendaten!$J$2:$J$32,MATCH(A431,Personendaten!$A$2:$A$32,0))</f>
        <v/>
      </c>
      <c r="Q431" s="22">
        <f>IF(O431=1,"",IF(AND(B431="post",P431="nicht angetreten"),"NANG",IF(N431=1,"AUSL",IFERROR(VLOOKUP(H431,Vokabular!$A$2:$B$8,2,FALSE),"UNBEKANNT"))))</f>
        <v/>
      </c>
    </row>
    <row r="432">
      <c r="A432" s="5" t="inlineStr">
        <is>
          <t>VS-06</t>
        </is>
      </c>
      <c r="B432" s="5" t="inlineStr">
        <is>
          <t>prä</t>
        </is>
      </c>
      <c r="C432" s="5" t="inlineStr">
        <is>
          <t>COD_505</t>
        </is>
      </c>
      <c r="D432" s="5" t="inlineStr">
        <is>
          <t>R</t>
        </is>
      </c>
      <c r="E432" s="5" t="n">
        <v>2</v>
      </c>
      <c r="F432" s="5" t="n">
        <v>2.52</v>
      </c>
      <c r="G432" s="5" t="n"/>
      <c r="H432" s="5" t="n"/>
      <c r="I432" s="22">
        <f>INDEX(Personendaten!$C$2:$C$32,MATCH(A432,Personendaten!$A$2:$A$32,0))</f>
        <v/>
      </c>
      <c r="J432" s="22">
        <f>IF(AND(F432&lt;&gt;"",G432=""),1,0)</f>
        <v/>
      </c>
      <c r="K432" s="22">
        <f>IF(LEFT(C432,7)&lt;&gt;"Sprint_","",IF(COUNTIFS(Versuchsdaten!$A$2:$A$1117,$A432,Versuchsdaten!$B$2:$B$1117,$B432,Versuchsdaten!$C$2:$C$1117,"Sprint_5m",Versuchsdaten!$E$2:$E$1117,$E432,Versuchsdaten!$J$2:$J$1117,1)=1,SUMIFS(Versuchsdaten!$F$2:$F$1117,Versuchsdaten!$A$2:$A$1117,$A432,Versuchsdaten!$B$2:$B$1117,$B432,Versuchsdaten!$C$2:$C$1117,"Sprint_5m",Versuchsdaten!$E$2:$E$1117,$E432,Versuchsdaten!$J$2:$J$1117,1),""))</f>
        <v/>
      </c>
      <c r="L432" s="22">
        <f>IF(LEFT(C432,7)&lt;&gt;"Sprint_","",IF(COUNTIFS(Versuchsdaten!$A$2:$A$1117,$A432,Versuchsdaten!$B$2:$B$1117,$B432,Versuchsdaten!$C$2:$C$1117,"Sprint_10m",Versuchsdaten!$E$2:$E$1117,$E432,Versuchsdaten!$J$2:$J$1117,1)=1,SUMIFS(Versuchsdaten!$F$2:$F$1117,Versuchsdaten!$A$2:$A$1117,$A432,Versuchsdaten!$B$2:$B$1117,$B432,Versuchsdaten!$C$2:$C$1117,"Sprint_10m",Versuchsdaten!$E$2:$E$1117,$E432,Versuchsdaten!$J$2:$J$1117,1),""))</f>
        <v/>
      </c>
      <c r="M432" s="22">
        <f>IF(LEFT(C432,7)&lt;&gt;"Sprint_","",IF(COUNTIFS(Versuchsdaten!$A$2:$A$1117,$A432,Versuchsdaten!$B$2:$B$1117,$B432,Versuchsdaten!$C$2:$C$1117,"Sprint_30m",Versuchsdaten!$E$2:$E$1117,$E432,Versuchsdaten!$J$2:$J$1117,1)=1,SUMIFS(Versuchsdaten!$F$2:$F$1117,Versuchsdaten!$A$2:$A$1117,$A432,Versuchsdaten!$B$2:$B$1117,$B432,Versuchsdaten!$C$2:$C$1117,"Sprint_30m",Versuchsdaten!$E$2:$E$1117,$E432,Versuchsdaten!$J$2:$J$1117,1),""))</f>
        <v/>
      </c>
      <c r="N432" s="22">
        <f>IF(LEFT(C432,7)&lt;&gt;"Sprint_",0,IF(IF(ISNUMBER(K432),IF(K432&lt;=0,1,IF(5/K432&gt;10,1,0)),0)+IF(ISNUMBER(L432),IF(ISNUMBER(K432),IF(L432-K432&lt;=0,1,IF(5/(L432-K432)&gt;10,1,0)),IF(L432&lt;=0,1,IF(10/L432&gt;10,1,0))),0)+IF(ISNUMBER(M432),IF(ISNUMBER(L432),IF(M432-L432&lt;=0,1,IF(20/(M432-L432)&gt;10,1,0)),IF(ISNUMBER(K432),IF(M432-K432&lt;=0,1,IF(25/(M432-K432)&gt;10,1,0)),IF(M432&lt;=0,1,IF(30/M432&gt;10,1,0)))),0)&gt;0,1,0))</f>
        <v/>
      </c>
      <c r="O432" s="22">
        <f>IF(AND(J432=1,N432=0),1,0)</f>
        <v/>
      </c>
      <c r="P432" s="22">
        <f>INDEX(Personendaten!$J$2:$J$32,MATCH(A432,Personendaten!$A$2:$A$32,0))</f>
        <v/>
      </c>
      <c r="Q432" s="22">
        <f>IF(O432=1,"",IF(AND(B432="post",P432="nicht angetreten"),"NANG",IF(N432=1,"AUSL",IFERROR(VLOOKUP(H432,Vokabular!$A$2:$B$8,2,FALSE),"UNBEKANNT"))))</f>
        <v/>
      </c>
    </row>
    <row r="433">
      <c r="A433" s="5" t="inlineStr">
        <is>
          <t>VS-06</t>
        </is>
      </c>
      <c r="B433" s="5" t="inlineStr">
        <is>
          <t>prä</t>
        </is>
      </c>
      <c r="C433" s="5" t="inlineStr">
        <is>
          <t>COD_505</t>
        </is>
      </c>
      <c r="D433" s="5" t="inlineStr">
        <is>
          <t>R</t>
        </is>
      </c>
      <c r="E433" s="5" t="n">
        <v>3</v>
      </c>
      <c r="F433" s="5" t="n"/>
      <c r="G433" s="5" t="n"/>
      <c r="H433" s="5" t="inlineStr">
        <is>
          <t>Nur 2 Versuche aus Zeitmangel</t>
        </is>
      </c>
      <c r="I433" s="22">
        <f>INDEX(Personendaten!$C$2:$C$32,MATCH(A433,Personendaten!$A$2:$A$32,0))</f>
        <v/>
      </c>
      <c r="J433" s="22">
        <f>IF(AND(F433&lt;&gt;"",G433=""),1,0)</f>
        <v/>
      </c>
      <c r="K433" s="22">
        <f>IF(LEFT(C433,7)&lt;&gt;"Sprint_","",IF(COUNTIFS(Versuchsdaten!$A$2:$A$1117,$A433,Versuchsdaten!$B$2:$B$1117,$B433,Versuchsdaten!$C$2:$C$1117,"Sprint_5m",Versuchsdaten!$E$2:$E$1117,$E433,Versuchsdaten!$J$2:$J$1117,1)=1,SUMIFS(Versuchsdaten!$F$2:$F$1117,Versuchsdaten!$A$2:$A$1117,$A433,Versuchsdaten!$B$2:$B$1117,$B433,Versuchsdaten!$C$2:$C$1117,"Sprint_5m",Versuchsdaten!$E$2:$E$1117,$E433,Versuchsdaten!$J$2:$J$1117,1),""))</f>
        <v/>
      </c>
      <c r="L433" s="22">
        <f>IF(LEFT(C433,7)&lt;&gt;"Sprint_","",IF(COUNTIFS(Versuchsdaten!$A$2:$A$1117,$A433,Versuchsdaten!$B$2:$B$1117,$B433,Versuchsdaten!$C$2:$C$1117,"Sprint_10m",Versuchsdaten!$E$2:$E$1117,$E433,Versuchsdaten!$J$2:$J$1117,1)=1,SUMIFS(Versuchsdaten!$F$2:$F$1117,Versuchsdaten!$A$2:$A$1117,$A433,Versuchsdaten!$B$2:$B$1117,$B433,Versuchsdaten!$C$2:$C$1117,"Sprint_10m",Versuchsdaten!$E$2:$E$1117,$E433,Versuchsdaten!$J$2:$J$1117,1),""))</f>
        <v/>
      </c>
      <c r="M433" s="22">
        <f>IF(LEFT(C433,7)&lt;&gt;"Sprint_","",IF(COUNTIFS(Versuchsdaten!$A$2:$A$1117,$A433,Versuchsdaten!$B$2:$B$1117,$B433,Versuchsdaten!$C$2:$C$1117,"Sprint_30m",Versuchsdaten!$E$2:$E$1117,$E433,Versuchsdaten!$J$2:$J$1117,1)=1,SUMIFS(Versuchsdaten!$F$2:$F$1117,Versuchsdaten!$A$2:$A$1117,$A433,Versuchsdaten!$B$2:$B$1117,$B433,Versuchsdaten!$C$2:$C$1117,"Sprint_30m",Versuchsdaten!$E$2:$E$1117,$E433,Versuchsdaten!$J$2:$J$1117,1),""))</f>
        <v/>
      </c>
      <c r="N433" s="22">
        <f>IF(LEFT(C433,7)&lt;&gt;"Sprint_",0,IF(IF(ISNUMBER(K433),IF(K433&lt;=0,1,IF(5/K433&gt;10,1,0)),0)+IF(ISNUMBER(L433),IF(ISNUMBER(K433),IF(L433-K433&lt;=0,1,IF(5/(L433-K433)&gt;10,1,0)),IF(L433&lt;=0,1,IF(10/L433&gt;10,1,0))),0)+IF(ISNUMBER(M433),IF(ISNUMBER(L433),IF(M433-L433&lt;=0,1,IF(20/(M433-L433)&gt;10,1,0)),IF(ISNUMBER(K433),IF(M433-K433&lt;=0,1,IF(25/(M433-K433)&gt;10,1,0)),IF(M433&lt;=0,1,IF(30/M433&gt;10,1,0)))),0)&gt;0,1,0))</f>
        <v/>
      </c>
      <c r="O433" s="22">
        <f>IF(AND(J433=1,N433=0),1,0)</f>
        <v/>
      </c>
      <c r="P433" s="22">
        <f>INDEX(Personendaten!$J$2:$J$32,MATCH(A433,Personendaten!$A$2:$A$32,0))</f>
        <v/>
      </c>
      <c r="Q433" s="22">
        <f>IF(O433=1,"",IF(AND(B433="post",P433="nicht angetreten"),"NANG",IF(N433=1,"AUSL",IFERROR(VLOOKUP(H433,Vokabular!$A$2:$B$8,2,FALSE),"UNBEKANNT"))))</f>
        <v/>
      </c>
    </row>
    <row r="434">
      <c r="A434" s="5" t="inlineStr">
        <is>
          <t>VS-07</t>
        </is>
      </c>
      <c r="B434" s="5" t="inlineStr">
        <is>
          <t>prä</t>
        </is>
      </c>
      <c r="C434" s="5" t="inlineStr">
        <is>
          <t>Sprint_5m</t>
        </is>
      </c>
      <c r="D434" s="5" t="inlineStr">
        <is>
          <t>–</t>
        </is>
      </c>
      <c r="E434" s="5" t="n">
        <v>1</v>
      </c>
      <c r="F434" s="5" t="n">
        <v>1.19</v>
      </c>
      <c r="G434" s="5" t="n"/>
      <c r="H434" s="5" t="n"/>
      <c r="I434" s="22">
        <f>INDEX(Personendaten!$C$2:$C$32,MATCH(A434,Personendaten!$A$2:$A$32,0))</f>
        <v/>
      </c>
      <c r="J434" s="22">
        <f>IF(AND(F434&lt;&gt;"",G434=""),1,0)</f>
        <v/>
      </c>
      <c r="K434" s="22">
        <f>IF(LEFT(C434,7)&lt;&gt;"Sprint_","",IF(COUNTIFS(Versuchsdaten!$A$2:$A$1117,$A434,Versuchsdaten!$B$2:$B$1117,$B434,Versuchsdaten!$C$2:$C$1117,"Sprint_5m",Versuchsdaten!$E$2:$E$1117,$E434,Versuchsdaten!$J$2:$J$1117,1)=1,SUMIFS(Versuchsdaten!$F$2:$F$1117,Versuchsdaten!$A$2:$A$1117,$A434,Versuchsdaten!$B$2:$B$1117,$B434,Versuchsdaten!$C$2:$C$1117,"Sprint_5m",Versuchsdaten!$E$2:$E$1117,$E434,Versuchsdaten!$J$2:$J$1117,1),""))</f>
        <v/>
      </c>
      <c r="L434" s="22">
        <f>IF(LEFT(C434,7)&lt;&gt;"Sprint_","",IF(COUNTIFS(Versuchsdaten!$A$2:$A$1117,$A434,Versuchsdaten!$B$2:$B$1117,$B434,Versuchsdaten!$C$2:$C$1117,"Sprint_10m",Versuchsdaten!$E$2:$E$1117,$E434,Versuchsdaten!$J$2:$J$1117,1)=1,SUMIFS(Versuchsdaten!$F$2:$F$1117,Versuchsdaten!$A$2:$A$1117,$A434,Versuchsdaten!$B$2:$B$1117,$B434,Versuchsdaten!$C$2:$C$1117,"Sprint_10m",Versuchsdaten!$E$2:$E$1117,$E434,Versuchsdaten!$J$2:$J$1117,1),""))</f>
        <v/>
      </c>
      <c r="M434" s="22">
        <f>IF(LEFT(C434,7)&lt;&gt;"Sprint_","",IF(COUNTIFS(Versuchsdaten!$A$2:$A$1117,$A434,Versuchsdaten!$B$2:$B$1117,$B434,Versuchsdaten!$C$2:$C$1117,"Sprint_30m",Versuchsdaten!$E$2:$E$1117,$E434,Versuchsdaten!$J$2:$J$1117,1)=1,SUMIFS(Versuchsdaten!$F$2:$F$1117,Versuchsdaten!$A$2:$A$1117,$A434,Versuchsdaten!$B$2:$B$1117,$B434,Versuchsdaten!$C$2:$C$1117,"Sprint_30m",Versuchsdaten!$E$2:$E$1117,$E434,Versuchsdaten!$J$2:$J$1117,1),""))</f>
        <v/>
      </c>
      <c r="N434" s="22">
        <f>IF(LEFT(C434,7)&lt;&gt;"Sprint_",0,IF(IF(ISNUMBER(K434),IF(K434&lt;=0,1,IF(5/K434&gt;10,1,0)),0)+IF(ISNUMBER(L434),IF(ISNUMBER(K434),IF(L434-K434&lt;=0,1,IF(5/(L434-K434)&gt;10,1,0)),IF(L434&lt;=0,1,IF(10/L434&gt;10,1,0))),0)+IF(ISNUMBER(M434),IF(ISNUMBER(L434),IF(M434-L434&lt;=0,1,IF(20/(M434-L434)&gt;10,1,0)),IF(ISNUMBER(K434),IF(M434-K434&lt;=0,1,IF(25/(M434-K434)&gt;10,1,0)),IF(M434&lt;=0,1,IF(30/M434&gt;10,1,0)))),0)&gt;0,1,0))</f>
        <v/>
      </c>
      <c r="O434" s="22">
        <f>IF(AND(J434=1,N434=0),1,0)</f>
        <v/>
      </c>
      <c r="P434" s="22">
        <f>INDEX(Personendaten!$J$2:$J$32,MATCH(A434,Personendaten!$A$2:$A$32,0))</f>
        <v/>
      </c>
      <c r="Q434" s="22">
        <f>IF(O434=1,"",IF(AND(B434="post",P434="nicht angetreten"),"NANG",IF(N434=1,"AUSL",IFERROR(VLOOKUP(H434,Vokabular!$A$2:$B$8,2,FALSE),"UNBEKANNT"))))</f>
        <v/>
      </c>
    </row>
    <row r="435">
      <c r="A435" s="5" t="inlineStr">
        <is>
          <t>VS-07</t>
        </is>
      </c>
      <c r="B435" s="5" t="inlineStr">
        <is>
          <t>prä</t>
        </is>
      </c>
      <c r="C435" s="5" t="inlineStr">
        <is>
          <t>Sprint_5m</t>
        </is>
      </c>
      <c r="D435" s="5" t="inlineStr">
        <is>
          <t>–</t>
        </is>
      </c>
      <c r="E435" s="5" t="n">
        <v>2</v>
      </c>
      <c r="F435" s="5" t="n"/>
      <c r="G435" s="5" t="n"/>
      <c r="H435" s="5" t="inlineStr">
        <is>
          <t>System nicht aufgenommen</t>
        </is>
      </c>
      <c r="I435" s="22">
        <f>INDEX(Personendaten!$C$2:$C$32,MATCH(A435,Personendaten!$A$2:$A$32,0))</f>
        <v/>
      </c>
      <c r="J435" s="22">
        <f>IF(AND(F435&lt;&gt;"",G435=""),1,0)</f>
        <v/>
      </c>
      <c r="K435" s="22">
        <f>IF(LEFT(C435,7)&lt;&gt;"Sprint_","",IF(COUNTIFS(Versuchsdaten!$A$2:$A$1117,$A435,Versuchsdaten!$B$2:$B$1117,$B435,Versuchsdaten!$C$2:$C$1117,"Sprint_5m",Versuchsdaten!$E$2:$E$1117,$E435,Versuchsdaten!$J$2:$J$1117,1)=1,SUMIFS(Versuchsdaten!$F$2:$F$1117,Versuchsdaten!$A$2:$A$1117,$A435,Versuchsdaten!$B$2:$B$1117,$B435,Versuchsdaten!$C$2:$C$1117,"Sprint_5m",Versuchsdaten!$E$2:$E$1117,$E435,Versuchsdaten!$J$2:$J$1117,1),""))</f>
        <v/>
      </c>
      <c r="L435" s="22">
        <f>IF(LEFT(C435,7)&lt;&gt;"Sprint_","",IF(COUNTIFS(Versuchsdaten!$A$2:$A$1117,$A435,Versuchsdaten!$B$2:$B$1117,$B435,Versuchsdaten!$C$2:$C$1117,"Sprint_10m",Versuchsdaten!$E$2:$E$1117,$E435,Versuchsdaten!$J$2:$J$1117,1)=1,SUMIFS(Versuchsdaten!$F$2:$F$1117,Versuchsdaten!$A$2:$A$1117,$A435,Versuchsdaten!$B$2:$B$1117,$B435,Versuchsdaten!$C$2:$C$1117,"Sprint_10m",Versuchsdaten!$E$2:$E$1117,$E435,Versuchsdaten!$J$2:$J$1117,1),""))</f>
        <v/>
      </c>
      <c r="M435" s="22">
        <f>IF(LEFT(C435,7)&lt;&gt;"Sprint_","",IF(COUNTIFS(Versuchsdaten!$A$2:$A$1117,$A435,Versuchsdaten!$B$2:$B$1117,$B435,Versuchsdaten!$C$2:$C$1117,"Sprint_30m",Versuchsdaten!$E$2:$E$1117,$E435,Versuchsdaten!$J$2:$J$1117,1)=1,SUMIFS(Versuchsdaten!$F$2:$F$1117,Versuchsdaten!$A$2:$A$1117,$A435,Versuchsdaten!$B$2:$B$1117,$B435,Versuchsdaten!$C$2:$C$1117,"Sprint_30m",Versuchsdaten!$E$2:$E$1117,$E435,Versuchsdaten!$J$2:$J$1117,1),""))</f>
        <v/>
      </c>
      <c r="N435" s="22">
        <f>IF(LEFT(C435,7)&lt;&gt;"Sprint_",0,IF(IF(ISNUMBER(K435),IF(K435&lt;=0,1,IF(5/K435&gt;10,1,0)),0)+IF(ISNUMBER(L435),IF(ISNUMBER(K435),IF(L435-K435&lt;=0,1,IF(5/(L435-K435)&gt;10,1,0)),IF(L435&lt;=0,1,IF(10/L435&gt;10,1,0))),0)+IF(ISNUMBER(M435),IF(ISNUMBER(L435),IF(M435-L435&lt;=0,1,IF(20/(M435-L435)&gt;10,1,0)),IF(ISNUMBER(K435),IF(M435-K435&lt;=0,1,IF(25/(M435-K435)&gt;10,1,0)),IF(M435&lt;=0,1,IF(30/M435&gt;10,1,0)))),0)&gt;0,1,0))</f>
        <v/>
      </c>
      <c r="O435" s="22">
        <f>IF(AND(J435=1,N435=0),1,0)</f>
        <v/>
      </c>
      <c r="P435" s="22">
        <f>INDEX(Personendaten!$J$2:$J$32,MATCH(A435,Personendaten!$A$2:$A$32,0))</f>
        <v/>
      </c>
      <c r="Q435" s="22">
        <f>IF(O435=1,"",IF(AND(B435="post",P435="nicht angetreten"),"NANG",IF(N435=1,"AUSL",IFERROR(VLOOKUP(H435,Vokabular!$A$2:$B$8,2,FALSE),"UNBEKANNT"))))</f>
        <v/>
      </c>
    </row>
    <row r="436">
      <c r="A436" s="5" t="inlineStr">
        <is>
          <t>VS-07</t>
        </is>
      </c>
      <c r="B436" s="5" t="inlineStr">
        <is>
          <t>prä</t>
        </is>
      </c>
      <c r="C436" s="5" t="inlineStr">
        <is>
          <t>Sprint_5m</t>
        </is>
      </c>
      <c r="D436" s="5" t="inlineStr">
        <is>
          <t>–</t>
        </is>
      </c>
      <c r="E436" s="5" t="n">
        <v>3</v>
      </c>
      <c r="F436" s="5" t="n"/>
      <c r="G436" s="5" t="n"/>
      <c r="H436" s="5" t="inlineStr">
        <is>
          <t>System nicht aufgenommen</t>
        </is>
      </c>
      <c r="I436" s="22">
        <f>INDEX(Personendaten!$C$2:$C$32,MATCH(A436,Personendaten!$A$2:$A$32,0))</f>
        <v/>
      </c>
      <c r="J436" s="22">
        <f>IF(AND(F436&lt;&gt;"",G436=""),1,0)</f>
        <v/>
      </c>
      <c r="K436" s="22">
        <f>IF(LEFT(C436,7)&lt;&gt;"Sprint_","",IF(COUNTIFS(Versuchsdaten!$A$2:$A$1117,$A436,Versuchsdaten!$B$2:$B$1117,$B436,Versuchsdaten!$C$2:$C$1117,"Sprint_5m",Versuchsdaten!$E$2:$E$1117,$E436,Versuchsdaten!$J$2:$J$1117,1)=1,SUMIFS(Versuchsdaten!$F$2:$F$1117,Versuchsdaten!$A$2:$A$1117,$A436,Versuchsdaten!$B$2:$B$1117,$B436,Versuchsdaten!$C$2:$C$1117,"Sprint_5m",Versuchsdaten!$E$2:$E$1117,$E436,Versuchsdaten!$J$2:$J$1117,1),""))</f>
        <v/>
      </c>
      <c r="L436" s="22">
        <f>IF(LEFT(C436,7)&lt;&gt;"Sprint_","",IF(COUNTIFS(Versuchsdaten!$A$2:$A$1117,$A436,Versuchsdaten!$B$2:$B$1117,$B436,Versuchsdaten!$C$2:$C$1117,"Sprint_10m",Versuchsdaten!$E$2:$E$1117,$E436,Versuchsdaten!$J$2:$J$1117,1)=1,SUMIFS(Versuchsdaten!$F$2:$F$1117,Versuchsdaten!$A$2:$A$1117,$A436,Versuchsdaten!$B$2:$B$1117,$B436,Versuchsdaten!$C$2:$C$1117,"Sprint_10m",Versuchsdaten!$E$2:$E$1117,$E436,Versuchsdaten!$J$2:$J$1117,1),""))</f>
        <v/>
      </c>
      <c r="M436" s="22">
        <f>IF(LEFT(C436,7)&lt;&gt;"Sprint_","",IF(COUNTIFS(Versuchsdaten!$A$2:$A$1117,$A436,Versuchsdaten!$B$2:$B$1117,$B436,Versuchsdaten!$C$2:$C$1117,"Sprint_30m",Versuchsdaten!$E$2:$E$1117,$E436,Versuchsdaten!$J$2:$J$1117,1)=1,SUMIFS(Versuchsdaten!$F$2:$F$1117,Versuchsdaten!$A$2:$A$1117,$A436,Versuchsdaten!$B$2:$B$1117,$B436,Versuchsdaten!$C$2:$C$1117,"Sprint_30m",Versuchsdaten!$E$2:$E$1117,$E436,Versuchsdaten!$J$2:$J$1117,1),""))</f>
        <v/>
      </c>
      <c r="N436" s="22">
        <f>IF(LEFT(C436,7)&lt;&gt;"Sprint_",0,IF(IF(ISNUMBER(K436),IF(K436&lt;=0,1,IF(5/K436&gt;10,1,0)),0)+IF(ISNUMBER(L436),IF(ISNUMBER(K436),IF(L436-K436&lt;=0,1,IF(5/(L436-K436)&gt;10,1,0)),IF(L436&lt;=0,1,IF(10/L436&gt;10,1,0))),0)+IF(ISNUMBER(M436),IF(ISNUMBER(L436),IF(M436-L436&lt;=0,1,IF(20/(M436-L436)&gt;10,1,0)),IF(ISNUMBER(K436),IF(M436-K436&lt;=0,1,IF(25/(M436-K436)&gt;10,1,0)),IF(M436&lt;=0,1,IF(30/M436&gt;10,1,0)))),0)&gt;0,1,0))</f>
        <v/>
      </c>
      <c r="O436" s="22">
        <f>IF(AND(J436=1,N436=0),1,0)</f>
        <v/>
      </c>
      <c r="P436" s="22">
        <f>INDEX(Personendaten!$J$2:$J$32,MATCH(A436,Personendaten!$A$2:$A$32,0))</f>
        <v/>
      </c>
      <c r="Q436" s="22">
        <f>IF(O436=1,"",IF(AND(B436="post",P436="nicht angetreten"),"NANG",IF(N436=1,"AUSL",IFERROR(VLOOKUP(H436,Vokabular!$A$2:$B$8,2,FALSE),"UNBEKANNT"))))</f>
        <v/>
      </c>
    </row>
    <row r="437">
      <c r="A437" s="5" t="inlineStr">
        <is>
          <t>VS-07</t>
        </is>
      </c>
      <c r="B437" s="5" t="inlineStr">
        <is>
          <t>prä</t>
        </is>
      </c>
      <c r="C437" s="5" t="inlineStr">
        <is>
          <t>Sprint_10m</t>
        </is>
      </c>
      <c r="D437" s="5" t="inlineStr">
        <is>
          <t>–</t>
        </is>
      </c>
      <c r="E437" s="5" t="n">
        <v>1</v>
      </c>
      <c r="F437" s="5" t="n">
        <v>2.06</v>
      </c>
      <c r="G437" s="5" t="n"/>
      <c r="H437" s="5" t="n"/>
      <c r="I437" s="22">
        <f>INDEX(Personendaten!$C$2:$C$32,MATCH(A437,Personendaten!$A$2:$A$32,0))</f>
        <v/>
      </c>
      <c r="J437" s="22">
        <f>IF(AND(F437&lt;&gt;"",G437=""),1,0)</f>
        <v/>
      </c>
      <c r="K437" s="22">
        <f>IF(LEFT(C437,7)&lt;&gt;"Sprint_","",IF(COUNTIFS(Versuchsdaten!$A$2:$A$1117,$A437,Versuchsdaten!$B$2:$B$1117,$B437,Versuchsdaten!$C$2:$C$1117,"Sprint_5m",Versuchsdaten!$E$2:$E$1117,$E437,Versuchsdaten!$J$2:$J$1117,1)=1,SUMIFS(Versuchsdaten!$F$2:$F$1117,Versuchsdaten!$A$2:$A$1117,$A437,Versuchsdaten!$B$2:$B$1117,$B437,Versuchsdaten!$C$2:$C$1117,"Sprint_5m",Versuchsdaten!$E$2:$E$1117,$E437,Versuchsdaten!$J$2:$J$1117,1),""))</f>
        <v/>
      </c>
      <c r="L437" s="22">
        <f>IF(LEFT(C437,7)&lt;&gt;"Sprint_","",IF(COUNTIFS(Versuchsdaten!$A$2:$A$1117,$A437,Versuchsdaten!$B$2:$B$1117,$B437,Versuchsdaten!$C$2:$C$1117,"Sprint_10m",Versuchsdaten!$E$2:$E$1117,$E437,Versuchsdaten!$J$2:$J$1117,1)=1,SUMIFS(Versuchsdaten!$F$2:$F$1117,Versuchsdaten!$A$2:$A$1117,$A437,Versuchsdaten!$B$2:$B$1117,$B437,Versuchsdaten!$C$2:$C$1117,"Sprint_10m",Versuchsdaten!$E$2:$E$1117,$E437,Versuchsdaten!$J$2:$J$1117,1),""))</f>
        <v/>
      </c>
      <c r="M437" s="22">
        <f>IF(LEFT(C437,7)&lt;&gt;"Sprint_","",IF(COUNTIFS(Versuchsdaten!$A$2:$A$1117,$A437,Versuchsdaten!$B$2:$B$1117,$B437,Versuchsdaten!$C$2:$C$1117,"Sprint_30m",Versuchsdaten!$E$2:$E$1117,$E437,Versuchsdaten!$J$2:$J$1117,1)=1,SUMIFS(Versuchsdaten!$F$2:$F$1117,Versuchsdaten!$A$2:$A$1117,$A437,Versuchsdaten!$B$2:$B$1117,$B437,Versuchsdaten!$C$2:$C$1117,"Sprint_30m",Versuchsdaten!$E$2:$E$1117,$E437,Versuchsdaten!$J$2:$J$1117,1),""))</f>
        <v/>
      </c>
      <c r="N437" s="22">
        <f>IF(LEFT(C437,7)&lt;&gt;"Sprint_",0,IF(IF(ISNUMBER(K437),IF(K437&lt;=0,1,IF(5/K437&gt;10,1,0)),0)+IF(ISNUMBER(L437),IF(ISNUMBER(K437),IF(L437-K437&lt;=0,1,IF(5/(L437-K437)&gt;10,1,0)),IF(L437&lt;=0,1,IF(10/L437&gt;10,1,0))),0)+IF(ISNUMBER(M437),IF(ISNUMBER(L437),IF(M437-L437&lt;=0,1,IF(20/(M437-L437)&gt;10,1,0)),IF(ISNUMBER(K437),IF(M437-K437&lt;=0,1,IF(25/(M437-K437)&gt;10,1,0)),IF(M437&lt;=0,1,IF(30/M437&gt;10,1,0)))),0)&gt;0,1,0))</f>
        <v/>
      </c>
      <c r="O437" s="22">
        <f>IF(AND(J437=1,N437=0),1,0)</f>
        <v/>
      </c>
      <c r="P437" s="22">
        <f>INDEX(Personendaten!$J$2:$J$32,MATCH(A437,Personendaten!$A$2:$A$32,0))</f>
        <v/>
      </c>
      <c r="Q437" s="22">
        <f>IF(O437=1,"",IF(AND(B437="post",P437="nicht angetreten"),"NANG",IF(N437=1,"AUSL",IFERROR(VLOOKUP(H437,Vokabular!$A$2:$B$8,2,FALSE),"UNBEKANNT"))))</f>
        <v/>
      </c>
    </row>
    <row r="438">
      <c r="A438" s="5" t="inlineStr">
        <is>
          <t>VS-07</t>
        </is>
      </c>
      <c r="B438" s="5" t="inlineStr">
        <is>
          <t>prä</t>
        </is>
      </c>
      <c r="C438" s="5" t="inlineStr">
        <is>
          <t>Sprint_10m</t>
        </is>
      </c>
      <c r="D438" s="5" t="inlineStr">
        <is>
          <t>–</t>
        </is>
      </c>
      <c r="E438" s="5" t="n">
        <v>2</v>
      </c>
      <c r="F438" s="5" t="n">
        <v>2.07</v>
      </c>
      <c r="G438" s="5" t="n"/>
      <c r="H438" s="5" t="n"/>
      <c r="I438" s="22">
        <f>INDEX(Personendaten!$C$2:$C$32,MATCH(A438,Personendaten!$A$2:$A$32,0))</f>
        <v/>
      </c>
      <c r="J438" s="22">
        <f>IF(AND(F438&lt;&gt;"",G438=""),1,0)</f>
        <v/>
      </c>
      <c r="K438" s="22">
        <f>IF(LEFT(C438,7)&lt;&gt;"Sprint_","",IF(COUNTIFS(Versuchsdaten!$A$2:$A$1117,$A438,Versuchsdaten!$B$2:$B$1117,$B438,Versuchsdaten!$C$2:$C$1117,"Sprint_5m",Versuchsdaten!$E$2:$E$1117,$E438,Versuchsdaten!$J$2:$J$1117,1)=1,SUMIFS(Versuchsdaten!$F$2:$F$1117,Versuchsdaten!$A$2:$A$1117,$A438,Versuchsdaten!$B$2:$B$1117,$B438,Versuchsdaten!$C$2:$C$1117,"Sprint_5m",Versuchsdaten!$E$2:$E$1117,$E438,Versuchsdaten!$J$2:$J$1117,1),""))</f>
        <v/>
      </c>
      <c r="L438" s="22">
        <f>IF(LEFT(C438,7)&lt;&gt;"Sprint_","",IF(COUNTIFS(Versuchsdaten!$A$2:$A$1117,$A438,Versuchsdaten!$B$2:$B$1117,$B438,Versuchsdaten!$C$2:$C$1117,"Sprint_10m",Versuchsdaten!$E$2:$E$1117,$E438,Versuchsdaten!$J$2:$J$1117,1)=1,SUMIFS(Versuchsdaten!$F$2:$F$1117,Versuchsdaten!$A$2:$A$1117,$A438,Versuchsdaten!$B$2:$B$1117,$B438,Versuchsdaten!$C$2:$C$1117,"Sprint_10m",Versuchsdaten!$E$2:$E$1117,$E438,Versuchsdaten!$J$2:$J$1117,1),""))</f>
        <v/>
      </c>
      <c r="M438" s="22">
        <f>IF(LEFT(C438,7)&lt;&gt;"Sprint_","",IF(COUNTIFS(Versuchsdaten!$A$2:$A$1117,$A438,Versuchsdaten!$B$2:$B$1117,$B438,Versuchsdaten!$C$2:$C$1117,"Sprint_30m",Versuchsdaten!$E$2:$E$1117,$E438,Versuchsdaten!$J$2:$J$1117,1)=1,SUMIFS(Versuchsdaten!$F$2:$F$1117,Versuchsdaten!$A$2:$A$1117,$A438,Versuchsdaten!$B$2:$B$1117,$B438,Versuchsdaten!$C$2:$C$1117,"Sprint_30m",Versuchsdaten!$E$2:$E$1117,$E438,Versuchsdaten!$J$2:$J$1117,1),""))</f>
        <v/>
      </c>
      <c r="N438" s="22">
        <f>IF(LEFT(C438,7)&lt;&gt;"Sprint_",0,IF(IF(ISNUMBER(K438),IF(K438&lt;=0,1,IF(5/K438&gt;10,1,0)),0)+IF(ISNUMBER(L438),IF(ISNUMBER(K438),IF(L438-K438&lt;=0,1,IF(5/(L438-K438)&gt;10,1,0)),IF(L438&lt;=0,1,IF(10/L438&gt;10,1,0))),0)+IF(ISNUMBER(M438),IF(ISNUMBER(L438),IF(M438-L438&lt;=0,1,IF(20/(M438-L438)&gt;10,1,0)),IF(ISNUMBER(K438),IF(M438-K438&lt;=0,1,IF(25/(M438-K438)&gt;10,1,0)),IF(M438&lt;=0,1,IF(30/M438&gt;10,1,0)))),0)&gt;0,1,0))</f>
        <v/>
      </c>
      <c r="O438" s="22">
        <f>IF(AND(J438=1,N438=0),1,0)</f>
        <v/>
      </c>
      <c r="P438" s="22">
        <f>INDEX(Personendaten!$J$2:$J$32,MATCH(A438,Personendaten!$A$2:$A$32,0))</f>
        <v/>
      </c>
      <c r="Q438" s="22">
        <f>IF(O438=1,"",IF(AND(B438="post",P438="nicht angetreten"),"NANG",IF(N438=1,"AUSL",IFERROR(VLOOKUP(H438,Vokabular!$A$2:$B$8,2,FALSE),"UNBEKANNT"))))</f>
        <v/>
      </c>
    </row>
    <row r="439">
      <c r="A439" s="5" t="inlineStr">
        <is>
          <t>VS-07</t>
        </is>
      </c>
      <c r="B439" s="5" t="inlineStr">
        <is>
          <t>prä</t>
        </is>
      </c>
      <c r="C439" s="5" t="inlineStr">
        <is>
          <t>Sprint_10m</t>
        </is>
      </c>
      <c r="D439" s="5" t="inlineStr">
        <is>
          <t>–</t>
        </is>
      </c>
      <c r="E439" s="5" t="n">
        <v>3</v>
      </c>
      <c r="F439" s="5" t="n"/>
      <c r="G439" s="5" t="n"/>
      <c r="H439" s="5" t="inlineStr">
        <is>
          <t>System nicht aufgenommen</t>
        </is>
      </c>
      <c r="I439" s="22">
        <f>INDEX(Personendaten!$C$2:$C$32,MATCH(A439,Personendaten!$A$2:$A$32,0))</f>
        <v/>
      </c>
      <c r="J439" s="22">
        <f>IF(AND(F439&lt;&gt;"",G439=""),1,0)</f>
        <v/>
      </c>
      <c r="K439" s="22">
        <f>IF(LEFT(C439,7)&lt;&gt;"Sprint_","",IF(COUNTIFS(Versuchsdaten!$A$2:$A$1117,$A439,Versuchsdaten!$B$2:$B$1117,$B439,Versuchsdaten!$C$2:$C$1117,"Sprint_5m",Versuchsdaten!$E$2:$E$1117,$E439,Versuchsdaten!$J$2:$J$1117,1)=1,SUMIFS(Versuchsdaten!$F$2:$F$1117,Versuchsdaten!$A$2:$A$1117,$A439,Versuchsdaten!$B$2:$B$1117,$B439,Versuchsdaten!$C$2:$C$1117,"Sprint_5m",Versuchsdaten!$E$2:$E$1117,$E439,Versuchsdaten!$J$2:$J$1117,1),""))</f>
        <v/>
      </c>
      <c r="L439" s="22">
        <f>IF(LEFT(C439,7)&lt;&gt;"Sprint_","",IF(COUNTIFS(Versuchsdaten!$A$2:$A$1117,$A439,Versuchsdaten!$B$2:$B$1117,$B439,Versuchsdaten!$C$2:$C$1117,"Sprint_10m",Versuchsdaten!$E$2:$E$1117,$E439,Versuchsdaten!$J$2:$J$1117,1)=1,SUMIFS(Versuchsdaten!$F$2:$F$1117,Versuchsdaten!$A$2:$A$1117,$A439,Versuchsdaten!$B$2:$B$1117,$B439,Versuchsdaten!$C$2:$C$1117,"Sprint_10m",Versuchsdaten!$E$2:$E$1117,$E439,Versuchsdaten!$J$2:$J$1117,1),""))</f>
        <v/>
      </c>
      <c r="M439" s="22">
        <f>IF(LEFT(C439,7)&lt;&gt;"Sprint_","",IF(COUNTIFS(Versuchsdaten!$A$2:$A$1117,$A439,Versuchsdaten!$B$2:$B$1117,$B439,Versuchsdaten!$C$2:$C$1117,"Sprint_30m",Versuchsdaten!$E$2:$E$1117,$E439,Versuchsdaten!$J$2:$J$1117,1)=1,SUMIFS(Versuchsdaten!$F$2:$F$1117,Versuchsdaten!$A$2:$A$1117,$A439,Versuchsdaten!$B$2:$B$1117,$B439,Versuchsdaten!$C$2:$C$1117,"Sprint_30m",Versuchsdaten!$E$2:$E$1117,$E439,Versuchsdaten!$J$2:$J$1117,1),""))</f>
        <v/>
      </c>
      <c r="N439" s="22">
        <f>IF(LEFT(C439,7)&lt;&gt;"Sprint_",0,IF(IF(ISNUMBER(K439),IF(K439&lt;=0,1,IF(5/K439&gt;10,1,0)),0)+IF(ISNUMBER(L439),IF(ISNUMBER(K439),IF(L439-K439&lt;=0,1,IF(5/(L439-K439)&gt;10,1,0)),IF(L439&lt;=0,1,IF(10/L439&gt;10,1,0))),0)+IF(ISNUMBER(M439),IF(ISNUMBER(L439),IF(M439-L439&lt;=0,1,IF(20/(M439-L439)&gt;10,1,0)),IF(ISNUMBER(K439),IF(M439-K439&lt;=0,1,IF(25/(M439-K439)&gt;10,1,0)),IF(M439&lt;=0,1,IF(30/M439&gt;10,1,0)))),0)&gt;0,1,0))</f>
        <v/>
      </c>
      <c r="O439" s="22">
        <f>IF(AND(J439=1,N439=0),1,0)</f>
        <v/>
      </c>
      <c r="P439" s="22">
        <f>INDEX(Personendaten!$J$2:$J$32,MATCH(A439,Personendaten!$A$2:$A$32,0))</f>
        <v/>
      </c>
      <c r="Q439" s="22">
        <f>IF(O439=1,"",IF(AND(B439="post",P439="nicht angetreten"),"NANG",IF(N439=1,"AUSL",IFERROR(VLOOKUP(H439,Vokabular!$A$2:$B$8,2,FALSE),"UNBEKANNT"))))</f>
        <v/>
      </c>
    </row>
    <row r="440">
      <c r="A440" s="5" t="inlineStr">
        <is>
          <t>VS-07</t>
        </is>
      </c>
      <c r="B440" s="5" t="inlineStr">
        <is>
          <t>prä</t>
        </is>
      </c>
      <c r="C440" s="5" t="inlineStr">
        <is>
          <t>Sprint_30m</t>
        </is>
      </c>
      <c r="D440" s="5" t="inlineStr">
        <is>
          <t>–</t>
        </is>
      </c>
      <c r="E440" s="5" t="n">
        <v>1</v>
      </c>
      <c r="F440" s="5" t="n">
        <v>5.19</v>
      </c>
      <c r="G440" s="5" t="n"/>
      <c r="H440" s="5" t="n"/>
      <c r="I440" s="22">
        <f>INDEX(Personendaten!$C$2:$C$32,MATCH(A440,Personendaten!$A$2:$A$32,0))</f>
        <v/>
      </c>
      <c r="J440" s="22">
        <f>IF(AND(F440&lt;&gt;"",G440=""),1,0)</f>
        <v/>
      </c>
      <c r="K440" s="22">
        <f>IF(LEFT(C440,7)&lt;&gt;"Sprint_","",IF(COUNTIFS(Versuchsdaten!$A$2:$A$1117,$A440,Versuchsdaten!$B$2:$B$1117,$B440,Versuchsdaten!$C$2:$C$1117,"Sprint_5m",Versuchsdaten!$E$2:$E$1117,$E440,Versuchsdaten!$J$2:$J$1117,1)=1,SUMIFS(Versuchsdaten!$F$2:$F$1117,Versuchsdaten!$A$2:$A$1117,$A440,Versuchsdaten!$B$2:$B$1117,$B440,Versuchsdaten!$C$2:$C$1117,"Sprint_5m",Versuchsdaten!$E$2:$E$1117,$E440,Versuchsdaten!$J$2:$J$1117,1),""))</f>
        <v/>
      </c>
      <c r="L440" s="22">
        <f>IF(LEFT(C440,7)&lt;&gt;"Sprint_","",IF(COUNTIFS(Versuchsdaten!$A$2:$A$1117,$A440,Versuchsdaten!$B$2:$B$1117,$B440,Versuchsdaten!$C$2:$C$1117,"Sprint_10m",Versuchsdaten!$E$2:$E$1117,$E440,Versuchsdaten!$J$2:$J$1117,1)=1,SUMIFS(Versuchsdaten!$F$2:$F$1117,Versuchsdaten!$A$2:$A$1117,$A440,Versuchsdaten!$B$2:$B$1117,$B440,Versuchsdaten!$C$2:$C$1117,"Sprint_10m",Versuchsdaten!$E$2:$E$1117,$E440,Versuchsdaten!$J$2:$J$1117,1),""))</f>
        <v/>
      </c>
      <c r="M440" s="22">
        <f>IF(LEFT(C440,7)&lt;&gt;"Sprint_","",IF(COUNTIFS(Versuchsdaten!$A$2:$A$1117,$A440,Versuchsdaten!$B$2:$B$1117,$B440,Versuchsdaten!$C$2:$C$1117,"Sprint_30m",Versuchsdaten!$E$2:$E$1117,$E440,Versuchsdaten!$J$2:$J$1117,1)=1,SUMIFS(Versuchsdaten!$F$2:$F$1117,Versuchsdaten!$A$2:$A$1117,$A440,Versuchsdaten!$B$2:$B$1117,$B440,Versuchsdaten!$C$2:$C$1117,"Sprint_30m",Versuchsdaten!$E$2:$E$1117,$E440,Versuchsdaten!$J$2:$J$1117,1),""))</f>
        <v/>
      </c>
      <c r="N440" s="22">
        <f>IF(LEFT(C440,7)&lt;&gt;"Sprint_",0,IF(IF(ISNUMBER(K440),IF(K440&lt;=0,1,IF(5/K440&gt;10,1,0)),0)+IF(ISNUMBER(L440),IF(ISNUMBER(K440),IF(L440-K440&lt;=0,1,IF(5/(L440-K440)&gt;10,1,0)),IF(L440&lt;=0,1,IF(10/L440&gt;10,1,0))),0)+IF(ISNUMBER(M440),IF(ISNUMBER(L440),IF(M440-L440&lt;=0,1,IF(20/(M440-L440)&gt;10,1,0)),IF(ISNUMBER(K440),IF(M440-K440&lt;=0,1,IF(25/(M440-K440)&gt;10,1,0)),IF(M440&lt;=0,1,IF(30/M440&gt;10,1,0)))),0)&gt;0,1,0))</f>
        <v/>
      </c>
      <c r="O440" s="22">
        <f>IF(AND(J440=1,N440=0),1,0)</f>
        <v/>
      </c>
      <c r="P440" s="22">
        <f>INDEX(Personendaten!$J$2:$J$32,MATCH(A440,Personendaten!$A$2:$A$32,0))</f>
        <v/>
      </c>
      <c r="Q440" s="22">
        <f>IF(O440=1,"",IF(AND(B440="post",P440="nicht angetreten"),"NANG",IF(N440=1,"AUSL",IFERROR(VLOOKUP(H440,Vokabular!$A$2:$B$8,2,FALSE),"UNBEKANNT"))))</f>
        <v/>
      </c>
    </row>
    <row r="441">
      <c r="A441" s="5" t="inlineStr">
        <is>
          <t>VS-07</t>
        </is>
      </c>
      <c r="B441" s="5" t="inlineStr">
        <is>
          <t>prä</t>
        </is>
      </c>
      <c r="C441" s="5" t="inlineStr">
        <is>
          <t>Sprint_30m</t>
        </is>
      </c>
      <c r="D441" s="5" t="inlineStr">
        <is>
          <t>–</t>
        </is>
      </c>
      <c r="E441" s="5" t="n">
        <v>2</v>
      </c>
      <c r="F441" s="5" t="n">
        <v>5.21</v>
      </c>
      <c r="G441" s="5" t="n"/>
      <c r="H441" s="5" t="n"/>
      <c r="I441" s="22">
        <f>INDEX(Personendaten!$C$2:$C$32,MATCH(A441,Personendaten!$A$2:$A$32,0))</f>
        <v/>
      </c>
      <c r="J441" s="22">
        <f>IF(AND(F441&lt;&gt;"",G441=""),1,0)</f>
        <v/>
      </c>
      <c r="K441" s="22">
        <f>IF(LEFT(C441,7)&lt;&gt;"Sprint_","",IF(COUNTIFS(Versuchsdaten!$A$2:$A$1117,$A441,Versuchsdaten!$B$2:$B$1117,$B441,Versuchsdaten!$C$2:$C$1117,"Sprint_5m",Versuchsdaten!$E$2:$E$1117,$E441,Versuchsdaten!$J$2:$J$1117,1)=1,SUMIFS(Versuchsdaten!$F$2:$F$1117,Versuchsdaten!$A$2:$A$1117,$A441,Versuchsdaten!$B$2:$B$1117,$B441,Versuchsdaten!$C$2:$C$1117,"Sprint_5m",Versuchsdaten!$E$2:$E$1117,$E441,Versuchsdaten!$J$2:$J$1117,1),""))</f>
        <v/>
      </c>
      <c r="L441" s="22">
        <f>IF(LEFT(C441,7)&lt;&gt;"Sprint_","",IF(COUNTIFS(Versuchsdaten!$A$2:$A$1117,$A441,Versuchsdaten!$B$2:$B$1117,$B441,Versuchsdaten!$C$2:$C$1117,"Sprint_10m",Versuchsdaten!$E$2:$E$1117,$E441,Versuchsdaten!$J$2:$J$1117,1)=1,SUMIFS(Versuchsdaten!$F$2:$F$1117,Versuchsdaten!$A$2:$A$1117,$A441,Versuchsdaten!$B$2:$B$1117,$B441,Versuchsdaten!$C$2:$C$1117,"Sprint_10m",Versuchsdaten!$E$2:$E$1117,$E441,Versuchsdaten!$J$2:$J$1117,1),""))</f>
        <v/>
      </c>
      <c r="M441" s="22">
        <f>IF(LEFT(C441,7)&lt;&gt;"Sprint_","",IF(COUNTIFS(Versuchsdaten!$A$2:$A$1117,$A441,Versuchsdaten!$B$2:$B$1117,$B441,Versuchsdaten!$C$2:$C$1117,"Sprint_30m",Versuchsdaten!$E$2:$E$1117,$E441,Versuchsdaten!$J$2:$J$1117,1)=1,SUMIFS(Versuchsdaten!$F$2:$F$1117,Versuchsdaten!$A$2:$A$1117,$A441,Versuchsdaten!$B$2:$B$1117,$B441,Versuchsdaten!$C$2:$C$1117,"Sprint_30m",Versuchsdaten!$E$2:$E$1117,$E441,Versuchsdaten!$J$2:$J$1117,1),""))</f>
        <v/>
      </c>
      <c r="N441" s="22">
        <f>IF(LEFT(C441,7)&lt;&gt;"Sprint_",0,IF(IF(ISNUMBER(K441),IF(K441&lt;=0,1,IF(5/K441&gt;10,1,0)),0)+IF(ISNUMBER(L441),IF(ISNUMBER(K441),IF(L441-K441&lt;=0,1,IF(5/(L441-K441)&gt;10,1,0)),IF(L441&lt;=0,1,IF(10/L441&gt;10,1,0))),0)+IF(ISNUMBER(M441),IF(ISNUMBER(L441),IF(M441-L441&lt;=0,1,IF(20/(M441-L441)&gt;10,1,0)),IF(ISNUMBER(K441),IF(M441-K441&lt;=0,1,IF(25/(M441-K441)&gt;10,1,0)),IF(M441&lt;=0,1,IF(30/M441&gt;10,1,0)))),0)&gt;0,1,0))</f>
        <v/>
      </c>
      <c r="O441" s="22">
        <f>IF(AND(J441=1,N441=0),1,0)</f>
        <v/>
      </c>
      <c r="P441" s="22">
        <f>INDEX(Personendaten!$J$2:$J$32,MATCH(A441,Personendaten!$A$2:$A$32,0))</f>
        <v/>
      </c>
      <c r="Q441" s="22">
        <f>IF(O441=1,"",IF(AND(B441="post",P441="nicht angetreten"),"NANG",IF(N441=1,"AUSL",IFERROR(VLOOKUP(H441,Vokabular!$A$2:$B$8,2,FALSE),"UNBEKANNT"))))</f>
        <v/>
      </c>
    </row>
    <row r="442">
      <c r="A442" s="5" t="inlineStr">
        <is>
          <t>VS-07</t>
        </is>
      </c>
      <c r="B442" s="5" t="inlineStr">
        <is>
          <t>prä</t>
        </is>
      </c>
      <c r="C442" s="5" t="inlineStr">
        <is>
          <t>Sprint_30m</t>
        </is>
      </c>
      <c r="D442" s="5" t="inlineStr">
        <is>
          <t>–</t>
        </is>
      </c>
      <c r="E442" s="5" t="n">
        <v>3</v>
      </c>
      <c r="F442" s="5" t="n">
        <v>5.38</v>
      </c>
      <c r="G442" s="5" t="n"/>
      <c r="H442" s="5" t="n"/>
      <c r="I442" s="22">
        <f>INDEX(Personendaten!$C$2:$C$32,MATCH(A442,Personendaten!$A$2:$A$32,0))</f>
        <v/>
      </c>
      <c r="J442" s="22">
        <f>IF(AND(F442&lt;&gt;"",G442=""),1,0)</f>
        <v/>
      </c>
      <c r="K442" s="22">
        <f>IF(LEFT(C442,7)&lt;&gt;"Sprint_","",IF(COUNTIFS(Versuchsdaten!$A$2:$A$1117,$A442,Versuchsdaten!$B$2:$B$1117,$B442,Versuchsdaten!$C$2:$C$1117,"Sprint_5m",Versuchsdaten!$E$2:$E$1117,$E442,Versuchsdaten!$J$2:$J$1117,1)=1,SUMIFS(Versuchsdaten!$F$2:$F$1117,Versuchsdaten!$A$2:$A$1117,$A442,Versuchsdaten!$B$2:$B$1117,$B442,Versuchsdaten!$C$2:$C$1117,"Sprint_5m",Versuchsdaten!$E$2:$E$1117,$E442,Versuchsdaten!$J$2:$J$1117,1),""))</f>
        <v/>
      </c>
      <c r="L442" s="22">
        <f>IF(LEFT(C442,7)&lt;&gt;"Sprint_","",IF(COUNTIFS(Versuchsdaten!$A$2:$A$1117,$A442,Versuchsdaten!$B$2:$B$1117,$B442,Versuchsdaten!$C$2:$C$1117,"Sprint_10m",Versuchsdaten!$E$2:$E$1117,$E442,Versuchsdaten!$J$2:$J$1117,1)=1,SUMIFS(Versuchsdaten!$F$2:$F$1117,Versuchsdaten!$A$2:$A$1117,$A442,Versuchsdaten!$B$2:$B$1117,$B442,Versuchsdaten!$C$2:$C$1117,"Sprint_10m",Versuchsdaten!$E$2:$E$1117,$E442,Versuchsdaten!$J$2:$J$1117,1),""))</f>
        <v/>
      </c>
      <c r="M442" s="22">
        <f>IF(LEFT(C442,7)&lt;&gt;"Sprint_","",IF(COUNTIFS(Versuchsdaten!$A$2:$A$1117,$A442,Versuchsdaten!$B$2:$B$1117,$B442,Versuchsdaten!$C$2:$C$1117,"Sprint_30m",Versuchsdaten!$E$2:$E$1117,$E442,Versuchsdaten!$J$2:$J$1117,1)=1,SUMIFS(Versuchsdaten!$F$2:$F$1117,Versuchsdaten!$A$2:$A$1117,$A442,Versuchsdaten!$B$2:$B$1117,$B442,Versuchsdaten!$C$2:$C$1117,"Sprint_30m",Versuchsdaten!$E$2:$E$1117,$E442,Versuchsdaten!$J$2:$J$1117,1),""))</f>
        <v/>
      </c>
      <c r="N442" s="22">
        <f>IF(LEFT(C442,7)&lt;&gt;"Sprint_",0,IF(IF(ISNUMBER(K442),IF(K442&lt;=0,1,IF(5/K442&gt;10,1,0)),0)+IF(ISNUMBER(L442),IF(ISNUMBER(K442),IF(L442-K442&lt;=0,1,IF(5/(L442-K442)&gt;10,1,0)),IF(L442&lt;=0,1,IF(10/L442&gt;10,1,0))),0)+IF(ISNUMBER(M442),IF(ISNUMBER(L442),IF(M442-L442&lt;=0,1,IF(20/(M442-L442)&gt;10,1,0)),IF(ISNUMBER(K442),IF(M442-K442&lt;=0,1,IF(25/(M442-K442)&gt;10,1,0)),IF(M442&lt;=0,1,IF(30/M442&gt;10,1,0)))),0)&gt;0,1,0))</f>
        <v/>
      </c>
      <c r="O442" s="22">
        <f>IF(AND(J442=1,N442=0),1,0)</f>
        <v/>
      </c>
      <c r="P442" s="22">
        <f>INDEX(Personendaten!$J$2:$J$32,MATCH(A442,Personendaten!$A$2:$A$32,0))</f>
        <v/>
      </c>
      <c r="Q442" s="22">
        <f>IF(O442=1,"",IF(AND(B442="post",P442="nicht angetreten"),"NANG",IF(N442=1,"AUSL",IFERROR(VLOOKUP(H442,Vokabular!$A$2:$B$8,2,FALSE),"UNBEKANNT"))))</f>
        <v/>
      </c>
    </row>
    <row r="443">
      <c r="A443" s="5" t="inlineStr">
        <is>
          <t>VS-07</t>
        </is>
      </c>
      <c r="B443" s="5" t="inlineStr">
        <is>
          <t>prä</t>
        </is>
      </c>
      <c r="C443" s="5" t="inlineStr">
        <is>
          <t>Standweitsprung</t>
        </is>
      </c>
      <c r="D443" s="5" t="inlineStr">
        <is>
          <t>–</t>
        </is>
      </c>
      <c r="E443" s="5" t="n">
        <v>1</v>
      </c>
      <c r="F443" s="5" t="n">
        <v>219</v>
      </c>
      <c r="G443" s="5" t="n"/>
      <c r="H443" s="5" t="n"/>
      <c r="I443" s="22">
        <f>INDEX(Personendaten!$C$2:$C$32,MATCH(A443,Personendaten!$A$2:$A$32,0))</f>
        <v/>
      </c>
      <c r="J443" s="22">
        <f>IF(AND(F443&lt;&gt;"",G443=""),1,0)</f>
        <v/>
      </c>
      <c r="K443" s="22">
        <f>IF(LEFT(C443,7)&lt;&gt;"Sprint_","",IF(COUNTIFS(Versuchsdaten!$A$2:$A$1117,$A443,Versuchsdaten!$B$2:$B$1117,$B443,Versuchsdaten!$C$2:$C$1117,"Sprint_5m",Versuchsdaten!$E$2:$E$1117,$E443,Versuchsdaten!$J$2:$J$1117,1)=1,SUMIFS(Versuchsdaten!$F$2:$F$1117,Versuchsdaten!$A$2:$A$1117,$A443,Versuchsdaten!$B$2:$B$1117,$B443,Versuchsdaten!$C$2:$C$1117,"Sprint_5m",Versuchsdaten!$E$2:$E$1117,$E443,Versuchsdaten!$J$2:$J$1117,1),""))</f>
        <v/>
      </c>
      <c r="L443" s="22">
        <f>IF(LEFT(C443,7)&lt;&gt;"Sprint_","",IF(COUNTIFS(Versuchsdaten!$A$2:$A$1117,$A443,Versuchsdaten!$B$2:$B$1117,$B443,Versuchsdaten!$C$2:$C$1117,"Sprint_10m",Versuchsdaten!$E$2:$E$1117,$E443,Versuchsdaten!$J$2:$J$1117,1)=1,SUMIFS(Versuchsdaten!$F$2:$F$1117,Versuchsdaten!$A$2:$A$1117,$A443,Versuchsdaten!$B$2:$B$1117,$B443,Versuchsdaten!$C$2:$C$1117,"Sprint_10m",Versuchsdaten!$E$2:$E$1117,$E443,Versuchsdaten!$J$2:$J$1117,1),""))</f>
        <v/>
      </c>
      <c r="M443" s="22">
        <f>IF(LEFT(C443,7)&lt;&gt;"Sprint_","",IF(COUNTIFS(Versuchsdaten!$A$2:$A$1117,$A443,Versuchsdaten!$B$2:$B$1117,$B443,Versuchsdaten!$C$2:$C$1117,"Sprint_30m",Versuchsdaten!$E$2:$E$1117,$E443,Versuchsdaten!$J$2:$J$1117,1)=1,SUMIFS(Versuchsdaten!$F$2:$F$1117,Versuchsdaten!$A$2:$A$1117,$A443,Versuchsdaten!$B$2:$B$1117,$B443,Versuchsdaten!$C$2:$C$1117,"Sprint_30m",Versuchsdaten!$E$2:$E$1117,$E443,Versuchsdaten!$J$2:$J$1117,1),""))</f>
        <v/>
      </c>
      <c r="N443" s="22">
        <f>IF(LEFT(C443,7)&lt;&gt;"Sprint_",0,IF(IF(ISNUMBER(K443),IF(K443&lt;=0,1,IF(5/K443&gt;10,1,0)),0)+IF(ISNUMBER(L443),IF(ISNUMBER(K443),IF(L443-K443&lt;=0,1,IF(5/(L443-K443)&gt;10,1,0)),IF(L443&lt;=0,1,IF(10/L443&gt;10,1,0))),0)+IF(ISNUMBER(M443),IF(ISNUMBER(L443),IF(M443-L443&lt;=0,1,IF(20/(M443-L443)&gt;10,1,0)),IF(ISNUMBER(K443),IF(M443-K443&lt;=0,1,IF(25/(M443-K443)&gt;10,1,0)),IF(M443&lt;=0,1,IF(30/M443&gt;10,1,0)))),0)&gt;0,1,0))</f>
        <v/>
      </c>
      <c r="O443" s="22">
        <f>IF(AND(J443=1,N443=0),1,0)</f>
        <v/>
      </c>
      <c r="P443" s="22">
        <f>INDEX(Personendaten!$J$2:$J$32,MATCH(A443,Personendaten!$A$2:$A$32,0))</f>
        <v/>
      </c>
      <c r="Q443" s="22">
        <f>IF(O443=1,"",IF(AND(B443="post",P443="nicht angetreten"),"NANG",IF(N443=1,"AUSL",IFERROR(VLOOKUP(H443,Vokabular!$A$2:$B$8,2,FALSE),"UNBEKANNT"))))</f>
        <v/>
      </c>
    </row>
    <row r="444">
      <c r="A444" s="5" t="inlineStr">
        <is>
          <t>VS-07</t>
        </is>
      </c>
      <c r="B444" s="5" t="inlineStr">
        <is>
          <t>prä</t>
        </is>
      </c>
      <c r="C444" s="5" t="inlineStr">
        <is>
          <t>Standweitsprung</t>
        </is>
      </c>
      <c r="D444" s="5" t="inlineStr">
        <is>
          <t>–</t>
        </is>
      </c>
      <c r="E444" s="5" t="n">
        <v>2</v>
      </c>
      <c r="F444" s="5" t="n">
        <v>207</v>
      </c>
      <c r="G444" s="5" t="n"/>
      <c r="H444" s="5" t="n"/>
      <c r="I444" s="22">
        <f>INDEX(Personendaten!$C$2:$C$32,MATCH(A444,Personendaten!$A$2:$A$32,0))</f>
        <v/>
      </c>
      <c r="J444" s="22">
        <f>IF(AND(F444&lt;&gt;"",G444=""),1,0)</f>
        <v/>
      </c>
      <c r="K444" s="22">
        <f>IF(LEFT(C444,7)&lt;&gt;"Sprint_","",IF(COUNTIFS(Versuchsdaten!$A$2:$A$1117,$A444,Versuchsdaten!$B$2:$B$1117,$B444,Versuchsdaten!$C$2:$C$1117,"Sprint_5m",Versuchsdaten!$E$2:$E$1117,$E444,Versuchsdaten!$J$2:$J$1117,1)=1,SUMIFS(Versuchsdaten!$F$2:$F$1117,Versuchsdaten!$A$2:$A$1117,$A444,Versuchsdaten!$B$2:$B$1117,$B444,Versuchsdaten!$C$2:$C$1117,"Sprint_5m",Versuchsdaten!$E$2:$E$1117,$E444,Versuchsdaten!$J$2:$J$1117,1),""))</f>
        <v/>
      </c>
      <c r="L444" s="22">
        <f>IF(LEFT(C444,7)&lt;&gt;"Sprint_","",IF(COUNTIFS(Versuchsdaten!$A$2:$A$1117,$A444,Versuchsdaten!$B$2:$B$1117,$B444,Versuchsdaten!$C$2:$C$1117,"Sprint_10m",Versuchsdaten!$E$2:$E$1117,$E444,Versuchsdaten!$J$2:$J$1117,1)=1,SUMIFS(Versuchsdaten!$F$2:$F$1117,Versuchsdaten!$A$2:$A$1117,$A444,Versuchsdaten!$B$2:$B$1117,$B444,Versuchsdaten!$C$2:$C$1117,"Sprint_10m",Versuchsdaten!$E$2:$E$1117,$E444,Versuchsdaten!$J$2:$J$1117,1),""))</f>
        <v/>
      </c>
      <c r="M444" s="22">
        <f>IF(LEFT(C444,7)&lt;&gt;"Sprint_","",IF(COUNTIFS(Versuchsdaten!$A$2:$A$1117,$A444,Versuchsdaten!$B$2:$B$1117,$B444,Versuchsdaten!$C$2:$C$1117,"Sprint_30m",Versuchsdaten!$E$2:$E$1117,$E444,Versuchsdaten!$J$2:$J$1117,1)=1,SUMIFS(Versuchsdaten!$F$2:$F$1117,Versuchsdaten!$A$2:$A$1117,$A444,Versuchsdaten!$B$2:$B$1117,$B444,Versuchsdaten!$C$2:$C$1117,"Sprint_30m",Versuchsdaten!$E$2:$E$1117,$E444,Versuchsdaten!$J$2:$J$1117,1),""))</f>
        <v/>
      </c>
      <c r="N444" s="22">
        <f>IF(LEFT(C444,7)&lt;&gt;"Sprint_",0,IF(IF(ISNUMBER(K444),IF(K444&lt;=0,1,IF(5/K444&gt;10,1,0)),0)+IF(ISNUMBER(L444),IF(ISNUMBER(K444),IF(L444-K444&lt;=0,1,IF(5/(L444-K444)&gt;10,1,0)),IF(L444&lt;=0,1,IF(10/L444&gt;10,1,0))),0)+IF(ISNUMBER(M444),IF(ISNUMBER(L444),IF(M444-L444&lt;=0,1,IF(20/(M444-L444)&gt;10,1,0)),IF(ISNUMBER(K444),IF(M444-K444&lt;=0,1,IF(25/(M444-K444)&gt;10,1,0)),IF(M444&lt;=0,1,IF(30/M444&gt;10,1,0)))),0)&gt;0,1,0))</f>
        <v/>
      </c>
      <c r="O444" s="22">
        <f>IF(AND(J444=1,N444=0),1,0)</f>
        <v/>
      </c>
      <c r="P444" s="22">
        <f>INDEX(Personendaten!$J$2:$J$32,MATCH(A444,Personendaten!$A$2:$A$32,0))</f>
        <v/>
      </c>
      <c r="Q444" s="22">
        <f>IF(O444=1,"",IF(AND(B444="post",P444="nicht angetreten"),"NANG",IF(N444=1,"AUSL",IFERROR(VLOOKUP(H444,Vokabular!$A$2:$B$8,2,FALSE),"UNBEKANNT"))))</f>
        <v/>
      </c>
    </row>
    <row r="445">
      <c r="A445" s="5" t="inlineStr">
        <is>
          <t>VS-07</t>
        </is>
      </c>
      <c r="B445" s="5" t="inlineStr">
        <is>
          <t>prä</t>
        </is>
      </c>
      <c r="C445" s="5" t="inlineStr">
        <is>
          <t>Standweitsprung</t>
        </is>
      </c>
      <c r="D445" s="5" t="inlineStr">
        <is>
          <t>–</t>
        </is>
      </c>
      <c r="E445" s="5" t="n">
        <v>3</v>
      </c>
      <c r="F445" s="5" t="n"/>
      <c r="G445" s="5" t="n"/>
      <c r="H445" s="5" t="inlineStr">
        <is>
          <t>Nur 2 Versuche aus Zeitmangel</t>
        </is>
      </c>
      <c r="I445" s="22">
        <f>INDEX(Personendaten!$C$2:$C$32,MATCH(A445,Personendaten!$A$2:$A$32,0))</f>
        <v/>
      </c>
      <c r="J445" s="22">
        <f>IF(AND(F445&lt;&gt;"",G445=""),1,0)</f>
        <v/>
      </c>
      <c r="K445" s="22">
        <f>IF(LEFT(C445,7)&lt;&gt;"Sprint_","",IF(COUNTIFS(Versuchsdaten!$A$2:$A$1117,$A445,Versuchsdaten!$B$2:$B$1117,$B445,Versuchsdaten!$C$2:$C$1117,"Sprint_5m",Versuchsdaten!$E$2:$E$1117,$E445,Versuchsdaten!$J$2:$J$1117,1)=1,SUMIFS(Versuchsdaten!$F$2:$F$1117,Versuchsdaten!$A$2:$A$1117,$A445,Versuchsdaten!$B$2:$B$1117,$B445,Versuchsdaten!$C$2:$C$1117,"Sprint_5m",Versuchsdaten!$E$2:$E$1117,$E445,Versuchsdaten!$J$2:$J$1117,1),""))</f>
        <v/>
      </c>
      <c r="L445" s="22">
        <f>IF(LEFT(C445,7)&lt;&gt;"Sprint_","",IF(COUNTIFS(Versuchsdaten!$A$2:$A$1117,$A445,Versuchsdaten!$B$2:$B$1117,$B445,Versuchsdaten!$C$2:$C$1117,"Sprint_10m",Versuchsdaten!$E$2:$E$1117,$E445,Versuchsdaten!$J$2:$J$1117,1)=1,SUMIFS(Versuchsdaten!$F$2:$F$1117,Versuchsdaten!$A$2:$A$1117,$A445,Versuchsdaten!$B$2:$B$1117,$B445,Versuchsdaten!$C$2:$C$1117,"Sprint_10m",Versuchsdaten!$E$2:$E$1117,$E445,Versuchsdaten!$J$2:$J$1117,1),""))</f>
        <v/>
      </c>
      <c r="M445" s="22">
        <f>IF(LEFT(C445,7)&lt;&gt;"Sprint_","",IF(COUNTIFS(Versuchsdaten!$A$2:$A$1117,$A445,Versuchsdaten!$B$2:$B$1117,$B445,Versuchsdaten!$C$2:$C$1117,"Sprint_30m",Versuchsdaten!$E$2:$E$1117,$E445,Versuchsdaten!$J$2:$J$1117,1)=1,SUMIFS(Versuchsdaten!$F$2:$F$1117,Versuchsdaten!$A$2:$A$1117,$A445,Versuchsdaten!$B$2:$B$1117,$B445,Versuchsdaten!$C$2:$C$1117,"Sprint_30m",Versuchsdaten!$E$2:$E$1117,$E445,Versuchsdaten!$J$2:$J$1117,1),""))</f>
        <v/>
      </c>
      <c r="N445" s="22">
        <f>IF(LEFT(C445,7)&lt;&gt;"Sprint_",0,IF(IF(ISNUMBER(K445),IF(K445&lt;=0,1,IF(5/K445&gt;10,1,0)),0)+IF(ISNUMBER(L445),IF(ISNUMBER(K445),IF(L445-K445&lt;=0,1,IF(5/(L445-K445)&gt;10,1,0)),IF(L445&lt;=0,1,IF(10/L445&gt;10,1,0))),0)+IF(ISNUMBER(M445),IF(ISNUMBER(L445),IF(M445-L445&lt;=0,1,IF(20/(M445-L445)&gt;10,1,0)),IF(ISNUMBER(K445),IF(M445-K445&lt;=0,1,IF(25/(M445-K445)&gt;10,1,0)),IF(M445&lt;=0,1,IF(30/M445&gt;10,1,0)))),0)&gt;0,1,0))</f>
        <v/>
      </c>
      <c r="O445" s="22">
        <f>IF(AND(J445=1,N445=0),1,0)</f>
        <v/>
      </c>
      <c r="P445" s="22">
        <f>INDEX(Personendaten!$J$2:$J$32,MATCH(A445,Personendaten!$A$2:$A$32,0))</f>
        <v/>
      </c>
      <c r="Q445" s="22">
        <f>IF(O445=1,"",IF(AND(B445="post",P445="nicht angetreten"),"NANG",IF(N445=1,"AUSL",IFERROR(VLOOKUP(H445,Vokabular!$A$2:$B$8,2,FALSE),"UNBEKANNT"))))</f>
        <v/>
      </c>
    </row>
    <row r="446">
      <c r="A446" s="5" t="inlineStr">
        <is>
          <t>VS-07</t>
        </is>
      </c>
      <c r="B446" s="5" t="inlineStr">
        <is>
          <t>prä</t>
        </is>
      </c>
      <c r="C446" s="5" t="inlineStr">
        <is>
          <t>COD_505</t>
        </is>
      </c>
      <c r="D446" s="5" t="inlineStr">
        <is>
          <t>L</t>
        </is>
      </c>
      <c r="E446" s="5" t="n">
        <v>1</v>
      </c>
      <c r="F446" s="5" t="n">
        <v>2.69</v>
      </c>
      <c r="G446" s="5" t="n"/>
      <c r="H446" s="5" t="n"/>
      <c r="I446" s="22">
        <f>INDEX(Personendaten!$C$2:$C$32,MATCH(A446,Personendaten!$A$2:$A$32,0))</f>
        <v/>
      </c>
      <c r="J446" s="22">
        <f>IF(AND(F446&lt;&gt;"",G446=""),1,0)</f>
        <v/>
      </c>
      <c r="K446" s="22">
        <f>IF(LEFT(C446,7)&lt;&gt;"Sprint_","",IF(COUNTIFS(Versuchsdaten!$A$2:$A$1117,$A446,Versuchsdaten!$B$2:$B$1117,$B446,Versuchsdaten!$C$2:$C$1117,"Sprint_5m",Versuchsdaten!$E$2:$E$1117,$E446,Versuchsdaten!$J$2:$J$1117,1)=1,SUMIFS(Versuchsdaten!$F$2:$F$1117,Versuchsdaten!$A$2:$A$1117,$A446,Versuchsdaten!$B$2:$B$1117,$B446,Versuchsdaten!$C$2:$C$1117,"Sprint_5m",Versuchsdaten!$E$2:$E$1117,$E446,Versuchsdaten!$J$2:$J$1117,1),""))</f>
        <v/>
      </c>
      <c r="L446" s="22">
        <f>IF(LEFT(C446,7)&lt;&gt;"Sprint_","",IF(COUNTIFS(Versuchsdaten!$A$2:$A$1117,$A446,Versuchsdaten!$B$2:$B$1117,$B446,Versuchsdaten!$C$2:$C$1117,"Sprint_10m",Versuchsdaten!$E$2:$E$1117,$E446,Versuchsdaten!$J$2:$J$1117,1)=1,SUMIFS(Versuchsdaten!$F$2:$F$1117,Versuchsdaten!$A$2:$A$1117,$A446,Versuchsdaten!$B$2:$B$1117,$B446,Versuchsdaten!$C$2:$C$1117,"Sprint_10m",Versuchsdaten!$E$2:$E$1117,$E446,Versuchsdaten!$J$2:$J$1117,1),""))</f>
        <v/>
      </c>
      <c r="M446" s="22">
        <f>IF(LEFT(C446,7)&lt;&gt;"Sprint_","",IF(COUNTIFS(Versuchsdaten!$A$2:$A$1117,$A446,Versuchsdaten!$B$2:$B$1117,$B446,Versuchsdaten!$C$2:$C$1117,"Sprint_30m",Versuchsdaten!$E$2:$E$1117,$E446,Versuchsdaten!$J$2:$J$1117,1)=1,SUMIFS(Versuchsdaten!$F$2:$F$1117,Versuchsdaten!$A$2:$A$1117,$A446,Versuchsdaten!$B$2:$B$1117,$B446,Versuchsdaten!$C$2:$C$1117,"Sprint_30m",Versuchsdaten!$E$2:$E$1117,$E446,Versuchsdaten!$J$2:$J$1117,1),""))</f>
        <v/>
      </c>
      <c r="N446" s="22">
        <f>IF(LEFT(C446,7)&lt;&gt;"Sprint_",0,IF(IF(ISNUMBER(K446),IF(K446&lt;=0,1,IF(5/K446&gt;10,1,0)),0)+IF(ISNUMBER(L446),IF(ISNUMBER(K446),IF(L446-K446&lt;=0,1,IF(5/(L446-K446)&gt;10,1,0)),IF(L446&lt;=0,1,IF(10/L446&gt;10,1,0))),0)+IF(ISNUMBER(M446),IF(ISNUMBER(L446),IF(M446-L446&lt;=0,1,IF(20/(M446-L446)&gt;10,1,0)),IF(ISNUMBER(K446),IF(M446-K446&lt;=0,1,IF(25/(M446-K446)&gt;10,1,0)),IF(M446&lt;=0,1,IF(30/M446&gt;10,1,0)))),0)&gt;0,1,0))</f>
        <v/>
      </c>
      <c r="O446" s="22">
        <f>IF(AND(J446=1,N446=0),1,0)</f>
        <v/>
      </c>
      <c r="P446" s="22">
        <f>INDEX(Personendaten!$J$2:$J$32,MATCH(A446,Personendaten!$A$2:$A$32,0))</f>
        <v/>
      </c>
      <c r="Q446" s="22">
        <f>IF(O446=1,"",IF(AND(B446="post",P446="nicht angetreten"),"NANG",IF(N446=1,"AUSL",IFERROR(VLOOKUP(H446,Vokabular!$A$2:$B$8,2,FALSE),"UNBEKANNT"))))</f>
        <v/>
      </c>
    </row>
    <row r="447">
      <c r="A447" s="5" t="inlineStr">
        <is>
          <t>VS-07</t>
        </is>
      </c>
      <c r="B447" s="5" t="inlineStr">
        <is>
          <t>prä</t>
        </is>
      </c>
      <c r="C447" s="5" t="inlineStr">
        <is>
          <t>COD_505</t>
        </is>
      </c>
      <c r="D447" s="5" t="inlineStr">
        <is>
          <t>L</t>
        </is>
      </c>
      <c r="E447" s="5" t="n">
        <v>2</v>
      </c>
      <c r="F447" s="5" t="n">
        <v>2.49</v>
      </c>
      <c r="G447" s="5" t="n"/>
      <c r="H447" s="5" t="n"/>
      <c r="I447" s="22">
        <f>INDEX(Personendaten!$C$2:$C$32,MATCH(A447,Personendaten!$A$2:$A$32,0))</f>
        <v/>
      </c>
      <c r="J447" s="22">
        <f>IF(AND(F447&lt;&gt;"",G447=""),1,0)</f>
        <v/>
      </c>
      <c r="K447" s="22">
        <f>IF(LEFT(C447,7)&lt;&gt;"Sprint_","",IF(COUNTIFS(Versuchsdaten!$A$2:$A$1117,$A447,Versuchsdaten!$B$2:$B$1117,$B447,Versuchsdaten!$C$2:$C$1117,"Sprint_5m",Versuchsdaten!$E$2:$E$1117,$E447,Versuchsdaten!$J$2:$J$1117,1)=1,SUMIFS(Versuchsdaten!$F$2:$F$1117,Versuchsdaten!$A$2:$A$1117,$A447,Versuchsdaten!$B$2:$B$1117,$B447,Versuchsdaten!$C$2:$C$1117,"Sprint_5m",Versuchsdaten!$E$2:$E$1117,$E447,Versuchsdaten!$J$2:$J$1117,1),""))</f>
        <v/>
      </c>
      <c r="L447" s="22">
        <f>IF(LEFT(C447,7)&lt;&gt;"Sprint_","",IF(COUNTIFS(Versuchsdaten!$A$2:$A$1117,$A447,Versuchsdaten!$B$2:$B$1117,$B447,Versuchsdaten!$C$2:$C$1117,"Sprint_10m",Versuchsdaten!$E$2:$E$1117,$E447,Versuchsdaten!$J$2:$J$1117,1)=1,SUMIFS(Versuchsdaten!$F$2:$F$1117,Versuchsdaten!$A$2:$A$1117,$A447,Versuchsdaten!$B$2:$B$1117,$B447,Versuchsdaten!$C$2:$C$1117,"Sprint_10m",Versuchsdaten!$E$2:$E$1117,$E447,Versuchsdaten!$J$2:$J$1117,1),""))</f>
        <v/>
      </c>
      <c r="M447" s="22">
        <f>IF(LEFT(C447,7)&lt;&gt;"Sprint_","",IF(COUNTIFS(Versuchsdaten!$A$2:$A$1117,$A447,Versuchsdaten!$B$2:$B$1117,$B447,Versuchsdaten!$C$2:$C$1117,"Sprint_30m",Versuchsdaten!$E$2:$E$1117,$E447,Versuchsdaten!$J$2:$J$1117,1)=1,SUMIFS(Versuchsdaten!$F$2:$F$1117,Versuchsdaten!$A$2:$A$1117,$A447,Versuchsdaten!$B$2:$B$1117,$B447,Versuchsdaten!$C$2:$C$1117,"Sprint_30m",Versuchsdaten!$E$2:$E$1117,$E447,Versuchsdaten!$J$2:$J$1117,1),""))</f>
        <v/>
      </c>
      <c r="N447" s="22">
        <f>IF(LEFT(C447,7)&lt;&gt;"Sprint_",0,IF(IF(ISNUMBER(K447),IF(K447&lt;=0,1,IF(5/K447&gt;10,1,0)),0)+IF(ISNUMBER(L447),IF(ISNUMBER(K447),IF(L447-K447&lt;=0,1,IF(5/(L447-K447)&gt;10,1,0)),IF(L447&lt;=0,1,IF(10/L447&gt;10,1,0))),0)+IF(ISNUMBER(M447),IF(ISNUMBER(L447),IF(M447-L447&lt;=0,1,IF(20/(M447-L447)&gt;10,1,0)),IF(ISNUMBER(K447),IF(M447-K447&lt;=0,1,IF(25/(M447-K447)&gt;10,1,0)),IF(M447&lt;=0,1,IF(30/M447&gt;10,1,0)))),0)&gt;0,1,0))</f>
        <v/>
      </c>
      <c r="O447" s="22">
        <f>IF(AND(J447=1,N447=0),1,0)</f>
        <v/>
      </c>
      <c r="P447" s="22">
        <f>INDEX(Personendaten!$J$2:$J$32,MATCH(A447,Personendaten!$A$2:$A$32,0))</f>
        <v/>
      </c>
      <c r="Q447" s="22">
        <f>IF(O447=1,"",IF(AND(B447="post",P447="nicht angetreten"),"NANG",IF(N447=1,"AUSL",IFERROR(VLOOKUP(H447,Vokabular!$A$2:$B$8,2,FALSE),"UNBEKANNT"))))</f>
        <v/>
      </c>
    </row>
    <row r="448">
      <c r="A448" s="5" t="inlineStr">
        <is>
          <t>VS-07</t>
        </is>
      </c>
      <c r="B448" s="5" t="inlineStr">
        <is>
          <t>prä</t>
        </is>
      </c>
      <c r="C448" s="5" t="inlineStr">
        <is>
          <t>COD_505</t>
        </is>
      </c>
      <c r="D448" s="5" t="inlineStr">
        <is>
          <t>L</t>
        </is>
      </c>
      <c r="E448" s="5" t="n">
        <v>3</v>
      </c>
      <c r="F448" s="5" t="n"/>
      <c r="G448" s="5" t="n"/>
      <c r="H448" s="5" t="inlineStr">
        <is>
          <t>Nur 2 Versuche aus Zeitmangel</t>
        </is>
      </c>
      <c r="I448" s="22">
        <f>INDEX(Personendaten!$C$2:$C$32,MATCH(A448,Personendaten!$A$2:$A$32,0))</f>
        <v/>
      </c>
      <c r="J448" s="22">
        <f>IF(AND(F448&lt;&gt;"",G448=""),1,0)</f>
        <v/>
      </c>
      <c r="K448" s="22">
        <f>IF(LEFT(C448,7)&lt;&gt;"Sprint_","",IF(COUNTIFS(Versuchsdaten!$A$2:$A$1117,$A448,Versuchsdaten!$B$2:$B$1117,$B448,Versuchsdaten!$C$2:$C$1117,"Sprint_5m",Versuchsdaten!$E$2:$E$1117,$E448,Versuchsdaten!$J$2:$J$1117,1)=1,SUMIFS(Versuchsdaten!$F$2:$F$1117,Versuchsdaten!$A$2:$A$1117,$A448,Versuchsdaten!$B$2:$B$1117,$B448,Versuchsdaten!$C$2:$C$1117,"Sprint_5m",Versuchsdaten!$E$2:$E$1117,$E448,Versuchsdaten!$J$2:$J$1117,1),""))</f>
        <v/>
      </c>
      <c r="L448" s="22">
        <f>IF(LEFT(C448,7)&lt;&gt;"Sprint_","",IF(COUNTIFS(Versuchsdaten!$A$2:$A$1117,$A448,Versuchsdaten!$B$2:$B$1117,$B448,Versuchsdaten!$C$2:$C$1117,"Sprint_10m",Versuchsdaten!$E$2:$E$1117,$E448,Versuchsdaten!$J$2:$J$1117,1)=1,SUMIFS(Versuchsdaten!$F$2:$F$1117,Versuchsdaten!$A$2:$A$1117,$A448,Versuchsdaten!$B$2:$B$1117,$B448,Versuchsdaten!$C$2:$C$1117,"Sprint_10m",Versuchsdaten!$E$2:$E$1117,$E448,Versuchsdaten!$J$2:$J$1117,1),""))</f>
        <v/>
      </c>
      <c r="M448" s="22">
        <f>IF(LEFT(C448,7)&lt;&gt;"Sprint_","",IF(COUNTIFS(Versuchsdaten!$A$2:$A$1117,$A448,Versuchsdaten!$B$2:$B$1117,$B448,Versuchsdaten!$C$2:$C$1117,"Sprint_30m",Versuchsdaten!$E$2:$E$1117,$E448,Versuchsdaten!$J$2:$J$1117,1)=1,SUMIFS(Versuchsdaten!$F$2:$F$1117,Versuchsdaten!$A$2:$A$1117,$A448,Versuchsdaten!$B$2:$B$1117,$B448,Versuchsdaten!$C$2:$C$1117,"Sprint_30m",Versuchsdaten!$E$2:$E$1117,$E448,Versuchsdaten!$J$2:$J$1117,1),""))</f>
        <v/>
      </c>
      <c r="N448" s="22">
        <f>IF(LEFT(C448,7)&lt;&gt;"Sprint_",0,IF(IF(ISNUMBER(K448),IF(K448&lt;=0,1,IF(5/K448&gt;10,1,0)),0)+IF(ISNUMBER(L448),IF(ISNUMBER(K448),IF(L448-K448&lt;=0,1,IF(5/(L448-K448)&gt;10,1,0)),IF(L448&lt;=0,1,IF(10/L448&gt;10,1,0))),0)+IF(ISNUMBER(M448),IF(ISNUMBER(L448),IF(M448-L448&lt;=0,1,IF(20/(M448-L448)&gt;10,1,0)),IF(ISNUMBER(K448),IF(M448-K448&lt;=0,1,IF(25/(M448-K448)&gt;10,1,0)),IF(M448&lt;=0,1,IF(30/M448&gt;10,1,0)))),0)&gt;0,1,0))</f>
        <v/>
      </c>
      <c r="O448" s="22">
        <f>IF(AND(J448=1,N448=0),1,0)</f>
        <v/>
      </c>
      <c r="P448" s="22">
        <f>INDEX(Personendaten!$J$2:$J$32,MATCH(A448,Personendaten!$A$2:$A$32,0))</f>
        <v/>
      </c>
      <c r="Q448" s="22">
        <f>IF(O448=1,"",IF(AND(B448="post",P448="nicht angetreten"),"NANG",IF(N448=1,"AUSL",IFERROR(VLOOKUP(H448,Vokabular!$A$2:$B$8,2,FALSE),"UNBEKANNT"))))</f>
        <v/>
      </c>
    </row>
    <row r="449">
      <c r="A449" s="5" t="inlineStr">
        <is>
          <t>VS-07</t>
        </is>
      </c>
      <c r="B449" s="5" t="inlineStr">
        <is>
          <t>prä</t>
        </is>
      </c>
      <c r="C449" s="5" t="inlineStr">
        <is>
          <t>COD_505</t>
        </is>
      </c>
      <c r="D449" s="5" t="inlineStr">
        <is>
          <t>R</t>
        </is>
      </c>
      <c r="E449" s="5" t="n">
        <v>1</v>
      </c>
      <c r="F449" s="5" t="n">
        <v>2.58</v>
      </c>
      <c r="G449" s="5" t="n"/>
      <c r="H449" s="5" t="n"/>
      <c r="I449" s="22">
        <f>INDEX(Personendaten!$C$2:$C$32,MATCH(A449,Personendaten!$A$2:$A$32,0))</f>
        <v/>
      </c>
      <c r="J449" s="22">
        <f>IF(AND(F449&lt;&gt;"",G449=""),1,0)</f>
        <v/>
      </c>
      <c r="K449" s="22">
        <f>IF(LEFT(C449,7)&lt;&gt;"Sprint_","",IF(COUNTIFS(Versuchsdaten!$A$2:$A$1117,$A449,Versuchsdaten!$B$2:$B$1117,$B449,Versuchsdaten!$C$2:$C$1117,"Sprint_5m",Versuchsdaten!$E$2:$E$1117,$E449,Versuchsdaten!$J$2:$J$1117,1)=1,SUMIFS(Versuchsdaten!$F$2:$F$1117,Versuchsdaten!$A$2:$A$1117,$A449,Versuchsdaten!$B$2:$B$1117,$B449,Versuchsdaten!$C$2:$C$1117,"Sprint_5m",Versuchsdaten!$E$2:$E$1117,$E449,Versuchsdaten!$J$2:$J$1117,1),""))</f>
        <v/>
      </c>
      <c r="L449" s="22">
        <f>IF(LEFT(C449,7)&lt;&gt;"Sprint_","",IF(COUNTIFS(Versuchsdaten!$A$2:$A$1117,$A449,Versuchsdaten!$B$2:$B$1117,$B449,Versuchsdaten!$C$2:$C$1117,"Sprint_10m",Versuchsdaten!$E$2:$E$1117,$E449,Versuchsdaten!$J$2:$J$1117,1)=1,SUMIFS(Versuchsdaten!$F$2:$F$1117,Versuchsdaten!$A$2:$A$1117,$A449,Versuchsdaten!$B$2:$B$1117,$B449,Versuchsdaten!$C$2:$C$1117,"Sprint_10m",Versuchsdaten!$E$2:$E$1117,$E449,Versuchsdaten!$J$2:$J$1117,1),""))</f>
        <v/>
      </c>
      <c r="M449" s="22">
        <f>IF(LEFT(C449,7)&lt;&gt;"Sprint_","",IF(COUNTIFS(Versuchsdaten!$A$2:$A$1117,$A449,Versuchsdaten!$B$2:$B$1117,$B449,Versuchsdaten!$C$2:$C$1117,"Sprint_30m",Versuchsdaten!$E$2:$E$1117,$E449,Versuchsdaten!$J$2:$J$1117,1)=1,SUMIFS(Versuchsdaten!$F$2:$F$1117,Versuchsdaten!$A$2:$A$1117,$A449,Versuchsdaten!$B$2:$B$1117,$B449,Versuchsdaten!$C$2:$C$1117,"Sprint_30m",Versuchsdaten!$E$2:$E$1117,$E449,Versuchsdaten!$J$2:$J$1117,1),""))</f>
        <v/>
      </c>
      <c r="N449" s="22">
        <f>IF(LEFT(C449,7)&lt;&gt;"Sprint_",0,IF(IF(ISNUMBER(K449),IF(K449&lt;=0,1,IF(5/K449&gt;10,1,0)),0)+IF(ISNUMBER(L449),IF(ISNUMBER(K449),IF(L449-K449&lt;=0,1,IF(5/(L449-K449)&gt;10,1,0)),IF(L449&lt;=0,1,IF(10/L449&gt;10,1,0))),0)+IF(ISNUMBER(M449),IF(ISNUMBER(L449),IF(M449-L449&lt;=0,1,IF(20/(M449-L449)&gt;10,1,0)),IF(ISNUMBER(K449),IF(M449-K449&lt;=0,1,IF(25/(M449-K449)&gt;10,1,0)),IF(M449&lt;=0,1,IF(30/M449&gt;10,1,0)))),0)&gt;0,1,0))</f>
        <v/>
      </c>
      <c r="O449" s="22">
        <f>IF(AND(J449=1,N449=0),1,0)</f>
        <v/>
      </c>
      <c r="P449" s="22">
        <f>INDEX(Personendaten!$J$2:$J$32,MATCH(A449,Personendaten!$A$2:$A$32,0))</f>
        <v/>
      </c>
      <c r="Q449" s="22">
        <f>IF(O449=1,"",IF(AND(B449="post",P449="nicht angetreten"),"NANG",IF(N449=1,"AUSL",IFERROR(VLOOKUP(H449,Vokabular!$A$2:$B$8,2,FALSE),"UNBEKANNT"))))</f>
        <v/>
      </c>
    </row>
    <row r="450">
      <c r="A450" s="5" t="inlineStr">
        <is>
          <t>VS-07</t>
        </is>
      </c>
      <c r="B450" s="5" t="inlineStr">
        <is>
          <t>prä</t>
        </is>
      </c>
      <c r="C450" s="5" t="inlineStr">
        <is>
          <t>COD_505</t>
        </is>
      </c>
      <c r="D450" s="5" t="inlineStr">
        <is>
          <t>R</t>
        </is>
      </c>
      <c r="E450" s="5" t="n">
        <v>2</v>
      </c>
      <c r="F450" s="5" t="n">
        <v>2.55</v>
      </c>
      <c r="G450" s="5" t="n"/>
      <c r="H450" s="5" t="n"/>
      <c r="I450" s="22">
        <f>INDEX(Personendaten!$C$2:$C$32,MATCH(A450,Personendaten!$A$2:$A$32,0))</f>
        <v/>
      </c>
      <c r="J450" s="22">
        <f>IF(AND(F450&lt;&gt;"",G450=""),1,0)</f>
        <v/>
      </c>
      <c r="K450" s="22">
        <f>IF(LEFT(C450,7)&lt;&gt;"Sprint_","",IF(COUNTIFS(Versuchsdaten!$A$2:$A$1117,$A450,Versuchsdaten!$B$2:$B$1117,$B450,Versuchsdaten!$C$2:$C$1117,"Sprint_5m",Versuchsdaten!$E$2:$E$1117,$E450,Versuchsdaten!$J$2:$J$1117,1)=1,SUMIFS(Versuchsdaten!$F$2:$F$1117,Versuchsdaten!$A$2:$A$1117,$A450,Versuchsdaten!$B$2:$B$1117,$B450,Versuchsdaten!$C$2:$C$1117,"Sprint_5m",Versuchsdaten!$E$2:$E$1117,$E450,Versuchsdaten!$J$2:$J$1117,1),""))</f>
        <v/>
      </c>
      <c r="L450" s="22">
        <f>IF(LEFT(C450,7)&lt;&gt;"Sprint_","",IF(COUNTIFS(Versuchsdaten!$A$2:$A$1117,$A450,Versuchsdaten!$B$2:$B$1117,$B450,Versuchsdaten!$C$2:$C$1117,"Sprint_10m",Versuchsdaten!$E$2:$E$1117,$E450,Versuchsdaten!$J$2:$J$1117,1)=1,SUMIFS(Versuchsdaten!$F$2:$F$1117,Versuchsdaten!$A$2:$A$1117,$A450,Versuchsdaten!$B$2:$B$1117,$B450,Versuchsdaten!$C$2:$C$1117,"Sprint_10m",Versuchsdaten!$E$2:$E$1117,$E450,Versuchsdaten!$J$2:$J$1117,1),""))</f>
        <v/>
      </c>
      <c r="M450" s="22">
        <f>IF(LEFT(C450,7)&lt;&gt;"Sprint_","",IF(COUNTIFS(Versuchsdaten!$A$2:$A$1117,$A450,Versuchsdaten!$B$2:$B$1117,$B450,Versuchsdaten!$C$2:$C$1117,"Sprint_30m",Versuchsdaten!$E$2:$E$1117,$E450,Versuchsdaten!$J$2:$J$1117,1)=1,SUMIFS(Versuchsdaten!$F$2:$F$1117,Versuchsdaten!$A$2:$A$1117,$A450,Versuchsdaten!$B$2:$B$1117,$B450,Versuchsdaten!$C$2:$C$1117,"Sprint_30m",Versuchsdaten!$E$2:$E$1117,$E450,Versuchsdaten!$J$2:$J$1117,1),""))</f>
        <v/>
      </c>
      <c r="N450" s="22">
        <f>IF(LEFT(C450,7)&lt;&gt;"Sprint_",0,IF(IF(ISNUMBER(K450),IF(K450&lt;=0,1,IF(5/K450&gt;10,1,0)),0)+IF(ISNUMBER(L450),IF(ISNUMBER(K450),IF(L450-K450&lt;=0,1,IF(5/(L450-K450)&gt;10,1,0)),IF(L450&lt;=0,1,IF(10/L450&gt;10,1,0))),0)+IF(ISNUMBER(M450),IF(ISNUMBER(L450),IF(M450-L450&lt;=0,1,IF(20/(M450-L450)&gt;10,1,0)),IF(ISNUMBER(K450),IF(M450-K450&lt;=0,1,IF(25/(M450-K450)&gt;10,1,0)),IF(M450&lt;=0,1,IF(30/M450&gt;10,1,0)))),0)&gt;0,1,0))</f>
        <v/>
      </c>
      <c r="O450" s="22">
        <f>IF(AND(J450=1,N450=0),1,0)</f>
        <v/>
      </c>
      <c r="P450" s="22">
        <f>INDEX(Personendaten!$J$2:$J$32,MATCH(A450,Personendaten!$A$2:$A$32,0))</f>
        <v/>
      </c>
      <c r="Q450" s="22">
        <f>IF(O450=1,"",IF(AND(B450="post",P450="nicht angetreten"),"NANG",IF(N450=1,"AUSL",IFERROR(VLOOKUP(H450,Vokabular!$A$2:$B$8,2,FALSE),"UNBEKANNT"))))</f>
        <v/>
      </c>
    </row>
    <row r="451">
      <c r="A451" s="5" t="inlineStr">
        <is>
          <t>VS-07</t>
        </is>
      </c>
      <c r="B451" s="5" t="inlineStr">
        <is>
          <t>prä</t>
        </is>
      </c>
      <c r="C451" s="5" t="inlineStr">
        <is>
          <t>COD_505</t>
        </is>
      </c>
      <c r="D451" s="5" t="inlineStr">
        <is>
          <t>R</t>
        </is>
      </c>
      <c r="E451" s="5" t="n">
        <v>3</v>
      </c>
      <c r="F451" s="5" t="n"/>
      <c r="G451" s="5" t="n"/>
      <c r="H451" s="5" t="inlineStr">
        <is>
          <t>Nur 2 Versuche aus Zeitmangel</t>
        </is>
      </c>
      <c r="I451" s="22">
        <f>INDEX(Personendaten!$C$2:$C$32,MATCH(A451,Personendaten!$A$2:$A$32,0))</f>
        <v/>
      </c>
      <c r="J451" s="22">
        <f>IF(AND(F451&lt;&gt;"",G451=""),1,0)</f>
        <v/>
      </c>
      <c r="K451" s="22">
        <f>IF(LEFT(C451,7)&lt;&gt;"Sprint_","",IF(COUNTIFS(Versuchsdaten!$A$2:$A$1117,$A451,Versuchsdaten!$B$2:$B$1117,$B451,Versuchsdaten!$C$2:$C$1117,"Sprint_5m",Versuchsdaten!$E$2:$E$1117,$E451,Versuchsdaten!$J$2:$J$1117,1)=1,SUMIFS(Versuchsdaten!$F$2:$F$1117,Versuchsdaten!$A$2:$A$1117,$A451,Versuchsdaten!$B$2:$B$1117,$B451,Versuchsdaten!$C$2:$C$1117,"Sprint_5m",Versuchsdaten!$E$2:$E$1117,$E451,Versuchsdaten!$J$2:$J$1117,1),""))</f>
        <v/>
      </c>
      <c r="L451" s="22">
        <f>IF(LEFT(C451,7)&lt;&gt;"Sprint_","",IF(COUNTIFS(Versuchsdaten!$A$2:$A$1117,$A451,Versuchsdaten!$B$2:$B$1117,$B451,Versuchsdaten!$C$2:$C$1117,"Sprint_10m",Versuchsdaten!$E$2:$E$1117,$E451,Versuchsdaten!$J$2:$J$1117,1)=1,SUMIFS(Versuchsdaten!$F$2:$F$1117,Versuchsdaten!$A$2:$A$1117,$A451,Versuchsdaten!$B$2:$B$1117,$B451,Versuchsdaten!$C$2:$C$1117,"Sprint_10m",Versuchsdaten!$E$2:$E$1117,$E451,Versuchsdaten!$J$2:$J$1117,1),""))</f>
        <v/>
      </c>
      <c r="M451" s="22">
        <f>IF(LEFT(C451,7)&lt;&gt;"Sprint_","",IF(COUNTIFS(Versuchsdaten!$A$2:$A$1117,$A451,Versuchsdaten!$B$2:$B$1117,$B451,Versuchsdaten!$C$2:$C$1117,"Sprint_30m",Versuchsdaten!$E$2:$E$1117,$E451,Versuchsdaten!$J$2:$J$1117,1)=1,SUMIFS(Versuchsdaten!$F$2:$F$1117,Versuchsdaten!$A$2:$A$1117,$A451,Versuchsdaten!$B$2:$B$1117,$B451,Versuchsdaten!$C$2:$C$1117,"Sprint_30m",Versuchsdaten!$E$2:$E$1117,$E451,Versuchsdaten!$J$2:$J$1117,1),""))</f>
        <v/>
      </c>
      <c r="N451" s="22">
        <f>IF(LEFT(C451,7)&lt;&gt;"Sprint_",0,IF(IF(ISNUMBER(K451),IF(K451&lt;=0,1,IF(5/K451&gt;10,1,0)),0)+IF(ISNUMBER(L451),IF(ISNUMBER(K451),IF(L451-K451&lt;=0,1,IF(5/(L451-K451)&gt;10,1,0)),IF(L451&lt;=0,1,IF(10/L451&gt;10,1,0))),0)+IF(ISNUMBER(M451),IF(ISNUMBER(L451),IF(M451-L451&lt;=0,1,IF(20/(M451-L451)&gt;10,1,0)),IF(ISNUMBER(K451),IF(M451-K451&lt;=0,1,IF(25/(M451-K451)&gt;10,1,0)),IF(M451&lt;=0,1,IF(30/M451&gt;10,1,0)))),0)&gt;0,1,0))</f>
        <v/>
      </c>
      <c r="O451" s="22">
        <f>IF(AND(J451=1,N451=0),1,0)</f>
        <v/>
      </c>
      <c r="P451" s="22">
        <f>INDEX(Personendaten!$J$2:$J$32,MATCH(A451,Personendaten!$A$2:$A$32,0))</f>
        <v/>
      </c>
      <c r="Q451" s="22">
        <f>IF(O451=1,"",IF(AND(B451="post",P451="nicht angetreten"),"NANG",IF(N451=1,"AUSL",IFERROR(VLOOKUP(H451,Vokabular!$A$2:$B$8,2,FALSE),"UNBEKANNT"))))</f>
        <v/>
      </c>
    </row>
    <row r="452">
      <c r="A452" s="5" t="inlineStr">
        <is>
          <t>VS-08</t>
        </is>
      </c>
      <c r="B452" s="5" t="inlineStr">
        <is>
          <t>prä</t>
        </is>
      </c>
      <c r="C452" s="5" t="inlineStr">
        <is>
          <t>Sprint_5m</t>
        </is>
      </c>
      <c r="D452" s="5" t="inlineStr">
        <is>
          <t>–</t>
        </is>
      </c>
      <c r="E452" s="5" t="n">
        <v>1</v>
      </c>
      <c r="F452" s="5" t="n"/>
      <c r="G452" s="5" t="n"/>
      <c r="H452" s="5" t="inlineStr">
        <is>
          <t>System nicht aufgenommen</t>
        </is>
      </c>
      <c r="I452" s="22">
        <f>INDEX(Personendaten!$C$2:$C$32,MATCH(A452,Personendaten!$A$2:$A$32,0))</f>
        <v/>
      </c>
      <c r="J452" s="22">
        <f>IF(AND(F452&lt;&gt;"",G452=""),1,0)</f>
        <v/>
      </c>
      <c r="K452" s="22">
        <f>IF(LEFT(C452,7)&lt;&gt;"Sprint_","",IF(COUNTIFS(Versuchsdaten!$A$2:$A$1117,$A452,Versuchsdaten!$B$2:$B$1117,$B452,Versuchsdaten!$C$2:$C$1117,"Sprint_5m",Versuchsdaten!$E$2:$E$1117,$E452,Versuchsdaten!$J$2:$J$1117,1)=1,SUMIFS(Versuchsdaten!$F$2:$F$1117,Versuchsdaten!$A$2:$A$1117,$A452,Versuchsdaten!$B$2:$B$1117,$B452,Versuchsdaten!$C$2:$C$1117,"Sprint_5m",Versuchsdaten!$E$2:$E$1117,$E452,Versuchsdaten!$J$2:$J$1117,1),""))</f>
        <v/>
      </c>
      <c r="L452" s="22">
        <f>IF(LEFT(C452,7)&lt;&gt;"Sprint_","",IF(COUNTIFS(Versuchsdaten!$A$2:$A$1117,$A452,Versuchsdaten!$B$2:$B$1117,$B452,Versuchsdaten!$C$2:$C$1117,"Sprint_10m",Versuchsdaten!$E$2:$E$1117,$E452,Versuchsdaten!$J$2:$J$1117,1)=1,SUMIFS(Versuchsdaten!$F$2:$F$1117,Versuchsdaten!$A$2:$A$1117,$A452,Versuchsdaten!$B$2:$B$1117,$B452,Versuchsdaten!$C$2:$C$1117,"Sprint_10m",Versuchsdaten!$E$2:$E$1117,$E452,Versuchsdaten!$J$2:$J$1117,1),""))</f>
        <v/>
      </c>
      <c r="M452" s="22">
        <f>IF(LEFT(C452,7)&lt;&gt;"Sprint_","",IF(COUNTIFS(Versuchsdaten!$A$2:$A$1117,$A452,Versuchsdaten!$B$2:$B$1117,$B452,Versuchsdaten!$C$2:$C$1117,"Sprint_30m",Versuchsdaten!$E$2:$E$1117,$E452,Versuchsdaten!$J$2:$J$1117,1)=1,SUMIFS(Versuchsdaten!$F$2:$F$1117,Versuchsdaten!$A$2:$A$1117,$A452,Versuchsdaten!$B$2:$B$1117,$B452,Versuchsdaten!$C$2:$C$1117,"Sprint_30m",Versuchsdaten!$E$2:$E$1117,$E452,Versuchsdaten!$J$2:$J$1117,1),""))</f>
        <v/>
      </c>
      <c r="N452" s="22">
        <f>IF(LEFT(C452,7)&lt;&gt;"Sprint_",0,IF(IF(ISNUMBER(K452),IF(K452&lt;=0,1,IF(5/K452&gt;10,1,0)),0)+IF(ISNUMBER(L452),IF(ISNUMBER(K452),IF(L452-K452&lt;=0,1,IF(5/(L452-K452)&gt;10,1,0)),IF(L452&lt;=0,1,IF(10/L452&gt;10,1,0))),0)+IF(ISNUMBER(M452),IF(ISNUMBER(L452),IF(M452-L452&lt;=0,1,IF(20/(M452-L452)&gt;10,1,0)),IF(ISNUMBER(K452),IF(M452-K452&lt;=0,1,IF(25/(M452-K452)&gt;10,1,0)),IF(M452&lt;=0,1,IF(30/M452&gt;10,1,0)))),0)&gt;0,1,0))</f>
        <v/>
      </c>
      <c r="O452" s="22">
        <f>IF(AND(J452=1,N452=0),1,0)</f>
        <v/>
      </c>
      <c r="P452" s="22">
        <f>INDEX(Personendaten!$J$2:$J$32,MATCH(A452,Personendaten!$A$2:$A$32,0))</f>
        <v/>
      </c>
      <c r="Q452" s="22">
        <f>IF(O452=1,"",IF(AND(B452="post",P452="nicht angetreten"),"NANG",IF(N452=1,"AUSL",IFERROR(VLOOKUP(H452,Vokabular!$A$2:$B$8,2,FALSE),"UNBEKANNT"))))</f>
        <v/>
      </c>
    </row>
    <row r="453">
      <c r="A453" s="5" t="inlineStr">
        <is>
          <t>VS-08</t>
        </is>
      </c>
      <c r="B453" s="5" t="inlineStr">
        <is>
          <t>prä</t>
        </is>
      </c>
      <c r="C453" s="5" t="inlineStr">
        <is>
          <t>Sprint_5m</t>
        </is>
      </c>
      <c r="D453" s="5" t="inlineStr">
        <is>
          <t>–</t>
        </is>
      </c>
      <c r="E453" s="5" t="n">
        <v>2</v>
      </c>
      <c r="F453" s="5" t="n"/>
      <c r="G453" s="5" t="n"/>
      <c r="H453" s="5" t="inlineStr">
        <is>
          <t>System nicht aufgenommen</t>
        </is>
      </c>
      <c r="I453" s="22">
        <f>INDEX(Personendaten!$C$2:$C$32,MATCH(A453,Personendaten!$A$2:$A$32,0))</f>
        <v/>
      </c>
      <c r="J453" s="22">
        <f>IF(AND(F453&lt;&gt;"",G453=""),1,0)</f>
        <v/>
      </c>
      <c r="K453" s="22">
        <f>IF(LEFT(C453,7)&lt;&gt;"Sprint_","",IF(COUNTIFS(Versuchsdaten!$A$2:$A$1117,$A453,Versuchsdaten!$B$2:$B$1117,$B453,Versuchsdaten!$C$2:$C$1117,"Sprint_5m",Versuchsdaten!$E$2:$E$1117,$E453,Versuchsdaten!$J$2:$J$1117,1)=1,SUMIFS(Versuchsdaten!$F$2:$F$1117,Versuchsdaten!$A$2:$A$1117,$A453,Versuchsdaten!$B$2:$B$1117,$B453,Versuchsdaten!$C$2:$C$1117,"Sprint_5m",Versuchsdaten!$E$2:$E$1117,$E453,Versuchsdaten!$J$2:$J$1117,1),""))</f>
        <v/>
      </c>
      <c r="L453" s="22">
        <f>IF(LEFT(C453,7)&lt;&gt;"Sprint_","",IF(COUNTIFS(Versuchsdaten!$A$2:$A$1117,$A453,Versuchsdaten!$B$2:$B$1117,$B453,Versuchsdaten!$C$2:$C$1117,"Sprint_10m",Versuchsdaten!$E$2:$E$1117,$E453,Versuchsdaten!$J$2:$J$1117,1)=1,SUMIFS(Versuchsdaten!$F$2:$F$1117,Versuchsdaten!$A$2:$A$1117,$A453,Versuchsdaten!$B$2:$B$1117,$B453,Versuchsdaten!$C$2:$C$1117,"Sprint_10m",Versuchsdaten!$E$2:$E$1117,$E453,Versuchsdaten!$J$2:$J$1117,1),""))</f>
        <v/>
      </c>
      <c r="M453" s="22">
        <f>IF(LEFT(C453,7)&lt;&gt;"Sprint_","",IF(COUNTIFS(Versuchsdaten!$A$2:$A$1117,$A453,Versuchsdaten!$B$2:$B$1117,$B453,Versuchsdaten!$C$2:$C$1117,"Sprint_30m",Versuchsdaten!$E$2:$E$1117,$E453,Versuchsdaten!$J$2:$J$1117,1)=1,SUMIFS(Versuchsdaten!$F$2:$F$1117,Versuchsdaten!$A$2:$A$1117,$A453,Versuchsdaten!$B$2:$B$1117,$B453,Versuchsdaten!$C$2:$C$1117,"Sprint_30m",Versuchsdaten!$E$2:$E$1117,$E453,Versuchsdaten!$J$2:$J$1117,1),""))</f>
        <v/>
      </c>
      <c r="N453" s="22">
        <f>IF(LEFT(C453,7)&lt;&gt;"Sprint_",0,IF(IF(ISNUMBER(K453),IF(K453&lt;=0,1,IF(5/K453&gt;10,1,0)),0)+IF(ISNUMBER(L453),IF(ISNUMBER(K453),IF(L453-K453&lt;=0,1,IF(5/(L453-K453)&gt;10,1,0)),IF(L453&lt;=0,1,IF(10/L453&gt;10,1,0))),0)+IF(ISNUMBER(M453),IF(ISNUMBER(L453),IF(M453-L453&lt;=0,1,IF(20/(M453-L453)&gt;10,1,0)),IF(ISNUMBER(K453),IF(M453-K453&lt;=0,1,IF(25/(M453-K453)&gt;10,1,0)),IF(M453&lt;=0,1,IF(30/M453&gt;10,1,0)))),0)&gt;0,1,0))</f>
        <v/>
      </c>
      <c r="O453" s="22">
        <f>IF(AND(J453=1,N453=0),1,0)</f>
        <v/>
      </c>
      <c r="P453" s="22">
        <f>INDEX(Personendaten!$J$2:$J$32,MATCH(A453,Personendaten!$A$2:$A$32,0))</f>
        <v/>
      </c>
      <c r="Q453" s="22">
        <f>IF(O453=1,"",IF(AND(B453="post",P453="nicht angetreten"),"NANG",IF(N453=1,"AUSL",IFERROR(VLOOKUP(H453,Vokabular!$A$2:$B$8,2,FALSE),"UNBEKANNT"))))</f>
        <v/>
      </c>
    </row>
    <row r="454">
      <c r="A454" s="5" t="inlineStr">
        <is>
          <t>VS-08</t>
        </is>
      </c>
      <c r="B454" s="5" t="inlineStr">
        <is>
          <t>prä</t>
        </is>
      </c>
      <c r="C454" s="5" t="inlineStr">
        <is>
          <t>Sprint_5m</t>
        </is>
      </c>
      <c r="D454" s="5" t="inlineStr">
        <is>
          <t>–</t>
        </is>
      </c>
      <c r="E454" s="5" t="n">
        <v>3</v>
      </c>
      <c r="F454" s="5" t="n"/>
      <c r="G454" s="5" t="n"/>
      <c r="H454" s="5" t="inlineStr">
        <is>
          <t>System nicht aufgenommen</t>
        </is>
      </c>
      <c r="I454" s="22">
        <f>INDEX(Personendaten!$C$2:$C$32,MATCH(A454,Personendaten!$A$2:$A$32,0))</f>
        <v/>
      </c>
      <c r="J454" s="22">
        <f>IF(AND(F454&lt;&gt;"",G454=""),1,0)</f>
        <v/>
      </c>
      <c r="K454" s="22">
        <f>IF(LEFT(C454,7)&lt;&gt;"Sprint_","",IF(COUNTIFS(Versuchsdaten!$A$2:$A$1117,$A454,Versuchsdaten!$B$2:$B$1117,$B454,Versuchsdaten!$C$2:$C$1117,"Sprint_5m",Versuchsdaten!$E$2:$E$1117,$E454,Versuchsdaten!$J$2:$J$1117,1)=1,SUMIFS(Versuchsdaten!$F$2:$F$1117,Versuchsdaten!$A$2:$A$1117,$A454,Versuchsdaten!$B$2:$B$1117,$B454,Versuchsdaten!$C$2:$C$1117,"Sprint_5m",Versuchsdaten!$E$2:$E$1117,$E454,Versuchsdaten!$J$2:$J$1117,1),""))</f>
        <v/>
      </c>
      <c r="L454" s="22">
        <f>IF(LEFT(C454,7)&lt;&gt;"Sprint_","",IF(COUNTIFS(Versuchsdaten!$A$2:$A$1117,$A454,Versuchsdaten!$B$2:$B$1117,$B454,Versuchsdaten!$C$2:$C$1117,"Sprint_10m",Versuchsdaten!$E$2:$E$1117,$E454,Versuchsdaten!$J$2:$J$1117,1)=1,SUMIFS(Versuchsdaten!$F$2:$F$1117,Versuchsdaten!$A$2:$A$1117,$A454,Versuchsdaten!$B$2:$B$1117,$B454,Versuchsdaten!$C$2:$C$1117,"Sprint_10m",Versuchsdaten!$E$2:$E$1117,$E454,Versuchsdaten!$J$2:$J$1117,1),""))</f>
        <v/>
      </c>
      <c r="M454" s="22">
        <f>IF(LEFT(C454,7)&lt;&gt;"Sprint_","",IF(COUNTIFS(Versuchsdaten!$A$2:$A$1117,$A454,Versuchsdaten!$B$2:$B$1117,$B454,Versuchsdaten!$C$2:$C$1117,"Sprint_30m",Versuchsdaten!$E$2:$E$1117,$E454,Versuchsdaten!$J$2:$J$1117,1)=1,SUMIFS(Versuchsdaten!$F$2:$F$1117,Versuchsdaten!$A$2:$A$1117,$A454,Versuchsdaten!$B$2:$B$1117,$B454,Versuchsdaten!$C$2:$C$1117,"Sprint_30m",Versuchsdaten!$E$2:$E$1117,$E454,Versuchsdaten!$J$2:$J$1117,1),""))</f>
        <v/>
      </c>
      <c r="N454" s="22">
        <f>IF(LEFT(C454,7)&lt;&gt;"Sprint_",0,IF(IF(ISNUMBER(K454),IF(K454&lt;=0,1,IF(5/K454&gt;10,1,0)),0)+IF(ISNUMBER(L454),IF(ISNUMBER(K454),IF(L454-K454&lt;=0,1,IF(5/(L454-K454)&gt;10,1,0)),IF(L454&lt;=0,1,IF(10/L454&gt;10,1,0))),0)+IF(ISNUMBER(M454),IF(ISNUMBER(L454),IF(M454-L454&lt;=0,1,IF(20/(M454-L454)&gt;10,1,0)),IF(ISNUMBER(K454),IF(M454-K454&lt;=0,1,IF(25/(M454-K454)&gt;10,1,0)),IF(M454&lt;=0,1,IF(30/M454&gt;10,1,0)))),0)&gt;0,1,0))</f>
        <v/>
      </c>
      <c r="O454" s="22">
        <f>IF(AND(J454=1,N454=0),1,0)</f>
        <v/>
      </c>
      <c r="P454" s="22">
        <f>INDEX(Personendaten!$J$2:$J$32,MATCH(A454,Personendaten!$A$2:$A$32,0))</f>
        <v/>
      </c>
      <c r="Q454" s="22">
        <f>IF(O454=1,"",IF(AND(B454="post",P454="nicht angetreten"),"NANG",IF(N454=1,"AUSL",IFERROR(VLOOKUP(H454,Vokabular!$A$2:$B$8,2,FALSE),"UNBEKANNT"))))</f>
        <v/>
      </c>
    </row>
    <row r="455">
      <c r="A455" s="5" t="inlineStr">
        <is>
          <t>VS-08</t>
        </is>
      </c>
      <c r="B455" s="5" t="inlineStr">
        <is>
          <t>prä</t>
        </is>
      </c>
      <c r="C455" s="5" t="inlineStr">
        <is>
          <t>Sprint_10m</t>
        </is>
      </c>
      <c r="D455" s="5" t="inlineStr">
        <is>
          <t>–</t>
        </is>
      </c>
      <c r="E455" s="5" t="n">
        <v>1</v>
      </c>
      <c r="F455" s="5" t="n">
        <v>2.09</v>
      </c>
      <c r="G455" s="5" t="n"/>
      <c r="H455" s="5" t="n"/>
      <c r="I455" s="22">
        <f>INDEX(Personendaten!$C$2:$C$32,MATCH(A455,Personendaten!$A$2:$A$32,0))</f>
        <v/>
      </c>
      <c r="J455" s="22">
        <f>IF(AND(F455&lt;&gt;"",G455=""),1,0)</f>
        <v/>
      </c>
      <c r="K455" s="22">
        <f>IF(LEFT(C455,7)&lt;&gt;"Sprint_","",IF(COUNTIFS(Versuchsdaten!$A$2:$A$1117,$A455,Versuchsdaten!$B$2:$B$1117,$B455,Versuchsdaten!$C$2:$C$1117,"Sprint_5m",Versuchsdaten!$E$2:$E$1117,$E455,Versuchsdaten!$J$2:$J$1117,1)=1,SUMIFS(Versuchsdaten!$F$2:$F$1117,Versuchsdaten!$A$2:$A$1117,$A455,Versuchsdaten!$B$2:$B$1117,$B455,Versuchsdaten!$C$2:$C$1117,"Sprint_5m",Versuchsdaten!$E$2:$E$1117,$E455,Versuchsdaten!$J$2:$J$1117,1),""))</f>
        <v/>
      </c>
      <c r="L455" s="22">
        <f>IF(LEFT(C455,7)&lt;&gt;"Sprint_","",IF(COUNTIFS(Versuchsdaten!$A$2:$A$1117,$A455,Versuchsdaten!$B$2:$B$1117,$B455,Versuchsdaten!$C$2:$C$1117,"Sprint_10m",Versuchsdaten!$E$2:$E$1117,$E455,Versuchsdaten!$J$2:$J$1117,1)=1,SUMIFS(Versuchsdaten!$F$2:$F$1117,Versuchsdaten!$A$2:$A$1117,$A455,Versuchsdaten!$B$2:$B$1117,$B455,Versuchsdaten!$C$2:$C$1117,"Sprint_10m",Versuchsdaten!$E$2:$E$1117,$E455,Versuchsdaten!$J$2:$J$1117,1),""))</f>
        <v/>
      </c>
      <c r="M455" s="22">
        <f>IF(LEFT(C455,7)&lt;&gt;"Sprint_","",IF(COUNTIFS(Versuchsdaten!$A$2:$A$1117,$A455,Versuchsdaten!$B$2:$B$1117,$B455,Versuchsdaten!$C$2:$C$1117,"Sprint_30m",Versuchsdaten!$E$2:$E$1117,$E455,Versuchsdaten!$J$2:$J$1117,1)=1,SUMIFS(Versuchsdaten!$F$2:$F$1117,Versuchsdaten!$A$2:$A$1117,$A455,Versuchsdaten!$B$2:$B$1117,$B455,Versuchsdaten!$C$2:$C$1117,"Sprint_30m",Versuchsdaten!$E$2:$E$1117,$E455,Versuchsdaten!$J$2:$J$1117,1),""))</f>
        <v/>
      </c>
      <c r="N455" s="22">
        <f>IF(LEFT(C455,7)&lt;&gt;"Sprint_",0,IF(IF(ISNUMBER(K455),IF(K455&lt;=0,1,IF(5/K455&gt;10,1,0)),0)+IF(ISNUMBER(L455),IF(ISNUMBER(K455),IF(L455-K455&lt;=0,1,IF(5/(L455-K455)&gt;10,1,0)),IF(L455&lt;=0,1,IF(10/L455&gt;10,1,0))),0)+IF(ISNUMBER(M455),IF(ISNUMBER(L455),IF(M455-L455&lt;=0,1,IF(20/(M455-L455)&gt;10,1,0)),IF(ISNUMBER(K455),IF(M455-K455&lt;=0,1,IF(25/(M455-K455)&gt;10,1,0)),IF(M455&lt;=0,1,IF(30/M455&gt;10,1,0)))),0)&gt;0,1,0))</f>
        <v/>
      </c>
      <c r="O455" s="22">
        <f>IF(AND(J455=1,N455=0),1,0)</f>
        <v/>
      </c>
      <c r="P455" s="22">
        <f>INDEX(Personendaten!$J$2:$J$32,MATCH(A455,Personendaten!$A$2:$A$32,0))</f>
        <v/>
      </c>
      <c r="Q455" s="22">
        <f>IF(O455=1,"",IF(AND(B455="post",P455="nicht angetreten"),"NANG",IF(N455=1,"AUSL",IFERROR(VLOOKUP(H455,Vokabular!$A$2:$B$8,2,FALSE),"UNBEKANNT"))))</f>
        <v/>
      </c>
    </row>
    <row r="456">
      <c r="A456" s="5" t="inlineStr">
        <is>
          <t>VS-08</t>
        </is>
      </c>
      <c r="B456" s="5" t="inlineStr">
        <is>
          <t>prä</t>
        </is>
      </c>
      <c r="C456" s="5" t="inlineStr">
        <is>
          <t>Sprint_10m</t>
        </is>
      </c>
      <c r="D456" s="5" t="inlineStr">
        <is>
          <t>–</t>
        </is>
      </c>
      <c r="E456" s="5" t="n">
        <v>2</v>
      </c>
      <c r="F456" s="5" t="n">
        <v>2.16</v>
      </c>
      <c r="G456" s="5" t="n"/>
      <c r="H456" s="5" t="n"/>
      <c r="I456" s="22">
        <f>INDEX(Personendaten!$C$2:$C$32,MATCH(A456,Personendaten!$A$2:$A$32,0))</f>
        <v/>
      </c>
      <c r="J456" s="22">
        <f>IF(AND(F456&lt;&gt;"",G456=""),1,0)</f>
        <v/>
      </c>
      <c r="K456" s="22">
        <f>IF(LEFT(C456,7)&lt;&gt;"Sprint_","",IF(COUNTIFS(Versuchsdaten!$A$2:$A$1117,$A456,Versuchsdaten!$B$2:$B$1117,$B456,Versuchsdaten!$C$2:$C$1117,"Sprint_5m",Versuchsdaten!$E$2:$E$1117,$E456,Versuchsdaten!$J$2:$J$1117,1)=1,SUMIFS(Versuchsdaten!$F$2:$F$1117,Versuchsdaten!$A$2:$A$1117,$A456,Versuchsdaten!$B$2:$B$1117,$B456,Versuchsdaten!$C$2:$C$1117,"Sprint_5m",Versuchsdaten!$E$2:$E$1117,$E456,Versuchsdaten!$J$2:$J$1117,1),""))</f>
        <v/>
      </c>
      <c r="L456" s="22">
        <f>IF(LEFT(C456,7)&lt;&gt;"Sprint_","",IF(COUNTIFS(Versuchsdaten!$A$2:$A$1117,$A456,Versuchsdaten!$B$2:$B$1117,$B456,Versuchsdaten!$C$2:$C$1117,"Sprint_10m",Versuchsdaten!$E$2:$E$1117,$E456,Versuchsdaten!$J$2:$J$1117,1)=1,SUMIFS(Versuchsdaten!$F$2:$F$1117,Versuchsdaten!$A$2:$A$1117,$A456,Versuchsdaten!$B$2:$B$1117,$B456,Versuchsdaten!$C$2:$C$1117,"Sprint_10m",Versuchsdaten!$E$2:$E$1117,$E456,Versuchsdaten!$J$2:$J$1117,1),""))</f>
        <v/>
      </c>
      <c r="M456" s="22">
        <f>IF(LEFT(C456,7)&lt;&gt;"Sprint_","",IF(COUNTIFS(Versuchsdaten!$A$2:$A$1117,$A456,Versuchsdaten!$B$2:$B$1117,$B456,Versuchsdaten!$C$2:$C$1117,"Sprint_30m",Versuchsdaten!$E$2:$E$1117,$E456,Versuchsdaten!$J$2:$J$1117,1)=1,SUMIFS(Versuchsdaten!$F$2:$F$1117,Versuchsdaten!$A$2:$A$1117,$A456,Versuchsdaten!$B$2:$B$1117,$B456,Versuchsdaten!$C$2:$C$1117,"Sprint_30m",Versuchsdaten!$E$2:$E$1117,$E456,Versuchsdaten!$J$2:$J$1117,1),""))</f>
        <v/>
      </c>
      <c r="N456" s="22">
        <f>IF(LEFT(C456,7)&lt;&gt;"Sprint_",0,IF(IF(ISNUMBER(K456),IF(K456&lt;=0,1,IF(5/K456&gt;10,1,0)),0)+IF(ISNUMBER(L456),IF(ISNUMBER(K456),IF(L456-K456&lt;=0,1,IF(5/(L456-K456)&gt;10,1,0)),IF(L456&lt;=0,1,IF(10/L456&gt;10,1,0))),0)+IF(ISNUMBER(M456),IF(ISNUMBER(L456),IF(M456-L456&lt;=0,1,IF(20/(M456-L456)&gt;10,1,0)),IF(ISNUMBER(K456),IF(M456-K456&lt;=0,1,IF(25/(M456-K456)&gt;10,1,0)),IF(M456&lt;=0,1,IF(30/M456&gt;10,1,0)))),0)&gt;0,1,0))</f>
        <v/>
      </c>
      <c r="O456" s="22">
        <f>IF(AND(J456=1,N456=0),1,0)</f>
        <v/>
      </c>
      <c r="P456" s="22">
        <f>INDEX(Personendaten!$J$2:$J$32,MATCH(A456,Personendaten!$A$2:$A$32,0))</f>
        <v/>
      </c>
      <c r="Q456" s="22">
        <f>IF(O456=1,"",IF(AND(B456="post",P456="nicht angetreten"),"NANG",IF(N456=1,"AUSL",IFERROR(VLOOKUP(H456,Vokabular!$A$2:$B$8,2,FALSE),"UNBEKANNT"))))</f>
        <v/>
      </c>
    </row>
    <row r="457">
      <c r="A457" s="5" t="inlineStr">
        <is>
          <t>VS-08</t>
        </is>
      </c>
      <c r="B457" s="5" t="inlineStr">
        <is>
          <t>prä</t>
        </is>
      </c>
      <c r="C457" s="5" t="inlineStr">
        <is>
          <t>Sprint_10m</t>
        </is>
      </c>
      <c r="D457" s="5" t="inlineStr">
        <is>
          <t>–</t>
        </is>
      </c>
      <c r="E457" s="5" t="n">
        <v>3</v>
      </c>
      <c r="F457" s="5" t="n"/>
      <c r="G457" s="5" t="n"/>
      <c r="H457" s="5" t="inlineStr">
        <is>
          <t>System nicht aufgenommen</t>
        </is>
      </c>
      <c r="I457" s="22">
        <f>INDEX(Personendaten!$C$2:$C$32,MATCH(A457,Personendaten!$A$2:$A$32,0))</f>
        <v/>
      </c>
      <c r="J457" s="22">
        <f>IF(AND(F457&lt;&gt;"",G457=""),1,0)</f>
        <v/>
      </c>
      <c r="K457" s="22">
        <f>IF(LEFT(C457,7)&lt;&gt;"Sprint_","",IF(COUNTIFS(Versuchsdaten!$A$2:$A$1117,$A457,Versuchsdaten!$B$2:$B$1117,$B457,Versuchsdaten!$C$2:$C$1117,"Sprint_5m",Versuchsdaten!$E$2:$E$1117,$E457,Versuchsdaten!$J$2:$J$1117,1)=1,SUMIFS(Versuchsdaten!$F$2:$F$1117,Versuchsdaten!$A$2:$A$1117,$A457,Versuchsdaten!$B$2:$B$1117,$B457,Versuchsdaten!$C$2:$C$1117,"Sprint_5m",Versuchsdaten!$E$2:$E$1117,$E457,Versuchsdaten!$J$2:$J$1117,1),""))</f>
        <v/>
      </c>
      <c r="L457" s="22">
        <f>IF(LEFT(C457,7)&lt;&gt;"Sprint_","",IF(COUNTIFS(Versuchsdaten!$A$2:$A$1117,$A457,Versuchsdaten!$B$2:$B$1117,$B457,Versuchsdaten!$C$2:$C$1117,"Sprint_10m",Versuchsdaten!$E$2:$E$1117,$E457,Versuchsdaten!$J$2:$J$1117,1)=1,SUMIFS(Versuchsdaten!$F$2:$F$1117,Versuchsdaten!$A$2:$A$1117,$A457,Versuchsdaten!$B$2:$B$1117,$B457,Versuchsdaten!$C$2:$C$1117,"Sprint_10m",Versuchsdaten!$E$2:$E$1117,$E457,Versuchsdaten!$J$2:$J$1117,1),""))</f>
        <v/>
      </c>
      <c r="M457" s="22">
        <f>IF(LEFT(C457,7)&lt;&gt;"Sprint_","",IF(COUNTIFS(Versuchsdaten!$A$2:$A$1117,$A457,Versuchsdaten!$B$2:$B$1117,$B457,Versuchsdaten!$C$2:$C$1117,"Sprint_30m",Versuchsdaten!$E$2:$E$1117,$E457,Versuchsdaten!$J$2:$J$1117,1)=1,SUMIFS(Versuchsdaten!$F$2:$F$1117,Versuchsdaten!$A$2:$A$1117,$A457,Versuchsdaten!$B$2:$B$1117,$B457,Versuchsdaten!$C$2:$C$1117,"Sprint_30m",Versuchsdaten!$E$2:$E$1117,$E457,Versuchsdaten!$J$2:$J$1117,1),""))</f>
        <v/>
      </c>
      <c r="N457" s="22">
        <f>IF(LEFT(C457,7)&lt;&gt;"Sprint_",0,IF(IF(ISNUMBER(K457),IF(K457&lt;=0,1,IF(5/K457&gt;10,1,0)),0)+IF(ISNUMBER(L457),IF(ISNUMBER(K457),IF(L457-K457&lt;=0,1,IF(5/(L457-K457)&gt;10,1,0)),IF(L457&lt;=0,1,IF(10/L457&gt;10,1,0))),0)+IF(ISNUMBER(M457),IF(ISNUMBER(L457),IF(M457-L457&lt;=0,1,IF(20/(M457-L457)&gt;10,1,0)),IF(ISNUMBER(K457),IF(M457-K457&lt;=0,1,IF(25/(M457-K457)&gt;10,1,0)),IF(M457&lt;=0,1,IF(30/M457&gt;10,1,0)))),0)&gt;0,1,0))</f>
        <v/>
      </c>
      <c r="O457" s="22">
        <f>IF(AND(J457=1,N457=0),1,0)</f>
        <v/>
      </c>
      <c r="P457" s="22">
        <f>INDEX(Personendaten!$J$2:$J$32,MATCH(A457,Personendaten!$A$2:$A$32,0))</f>
        <v/>
      </c>
      <c r="Q457" s="22">
        <f>IF(O457=1,"",IF(AND(B457="post",P457="nicht angetreten"),"NANG",IF(N457=1,"AUSL",IFERROR(VLOOKUP(H457,Vokabular!$A$2:$B$8,2,FALSE),"UNBEKANNT"))))</f>
        <v/>
      </c>
    </row>
    <row r="458">
      <c r="A458" s="5" t="inlineStr">
        <is>
          <t>VS-08</t>
        </is>
      </c>
      <c r="B458" s="5" t="inlineStr">
        <is>
          <t>prä</t>
        </is>
      </c>
      <c r="C458" s="5" t="inlineStr">
        <is>
          <t>Sprint_30m</t>
        </is>
      </c>
      <c r="D458" s="5" t="inlineStr">
        <is>
          <t>–</t>
        </is>
      </c>
      <c r="E458" s="5" t="n">
        <v>1</v>
      </c>
      <c r="F458" s="5" t="n">
        <v>5.45</v>
      </c>
      <c r="G458" s="5" t="n"/>
      <c r="H458" s="5" t="n"/>
      <c r="I458" s="22">
        <f>INDEX(Personendaten!$C$2:$C$32,MATCH(A458,Personendaten!$A$2:$A$32,0))</f>
        <v/>
      </c>
      <c r="J458" s="22">
        <f>IF(AND(F458&lt;&gt;"",G458=""),1,0)</f>
        <v/>
      </c>
      <c r="K458" s="22">
        <f>IF(LEFT(C458,7)&lt;&gt;"Sprint_","",IF(COUNTIFS(Versuchsdaten!$A$2:$A$1117,$A458,Versuchsdaten!$B$2:$B$1117,$B458,Versuchsdaten!$C$2:$C$1117,"Sprint_5m",Versuchsdaten!$E$2:$E$1117,$E458,Versuchsdaten!$J$2:$J$1117,1)=1,SUMIFS(Versuchsdaten!$F$2:$F$1117,Versuchsdaten!$A$2:$A$1117,$A458,Versuchsdaten!$B$2:$B$1117,$B458,Versuchsdaten!$C$2:$C$1117,"Sprint_5m",Versuchsdaten!$E$2:$E$1117,$E458,Versuchsdaten!$J$2:$J$1117,1),""))</f>
        <v/>
      </c>
      <c r="L458" s="22">
        <f>IF(LEFT(C458,7)&lt;&gt;"Sprint_","",IF(COUNTIFS(Versuchsdaten!$A$2:$A$1117,$A458,Versuchsdaten!$B$2:$B$1117,$B458,Versuchsdaten!$C$2:$C$1117,"Sprint_10m",Versuchsdaten!$E$2:$E$1117,$E458,Versuchsdaten!$J$2:$J$1117,1)=1,SUMIFS(Versuchsdaten!$F$2:$F$1117,Versuchsdaten!$A$2:$A$1117,$A458,Versuchsdaten!$B$2:$B$1117,$B458,Versuchsdaten!$C$2:$C$1117,"Sprint_10m",Versuchsdaten!$E$2:$E$1117,$E458,Versuchsdaten!$J$2:$J$1117,1),""))</f>
        <v/>
      </c>
      <c r="M458" s="22">
        <f>IF(LEFT(C458,7)&lt;&gt;"Sprint_","",IF(COUNTIFS(Versuchsdaten!$A$2:$A$1117,$A458,Versuchsdaten!$B$2:$B$1117,$B458,Versuchsdaten!$C$2:$C$1117,"Sprint_30m",Versuchsdaten!$E$2:$E$1117,$E458,Versuchsdaten!$J$2:$J$1117,1)=1,SUMIFS(Versuchsdaten!$F$2:$F$1117,Versuchsdaten!$A$2:$A$1117,$A458,Versuchsdaten!$B$2:$B$1117,$B458,Versuchsdaten!$C$2:$C$1117,"Sprint_30m",Versuchsdaten!$E$2:$E$1117,$E458,Versuchsdaten!$J$2:$J$1117,1),""))</f>
        <v/>
      </c>
      <c r="N458" s="22">
        <f>IF(LEFT(C458,7)&lt;&gt;"Sprint_",0,IF(IF(ISNUMBER(K458),IF(K458&lt;=0,1,IF(5/K458&gt;10,1,0)),0)+IF(ISNUMBER(L458),IF(ISNUMBER(K458),IF(L458-K458&lt;=0,1,IF(5/(L458-K458)&gt;10,1,0)),IF(L458&lt;=0,1,IF(10/L458&gt;10,1,0))),0)+IF(ISNUMBER(M458),IF(ISNUMBER(L458),IF(M458-L458&lt;=0,1,IF(20/(M458-L458)&gt;10,1,0)),IF(ISNUMBER(K458),IF(M458-K458&lt;=0,1,IF(25/(M458-K458)&gt;10,1,0)),IF(M458&lt;=0,1,IF(30/M458&gt;10,1,0)))),0)&gt;0,1,0))</f>
        <v/>
      </c>
      <c r="O458" s="22">
        <f>IF(AND(J458=1,N458=0),1,0)</f>
        <v/>
      </c>
      <c r="P458" s="22">
        <f>INDEX(Personendaten!$J$2:$J$32,MATCH(A458,Personendaten!$A$2:$A$32,0))</f>
        <v/>
      </c>
      <c r="Q458" s="22">
        <f>IF(O458=1,"",IF(AND(B458="post",P458="nicht angetreten"),"NANG",IF(N458=1,"AUSL",IFERROR(VLOOKUP(H458,Vokabular!$A$2:$B$8,2,FALSE),"UNBEKANNT"))))</f>
        <v/>
      </c>
    </row>
    <row r="459">
      <c r="A459" s="5" t="inlineStr">
        <is>
          <t>VS-08</t>
        </is>
      </c>
      <c r="B459" s="5" t="inlineStr">
        <is>
          <t>prä</t>
        </is>
      </c>
      <c r="C459" s="5" t="inlineStr">
        <is>
          <t>Sprint_30m</t>
        </is>
      </c>
      <c r="D459" s="5" t="inlineStr">
        <is>
          <t>–</t>
        </is>
      </c>
      <c r="E459" s="5" t="n">
        <v>2</v>
      </c>
      <c r="F459" s="5" t="n">
        <v>5.48</v>
      </c>
      <c r="G459" s="5" t="n"/>
      <c r="H459" s="5" t="n"/>
      <c r="I459" s="22">
        <f>INDEX(Personendaten!$C$2:$C$32,MATCH(A459,Personendaten!$A$2:$A$32,0))</f>
        <v/>
      </c>
      <c r="J459" s="22">
        <f>IF(AND(F459&lt;&gt;"",G459=""),1,0)</f>
        <v/>
      </c>
      <c r="K459" s="22">
        <f>IF(LEFT(C459,7)&lt;&gt;"Sprint_","",IF(COUNTIFS(Versuchsdaten!$A$2:$A$1117,$A459,Versuchsdaten!$B$2:$B$1117,$B459,Versuchsdaten!$C$2:$C$1117,"Sprint_5m",Versuchsdaten!$E$2:$E$1117,$E459,Versuchsdaten!$J$2:$J$1117,1)=1,SUMIFS(Versuchsdaten!$F$2:$F$1117,Versuchsdaten!$A$2:$A$1117,$A459,Versuchsdaten!$B$2:$B$1117,$B459,Versuchsdaten!$C$2:$C$1117,"Sprint_5m",Versuchsdaten!$E$2:$E$1117,$E459,Versuchsdaten!$J$2:$J$1117,1),""))</f>
        <v/>
      </c>
      <c r="L459" s="22">
        <f>IF(LEFT(C459,7)&lt;&gt;"Sprint_","",IF(COUNTIFS(Versuchsdaten!$A$2:$A$1117,$A459,Versuchsdaten!$B$2:$B$1117,$B459,Versuchsdaten!$C$2:$C$1117,"Sprint_10m",Versuchsdaten!$E$2:$E$1117,$E459,Versuchsdaten!$J$2:$J$1117,1)=1,SUMIFS(Versuchsdaten!$F$2:$F$1117,Versuchsdaten!$A$2:$A$1117,$A459,Versuchsdaten!$B$2:$B$1117,$B459,Versuchsdaten!$C$2:$C$1117,"Sprint_10m",Versuchsdaten!$E$2:$E$1117,$E459,Versuchsdaten!$J$2:$J$1117,1),""))</f>
        <v/>
      </c>
      <c r="M459" s="22">
        <f>IF(LEFT(C459,7)&lt;&gt;"Sprint_","",IF(COUNTIFS(Versuchsdaten!$A$2:$A$1117,$A459,Versuchsdaten!$B$2:$B$1117,$B459,Versuchsdaten!$C$2:$C$1117,"Sprint_30m",Versuchsdaten!$E$2:$E$1117,$E459,Versuchsdaten!$J$2:$J$1117,1)=1,SUMIFS(Versuchsdaten!$F$2:$F$1117,Versuchsdaten!$A$2:$A$1117,$A459,Versuchsdaten!$B$2:$B$1117,$B459,Versuchsdaten!$C$2:$C$1117,"Sprint_30m",Versuchsdaten!$E$2:$E$1117,$E459,Versuchsdaten!$J$2:$J$1117,1),""))</f>
        <v/>
      </c>
      <c r="N459" s="22">
        <f>IF(LEFT(C459,7)&lt;&gt;"Sprint_",0,IF(IF(ISNUMBER(K459),IF(K459&lt;=0,1,IF(5/K459&gt;10,1,0)),0)+IF(ISNUMBER(L459),IF(ISNUMBER(K459),IF(L459-K459&lt;=0,1,IF(5/(L459-K459)&gt;10,1,0)),IF(L459&lt;=0,1,IF(10/L459&gt;10,1,0))),0)+IF(ISNUMBER(M459),IF(ISNUMBER(L459),IF(M459-L459&lt;=0,1,IF(20/(M459-L459)&gt;10,1,0)),IF(ISNUMBER(K459),IF(M459-K459&lt;=0,1,IF(25/(M459-K459)&gt;10,1,0)),IF(M459&lt;=0,1,IF(30/M459&gt;10,1,0)))),0)&gt;0,1,0))</f>
        <v/>
      </c>
      <c r="O459" s="22">
        <f>IF(AND(J459=1,N459=0),1,0)</f>
        <v/>
      </c>
      <c r="P459" s="22">
        <f>INDEX(Personendaten!$J$2:$J$32,MATCH(A459,Personendaten!$A$2:$A$32,0))</f>
        <v/>
      </c>
      <c r="Q459" s="22">
        <f>IF(O459=1,"",IF(AND(B459="post",P459="nicht angetreten"),"NANG",IF(N459=1,"AUSL",IFERROR(VLOOKUP(H459,Vokabular!$A$2:$B$8,2,FALSE),"UNBEKANNT"))))</f>
        <v/>
      </c>
    </row>
    <row r="460">
      <c r="A460" s="5" t="inlineStr">
        <is>
          <t>VS-08</t>
        </is>
      </c>
      <c r="B460" s="5" t="inlineStr">
        <is>
          <t>prä</t>
        </is>
      </c>
      <c r="C460" s="5" t="inlineStr">
        <is>
          <t>Sprint_30m</t>
        </is>
      </c>
      <c r="D460" s="5" t="inlineStr">
        <is>
          <t>–</t>
        </is>
      </c>
      <c r="E460" s="5" t="n">
        <v>3</v>
      </c>
      <c r="F460" s="5" t="n">
        <v>5.44</v>
      </c>
      <c r="G460" s="5" t="n"/>
      <c r="H460" s="5" t="n"/>
      <c r="I460" s="22">
        <f>INDEX(Personendaten!$C$2:$C$32,MATCH(A460,Personendaten!$A$2:$A$32,0))</f>
        <v/>
      </c>
      <c r="J460" s="22">
        <f>IF(AND(F460&lt;&gt;"",G460=""),1,0)</f>
        <v/>
      </c>
      <c r="K460" s="22">
        <f>IF(LEFT(C460,7)&lt;&gt;"Sprint_","",IF(COUNTIFS(Versuchsdaten!$A$2:$A$1117,$A460,Versuchsdaten!$B$2:$B$1117,$B460,Versuchsdaten!$C$2:$C$1117,"Sprint_5m",Versuchsdaten!$E$2:$E$1117,$E460,Versuchsdaten!$J$2:$J$1117,1)=1,SUMIFS(Versuchsdaten!$F$2:$F$1117,Versuchsdaten!$A$2:$A$1117,$A460,Versuchsdaten!$B$2:$B$1117,$B460,Versuchsdaten!$C$2:$C$1117,"Sprint_5m",Versuchsdaten!$E$2:$E$1117,$E460,Versuchsdaten!$J$2:$J$1117,1),""))</f>
        <v/>
      </c>
      <c r="L460" s="22">
        <f>IF(LEFT(C460,7)&lt;&gt;"Sprint_","",IF(COUNTIFS(Versuchsdaten!$A$2:$A$1117,$A460,Versuchsdaten!$B$2:$B$1117,$B460,Versuchsdaten!$C$2:$C$1117,"Sprint_10m",Versuchsdaten!$E$2:$E$1117,$E460,Versuchsdaten!$J$2:$J$1117,1)=1,SUMIFS(Versuchsdaten!$F$2:$F$1117,Versuchsdaten!$A$2:$A$1117,$A460,Versuchsdaten!$B$2:$B$1117,$B460,Versuchsdaten!$C$2:$C$1117,"Sprint_10m",Versuchsdaten!$E$2:$E$1117,$E460,Versuchsdaten!$J$2:$J$1117,1),""))</f>
        <v/>
      </c>
      <c r="M460" s="22">
        <f>IF(LEFT(C460,7)&lt;&gt;"Sprint_","",IF(COUNTIFS(Versuchsdaten!$A$2:$A$1117,$A460,Versuchsdaten!$B$2:$B$1117,$B460,Versuchsdaten!$C$2:$C$1117,"Sprint_30m",Versuchsdaten!$E$2:$E$1117,$E460,Versuchsdaten!$J$2:$J$1117,1)=1,SUMIFS(Versuchsdaten!$F$2:$F$1117,Versuchsdaten!$A$2:$A$1117,$A460,Versuchsdaten!$B$2:$B$1117,$B460,Versuchsdaten!$C$2:$C$1117,"Sprint_30m",Versuchsdaten!$E$2:$E$1117,$E460,Versuchsdaten!$J$2:$J$1117,1),""))</f>
        <v/>
      </c>
      <c r="N460" s="22">
        <f>IF(LEFT(C460,7)&lt;&gt;"Sprint_",0,IF(IF(ISNUMBER(K460),IF(K460&lt;=0,1,IF(5/K460&gt;10,1,0)),0)+IF(ISNUMBER(L460),IF(ISNUMBER(K460),IF(L460-K460&lt;=0,1,IF(5/(L460-K460)&gt;10,1,0)),IF(L460&lt;=0,1,IF(10/L460&gt;10,1,0))),0)+IF(ISNUMBER(M460),IF(ISNUMBER(L460),IF(M460-L460&lt;=0,1,IF(20/(M460-L460)&gt;10,1,0)),IF(ISNUMBER(K460),IF(M460-K460&lt;=0,1,IF(25/(M460-K460)&gt;10,1,0)),IF(M460&lt;=0,1,IF(30/M460&gt;10,1,0)))),0)&gt;0,1,0))</f>
        <v/>
      </c>
      <c r="O460" s="22">
        <f>IF(AND(J460=1,N460=0),1,0)</f>
        <v/>
      </c>
      <c r="P460" s="22">
        <f>INDEX(Personendaten!$J$2:$J$32,MATCH(A460,Personendaten!$A$2:$A$32,0))</f>
        <v/>
      </c>
      <c r="Q460" s="22">
        <f>IF(O460=1,"",IF(AND(B460="post",P460="nicht angetreten"),"NANG",IF(N460=1,"AUSL",IFERROR(VLOOKUP(H460,Vokabular!$A$2:$B$8,2,FALSE),"UNBEKANNT"))))</f>
        <v/>
      </c>
    </row>
    <row r="461">
      <c r="A461" s="5" t="inlineStr">
        <is>
          <t>VS-08</t>
        </is>
      </c>
      <c r="B461" s="5" t="inlineStr">
        <is>
          <t>prä</t>
        </is>
      </c>
      <c r="C461" s="5" t="inlineStr">
        <is>
          <t>Standweitsprung</t>
        </is>
      </c>
      <c r="D461" s="5" t="inlineStr">
        <is>
          <t>–</t>
        </is>
      </c>
      <c r="E461" s="5" t="n">
        <v>1</v>
      </c>
      <c r="F461" s="5" t="n">
        <v>202</v>
      </c>
      <c r="G461" s="5" t="n"/>
      <c r="H461" s="5" t="n"/>
      <c r="I461" s="22">
        <f>INDEX(Personendaten!$C$2:$C$32,MATCH(A461,Personendaten!$A$2:$A$32,0))</f>
        <v/>
      </c>
      <c r="J461" s="22">
        <f>IF(AND(F461&lt;&gt;"",G461=""),1,0)</f>
        <v/>
      </c>
      <c r="K461" s="22">
        <f>IF(LEFT(C461,7)&lt;&gt;"Sprint_","",IF(COUNTIFS(Versuchsdaten!$A$2:$A$1117,$A461,Versuchsdaten!$B$2:$B$1117,$B461,Versuchsdaten!$C$2:$C$1117,"Sprint_5m",Versuchsdaten!$E$2:$E$1117,$E461,Versuchsdaten!$J$2:$J$1117,1)=1,SUMIFS(Versuchsdaten!$F$2:$F$1117,Versuchsdaten!$A$2:$A$1117,$A461,Versuchsdaten!$B$2:$B$1117,$B461,Versuchsdaten!$C$2:$C$1117,"Sprint_5m",Versuchsdaten!$E$2:$E$1117,$E461,Versuchsdaten!$J$2:$J$1117,1),""))</f>
        <v/>
      </c>
      <c r="L461" s="22">
        <f>IF(LEFT(C461,7)&lt;&gt;"Sprint_","",IF(COUNTIFS(Versuchsdaten!$A$2:$A$1117,$A461,Versuchsdaten!$B$2:$B$1117,$B461,Versuchsdaten!$C$2:$C$1117,"Sprint_10m",Versuchsdaten!$E$2:$E$1117,$E461,Versuchsdaten!$J$2:$J$1117,1)=1,SUMIFS(Versuchsdaten!$F$2:$F$1117,Versuchsdaten!$A$2:$A$1117,$A461,Versuchsdaten!$B$2:$B$1117,$B461,Versuchsdaten!$C$2:$C$1117,"Sprint_10m",Versuchsdaten!$E$2:$E$1117,$E461,Versuchsdaten!$J$2:$J$1117,1),""))</f>
        <v/>
      </c>
      <c r="M461" s="22">
        <f>IF(LEFT(C461,7)&lt;&gt;"Sprint_","",IF(COUNTIFS(Versuchsdaten!$A$2:$A$1117,$A461,Versuchsdaten!$B$2:$B$1117,$B461,Versuchsdaten!$C$2:$C$1117,"Sprint_30m",Versuchsdaten!$E$2:$E$1117,$E461,Versuchsdaten!$J$2:$J$1117,1)=1,SUMIFS(Versuchsdaten!$F$2:$F$1117,Versuchsdaten!$A$2:$A$1117,$A461,Versuchsdaten!$B$2:$B$1117,$B461,Versuchsdaten!$C$2:$C$1117,"Sprint_30m",Versuchsdaten!$E$2:$E$1117,$E461,Versuchsdaten!$J$2:$J$1117,1),""))</f>
        <v/>
      </c>
      <c r="N461" s="22">
        <f>IF(LEFT(C461,7)&lt;&gt;"Sprint_",0,IF(IF(ISNUMBER(K461),IF(K461&lt;=0,1,IF(5/K461&gt;10,1,0)),0)+IF(ISNUMBER(L461),IF(ISNUMBER(K461),IF(L461-K461&lt;=0,1,IF(5/(L461-K461)&gt;10,1,0)),IF(L461&lt;=0,1,IF(10/L461&gt;10,1,0))),0)+IF(ISNUMBER(M461),IF(ISNUMBER(L461),IF(M461-L461&lt;=0,1,IF(20/(M461-L461)&gt;10,1,0)),IF(ISNUMBER(K461),IF(M461-K461&lt;=0,1,IF(25/(M461-K461)&gt;10,1,0)),IF(M461&lt;=0,1,IF(30/M461&gt;10,1,0)))),0)&gt;0,1,0))</f>
        <v/>
      </c>
      <c r="O461" s="22">
        <f>IF(AND(J461=1,N461=0),1,0)</f>
        <v/>
      </c>
      <c r="P461" s="22">
        <f>INDEX(Personendaten!$J$2:$J$32,MATCH(A461,Personendaten!$A$2:$A$32,0))</f>
        <v/>
      </c>
      <c r="Q461" s="22">
        <f>IF(O461=1,"",IF(AND(B461="post",P461="nicht angetreten"),"NANG",IF(N461=1,"AUSL",IFERROR(VLOOKUP(H461,Vokabular!$A$2:$B$8,2,FALSE),"UNBEKANNT"))))</f>
        <v/>
      </c>
    </row>
    <row r="462">
      <c r="A462" s="5" t="inlineStr">
        <is>
          <t>VS-08</t>
        </is>
      </c>
      <c r="B462" s="5" t="inlineStr">
        <is>
          <t>prä</t>
        </is>
      </c>
      <c r="C462" s="5" t="inlineStr">
        <is>
          <t>Standweitsprung</t>
        </is>
      </c>
      <c r="D462" s="5" t="inlineStr">
        <is>
          <t>–</t>
        </is>
      </c>
      <c r="E462" s="5" t="n">
        <v>2</v>
      </c>
      <c r="F462" s="5" t="n"/>
      <c r="G462" s="5" t="inlineStr">
        <is>
          <t>x</t>
        </is>
      </c>
      <c r="H462" s="5" t="inlineStr">
        <is>
          <t>Fehlversuch</t>
        </is>
      </c>
      <c r="I462" s="22">
        <f>INDEX(Personendaten!$C$2:$C$32,MATCH(A462,Personendaten!$A$2:$A$32,0))</f>
        <v/>
      </c>
      <c r="J462" s="22">
        <f>IF(AND(F462&lt;&gt;"",G462=""),1,0)</f>
        <v/>
      </c>
      <c r="K462" s="22">
        <f>IF(LEFT(C462,7)&lt;&gt;"Sprint_","",IF(COUNTIFS(Versuchsdaten!$A$2:$A$1117,$A462,Versuchsdaten!$B$2:$B$1117,$B462,Versuchsdaten!$C$2:$C$1117,"Sprint_5m",Versuchsdaten!$E$2:$E$1117,$E462,Versuchsdaten!$J$2:$J$1117,1)=1,SUMIFS(Versuchsdaten!$F$2:$F$1117,Versuchsdaten!$A$2:$A$1117,$A462,Versuchsdaten!$B$2:$B$1117,$B462,Versuchsdaten!$C$2:$C$1117,"Sprint_5m",Versuchsdaten!$E$2:$E$1117,$E462,Versuchsdaten!$J$2:$J$1117,1),""))</f>
        <v/>
      </c>
      <c r="L462" s="22">
        <f>IF(LEFT(C462,7)&lt;&gt;"Sprint_","",IF(COUNTIFS(Versuchsdaten!$A$2:$A$1117,$A462,Versuchsdaten!$B$2:$B$1117,$B462,Versuchsdaten!$C$2:$C$1117,"Sprint_10m",Versuchsdaten!$E$2:$E$1117,$E462,Versuchsdaten!$J$2:$J$1117,1)=1,SUMIFS(Versuchsdaten!$F$2:$F$1117,Versuchsdaten!$A$2:$A$1117,$A462,Versuchsdaten!$B$2:$B$1117,$B462,Versuchsdaten!$C$2:$C$1117,"Sprint_10m",Versuchsdaten!$E$2:$E$1117,$E462,Versuchsdaten!$J$2:$J$1117,1),""))</f>
        <v/>
      </c>
      <c r="M462" s="22">
        <f>IF(LEFT(C462,7)&lt;&gt;"Sprint_","",IF(COUNTIFS(Versuchsdaten!$A$2:$A$1117,$A462,Versuchsdaten!$B$2:$B$1117,$B462,Versuchsdaten!$C$2:$C$1117,"Sprint_30m",Versuchsdaten!$E$2:$E$1117,$E462,Versuchsdaten!$J$2:$J$1117,1)=1,SUMIFS(Versuchsdaten!$F$2:$F$1117,Versuchsdaten!$A$2:$A$1117,$A462,Versuchsdaten!$B$2:$B$1117,$B462,Versuchsdaten!$C$2:$C$1117,"Sprint_30m",Versuchsdaten!$E$2:$E$1117,$E462,Versuchsdaten!$J$2:$J$1117,1),""))</f>
        <v/>
      </c>
      <c r="N462" s="22">
        <f>IF(LEFT(C462,7)&lt;&gt;"Sprint_",0,IF(IF(ISNUMBER(K462),IF(K462&lt;=0,1,IF(5/K462&gt;10,1,0)),0)+IF(ISNUMBER(L462),IF(ISNUMBER(K462),IF(L462-K462&lt;=0,1,IF(5/(L462-K462)&gt;10,1,0)),IF(L462&lt;=0,1,IF(10/L462&gt;10,1,0))),0)+IF(ISNUMBER(M462),IF(ISNUMBER(L462),IF(M462-L462&lt;=0,1,IF(20/(M462-L462)&gt;10,1,0)),IF(ISNUMBER(K462),IF(M462-K462&lt;=0,1,IF(25/(M462-K462)&gt;10,1,0)),IF(M462&lt;=0,1,IF(30/M462&gt;10,1,0)))),0)&gt;0,1,0))</f>
        <v/>
      </c>
      <c r="O462" s="22">
        <f>IF(AND(J462=1,N462=0),1,0)</f>
        <v/>
      </c>
      <c r="P462" s="22">
        <f>INDEX(Personendaten!$J$2:$J$32,MATCH(A462,Personendaten!$A$2:$A$32,0))</f>
        <v/>
      </c>
      <c r="Q462" s="22">
        <f>IF(O462=1,"",IF(AND(B462="post",P462="nicht angetreten"),"NANG",IF(N462=1,"AUSL",IFERROR(VLOOKUP(H462,Vokabular!$A$2:$B$8,2,FALSE),"UNBEKANNT"))))</f>
        <v/>
      </c>
    </row>
    <row r="463">
      <c r="A463" s="5" t="inlineStr">
        <is>
          <t>VS-08</t>
        </is>
      </c>
      <c r="B463" s="5" t="inlineStr">
        <is>
          <t>prä</t>
        </is>
      </c>
      <c r="C463" s="5" t="inlineStr">
        <is>
          <t>Standweitsprung</t>
        </is>
      </c>
      <c r="D463" s="5" t="inlineStr">
        <is>
          <t>–</t>
        </is>
      </c>
      <c r="E463" s="5" t="n">
        <v>3</v>
      </c>
      <c r="F463" s="5" t="n"/>
      <c r="G463" s="5" t="n"/>
      <c r="H463" s="5" t="inlineStr">
        <is>
          <t>Nur 2 Versuche aus Zeitmangel</t>
        </is>
      </c>
      <c r="I463" s="22">
        <f>INDEX(Personendaten!$C$2:$C$32,MATCH(A463,Personendaten!$A$2:$A$32,0))</f>
        <v/>
      </c>
      <c r="J463" s="22">
        <f>IF(AND(F463&lt;&gt;"",G463=""),1,0)</f>
        <v/>
      </c>
      <c r="K463" s="22">
        <f>IF(LEFT(C463,7)&lt;&gt;"Sprint_","",IF(COUNTIFS(Versuchsdaten!$A$2:$A$1117,$A463,Versuchsdaten!$B$2:$B$1117,$B463,Versuchsdaten!$C$2:$C$1117,"Sprint_5m",Versuchsdaten!$E$2:$E$1117,$E463,Versuchsdaten!$J$2:$J$1117,1)=1,SUMIFS(Versuchsdaten!$F$2:$F$1117,Versuchsdaten!$A$2:$A$1117,$A463,Versuchsdaten!$B$2:$B$1117,$B463,Versuchsdaten!$C$2:$C$1117,"Sprint_5m",Versuchsdaten!$E$2:$E$1117,$E463,Versuchsdaten!$J$2:$J$1117,1),""))</f>
        <v/>
      </c>
      <c r="L463" s="22">
        <f>IF(LEFT(C463,7)&lt;&gt;"Sprint_","",IF(COUNTIFS(Versuchsdaten!$A$2:$A$1117,$A463,Versuchsdaten!$B$2:$B$1117,$B463,Versuchsdaten!$C$2:$C$1117,"Sprint_10m",Versuchsdaten!$E$2:$E$1117,$E463,Versuchsdaten!$J$2:$J$1117,1)=1,SUMIFS(Versuchsdaten!$F$2:$F$1117,Versuchsdaten!$A$2:$A$1117,$A463,Versuchsdaten!$B$2:$B$1117,$B463,Versuchsdaten!$C$2:$C$1117,"Sprint_10m",Versuchsdaten!$E$2:$E$1117,$E463,Versuchsdaten!$J$2:$J$1117,1),""))</f>
        <v/>
      </c>
      <c r="M463" s="22">
        <f>IF(LEFT(C463,7)&lt;&gt;"Sprint_","",IF(COUNTIFS(Versuchsdaten!$A$2:$A$1117,$A463,Versuchsdaten!$B$2:$B$1117,$B463,Versuchsdaten!$C$2:$C$1117,"Sprint_30m",Versuchsdaten!$E$2:$E$1117,$E463,Versuchsdaten!$J$2:$J$1117,1)=1,SUMIFS(Versuchsdaten!$F$2:$F$1117,Versuchsdaten!$A$2:$A$1117,$A463,Versuchsdaten!$B$2:$B$1117,$B463,Versuchsdaten!$C$2:$C$1117,"Sprint_30m",Versuchsdaten!$E$2:$E$1117,$E463,Versuchsdaten!$J$2:$J$1117,1),""))</f>
        <v/>
      </c>
      <c r="N463" s="22">
        <f>IF(LEFT(C463,7)&lt;&gt;"Sprint_",0,IF(IF(ISNUMBER(K463),IF(K463&lt;=0,1,IF(5/K463&gt;10,1,0)),0)+IF(ISNUMBER(L463),IF(ISNUMBER(K463),IF(L463-K463&lt;=0,1,IF(5/(L463-K463)&gt;10,1,0)),IF(L463&lt;=0,1,IF(10/L463&gt;10,1,0))),0)+IF(ISNUMBER(M463),IF(ISNUMBER(L463),IF(M463-L463&lt;=0,1,IF(20/(M463-L463)&gt;10,1,0)),IF(ISNUMBER(K463),IF(M463-K463&lt;=0,1,IF(25/(M463-K463)&gt;10,1,0)),IF(M463&lt;=0,1,IF(30/M463&gt;10,1,0)))),0)&gt;0,1,0))</f>
        <v/>
      </c>
      <c r="O463" s="22">
        <f>IF(AND(J463=1,N463=0),1,0)</f>
        <v/>
      </c>
      <c r="P463" s="22">
        <f>INDEX(Personendaten!$J$2:$J$32,MATCH(A463,Personendaten!$A$2:$A$32,0))</f>
        <v/>
      </c>
      <c r="Q463" s="22">
        <f>IF(O463=1,"",IF(AND(B463="post",P463="nicht angetreten"),"NANG",IF(N463=1,"AUSL",IFERROR(VLOOKUP(H463,Vokabular!$A$2:$B$8,2,FALSE),"UNBEKANNT"))))</f>
        <v/>
      </c>
    </row>
    <row r="464">
      <c r="A464" s="5" t="inlineStr">
        <is>
          <t>VS-08</t>
        </is>
      </c>
      <c r="B464" s="5" t="inlineStr">
        <is>
          <t>prä</t>
        </is>
      </c>
      <c r="C464" s="5" t="inlineStr">
        <is>
          <t>COD_505</t>
        </is>
      </c>
      <c r="D464" s="5" t="inlineStr">
        <is>
          <t>L</t>
        </is>
      </c>
      <c r="E464" s="5" t="n">
        <v>1</v>
      </c>
      <c r="F464" s="5" t="n">
        <v>2.68</v>
      </c>
      <c r="G464" s="5" t="n"/>
      <c r="H464" s="5" t="n"/>
      <c r="I464" s="22">
        <f>INDEX(Personendaten!$C$2:$C$32,MATCH(A464,Personendaten!$A$2:$A$32,0))</f>
        <v/>
      </c>
      <c r="J464" s="22">
        <f>IF(AND(F464&lt;&gt;"",G464=""),1,0)</f>
        <v/>
      </c>
      <c r="K464" s="22">
        <f>IF(LEFT(C464,7)&lt;&gt;"Sprint_","",IF(COUNTIFS(Versuchsdaten!$A$2:$A$1117,$A464,Versuchsdaten!$B$2:$B$1117,$B464,Versuchsdaten!$C$2:$C$1117,"Sprint_5m",Versuchsdaten!$E$2:$E$1117,$E464,Versuchsdaten!$J$2:$J$1117,1)=1,SUMIFS(Versuchsdaten!$F$2:$F$1117,Versuchsdaten!$A$2:$A$1117,$A464,Versuchsdaten!$B$2:$B$1117,$B464,Versuchsdaten!$C$2:$C$1117,"Sprint_5m",Versuchsdaten!$E$2:$E$1117,$E464,Versuchsdaten!$J$2:$J$1117,1),""))</f>
        <v/>
      </c>
      <c r="L464" s="22">
        <f>IF(LEFT(C464,7)&lt;&gt;"Sprint_","",IF(COUNTIFS(Versuchsdaten!$A$2:$A$1117,$A464,Versuchsdaten!$B$2:$B$1117,$B464,Versuchsdaten!$C$2:$C$1117,"Sprint_10m",Versuchsdaten!$E$2:$E$1117,$E464,Versuchsdaten!$J$2:$J$1117,1)=1,SUMIFS(Versuchsdaten!$F$2:$F$1117,Versuchsdaten!$A$2:$A$1117,$A464,Versuchsdaten!$B$2:$B$1117,$B464,Versuchsdaten!$C$2:$C$1117,"Sprint_10m",Versuchsdaten!$E$2:$E$1117,$E464,Versuchsdaten!$J$2:$J$1117,1),""))</f>
        <v/>
      </c>
      <c r="M464" s="22">
        <f>IF(LEFT(C464,7)&lt;&gt;"Sprint_","",IF(COUNTIFS(Versuchsdaten!$A$2:$A$1117,$A464,Versuchsdaten!$B$2:$B$1117,$B464,Versuchsdaten!$C$2:$C$1117,"Sprint_30m",Versuchsdaten!$E$2:$E$1117,$E464,Versuchsdaten!$J$2:$J$1117,1)=1,SUMIFS(Versuchsdaten!$F$2:$F$1117,Versuchsdaten!$A$2:$A$1117,$A464,Versuchsdaten!$B$2:$B$1117,$B464,Versuchsdaten!$C$2:$C$1117,"Sprint_30m",Versuchsdaten!$E$2:$E$1117,$E464,Versuchsdaten!$J$2:$J$1117,1),""))</f>
        <v/>
      </c>
      <c r="N464" s="22">
        <f>IF(LEFT(C464,7)&lt;&gt;"Sprint_",0,IF(IF(ISNUMBER(K464),IF(K464&lt;=0,1,IF(5/K464&gt;10,1,0)),0)+IF(ISNUMBER(L464),IF(ISNUMBER(K464),IF(L464-K464&lt;=0,1,IF(5/(L464-K464)&gt;10,1,0)),IF(L464&lt;=0,1,IF(10/L464&gt;10,1,0))),0)+IF(ISNUMBER(M464),IF(ISNUMBER(L464),IF(M464-L464&lt;=0,1,IF(20/(M464-L464)&gt;10,1,0)),IF(ISNUMBER(K464),IF(M464-K464&lt;=0,1,IF(25/(M464-K464)&gt;10,1,0)),IF(M464&lt;=0,1,IF(30/M464&gt;10,1,0)))),0)&gt;0,1,0))</f>
        <v/>
      </c>
      <c r="O464" s="22">
        <f>IF(AND(J464=1,N464=0),1,0)</f>
        <v/>
      </c>
      <c r="P464" s="22">
        <f>INDEX(Personendaten!$J$2:$J$32,MATCH(A464,Personendaten!$A$2:$A$32,0))</f>
        <v/>
      </c>
      <c r="Q464" s="22">
        <f>IF(O464=1,"",IF(AND(B464="post",P464="nicht angetreten"),"NANG",IF(N464=1,"AUSL",IFERROR(VLOOKUP(H464,Vokabular!$A$2:$B$8,2,FALSE),"UNBEKANNT"))))</f>
        <v/>
      </c>
    </row>
    <row r="465">
      <c r="A465" s="5" t="inlineStr">
        <is>
          <t>VS-08</t>
        </is>
      </c>
      <c r="B465" s="5" t="inlineStr">
        <is>
          <t>prä</t>
        </is>
      </c>
      <c r="C465" s="5" t="inlineStr">
        <is>
          <t>COD_505</t>
        </is>
      </c>
      <c r="D465" s="5" t="inlineStr">
        <is>
          <t>L</t>
        </is>
      </c>
      <c r="E465" s="5" t="n">
        <v>2</v>
      </c>
      <c r="F465" s="5" t="n">
        <v>2.65</v>
      </c>
      <c r="G465" s="5" t="n"/>
      <c r="H465" s="5" t="n"/>
      <c r="I465" s="22">
        <f>INDEX(Personendaten!$C$2:$C$32,MATCH(A465,Personendaten!$A$2:$A$32,0))</f>
        <v/>
      </c>
      <c r="J465" s="22">
        <f>IF(AND(F465&lt;&gt;"",G465=""),1,0)</f>
        <v/>
      </c>
      <c r="K465" s="22">
        <f>IF(LEFT(C465,7)&lt;&gt;"Sprint_","",IF(COUNTIFS(Versuchsdaten!$A$2:$A$1117,$A465,Versuchsdaten!$B$2:$B$1117,$B465,Versuchsdaten!$C$2:$C$1117,"Sprint_5m",Versuchsdaten!$E$2:$E$1117,$E465,Versuchsdaten!$J$2:$J$1117,1)=1,SUMIFS(Versuchsdaten!$F$2:$F$1117,Versuchsdaten!$A$2:$A$1117,$A465,Versuchsdaten!$B$2:$B$1117,$B465,Versuchsdaten!$C$2:$C$1117,"Sprint_5m",Versuchsdaten!$E$2:$E$1117,$E465,Versuchsdaten!$J$2:$J$1117,1),""))</f>
        <v/>
      </c>
      <c r="L465" s="22">
        <f>IF(LEFT(C465,7)&lt;&gt;"Sprint_","",IF(COUNTIFS(Versuchsdaten!$A$2:$A$1117,$A465,Versuchsdaten!$B$2:$B$1117,$B465,Versuchsdaten!$C$2:$C$1117,"Sprint_10m",Versuchsdaten!$E$2:$E$1117,$E465,Versuchsdaten!$J$2:$J$1117,1)=1,SUMIFS(Versuchsdaten!$F$2:$F$1117,Versuchsdaten!$A$2:$A$1117,$A465,Versuchsdaten!$B$2:$B$1117,$B465,Versuchsdaten!$C$2:$C$1117,"Sprint_10m",Versuchsdaten!$E$2:$E$1117,$E465,Versuchsdaten!$J$2:$J$1117,1),""))</f>
        <v/>
      </c>
      <c r="M465" s="22">
        <f>IF(LEFT(C465,7)&lt;&gt;"Sprint_","",IF(COUNTIFS(Versuchsdaten!$A$2:$A$1117,$A465,Versuchsdaten!$B$2:$B$1117,$B465,Versuchsdaten!$C$2:$C$1117,"Sprint_30m",Versuchsdaten!$E$2:$E$1117,$E465,Versuchsdaten!$J$2:$J$1117,1)=1,SUMIFS(Versuchsdaten!$F$2:$F$1117,Versuchsdaten!$A$2:$A$1117,$A465,Versuchsdaten!$B$2:$B$1117,$B465,Versuchsdaten!$C$2:$C$1117,"Sprint_30m",Versuchsdaten!$E$2:$E$1117,$E465,Versuchsdaten!$J$2:$J$1117,1),""))</f>
        <v/>
      </c>
      <c r="N465" s="22">
        <f>IF(LEFT(C465,7)&lt;&gt;"Sprint_",0,IF(IF(ISNUMBER(K465),IF(K465&lt;=0,1,IF(5/K465&gt;10,1,0)),0)+IF(ISNUMBER(L465),IF(ISNUMBER(K465),IF(L465-K465&lt;=0,1,IF(5/(L465-K465)&gt;10,1,0)),IF(L465&lt;=0,1,IF(10/L465&gt;10,1,0))),0)+IF(ISNUMBER(M465),IF(ISNUMBER(L465),IF(M465-L465&lt;=0,1,IF(20/(M465-L465)&gt;10,1,0)),IF(ISNUMBER(K465),IF(M465-K465&lt;=0,1,IF(25/(M465-K465)&gt;10,1,0)),IF(M465&lt;=0,1,IF(30/M465&gt;10,1,0)))),0)&gt;0,1,0))</f>
        <v/>
      </c>
      <c r="O465" s="22">
        <f>IF(AND(J465=1,N465=0),1,0)</f>
        <v/>
      </c>
      <c r="P465" s="22">
        <f>INDEX(Personendaten!$J$2:$J$32,MATCH(A465,Personendaten!$A$2:$A$32,0))</f>
        <v/>
      </c>
      <c r="Q465" s="22">
        <f>IF(O465=1,"",IF(AND(B465="post",P465="nicht angetreten"),"NANG",IF(N465=1,"AUSL",IFERROR(VLOOKUP(H465,Vokabular!$A$2:$B$8,2,FALSE),"UNBEKANNT"))))</f>
        <v/>
      </c>
    </row>
    <row r="466">
      <c r="A466" s="5" t="inlineStr">
        <is>
          <t>VS-08</t>
        </is>
      </c>
      <c r="B466" s="5" t="inlineStr">
        <is>
          <t>prä</t>
        </is>
      </c>
      <c r="C466" s="5" t="inlineStr">
        <is>
          <t>COD_505</t>
        </is>
      </c>
      <c r="D466" s="5" t="inlineStr">
        <is>
          <t>L</t>
        </is>
      </c>
      <c r="E466" s="5" t="n">
        <v>3</v>
      </c>
      <c r="F466" s="5" t="n"/>
      <c r="G466" s="5" t="n"/>
      <c r="H466" s="5" t="inlineStr">
        <is>
          <t>Nur 2 Versuche aus Zeitmangel</t>
        </is>
      </c>
      <c r="I466" s="22">
        <f>INDEX(Personendaten!$C$2:$C$32,MATCH(A466,Personendaten!$A$2:$A$32,0))</f>
        <v/>
      </c>
      <c r="J466" s="22">
        <f>IF(AND(F466&lt;&gt;"",G466=""),1,0)</f>
        <v/>
      </c>
      <c r="K466" s="22">
        <f>IF(LEFT(C466,7)&lt;&gt;"Sprint_","",IF(COUNTIFS(Versuchsdaten!$A$2:$A$1117,$A466,Versuchsdaten!$B$2:$B$1117,$B466,Versuchsdaten!$C$2:$C$1117,"Sprint_5m",Versuchsdaten!$E$2:$E$1117,$E466,Versuchsdaten!$J$2:$J$1117,1)=1,SUMIFS(Versuchsdaten!$F$2:$F$1117,Versuchsdaten!$A$2:$A$1117,$A466,Versuchsdaten!$B$2:$B$1117,$B466,Versuchsdaten!$C$2:$C$1117,"Sprint_5m",Versuchsdaten!$E$2:$E$1117,$E466,Versuchsdaten!$J$2:$J$1117,1),""))</f>
        <v/>
      </c>
      <c r="L466" s="22">
        <f>IF(LEFT(C466,7)&lt;&gt;"Sprint_","",IF(COUNTIFS(Versuchsdaten!$A$2:$A$1117,$A466,Versuchsdaten!$B$2:$B$1117,$B466,Versuchsdaten!$C$2:$C$1117,"Sprint_10m",Versuchsdaten!$E$2:$E$1117,$E466,Versuchsdaten!$J$2:$J$1117,1)=1,SUMIFS(Versuchsdaten!$F$2:$F$1117,Versuchsdaten!$A$2:$A$1117,$A466,Versuchsdaten!$B$2:$B$1117,$B466,Versuchsdaten!$C$2:$C$1117,"Sprint_10m",Versuchsdaten!$E$2:$E$1117,$E466,Versuchsdaten!$J$2:$J$1117,1),""))</f>
        <v/>
      </c>
      <c r="M466" s="22">
        <f>IF(LEFT(C466,7)&lt;&gt;"Sprint_","",IF(COUNTIFS(Versuchsdaten!$A$2:$A$1117,$A466,Versuchsdaten!$B$2:$B$1117,$B466,Versuchsdaten!$C$2:$C$1117,"Sprint_30m",Versuchsdaten!$E$2:$E$1117,$E466,Versuchsdaten!$J$2:$J$1117,1)=1,SUMIFS(Versuchsdaten!$F$2:$F$1117,Versuchsdaten!$A$2:$A$1117,$A466,Versuchsdaten!$B$2:$B$1117,$B466,Versuchsdaten!$C$2:$C$1117,"Sprint_30m",Versuchsdaten!$E$2:$E$1117,$E466,Versuchsdaten!$J$2:$J$1117,1),""))</f>
        <v/>
      </c>
      <c r="N466" s="22">
        <f>IF(LEFT(C466,7)&lt;&gt;"Sprint_",0,IF(IF(ISNUMBER(K466),IF(K466&lt;=0,1,IF(5/K466&gt;10,1,0)),0)+IF(ISNUMBER(L466),IF(ISNUMBER(K466),IF(L466-K466&lt;=0,1,IF(5/(L466-K466)&gt;10,1,0)),IF(L466&lt;=0,1,IF(10/L466&gt;10,1,0))),0)+IF(ISNUMBER(M466),IF(ISNUMBER(L466),IF(M466-L466&lt;=0,1,IF(20/(M466-L466)&gt;10,1,0)),IF(ISNUMBER(K466),IF(M466-K466&lt;=0,1,IF(25/(M466-K466)&gt;10,1,0)),IF(M466&lt;=0,1,IF(30/M466&gt;10,1,0)))),0)&gt;0,1,0))</f>
        <v/>
      </c>
      <c r="O466" s="22">
        <f>IF(AND(J466=1,N466=0),1,0)</f>
        <v/>
      </c>
      <c r="P466" s="22">
        <f>INDEX(Personendaten!$J$2:$J$32,MATCH(A466,Personendaten!$A$2:$A$32,0))</f>
        <v/>
      </c>
      <c r="Q466" s="22">
        <f>IF(O466=1,"",IF(AND(B466="post",P466="nicht angetreten"),"NANG",IF(N466=1,"AUSL",IFERROR(VLOOKUP(H466,Vokabular!$A$2:$B$8,2,FALSE),"UNBEKANNT"))))</f>
        <v/>
      </c>
    </row>
    <row r="467">
      <c r="A467" s="5" t="inlineStr">
        <is>
          <t>VS-08</t>
        </is>
      </c>
      <c r="B467" s="5" t="inlineStr">
        <is>
          <t>prä</t>
        </is>
      </c>
      <c r="C467" s="5" t="inlineStr">
        <is>
          <t>COD_505</t>
        </is>
      </c>
      <c r="D467" s="5" t="inlineStr">
        <is>
          <t>R</t>
        </is>
      </c>
      <c r="E467" s="5" t="n">
        <v>1</v>
      </c>
      <c r="F467" s="5" t="n">
        <v>2.55</v>
      </c>
      <c r="G467" s="5" t="n"/>
      <c r="H467" s="5" t="n"/>
      <c r="I467" s="22">
        <f>INDEX(Personendaten!$C$2:$C$32,MATCH(A467,Personendaten!$A$2:$A$32,0))</f>
        <v/>
      </c>
      <c r="J467" s="22">
        <f>IF(AND(F467&lt;&gt;"",G467=""),1,0)</f>
        <v/>
      </c>
      <c r="K467" s="22">
        <f>IF(LEFT(C467,7)&lt;&gt;"Sprint_","",IF(COUNTIFS(Versuchsdaten!$A$2:$A$1117,$A467,Versuchsdaten!$B$2:$B$1117,$B467,Versuchsdaten!$C$2:$C$1117,"Sprint_5m",Versuchsdaten!$E$2:$E$1117,$E467,Versuchsdaten!$J$2:$J$1117,1)=1,SUMIFS(Versuchsdaten!$F$2:$F$1117,Versuchsdaten!$A$2:$A$1117,$A467,Versuchsdaten!$B$2:$B$1117,$B467,Versuchsdaten!$C$2:$C$1117,"Sprint_5m",Versuchsdaten!$E$2:$E$1117,$E467,Versuchsdaten!$J$2:$J$1117,1),""))</f>
        <v/>
      </c>
      <c r="L467" s="22">
        <f>IF(LEFT(C467,7)&lt;&gt;"Sprint_","",IF(COUNTIFS(Versuchsdaten!$A$2:$A$1117,$A467,Versuchsdaten!$B$2:$B$1117,$B467,Versuchsdaten!$C$2:$C$1117,"Sprint_10m",Versuchsdaten!$E$2:$E$1117,$E467,Versuchsdaten!$J$2:$J$1117,1)=1,SUMIFS(Versuchsdaten!$F$2:$F$1117,Versuchsdaten!$A$2:$A$1117,$A467,Versuchsdaten!$B$2:$B$1117,$B467,Versuchsdaten!$C$2:$C$1117,"Sprint_10m",Versuchsdaten!$E$2:$E$1117,$E467,Versuchsdaten!$J$2:$J$1117,1),""))</f>
        <v/>
      </c>
      <c r="M467" s="22">
        <f>IF(LEFT(C467,7)&lt;&gt;"Sprint_","",IF(COUNTIFS(Versuchsdaten!$A$2:$A$1117,$A467,Versuchsdaten!$B$2:$B$1117,$B467,Versuchsdaten!$C$2:$C$1117,"Sprint_30m",Versuchsdaten!$E$2:$E$1117,$E467,Versuchsdaten!$J$2:$J$1117,1)=1,SUMIFS(Versuchsdaten!$F$2:$F$1117,Versuchsdaten!$A$2:$A$1117,$A467,Versuchsdaten!$B$2:$B$1117,$B467,Versuchsdaten!$C$2:$C$1117,"Sprint_30m",Versuchsdaten!$E$2:$E$1117,$E467,Versuchsdaten!$J$2:$J$1117,1),""))</f>
        <v/>
      </c>
      <c r="N467" s="22">
        <f>IF(LEFT(C467,7)&lt;&gt;"Sprint_",0,IF(IF(ISNUMBER(K467),IF(K467&lt;=0,1,IF(5/K467&gt;10,1,0)),0)+IF(ISNUMBER(L467),IF(ISNUMBER(K467),IF(L467-K467&lt;=0,1,IF(5/(L467-K467)&gt;10,1,0)),IF(L467&lt;=0,1,IF(10/L467&gt;10,1,0))),0)+IF(ISNUMBER(M467),IF(ISNUMBER(L467),IF(M467-L467&lt;=0,1,IF(20/(M467-L467)&gt;10,1,0)),IF(ISNUMBER(K467),IF(M467-K467&lt;=0,1,IF(25/(M467-K467)&gt;10,1,0)),IF(M467&lt;=0,1,IF(30/M467&gt;10,1,0)))),0)&gt;0,1,0))</f>
        <v/>
      </c>
      <c r="O467" s="22">
        <f>IF(AND(J467=1,N467=0),1,0)</f>
        <v/>
      </c>
      <c r="P467" s="22">
        <f>INDEX(Personendaten!$J$2:$J$32,MATCH(A467,Personendaten!$A$2:$A$32,0))</f>
        <v/>
      </c>
      <c r="Q467" s="22">
        <f>IF(O467=1,"",IF(AND(B467="post",P467="nicht angetreten"),"NANG",IF(N467=1,"AUSL",IFERROR(VLOOKUP(H467,Vokabular!$A$2:$B$8,2,FALSE),"UNBEKANNT"))))</f>
        <v/>
      </c>
    </row>
    <row r="468">
      <c r="A468" s="5" t="inlineStr">
        <is>
          <t>VS-08</t>
        </is>
      </c>
      <c r="B468" s="5" t="inlineStr">
        <is>
          <t>prä</t>
        </is>
      </c>
      <c r="C468" s="5" t="inlineStr">
        <is>
          <t>COD_505</t>
        </is>
      </c>
      <c r="D468" s="5" t="inlineStr">
        <is>
          <t>R</t>
        </is>
      </c>
      <c r="E468" s="5" t="n">
        <v>2</v>
      </c>
      <c r="F468" s="5" t="n">
        <v>2.76</v>
      </c>
      <c r="G468" s="5" t="n"/>
      <c r="H468" s="5" t="n"/>
      <c r="I468" s="22">
        <f>INDEX(Personendaten!$C$2:$C$32,MATCH(A468,Personendaten!$A$2:$A$32,0))</f>
        <v/>
      </c>
      <c r="J468" s="22">
        <f>IF(AND(F468&lt;&gt;"",G468=""),1,0)</f>
        <v/>
      </c>
      <c r="K468" s="22">
        <f>IF(LEFT(C468,7)&lt;&gt;"Sprint_","",IF(COUNTIFS(Versuchsdaten!$A$2:$A$1117,$A468,Versuchsdaten!$B$2:$B$1117,$B468,Versuchsdaten!$C$2:$C$1117,"Sprint_5m",Versuchsdaten!$E$2:$E$1117,$E468,Versuchsdaten!$J$2:$J$1117,1)=1,SUMIFS(Versuchsdaten!$F$2:$F$1117,Versuchsdaten!$A$2:$A$1117,$A468,Versuchsdaten!$B$2:$B$1117,$B468,Versuchsdaten!$C$2:$C$1117,"Sprint_5m",Versuchsdaten!$E$2:$E$1117,$E468,Versuchsdaten!$J$2:$J$1117,1),""))</f>
        <v/>
      </c>
      <c r="L468" s="22">
        <f>IF(LEFT(C468,7)&lt;&gt;"Sprint_","",IF(COUNTIFS(Versuchsdaten!$A$2:$A$1117,$A468,Versuchsdaten!$B$2:$B$1117,$B468,Versuchsdaten!$C$2:$C$1117,"Sprint_10m",Versuchsdaten!$E$2:$E$1117,$E468,Versuchsdaten!$J$2:$J$1117,1)=1,SUMIFS(Versuchsdaten!$F$2:$F$1117,Versuchsdaten!$A$2:$A$1117,$A468,Versuchsdaten!$B$2:$B$1117,$B468,Versuchsdaten!$C$2:$C$1117,"Sprint_10m",Versuchsdaten!$E$2:$E$1117,$E468,Versuchsdaten!$J$2:$J$1117,1),""))</f>
        <v/>
      </c>
      <c r="M468" s="22">
        <f>IF(LEFT(C468,7)&lt;&gt;"Sprint_","",IF(COUNTIFS(Versuchsdaten!$A$2:$A$1117,$A468,Versuchsdaten!$B$2:$B$1117,$B468,Versuchsdaten!$C$2:$C$1117,"Sprint_30m",Versuchsdaten!$E$2:$E$1117,$E468,Versuchsdaten!$J$2:$J$1117,1)=1,SUMIFS(Versuchsdaten!$F$2:$F$1117,Versuchsdaten!$A$2:$A$1117,$A468,Versuchsdaten!$B$2:$B$1117,$B468,Versuchsdaten!$C$2:$C$1117,"Sprint_30m",Versuchsdaten!$E$2:$E$1117,$E468,Versuchsdaten!$J$2:$J$1117,1),""))</f>
        <v/>
      </c>
      <c r="N468" s="22">
        <f>IF(LEFT(C468,7)&lt;&gt;"Sprint_",0,IF(IF(ISNUMBER(K468),IF(K468&lt;=0,1,IF(5/K468&gt;10,1,0)),0)+IF(ISNUMBER(L468),IF(ISNUMBER(K468),IF(L468-K468&lt;=0,1,IF(5/(L468-K468)&gt;10,1,0)),IF(L468&lt;=0,1,IF(10/L468&gt;10,1,0))),0)+IF(ISNUMBER(M468),IF(ISNUMBER(L468),IF(M468-L468&lt;=0,1,IF(20/(M468-L468)&gt;10,1,0)),IF(ISNUMBER(K468),IF(M468-K468&lt;=0,1,IF(25/(M468-K468)&gt;10,1,0)),IF(M468&lt;=0,1,IF(30/M468&gt;10,1,0)))),0)&gt;0,1,0))</f>
        <v/>
      </c>
      <c r="O468" s="22">
        <f>IF(AND(J468=1,N468=0),1,0)</f>
        <v/>
      </c>
      <c r="P468" s="22">
        <f>INDEX(Personendaten!$J$2:$J$32,MATCH(A468,Personendaten!$A$2:$A$32,0))</f>
        <v/>
      </c>
      <c r="Q468" s="22">
        <f>IF(O468=1,"",IF(AND(B468="post",P468="nicht angetreten"),"NANG",IF(N468=1,"AUSL",IFERROR(VLOOKUP(H468,Vokabular!$A$2:$B$8,2,FALSE),"UNBEKANNT"))))</f>
        <v/>
      </c>
    </row>
    <row r="469">
      <c r="A469" s="5" t="inlineStr">
        <is>
          <t>VS-08</t>
        </is>
      </c>
      <c r="B469" s="5" t="inlineStr">
        <is>
          <t>prä</t>
        </is>
      </c>
      <c r="C469" s="5" t="inlineStr">
        <is>
          <t>COD_505</t>
        </is>
      </c>
      <c r="D469" s="5" t="inlineStr">
        <is>
          <t>R</t>
        </is>
      </c>
      <c r="E469" s="5" t="n">
        <v>3</v>
      </c>
      <c r="F469" s="5" t="n"/>
      <c r="G469" s="5" t="n"/>
      <c r="H469" s="5" t="inlineStr">
        <is>
          <t>Nur 2 Versuche aus Zeitmangel</t>
        </is>
      </c>
      <c r="I469" s="22">
        <f>INDEX(Personendaten!$C$2:$C$32,MATCH(A469,Personendaten!$A$2:$A$32,0))</f>
        <v/>
      </c>
      <c r="J469" s="22">
        <f>IF(AND(F469&lt;&gt;"",G469=""),1,0)</f>
        <v/>
      </c>
      <c r="K469" s="22">
        <f>IF(LEFT(C469,7)&lt;&gt;"Sprint_","",IF(COUNTIFS(Versuchsdaten!$A$2:$A$1117,$A469,Versuchsdaten!$B$2:$B$1117,$B469,Versuchsdaten!$C$2:$C$1117,"Sprint_5m",Versuchsdaten!$E$2:$E$1117,$E469,Versuchsdaten!$J$2:$J$1117,1)=1,SUMIFS(Versuchsdaten!$F$2:$F$1117,Versuchsdaten!$A$2:$A$1117,$A469,Versuchsdaten!$B$2:$B$1117,$B469,Versuchsdaten!$C$2:$C$1117,"Sprint_5m",Versuchsdaten!$E$2:$E$1117,$E469,Versuchsdaten!$J$2:$J$1117,1),""))</f>
        <v/>
      </c>
      <c r="L469" s="22">
        <f>IF(LEFT(C469,7)&lt;&gt;"Sprint_","",IF(COUNTIFS(Versuchsdaten!$A$2:$A$1117,$A469,Versuchsdaten!$B$2:$B$1117,$B469,Versuchsdaten!$C$2:$C$1117,"Sprint_10m",Versuchsdaten!$E$2:$E$1117,$E469,Versuchsdaten!$J$2:$J$1117,1)=1,SUMIFS(Versuchsdaten!$F$2:$F$1117,Versuchsdaten!$A$2:$A$1117,$A469,Versuchsdaten!$B$2:$B$1117,$B469,Versuchsdaten!$C$2:$C$1117,"Sprint_10m",Versuchsdaten!$E$2:$E$1117,$E469,Versuchsdaten!$J$2:$J$1117,1),""))</f>
        <v/>
      </c>
      <c r="M469" s="22">
        <f>IF(LEFT(C469,7)&lt;&gt;"Sprint_","",IF(COUNTIFS(Versuchsdaten!$A$2:$A$1117,$A469,Versuchsdaten!$B$2:$B$1117,$B469,Versuchsdaten!$C$2:$C$1117,"Sprint_30m",Versuchsdaten!$E$2:$E$1117,$E469,Versuchsdaten!$J$2:$J$1117,1)=1,SUMIFS(Versuchsdaten!$F$2:$F$1117,Versuchsdaten!$A$2:$A$1117,$A469,Versuchsdaten!$B$2:$B$1117,$B469,Versuchsdaten!$C$2:$C$1117,"Sprint_30m",Versuchsdaten!$E$2:$E$1117,$E469,Versuchsdaten!$J$2:$J$1117,1),""))</f>
        <v/>
      </c>
      <c r="N469" s="22">
        <f>IF(LEFT(C469,7)&lt;&gt;"Sprint_",0,IF(IF(ISNUMBER(K469),IF(K469&lt;=0,1,IF(5/K469&gt;10,1,0)),0)+IF(ISNUMBER(L469),IF(ISNUMBER(K469),IF(L469-K469&lt;=0,1,IF(5/(L469-K469)&gt;10,1,0)),IF(L469&lt;=0,1,IF(10/L469&gt;10,1,0))),0)+IF(ISNUMBER(M469),IF(ISNUMBER(L469),IF(M469-L469&lt;=0,1,IF(20/(M469-L469)&gt;10,1,0)),IF(ISNUMBER(K469),IF(M469-K469&lt;=0,1,IF(25/(M469-K469)&gt;10,1,0)),IF(M469&lt;=0,1,IF(30/M469&gt;10,1,0)))),0)&gt;0,1,0))</f>
        <v/>
      </c>
      <c r="O469" s="22">
        <f>IF(AND(J469=1,N469=0),1,0)</f>
        <v/>
      </c>
      <c r="P469" s="22">
        <f>INDEX(Personendaten!$J$2:$J$32,MATCH(A469,Personendaten!$A$2:$A$32,0))</f>
        <v/>
      </c>
      <c r="Q469" s="22">
        <f>IF(O469=1,"",IF(AND(B469="post",P469="nicht angetreten"),"NANG",IF(N469=1,"AUSL",IFERROR(VLOOKUP(H469,Vokabular!$A$2:$B$8,2,FALSE),"UNBEKANNT"))))</f>
        <v/>
      </c>
    </row>
    <row r="470">
      <c r="A470" s="5" t="inlineStr">
        <is>
          <t>VS-10</t>
        </is>
      </c>
      <c r="B470" s="5" t="inlineStr">
        <is>
          <t>prä</t>
        </is>
      </c>
      <c r="C470" s="5" t="inlineStr">
        <is>
          <t>Sprint_5m</t>
        </is>
      </c>
      <c r="D470" s="5" t="inlineStr">
        <is>
          <t>–</t>
        </is>
      </c>
      <c r="E470" s="5" t="n">
        <v>1</v>
      </c>
      <c r="F470" s="5" t="n">
        <v>1.1</v>
      </c>
      <c r="G470" s="5" t="n"/>
      <c r="H470" s="5" t="n"/>
      <c r="I470" s="22">
        <f>INDEX(Personendaten!$C$2:$C$32,MATCH(A470,Personendaten!$A$2:$A$32,0))</f>
        <v/>
      </c>
      <c r="J470" s="22">
        <f>IF(AND(F470&lt;&gt;"",G470=""),1,0)</f>
        <v/>
      </c>
      <c r="K470" s="22">
        <f>IF(LEFT(C470,7)&lt;&gt;"Sprint_","",IF(COUNTIFS(Versuchsdaten!$A$2:$A$1117,$A470,Versuchsdaten!$B$2:$B$1117,$B470,Versuchsdaten!$C$2:$C$1117,"Sprint_5m",Versuchsdaten!$E$2:$E$1117,$E470,Versuchsdaten!$J$2:$J$1117,1)=1,SUMIFS(Versuchsdaten!$F$2:$F$1117,Versuchsdaten!$A$2:$A$1117,$A470,Versuchsdaten!$B$2:$B$1117,$B470,Versuchsdaten!$C$2:$C$1117,"Sprint_5m",Versuchsdaten!$E$2:$E$1117,$E470,Versuchsdaten!$J$2:$J$1117,1),""))</f>
        <v/>
      </c>
      <c r="L470" s="22">
        <f>IF(LEFT(C470,7)&lt;&gt;"Sprint_","",IF(COUNTIFS(Versuchsdaten!$A$2:$A$1117,$A470,Versuchsdaten!$B$2:$B$1117,$B470,Versuchsdaten!$C$2:$C$1117,"Sprint_10m",Versuchsdaten!$E$2:$E$1117,$E470,Versuchsdaten!$J$2:$J$1117,1)=1,SUMIFS(Versuchsdaten!$F$2:$F$1117,Versuchsdaten!$A$2:$A$1117,$A470,Versuchsdaten!$B$2:$B$1117,$B470,Versuchsdaten!$C$2:$C$1117,"Sprint_10m",Versuchsdaten!$E$2:$E$1117,$E470,Versuchsdaten!$J$2:$J$1117,1),""))</f>
        <v/>
      </c>
      <c r="M470" s="22">
        <f>IF(LEFT(C470,7)&lt;&gt;"Sprint_","",IF(COUNTIFS(Versuchsdaten!$A$2:$A$1117,$A470,Versuchsdaten!$B$2:$B$1117,$B470,Versuchsdaten!$C$2:$C$1117,"Sprint_30m",Versuchsdaten!$E$2:$E$1117,$E470,Versuchsdaten!$J$2:$J$1117,1)=1,SUMIFS(Versuchsdaten!$F$2:$F$1117,Versuchsdaten!$A$2:$A$1117,$A470,Versuchsdaten!$B$2:$B$1117,$B470,Versuchsdaten!$C$2:$C$1117,"Sprint_30m",Versuchsdaten!$E$2:$E$1117,$E470,Versuchsdaten!$J$2:$J$1117,1),""))</f>
        <v/>
      </c>
      <c r="N470" s="22">
        <f>IF(LEFT(C470,7)&lt;&gt;"Sprint_",0,IF(IF(ISNUMBER(K470),IF(K470&lt;=0,1,IF(5/K470&gt;10,1,0)),0)+IF(ISNUMBER(L470),IF(ISNUMBER(K470),IF(L470-K470&lt;=0,1,IF(5/(L470-K470)&gt;10,1,0)),IF(L470&lt;=0,1,IF(10/L470&gt;10,1,0))),0)+IF(ISNUMBER(M470),IF(ISNUMBER(L470),IF(M470-L470&lt;=0,1,IF(20/(M470-L470)&gt;10,1,0)),IF(ISNUMBER(K470),IF(M470-K470&lt;=0,1,IF(25/(M470-K470)&gt;10,1,0)),IF(M470&lt;=0,1,IF(30/M470&gt;10,1,0)))),0)&gt;0,1,0))</f>
        <v/>
      </c>
      <c r="O470" s="22">
        <f>IF(AND(J470=1,N470=0),1,0)</f>
        <v/>
      </c>
      <c r="P470" s="22">
        <f>INDEX(Personendaten!$J$2:$J$32,MATCH(A470,Personendaten!$A$2:$A$32,0))</f>
        <v/>
      </c>
      <c r="Q470" s="22">
        <f>IF(O470=1,"",IF(AND(B470="post",P470="nicht angetreten"),"NANG",IF(N470=1,"AUSL",IFERROR(VLOOKUP(H470,Vokabular!$A$2:$B$8,2,FALSE),"UNBEKANNT"))))</f>
        <v/>
      </c>
    </row>
    <row r="471">
      <c r="A471" s="5" t="inlineStr">
        <is>
          <t>VS-10</t>
        </is>
      </c>
      <c r="B471" s="5" t="inlineStr">
        <is>
          <t>prä</t>
        </is>
      </c>
      <c r="C471" s="5" t="inlineStr">
        <is>
          <t>Sprint_5m</t>
        </is>
      </c>
      <c r="D471" s="5" t="inlineStr">
        <is>
          <t>–</t>
        </is>
      </c>
      <c r="E471" s="5" t="n">
        <v>2</v>
      </c>
      <c r="F471" s="5" t="n"/>
      <c r="G471" s="5" t="n"/>
      <c r="H471" s="5" t="inlineStr">
        <is>
          <t>System nicht aufgenommen</t>
        </is>
      </c>
      <c r="I471" s="22">
        <f>INDEX(Personendaten!$C$2:$C$32,MATCH(A471,Personendaten!$A$2:$A$32,0))</f>
        <v/>
      </c>
      <c r="J471" s="22">
        <f>IF(AND(F471&lt;&gt;"",G471=""),1,0)</f>
        <v/>
      </c>
      <c r="K471" s="22">
        <f>IF(LEFT(C471,7)&lt;&gt;"Sprint_","",IF(COUNTIFS(Versuchsdaten!$A$2:$A$1117,$A471,Versuchsdaten!$B$2:$B$1117,$B471,Versuchsdaten!$C$2:$C$1117,"Sprint_5m",Versuchsdaten!$E$2:$E$1117,$E471,Versuchsdaten!$J$2:$J$1117,1)=1,SUMIFS(Versuchsdaten!$F$2:$F$1117,Versuchsdaten!$A$2:$A$1117,$A471,Versuchsdaten!$B$2:$B$1117,$B471,Versuchsdaten!$C$2:$C$1117,"Sprint_5m",Versuchsdaten!$E$2:$E$1117,$E471,Versuchsdaten!$J$2:$J$1117,1),""))</f>
        <v/>
      </c>
      <c r="L471" s="22">
        <f>IF(LEFT(C471,7)&lt;&gt;"Sprint_","",IF(COUNTIFS(Versuchsdaten!$A$2:$A$1117,$A471,Versuchsdaten!$B$2:$B$1117,$B471,Versuchsdaten!$C$2:$C$1117,"Sprint_10m",Versuchsdaten!$E$2:$E$1117,$E471,Versuchsdaten!$J$2:$J$1117,1)=1,SUMIFS(Versuchsdaten!$F$2:$F$1117,Versuchsdaten!$A$2:$A$1117,$A471,Versuchsdaten!$B$2:$B$1117,$B471,Versuchsdaten!$C$2:$C$1117,"Sprint_10m",Versuchsdaten!$E$2:$E$1117,$E471,Versuchsdaten!$J$2:$J$1117,1),""))</f>
        <v/>
      </c>
      <c r="M471" s="22">
        <f>IF(LEFT(C471,7)&lt;&gt;"Sprint_","",IF(COUNTIFS(Versuchsdaten!$A$2:$A$1117,$A471,Versuchsdaten!$B$2:$B$1117,$B471,Versuchsdaten!$C$2:$C$1117,"Sprint_30m",Versuchsdaten!$E$2:$E$1117,$E471,Versuchsdaten!$J$2:$J$1117,1)=1,SUMIFS(Versuchsdaten!$F$2:$F$1117,Versuchsdaten!$A$2:$A$1117,$A471,Versuchsdaten!$B$2:$B$1117,$B471,Versuchsdaten!$C$2:$C$1117,"Sprint_30m",Versuchsdaten!$E$2:$E$1117,$E471,Versuchsdaten!$J$2:$J$1117,1),""))</f>
        <v/>
      </c>
      <c r="N471" s="22">
        <f>IF(LEFT(C471,7)&lt;&gt;"Sprint_",0,IF(IF(ISNUMBER(K471),IF(K471&lt;=0,1,IF(5/K471&gt;10,1,0)),0)+IF(ISNUMBER(L471),IF(ISNUMBER(K471),IF(L471-K471&lt;=0,1,IF(5/(L471-K471)&gt;10,1,0)),IF(L471&lt;=0,1,IF(10/L471&gt;10,1,0))),0)+IF(ISNUMBER(M471),IF(ISNUMBER(L471),IF(M471-L471&lt;=0,1,IF(20/(M471-L471)&gt;10,1,0)),IF(ISNUMBER(K471),IF(M471-K471&lt;=0,1,IF(25/(M471-K471)&gt;10,1,0)),IF(M471&lt;=0,1,IF(30/M471&gt;10,1,0)))),0)&gt;0,1,0))</f>
        <v/>
      </c>
      <c r="O471" s="22">
        <f>IF(AND(J471=1,N471=0),1,0)</f>
        <v/>
      </c>
      <c r="P471" s="22">
        <f>INDEX(Personendaten!$J$2:$J$32,MATCH(A471,Personendaten!$A$2:$A$32,0))</f>
        <v/>
      </c>
      <c r="Q471" s="22">
        <f>IF(O471=1,"",IF(AND(B471="post",P471="nicht angetreten"),"NANG",IF(N471=1,"AUSL",IFERROR(VLOOKUP(H471,Vokabular!$A$2:$B$8,2,FALSE),"UNBEKANNT"))))</f>
        <v/>
      </c>
    </row>
    <row r="472">
      <c r="A472" s="5" t="inlineStr">
        <is>
          <t>VS-10</t>
        </is>
      </c>
      <c r="B472" s="5" t="inlineStr">
        <is>
          <t>prä</t>
        </is>
      </c>
      <c r="C472" s="5" t="inlineStr">
        <is>
          <t>Sprint_5m</t>
        </is>
      </c>
      <c r="D472" s="5" t="inlineStr">
        <is>
          <t>–</t>
        </is>
      </c>
      <c r="E472" s="5" t="n">
        <v>3</v>
      </c>
      <c r="F472" s="5" t="n"/>
      <c r="G472" s="5" t="n"/>
      <c r="H472" s="5" t="inlineStr">
        <is>
          <t>System nicht aufgenommen</t>
        </is>
      </c>
      <c r="I472" s="22">
        <f>INDEX(Personendaten!$C$2:$C$32,MATCH(A472,Personendaten!$A$2:$A$32,0))</f>
        <v/>
      </c>
      <c r="J472" s="22">
        <f>IF(AND(F472&lt;&gt;"",G472=""),1,0)</f>
        <v/>
      </c>
      <c r="K472" s="22">
        <f>IF(LEFT(C472,7)&lt;&gt;"Sprint_","",IF(COUNTIFS(Versuchsdaten!$A$2:$A$1117,$A472,Versuchsdaten!$B$2:$B$1117,$B472,Versuchsdaten!$C$2:$C$1117,"Sprint_5m",Versuchsdaten!$E$2:$E$1117,$E472,Versuchsdaten!$J$2:$J$1117,1)=1,SUMIFS(Versuchsdaten!$F$2:$F$1117,Versuchsdaten!$A$2:$A$1117,$A472,Versuchsdaten!$B$2:$B$1117,$B472,Versuchsdaten!$C$2:$C$1117,"Sprint_5m",Versuchsdaten!$E$2:$E$1117,$E472,Versuchsdaten!$J$2:$J$1117,1),""))</f>
        <v/>
      </c>
      <c r="L472" s="22">
        <f>IF(LEFT(C472,7)&lt;&gt;"Sprint_","",IF(COUNTIFS(Versuchsdaten!$A$2:$A$1117,$A472,Versuchsdaten!$B$2:$B$1117,$B472,Versuchsdaten!$C$2:$C$1117,"Sprint_10m",Versuchsdaten!$E$2:$E$1117,$E472,Versuchsdaten!$J$2:$J$1117,1)=1,SUMIFS(Versuchsdaten!$F$2:$F$1117,Versuchsdaten!$A$2:$A$1117,$A472,Versuchsdaten!$B$2:$B$1117,$B472,Versuchsdaten!$C$2:$C$1117,"Sprint_10m",Versuchsdaten!$E$2:$E$1117,$E472,Versuchsdaten!$J$2:$J$1117,1),""))</f>
        <v/>
      </c>
      <c r="M472" s="22">
        <f>IF(LEFT(C472,7)&lt;&gt;"Sprint_","",IF(COUNTIFS(Versuchsdaten!$A$2:$A$1117,$A472,Versuchsdaten!$B$2:$B$1117,$B472,Versuchsdaten!$C$2:$C$1117,"Sprint_30m",Versuchsdaten!$E$2:$E$1117,$E472,Versuchsdaten!$J$2:$J$1117,1)=1,SUMIFS(Versuchsdaten!$F$2:$F$1117,Versuchsdaten!$A$2:$A$1117,$A472,Versuchsdaten!$B$2:$B$1117,$B472,Versuchsdaten!$C$2:$C$1117,"Sprint_30m",Versuchsdaten!$E$2:$E$1117,$E472,Versuchsdaten!$J$2:$J$1117,1),""))</f>
        <v/>
      </c>
      <c r="N472" s="22">
        <f>IF(LEFT(C472,7)&lt;&gt;"Sprint_",0,IF(IF(ISNUMBER(K472),IF(K472&lt;=0,1,IF(5/K472&gt;10,1,0)),0)+IF(ISNUMBER(L472),IF(ISNUMBER(K472),IF(L472-K472&lt;=0,1,IF(5/(L472-K472)&gt;10,1,0)),IF(L472&lt;=0,1,IF(10/L472&gt;10,1,0))),0)+IF(ISNUMBER(M472),IF(ISNUMBER(L472),IF(M472-L472&lt;=0,1,IF(20/(M472-L472)&gt;10,1,0)),IF(ISNUMBER(K472),IF(M472-K472&lt;=0,1,IF(25/(M472-K472)&gt;10,1,0)),IF(M472&lt;=0,1,IF(30/M472&gt;10,1,0)))),0)&gt;0,1,0))</f>
        <v/>
      </c>
      <c r="O472" s="22">
        <f>IF(AND(J472=1,N472=0),1,0)</f>
        <v/>
      </c>
      <c r="P472" s="22">
        <f>INDEX(Personendaten!$J$2:$J$32,MATCH(A472,Personendaten!$A$2:$A$32,0))</f>
        <v/>
      </c>
      <c r="Q472" s="22">
        <f>IF(O472=1,"",IF(AND(B472="post",P472="nicht angetreten"),"NANG",IF(N472=1,"AUSL",IFERROR(VLOOKUP(H472,Vokabular!$A$2:$B$8,2,FALSE),"UNBEKANNT"))))</f>
        <v/>
      </c>
    </row>
    <row r="473">
      <c r="A473" s="5" t="inlineStr">
        <is>
          <t>VS-10</t>
        </is>
      </c>
      <c r="B473" s="5" t="inlineStr">
        <is>
          <t>prä</t>
        </is>
      </c>
      <c r="C473" s="5" t="inlineStr">
        <is>
          <t>Sprint_10m</t>
        </is>
      </c>
      <c r="D473" s="5" t="inlineStr">
        <is>
          <t>–</t>
        </is>
      </c>
      <c r="E473" s="5" t="n">
        <v>1</v>
      </c>
      <c r="F473" s="5" t="n">
        <v>1.87</v>
      </c>
      <c r="G473" s="5" t="n"/>
      <c r="H473" s="5" t="n"/>
      <c r="I473" s="22">
        <f>INDEX(Personendaten!$C$2:$C$32,MATCH(A473,Personendaten!$A$2:$A$32,0))</f>
        <v/>
      </c>
      <c r="J473" s="22">
        <f>IF(AND(F473&lt;&gt;"",G473=""),1,0)</f>
        <v/>
      </c>
      <c r="K473" s="22">
        <f>IF(LEFT(C473,7)&lt;&gt;"Sprint_","",IF(COUNTIFS(Versuchsdaten!$A$2:$A$1117,$A473,Versuchsdaten!$B$2:$B$1117,$B473,Versuchsdaten!$C$2:$C$1117,"Sprint_5m",Versuchsdaten!$E$2:$E$1117,$E473,Versuchsdaten!$J$2:$J$1117,1)=1,SUMIFS(Versuchsdaten!$F$2:$F$1117,Versuchsdaten!$A$2:$A$1117,$A473,Versuchsdaten!$B$2:$B$1117,$B473,Versuchsdaten!$C$2:$C$1117,"Sprint_5m",Versuchsdaten!$E$2:$E$1117,$E473,Versuchsdaten!$J$2:$J$1117,1),""))</f>
        <v/>
      </c>
      <c r="L473" s="22">
        <f>IF(LEFT(C473,7)&lt;&gt;"Sprint_","",IF(COUNTIFS(Versuchsdaten!$A$2:$A$1117,$A473,Versuchsdaten!$B$2:$B$1117,$B473,Versuchsdaten!$C$2:$C$1117,"Sprint_10m",Versuchsdaten!$E$2:$E$1117,$E473,Versuchsdaten!$J$2:$J$1117,1)=1,SUMIFS(Versuchsdaten!$F$2:$F$1117,Versuchsdaten!$A$2:$A$1117,$A473,Versuchsdaten!$B$2:$B$1117,$B473,Versuchsdaten!$C$2:$C$1117,"Sprint_10m",Versuchsdaten!$E$2:$E$1117,$E473,Versuchsdaten!$J$2:$J$1117,1),""))</f>
        <v/>
      </c>
      <c r="M473" s="22">
        <f>IF(LEFT(C473,7)&lt;&gt;"Sprint_","",IF(COUNTIFS(Versuchsdaten!$A$2:$A$1117,$A473,Versuchsdaten!$B$2:$B$1117,$B473,Versuchsdaten!$C$2:$C$1117,"Sprint_30m",Versuchsdaten!$E$2:$E$1117,$E473,Versuchsdaten!$J$2:$J$1117,1)=1,SUMIFS(Versuchsdaten!$F$2:$F$1117,Versuchsdaten!$A$2:$A$1117,$A473,Versuchsdaten!$B$2:$B$1117,$B473,Versuchsdaten!$C$2:$C$1117,"Sprint_30m",Versuchsdaten!$E$2:$E$1117,$E473,Versuchsdaten!$J$2:$J$1117,1),""))</f>
        <v/>
      </c>
      <c r="N473" s="22">
        <f>IF(LEFT(C473,7)&lt;&gt;"Sprint_",0,IF(IF(ISNUMBER(K473),IF(K473&lt;=0,1,IF(5/K473&gt;10,1,0)),0)+IF(ISNUMBER(L473),IF(ISNUMBER(K473),IF(L473-K473&lt;=0,1,IF(5/(L473-K473)&gt;10,1,0)),IF(L473&lt;=0,1,IF(10/L473&gt;10,1,0))),0)+IF(ISNUMBER(M473),IF(ISNUMBER(L473),IF(M473-L473&lt;=0,1,IF(20/(M473-L473)&gt;10,1,0)),IF(ISNUMBER(K473),IF(M473-K473&lt;=0,1,IF(25/(M473-K473)&gt;10,1,0)),IF(M473&lt;=0,1,IF(30/M473&gt;10,1,0)))),0)&gt;0,1,0))</f>
        <v/>
      </c>
      <c r="O473" s="22">
        <f>IF(AND(J473=1,N473=0),1,0)</f>
        <v/>
      </c>
      <c r="P473" s="22">
        <f>INDEX(Personendaten!$J$2:$J$32,MATCH(A473,Personendaten!$A$2:$A$32,0))</f>
        <v/>
      </c>
      <c r="Q473" s="22">
        <f>IF(O473=1,"",IF(AND(B473="post",P473="nicht angetreten"),"NANG",IF(N473=1,"AUSL",IFERROR(VLOOKUP(H473,Vokabular!$A$2:$B$8,2,FALSE),"UNBEKANNT"))))</f>
        <v/>
      </c>
    </row>
    <row r="474">
      <c r="A474" s="5" t="inlineStr">
        <is>
          <t>VS-10</t>
        </is>
      </c>
      <c r="B474" s="5" t="inlineStr">
        <is>
          <t>prä</t>
        </is>
      </c>
      <c r="C474" s="5" t="inlineStr">
        <is>
          <t>Sprint_10m</t>
        </is>
      </c>
      <c r="D474" s="5" t="inlineStr">
        <is>
          <t>–</t>
        </is>
      </c>
      <c r="E474" s="5" t="n">
        <v>2</v>
      </c>
      <c r="F474" s="5" t="n"/>
      <c r="G474" s="5" t="n"/>
      <c r="H474" s="5" t="inlineStr">
        <is>
          <t>System nicht aufgenommen</t>
        </is>
      </c>
      <c r="I474" s="22">
        <f>INDEX(Personendaten!$C$2:$C$32,MATCH(A474,Personendaten!$A$2:$A$32,0))</f>
        <v/>
      </c>
      <c r="J474" s="22">
        <f>IF(AND(F474&lt;&gt;"",G474=""),1,0)</f>
        <v/>
      </c>
      <c r="K474" s="22">
        <f>IF(LEFT(C474,7)&lt;&gt;"Sprint_","",IF(COUNTIFS(Versuchsdaten!$A$2:$A$1117,$A474,Versuchsdaten!$B$2:$B$1117,$B474,Versuchsdaten!$C$2:$C$1117,"Sprint_5m",Versuchsdaten!$E$2:$E$1117,$E474,Versuchsdaten!$J$2:$J$1117,1)=1,SUMIFS(Versuchsdaten!$F$2:$F$1117,Versuchsdaten!$A$2:$A$1117,$A474,Versuchsdaten!$B$2:$B$1117,$B474,Versuchsdaten!$C$2:$C$1117,"Sprint_5m",Versuchsdaten!$E$2:$E$1117,$E474,Versuchsdaten!$J$2:$J$1117,1),""))</f>
        <v/>
      </c>
      <c r="L474" s="22">
        <f>IF(LEFT(C474,7)&lt;&gt;"Sprint_","",IF(COUNTIFS(Versuchsdaten!$A$2:$A$1117,$A474,Versuchsdaten!$B$2:$B$1117,$B474,Versuchsdaten!$C$2:$C$1117,"Sprint_10m",Versuchsdaten!$E$2:$E$1117,$E474,Versuchsdaten!$J$2:$J$1117,1)=1,SUMIFS(Versuchsdaten!$F$2:$F$1117,Versuchsdaten!$A$2:$A$1117,$A474,Versuchsdaten!$B$2:$B$1117,$B474,Versuchsdaten!$C$2:$C$1117,"Sprint_10m",Versuchsdaten!$E$2:$E$1117,$E474,Versuchsdaten!$J$2:$J$1117,1),""))</f>
        <v/>
      </c>
      <c r="M474" s="22">
        <f>IF(LEFT(C474,7)&lt;&gt;"Sprint_","",IF(COUNTIFS(Versuchsdaten!$A$2:$A$1117,$A474,Versuchsdaten!$B$2:$B$1117,$B474,Versuchsdaten!$C$2:$C$1117,"Sprint_30m",Versuchsdaten!$E$2:$E$1117,$E474,Versuchsdaten!$J$2:$J$1117,1)=1,SUMIFS(Versuchsdaten!$F$2:$F$1117,Versuchsdaten!$A$2:$A$1117,$A474,Versuchsdaten!$B$2:$B$1117,$B474,Versuchsdaten!$C$2:$C$1117,"Sprint_30m",Versuchsdaten!$E$2:$E$1117,$E474,Versuchsdaten!$J$2:$J$1117,1),""))</f>
        <v/>
      </c>
      <c r="N474" s="22">
        <f>IF(LEFT(C474,7)&lt;&gt;"Sprint_",0,IF(IF(ISNUMBER(K474),IF(K474&lt;=0,1,IF(5/K474&gt;10,1,0)),0)+IF(ISNUMBER(L474),IF(ISNUMBER(K474),IF(L474-K474&lt;=0,1,IF(5/(L474-K474)&gt;10,1,0)),IF(L474&lt;=0,1,IF(10/L474&gt;10,1,0))),0)+IF(ISNUMBER(M474),IF(ISNUMBER(L474),IF(M474-L474&lt;=0,1,IF(20/(M474-L474)&gt;10,1,0)),IF(ISNUMBER(K474),IF(M474-K474&lt;=0,1,IF(25/(M474-K474)&gt;10,1,0)),IF(M474&lt;=0,1,IF(30/M474&gt;10,1,0)))),0)&gt;0,1,0))</f>
        <v/>
      </c>
      <c r="O474" s="22">
        <f>IF(AND(J474=1,N474=0),1,0)</f>
        <v/>
      </c>
      <c r="P474" s="22">
        <f>INDEX(Personendaten!$J$2:$J$32,MATCH(A474,Personendaten!$A$2:$A$32,0))</f>
        <v/>
      </c>
      <c r="Q474" s="22">
        <f>IF(O474=1,"",IF(AND(B474="post",P474="nicht angetreten"),"NANG",IF(N474=1,"AUSL",IFERROR(VLOOKUP(H474,Vokabular!$A$2:$B$8,2,FALSE),"UNBEKANNT"))))</f>
        <v/>
      </c>
    </row>
    <row r="475">
      <c r="A475" s="5" t="inlineStr">
        <is>
          <t>VS-10</t>
        </is>
      </c>
      <c r="B475" s="5" t="inlineStr">
        <is>
          <t>prä</t>
        </is>
      </c>
      <c r="C475" s="5" t="inlineStr">
        <is>
          <t>Sprint_10m</t>
        </is>
      </c>
      <c r="D475" s="5" t="inlineStr">
        <is>
          <t>–</t>
        </is>
      </c>
      <c r="E475" s="5" t="n">
        <v>3</v>
      </c>
      <c r="F475" s="5" t="n"/>
      <c r="G475" s="5" t="n"/>
      <c r="H475" s="5" t="inlineStr">
        <is>
          <t>System nicht aufgenommen</t>
        </is>
      </c>
      <c r="I475" s="22">
        <f>INDEX(Personendaten!$C$2:$C$32,MATCH(A475,Personendaten!$A$2:$A$32,0))</f>
        <v/>
      </c>
      <c r="J475" s="22">
        <f>IF(AND(F475&lt;&gt;"",G475=""),1,0)</f>
        <v/>
      </c>
      <c r="K475" s="22">
        <f>IF(LEFT(C475,7)&lt;&gt;"Sprint_","",IF(COUNTIFS(Versuchsdaten!$A$2:$A$1117,$A475,Versuchsdaten!$B$2:$B$1117,$B475,Versuchsdaten!$C$2:$C$1117,"Sprint_5m",Versuchsdaten!$E$2:$E$1117,$E475,Versuchsdaten!$J$2:$J$1117,1)=1,SUMIFS(Versuchsdaten!$F$2:$F$1117,Versuchsdaten!$A$2:$A$1117,$A475,Versuchsdaten!$B$2:$B$1117,$B475,Versuchsdaten!$C$2:$C$1117,"Sprint_5m",Versuchsdaten!$E$2:$E$1117,$E475,Versuchsdaten!$J$2:$J$1117,1),""))</f>
        <v/>
      </c>
      <c r="L475" s="22">
        <f>IF(LEFT(C475,7)&lt;&gt;"Sprint_","",IF(COUNTIFS(Versuchsdaten!$A$2:$A$1117,$A475,Versuchsdaten!$B$2:$B$1117,$B475,Versuchsdaten!$C$2:$C$1117,"Sprint_10m",Versuchsdaten!$E$2:$E$1117,$E475,Versuchsdaten!$J$2:$J$1117,1)=1,SUMIFS(Versuchsdaten!$F$2:$F$1117,Versuchsdaten!$A$2:$A$1117,$A475,Versuchsdaten!$B$2:$B$1117,$B475,Versuchsdaten!$C$2:$C$1117,"Sprint_10m",Versuchsdaten!$E$2:$E$1117,$E475,Versuchsdaten!$J$2:$J$1117,1),""))</f>
        <v/>
      </c>
      <c r="M475" s="22">
        <f>IF(LEFT(C475,7)&lt;&gt;"Sprint_","",IF(COUNTIFS(Versuchsdaten!$A$2:$A$1117,$A475,Versuchsdaten!$B$2:$B$1117,$B475,Versuchsdaten!$C$2:$C$1117,"Sprint_30m",Versuchsdaten!$E$2:$E$1117,$E475,Versuchsdaten!$J$2:$J$1117,1)=1,SUMIFS(Versuchsdaten!$F$2:$F$1117,Versuchsdaten!$A$2:$A$1117,$A475,Versuchsdaten!$B$2:$B$1117,$B475,Versuchsdaten!$C$2:$C$1117,"Sprint_30m",Versuchsdaten!$E$2:$E$1117,$E475,Versuchsdaten!$J$2:$J$1117,1),""))</f>
        <v/>
      </c>
      <c r="N475" s="22">
        <f>IF(LEFT(C475,7)&lt;&gt;"Sprint_",0,IF(IF(ISNUMBER(K475),IF(K475&lt;=0,1,IF(5/K475&gt;10,1,0)),0)+IF(ISNUMBER(L475),IF(ISNUMBER(K475),IF(L475-K475&lt;=0,1,IF(5/(L475-K475)&gt;10,1,0)),IF(L475&lt;=0,1,IF(10/L475&gt;10,1,0))),0)+IF(ISNUMBER(M475),IF(ISNUMBER(L475),IF(M475-L475&lt;=0,1,IF(20/(M475-L475)&gt;10,1,0)),IF(ISNUMBER(K475),IF(M475-K475&lt;=0,1,IF(25/(M475-K475)&gt;10,1,0)),IF(M475&lt;=0,1,IF(30/M475&gt;10,1,0)))),0)&gt;0,1,0))</f>
        <v/>
      </c>
      <c r="O475" s="22">
        <f>IF(AND(J475=1,N475=0),1,0)</f>
        <v/>
      </c>
      <c r="P475" s="22">
        <f>INDEX(Personendaten!$J$2:$J$32,MATCH(A475,Personendaten!$A$2:$A$32,0))</f>
        <v/>
      </c>
      <c r="Q475" s="22">
        <f>IF(O475=1,"",IF(AND(B475="post",P475="nicht angetreten"),"NANG",IF(N475=1,"AUSL",IFERROR(VLOOKUP(H475,Vokabular!$A$2:$B$8,2,FALSE),"UNBEKANNT"))))</f>
        <v/>
      </c>
    </row>
    <row r="476">
      <c r="A476" s="5" t="inlineStr">
        <is>
          <t>VS-10</t>
        </is>
      </c>
      <c r="B476" s="5" t="inlineStr">
        <is>
          <t>prä</t>
        </is>
      </c>
      <c r="C476" s="5" t="inlineStr">
        <is>
          <t>Sprint_30m</t>
        </is>
      </c>
      <c r="D476" s="5" t="inlineStr">
        <is>
          <t>–</t>
        </is>
      </c>
      <c r="E476" s="5" t="n">
        <v>1</v>
      </c>
      <c r="F476" s="5" t="n">
        <v>4.66</v>
      </c>
      <c r="G476" s="5" t="n"/>
      <c r="H476" s="5" t="n"/>
      <c r="I476" s="22">
        <f>INDEX(Personendaten!$C$2:$C$32,MATCH(A476,Personendaten!$A$2:$A$32,0))</f>
        <v/>
      </c>
      <c r="J476" s="22">
        <f>IF(AND(F476&lt;&gt;"",G476=""),1,0)</f>
        <v/>
      </c>
      <c r="K476" s="22">
        <f>IF(LEFT(C476,7)&lt;&gt;"Sprint_","",IF(COUNTIFS(Versuchsdaten!$A$2:$A$1117,$A476,Versuchsdaten!$B$2:$B$1117,$B476,Versuchsdaten!$C$2:$C$1117,"Sprint_5m",Versuchsdaten!$E$2:$E$1117,$E476,Versuchsdaten!$J$2:$J$1117,1)=1,SUMIFS(Versuchsdaten!$F$2:$F$1117,Versuchsdaten!$A$2:$A$1117,$A476,Versuchsdaten!$B$2:$B$1117,$B476,Versuchsdaten!$C$2:$C$1117,"Sprint_5m",Versuchsdaten!$E$2:$E$1117,$E476,Versuchsdaten!$J$2:$J$1117,1),""))</f>
        <v/>
      </c>
      <c r="L476" s="22">
        <f>IF(LEFT(C476,7)&lt;&gt;"Sprint_","",IF(COUNTIFS(Versuchsdaten!$A$2:$A$1117,$A476,Versuchsdaten!$B$2:$B$1117,$B476,Versuchsdaten!$C$2:$C$1117,"Sprint_10m",Versuchsdaten!$E$2:$E$1117,$E476,Versuchsdaten!$J$2:$J$1117,1)=1,SUMIFS(Versuchsdaten!$F$2:$F$1117,Versuchsdaten!$A$2:$A$1117,$A476,Versuchsdaten!$B$2:$B$1117,$B476,Versuchsdaten!$C$2:$C$1117,"Sprint_10m",Versuchsdaten!$E$2:$E$1117,$E476,Versuchsdaten!$J$2:$J$1117,1),""))</f>
        <v/>
      </c>
      <c r="M476" s="22">
        <f>IF(LEFT(C476,7)&lt;&gt;"Sprint_","",IF(COUNTIFS(Versuchsdaten!$A$2:$A$1117,$A476,Versuchsdaten!$B$2:$B$1117,$B476,Versuchsdaten!$C$2:$C$1117,"Sprint_30m",Versuchsdaten!$E$2:$E$1117,$E476,Versuchsdaten!$J$2:$J$1117,1)=1,SUMIFS(Versuchsdaten!$F$2:$F$1117,Versuchsdaten!$A$2:$A$1117,$A476,Versuchsdaten!$B$2:$B$1117,$B476,Versuchsdaten!$C$2:$C$1117,"Sprint_30m",Versuchsdaten!$E$2:$E$1117,$E476,Versuchsdaten!$J$2:$J$1117,1),""))</f>
        <v/>
      </c>
      <c r="N476" s="22">
        <f>IF(LEFT(C476,7)&lt;&gt;"Sprint_",0,IF(IF(ISNUMBER(K476),IF(K476&lt;=0,1,IF(5/K476&gt;10,1,0)),0)+IF(ISNUMBER(L476),IF(ISNUMBER(K476),IF(L476-K476&lt;=0,1,IF(5/(L476-K476)&gt;10,1,0)),IF(L476&lt;=0,1,IF(10/L476&gt;10,1,0))),0)+IF(ISNUMBER(M476),IF(ISNUMBER(L476),IF(M476-L476&lt;=0,1,IF(20/(M476-L476)&gt;10,1,0)),IF(ISNUMBER(K476),IF(M476-K476&lt;=0,1,IF(25/(M476-K476)&gt;10,1,0)),IF(M476&lt;=0,1,IF(30/M476&gt;10,1,0)))),0)&gt;0,1,0))</f>
        <v/>
      </c>
      <c r="O476" s="22">
        <f>IF(AND(J476=1,N476=0),1,0)</f>
        <v/>
      </c>
      <c r="P476" s="22">
        <f>INDEX(Personendaten!$J$2:$J$32,MATCH(A476,Personendaten!$A$2:$A$32,0))</f>
        <v/>
      </c>
      <c r="Q476" s="22">
        <f>IF(O476=1,"",IF(AND(B476="post",P476="nicht angetreten"),"NANG",IF(N476=1,"AUSL",IFERROR(VLOOKUP(H476,Vokabular!$A$2:$B$8,2,FALSE),"UNBEKANNT"))))</f>
        <v/>
      </c>
    </row>
    <row r="477">
      <c r="A477" s="5" t="inlineStr">
        <is>
          <t>VS-10</t>
        </is>
      </c>
      <c r="B477" s="5" t="inlineStr">
        <is>
          <t>prä</t>
        </is>
      </c>
      <c r="C477" s="5" t="inlineStr">
        <is>
          <t>Sprint_30m</t>
        </is>
      </c>
      <c r="D477" s="5" t="inlineStr">
        <is>
          <t>–</t>
        </is>
      </c>
      <c r="E477" s="5" t="n">
        <v>2</v>
      </c>
      <c r="F477" s="5" t="n">
        <v>4.64</v>
      </c>
      <c r="G477" s="5" t="n"/>
      <c r="H477" s="5" t="n"/>
      <c r="I477" s="22">
        <f>INDEX(Personendaten!$C$2:$C$32,MATCH(A477,Personendaten!$A$2:$A$32,0))</f>
        <v/>
      </c>
      <c r="J477" s="22">
        <f>IF(AND(F477&lt;&gt;"",G477=""),1,0)</f>
        <v/>
      </c>
      <c r="K477" s="22">
        <f>IF(LEFT(C477,7)&lt;&gt;"Sprint_","",IF(COUNTIFS(Versuchsdaten!$A$2:$A$1117,$A477,Versuchsdaten!$B$2:$B$1117,$B477,Versuchsdaten!$C$2:$C$1117,"Sprint_5m",Versuchsdaten!$E$2:$E$1117,$E477,Versuchsdaten!$J$2:$J$1117,1)=1,SUMIFS(Versuchsdaten!$F$2:$F$1117,Versuchsdaten!$A$2:$A$1117,$A477,Versuchsdaten!$B$2:$B$1117,$B477,Versuchsdaten!$C$2:$C$1117,"Sprint_5m",Versuchsdaten!$E$2:$E$1117,$E477,Versuchsdaten!$J$2:$J$1117,1),""))</f>
        <v/>
      </c>
      <c r="L477" s="22">
        <f>IF(LEFT(C477,7)&lt;&gt;"Sprint_","",IF(COUNTIFS(Versuchsdaten!$A$2:$A$1117,$A477,Versuchsdaten!$B$2:$B$1117,$B477,Versuchsdaten!$C$2:$C$1117,"Sprint_10m",Versuchsdaten!$E$2:$E$1117,$E477,Versuchsdaten!$J$2:$J$1117,1)=1,SUMIFS(Versuchsdaten!$F$2:$F$1117,Versuchsdaten!$A$2:$A$1117,$A477,Versuchsdaten!$B$2:$B$1117,$B477,Versuchsdaten!$C$2:$C$1117,"Sprint_10m",Versuchsdaten!$E$2:$E$1117,$E477,Versuchsdaten!$J$2:$J$1117,1),""))</f>
        <v/>
      </c>
      <c r="M477" s="22">
        <f>IF(LEFT(C477,7)&lt;&gt;"Sprint_","",IF(COUNTIFS(Versuchsdaten!$A$2:$A$1117,$A477,Versuchsdaten!$B$2:$B$1117,$B477,Versuchsdaten!$C$2:$C$1117,"Sprint_30m",Versuchsdaten!$E$2:$E$1117,$E477,Versuchsdaten!$J$2:$J$1117,1)=1,SUMIFS(Versuchsdaten!$F$2:$F$1117,Versuchsdaten!$A$2:$A$1117,$A477,Versuchsdaten!$B$2:$B$1117,$B477,Versuchsdaten!$C$2:$C$1117,"Sprint_30m",Versuchsdaten!$E$2:$E$1117,$E477,Versuchsdaten!$J$2:$J$1117,1),""))</f>
        <v/>
      </c>
      <c r="N477" s="22">
        <f>IF(LEFT(C477,7)&lt;&gt;"Sprint_",0,IF(IF(ISNUMBER(K477),IF(K477&lt;=0,1,IF(5/K477&gt;10,1,0)),0)+IF(ISNUMBER(L477),IF(ISNUMBER(K477),IF(L477-K477&lt;=0,1,IF(5/(L477-K477)&gt;10,1,0)),IF(L477&lt;=0,1,IF(10/L477&gt;10,1,0))),0)+IF(ISNUMBER(M477),IF(ISNUMBER(L477),IF(M477-L477&lt;=0,1,IF(20/(M477-L477)&gt;10,1,0)),IF(ISNUMBER(K477),IF(M477-K477&lt;=0,1,IF(25/(M477-K477)&gt;10,1,0)),IF(M477&lt;=0,1,IF(30/M477&gt;10,1,0)))),0)&gt;0,1,0))</f>
        <v/>
      </c>
      <c r="O477" s="22">
        <f>IF(AND(J477=1,N477=0),1,0)</f>
        <v/>
      </c>
      <c r="P477" s="22">
        <f>INDEX(Personendaten!$J$2:$J$32,MATCH(A477,Personendaten!$A$2:$A$32,0))</f>
        <v/>
      </c>
      <c r="Q477" s="22">
        <f>IF(O477=1,"",IF(AND(B477="post",P477="nicht angetreten"),"NANG",IF(N477=1,"AUSL",IFERROR(VLOOKUP(H477,Vokabular!$A$2:$B$8,2,FALSE),"UNBEKANNT"))))</f>
        <v/>
      </c>
    </row>
    <row r="478">
      <c r="A478" s="5" t="inlineStr">
        <is>
          <t>VS-10</t>
        </is>
      </c>
      <c r="B478" s="5" t="inlineStr">
        <is>
          <t>prä</t>
        </is>
      </c>
      <c r="C478" s="5" t="inlineStr">
        <is>
          <t>Sprint_30m</t>
        </is>
      </c>
      <c r="D478" s="5" t="inlineStr">
        <is>
          <t>–</t>
        </is>
      </c>
      <c r="E478" s="5" t="n">
        <v>3</v>
      </c>
      <c r="F478" s="5" t="n">
        <v>4.75</v>
      </c>
      <c r="G478" s="5" t="n"/>
      <c r="H478" s="5" t="n"/>
      <c r="I478" s="22">
        <f>INDEX(Personendaten!$C$2:$C$32,MATCH(A478,Personendaten!$A$2:$A$32,0))</f>
        <v/>
      </c>
      <c r="J478" s="22">
        <f>IF(AND(F478&lt;&gt;"",G478=""),1,0)</f>
        <v/>
      </c>
      <c r="K478" s="22">
        <f>IF(LEFT(C478,7)&lt;&gt;"Sprint_","",IF(COUNTIFS(Versuchsdaten!$A$2:$A$1117,$A478,Versuchsdaten!$B$2:$B$1117,$B478,Versuchsdaten!$C$2:$C$1117,"Sprint_5m",Versuchsdaten!$E$2:$E$1117,$E478,Versuchsdaten!$J$2:$J$1117,1)=1,SUMIFS(Versuchsdaten!$F$2:$F$1117,Versuchsdaten!$A$2:$A$1117,$A478,Versuchsdaten!$B$2:$B$1117,$B478,Versuchsdaten!$C$2:$C$1117,"Sprint_5m",Versuchsdaten!$E$2:$E$1117,$E478,Versuchsdaten!$J$2:$J$1117,1),""))</f>
        <v/>
      </c>
      <c r="L478" s="22">
        <f>IF(LEFT(C478,7)&lt;&gt;"Sprint_","",IF(COUNTIFS(Versuchsdaten!$A$2:$A$1117,$A478,Versuchsdaten!$B$2:$B$1117,$B478,Versuchsdaten!$C$2:$C$1117,"Sprint_10m",Versuchsdaten!$E$2:$E$1117,$E478,Versuchsdaten!$J$2:$J$1117,1)=1,SUMIFS(Versuchsdaten!$F$2:$F$1117,Versuchsdaten!$A$2:$A$1117,$A478,Versuchsdaten!$B$2:$B$1117,$B478,Versuchsdaten!$C$2:$C$1117,"Sprint_10m",Versuchsdaten!$E$2:$E$1117,$E478,Versuchsdaten!$J$2:$J$1117,1),""))</f>
        <v/>
      </c>
      <c r="M478" s="22">
        <f>IF(LEFT(C478,7)&lt;&gt;"Sprint_","",IF(COUNTIFS(Versuchsdaten!$A$2:$A$1117,$A478,Versuchsdaten!$B$2:$B$1117,$B478,Versuchsdaten!$C$2:$C$1117,"Sprint_30m",Versuchsdaten!$E$2:$E$1117,$E478,Versuchsdaten!$J$2:$J$1117,1)=1,SUMIFS(Versuchsdaten!$F$2:$F$1117,Versuchsdaten!$A$2:$A$1117,$A478,Versuchsdaten!$B$2:$B$1117,$B478,Versuchsdaten!$C$2:$C$1117,"Sprint_30m",Versuchsdaten!$E$2:$E$1117,$E478,Versuchsdaten!$J$2:$J$1117,1),""))</f>
        <v/>
      </c>
      <c r="N478" s="22">
        <f>IF(LEFT(C478,7)&lt;&gt;"Sprint_",0,IF(IF(ISNUMBER(K478),IF(K478&lt;=0,1,IF(5/K478&gt;10,1,0)),0)+IF(ISNUMBER(L478),IF(ISNUMBER(K478),IF(L478-K478&lt;=0,1,IF(5/(L478-K478)&gt;10,1,0)),IF(L478&lt;=0,1,IF(10/L478&gt;10,1,0))),0)+IF(ISNUMBER(M478),IF(ISNUMBER(L478),IF(M478-L478&lt;=0,1,IF(20/(M478-L478)&gt;10,1,0)),IF(ISNUMBER(K478),IF(M478-K478&lt;=0,1,IF(25/(M478-K478)&gt;10,1,0)),IF(M478&lt;=0,1,IF(30/M478&gt;10,1,0)))),0)&gt;0,1,0))</f>
        <v/>
      </c>
      <c r="O478" s="22">
        <f>IF(AND(J478=1,N478=0),1,0)</f>
        <v/>
      </c>
      <c r="P478" s="22">
        <f>INDEX(Personendaten!$J$2:$J$32,MATCH(A478,Personendaten!$A$2:$A$32,0))</f>
        <v/>
      </c>
      <c r="Q478" s="22">
        <f>IF(O478=1,"",IF(AND(B478="post",P478="nicht angetreten"),"NANG",IF(N478=1,"AUSL",IFERROR(VLOOKUP(H478,Vokabular!$A$2:$B$8,2,FALSE),"UNBEKANNT"))))</f>
        <v/>
      </c>
    </row>
    <row r="479">
      <c r="A479" s="5" t="inlineStr">
        <is>
          <t>VS-10</t>
        </is>
      </c>
      <c r="B479" s="5" t="inlineStr">
        <is>
          <t>prä</t>
        </is>
      </c>
      <c r="C479" s="5" t="inlineStr">
        <is>
          <t>Standweitsprung</t>
        </is>
      </c>
      <c r="D479" s="5" t="inlineStr">
        <is>
          <t>–</t>
        </is>
      </c>
      <c r="E479" s="5" t="n">
        <v>1</v>
      </c>
      <c r="F479" s="5" t="n">
        <v>232</v>
      </c>
      <c r="G479" s="5" t="n"/>
      <c r="H479" s="5" t="n"/>
      <c r="I479" s="22">
        <f>INDEX(Personendaten!$C$2:$C$32,MATCH(A479,Personendaten!$A$2:$A$32,0))</f>
        <v/>
      </c>
      <c r="J479" s="22">
        <f>IF(AND(F479&lt;&gt;"",G479=""),1,0)</f>
        <v/>
      </c>
      <c r="K479" s="22">
        <f>IF(LEFT(C479,7)&lt;&gt;"Sprint_","",IF(COUNTIFS(Versuchsdaten!$A$2:$A$1117,$A479,Versuchsdaten!$B$2:$B$1117,$B479,Versuchsdaten!$C$2:$C$1117,"Sprint_5m",Versuchsdaten!$E$2:$E$1117,$E479,Versuchsdaten!$J$2:$J$1117,1)=1,SUMIFS(Versuchsdaten!$F$2:$F$1117,Versuchsdaten!$A$2:$A$1117,$A479,Versuchsdaten!$B$2:$B$1117,$B479,Versuchsdaten!$C$2:$C$1117,"Sprint_5m",Versuchsdaten!$E$2:$E$1117,$E479,Versuchsdaten!$J$2:$J$1117,1),""))</f>
        <v/>
      </c>
      <c r="L479" s="22">
        <f>IF(LEFT(C479,7)&lt;&gt;"Sprint_","",IF(COUNTIFS(Versuchsdaten!$A$2:$A$1117,$A479,Versuchsdaten!$B$2:$B$1117,$B479,Versuchsdaten!$C$2:$C$1117,"Sprint_10m",Versuchsdaten!$E$2:$E$1117,$E479,Versuchsdaten!$J$2:$J$1117,1)=1,SUMIFS(Versuchsdaten!$F$2:$F$1117,Versuchsdaten!$A$2:$A$1117,$A479,Versuchsdaten!$B$2:$B$1117,$B479,Versuchsdaten!$C$2:$C$1117,"Sprint_10m",Versuchsdaten!$E$2:$E$1117,$E479,Versuchsdaten!$J$2:$J$1117,1),""))</f>
        <v/>
      </c>
      <c r="M479" s="22">
        <f>IF(LEFT(C479,7)&lt;&gt;"Sprint_","",IF(COUNTIFS(Versuchsdaten!$A$2:$A$1117,$A479,Versuchsdaten!$B$2:$B$1117,$B479,Versuchsdaten!$C$2:$C$1117,"Sprint_30m",Versuchsdaten!$E$2:$E$1117,$E479,Versuchsdaten!$J$2:$J$1117,1)=1,SUMIFS(Versuchsdaten!$F$2:$F$1117,Versuchsdaten!$A$2:$A$1117,$A479,Versuchsdaten!$B$2:$B$1117,$B479,Versuchsdaten!$C$2:$C$1117,"Sprint_30m",Versuchsdaten!$E$2:$E$1117,$E479,Versuchsdaten!$J$2:$J$1117,1),""))</f>
        <v/>
      </c>
      <c r="N479" s="22">
        <f>IF(LEFT(C479,7)&lt;&gt;"Sprint_",0,IF(IF(ISNUMBER(K479),IF(K479&lt;=0,1,IF(5/K479&gt;10,1,0)),0)+IF(ISNUMBER(L479),IF(ISNUMBER(K479),IF(L479-K479&lt;=0,1,IF(5/(L479-K479)&gt;10,1,0)),IF(L479&lt;=0,1,IF(10/L479&gt;10,1,0))),0)+IF(ISNUMBER(M479),IF(ISNUMBER(L479),IF(M479-L479&lt;=0,1,IF(20/(M479-L479)&gt;10,1,0)),IF(ISNUMBER(K479),IF(M479-K479&lt;=0,1,IF(25/(M479-K479)&gt;10,1,0)),IF(M479&lt;=0,1,IF(30/M479&gt;10,1,0)))),0)&gt;0,1,0))</f>
        <v/>
      </c>
      <c r="O479" s="22">
        <f>IF(AND(J479=1,N479=0),1,0)</f>
        <v/>
      </c>
      <c r="P479" s="22">
        <f>INDEX(Personendaten!$J$2:$J$32,MATCH(A479,Personendaten!$A$2:$A$32,0))</f>
        <v/>
      </c>
      <c r="Q479" s="22">
        <f>IF(O479=1,"",IF(AND(B479="post",P479="nicht angetreten"),"NANG",IF(N479=1,"AUSL",IFERROR(VLOOKUP(H479,Vokabular!$A$2:$B$8,2,FALSE),"UNBEKANNT"))))</f>
        <v/>
      </c>
    </row>
    <row r="480">
      <c r="A480" s="5" t="inlineStr">
        <is>
          <t>VS-10</t>
        </is>
      </c>
      <c r="B480" s="5" t="inlineStr">
        <is>
          <t>prä</t>
        </is>
      </c>
      <c r="C480" s="5" t="inlineStr">
        <is>
          <t>Standweitsprung</t>
        </is>
      </c>
      <c r="D480" s="5" t="inlineStr">
        <is>
          <t>–</t>
        </is>
      </c>
      <c r="E480" s="5" t="n">
        <v>2</v>
      </c>
      <c r="F480" s="5" t="n">
        <v>231</v>
      </c>
      <c r="G480" s="5" t="n"/>
      <c r="H480" s="5" t="n"/>
      <c r="I480" s="22">
        <f>INDEX(Personendaten!$C$2:$C$32,MATCH(A480,Personendaten!$A$2:$A$32,0))</f>
        <v/>
      </c>
      <c r="J480" s="22">
        <f>IF(AND(F480&lt;&gt;"",G480=""),1,0)</f>
        <v/>
      </c>
      <c r="K480" s="22">
        <f>IF(LEFT(C480,7)&lt;&gt;"Sprint_","",IF(COUNTIFS(Versuchsdaten!$A$2:$A$1117,$A480,Versuchsdaten!$B$2:$B$1117,$B480,Versuchsdaten!$C$2:$C$1117,"Sprint_5m",Versuchsdaten!$E$2:$E$1117,$E480,Versuchsdaten!$J$2:$J$1117,1)=1,SUMIFS(Versuchsdaten!$F$2:$F$1117,Versuchsdaten!$A$2:$A$1117,$A480,Versuchsdaten!$B$2:$B$1117,$B480,Versuchsdaten!$C$2:$C$1117,"Sprint_5m",Versuchsdaten!$E$2:$E$1117,$E480,Versuchsdaten!$J$2:$J$1117,1),""))</f>
        <v/>
      </c>
      <c r="L480" s="22">
        <f>IF(LEFT(C480,7)&lt;&gt;"Sprint_","",IF(COUNTIFS(Versuchsdaten!$A$2:$A$1117,$A480,Versuchsdaten!$B$2:$B$1117,$B480,Versuchsdaten!$C$2:$C$1117,"Sprint_10m",Versuchsdaten!$E$2:$E$1117,$E480,Versuchsdaten!$J$2:$J$1117,1)=1,SUMIFS(Versuchsdaten!$F$2:$F$1117,Versuchsdaten!$A$2:$A$1117,$A480,Versuchsdaten!$B$2:$B$1117,$B480,Versuchsdaten!$C$2:$C$1117,"Sprint_10m",Versuchsdaten!$E$2:$E$1117,$E480,Versuchsdaten!$J$2:$J$1117,1),""))</f>
        <v/>
      </c>
      <c r="M480" s="22">
        <f>IF(LEFT(C480,7)&lt;&gt;"Sprint_","",IF(COUNTIFS(Versuchsdaten!$A$2:$A$1117,$A480,Versuchsdaten!$B$2:$B$1117,$B480,Versuchsdaten!$C$2:$C$1117,"Sprint_30m",Versuchsdaten!$E$2:$E$1117,$E480,Versuchsdaten!$J$2:$J$1117,1)=1,SUMIFS(Versuchsdaten!$F$2:$F$1117,Versuchsdaten!$A$2:$A$1117,$A480,Versuchsdaten!$B$2:$B$1117,$B480,Versuchsdaten!$C$2:$C$1117,"Sprint_30m",Versuchsdaten!$E$2:$E$1117,$E480,Versuchsdaten!$J$2:$J$1117,1),""))</f>
        <v/>
      </c>
      <c r="N480" s="22">
        <f>IF(LEFT(C480,7)&lt;&gt;"Sprint_",0,IF(IF(ISNUMBER(K480),IF(K480&lt;=0,1,IF(5/K480&gt;10,1,0)),0)+IF(ISNUMBER(L480),IF(ISNUMBER(K480),IF(L480-K480&lt;=0,1,IF(5/(L480-K480)&gt;10,1,0)),IF(L480&lt;=0,1,IF(10/L480&gt;10,1,0))),0)+IF(ISNUMBER(M480),IF(ISNUMBER(L480),IF(M480-L480&lt;=0,1,IF(20/(M480-L480)&gt;10,1,0)),IF(ISNUMBER(K480),IF(M480-K480&lt;=0,1,IF(25/(M480-K480)&gt;10,1,0)),IF(M480&lt;=0,1,IF(30/M480&gt;10,1,0)))),0)&gt;0,1,0))</f>
        <v/>
      </c>
      <c r="O480" s="22">
        <f>IF(AND(J480=1,N480=0),1,0)</f>
        <v/>
      </c>
      <c r="P480" s="22">
        <f>INDEX(Personendaten!$J$2:$J$32,MATCH(A480,Personendaten!$A$2:$A$32,0))</f>
        <v/>
      </c>
      <c r="Q480" s="22">
        <f>IF(O480=1,"",IF(AND(B480="post",P480="nicht angetreten"),"NANG",IF(N480=1,"AUSL",IFERROR(VLOOKUP(H480,Vokabular!$A$2:$B$8,2,FALSE),"UNBEKANNT"))))</f>
        <v/>
      </c>
    </row>
    <row r="481">
      <c r="A481" s="5" t="inlineStr">
        <is>
          <t>VS-10</t>
        </is>
      </c>
      <c r="B481" s="5" t="inlineStr">
        <is>
          <t>prä</t>
        </is>
      </c>
      <c r="C481" s="5" t="inlineStr">
        <is>
          <t>Standweitsprung</t>
        </is>
      </c>
      <c r="D481" s="5" t="inlineStr">
        <is>
          <t>–</t>
        </is>
      </c>
      <c r="E481" s="5" t="n">
        <v>3</v>
      </c>
      <c r="F481" s="5" t="n"/>
      <c r="G481" s="5" t="n"/>
      <c r="H481" s="5" t="inlineStr">
        <is>
          <t>Nur 2 Versuche aus Zeitmangel</t>
        </is>
      </c>
      <c r="I481" s="22">
        <f>INDEX(Personendaten!$C$2:$C$32,MATCH(A481,Personendaten!$A$2:$A$32,0))</f>
        <v/>
      </c>
      <c r="J481" s="22">
        <f>IF(AND(F481&lt;&gt;"",G481=""),1,0)</f>
        <v/>
      </c>
      <c r="K481" s="22">
        <f>IF(LEFT(C481,7)&lt;&gt;"Sprint_","",IF(COUNTIFS(Versuchsdaten!$A$2:$A$1117,$A481,Versuchsdaten!$B$2:$B$1117,$B481,Versuchsdaten!$C$2:$C$1117,"Sprint_5m",Versuchsdaten!$E$2:$E$1117,$E481,Versuchsdaten!$J$2:$J$1117,1)=1,SUMIFS(Versuchsdaten!$F$2:$F$1117,Versuchsdaten!$A$2:$A$1117,$A481,Versuchsdaten!$B$2:$B$1117,$B481,Versuchsdaten!$C$2:$C$1117,"Sprint_5m",Versuchsdaten!$E$2:$E$1117,$E481,Versuchsdaten!$J$2:$J$1117,1),""))</f>
        <v/>
      </c>
      <c r="L481" s="22">
        <f>IF(LEFT(C481,7)&lt;&gt;"Sprint_","",IF(COUNTIFS(Versuchsdaten!$A$2:$A$1117,$A481,Versuchsdaten!$B$2:$B$1117,$B481,Versuchsdaten!$C$2:$C$1117,"Sprint_10m",Versuchsdaten!$E$2:$E$1117,$E481,Versuchsdaten!$J$2:$J$1117,1)=1,SUMIFS(Versuchsdaten!$F$2:$F$1117,Versuchsdaten!$A$2:$A$1117,$A481,Versuchsdaten!$B$2:$B$1117,$B481,Versuchsdaten!$C$2:$C$1117,"Sprint_10m",Versuchsdaten!$E$2:$E$1117,$E481,Versuchsdaten!$J$2:$J$1117,1),""))</f>
        <v/>
      </c>
      <c r="M481" s="22">
        <f>IF(LEFT(C481,7)&lt;&gt;"Sprint_","",IF(COUNTIFS(Versuchsdaten!$A$2:$A$1117,$A481,Versuchsdaten!$B$2:$B$1117,$B481,Versuchsdaten!$C$2:$C$1117,"Sprint_30m",Versuchsdaten!$E$2:$E$1117,$E481,Versuchsdaten!$J$2:$J$1117,1)=1,SUMIFS(Versuchsdaten!$F$2:$F$1117,Versuchsdaten!$A$2:$A$1117,$A481,Versuchsdaten!$B$2:$B$1117,$B481,Versuchsdaten!$C$2:$C$1117,"Sprint_30m",Versuchsdaten!$E$2:$E$1117,$E481,Versuchsdaten!$J$2:$J$1117,1),""))</f>
        <v/>
      </c>
      <c r="N481" s="22">
        <f>IF(LEFT(C481,7)&lt;&gt;"Sprint_",0,IF(IF(ISNUMBER(K481),IF(K481&lt;=0,1,IF(5/K481&gt;10,1,0)),0)+IF(ISNUMBER(L481),IF(ISNUMBER(K481),IF(L481-K481&lt;=0,1,IF(5/(L481-K481)&gt;10,1,0)),IF(L481&lt;=0,1,IF(10/L481&gt;10,1,0))),0)+IF(ISNUMBER(M481),IF(ISNUMBER(L481),IF(M481-L481&lt;=0,1,IF(20/(M481-L481)&gt;10,1,0)),IF(ISNUMBER(K481),IF(M481-K481&lt;=0,1,IF(25/(M481-K481)&gt;10,1,0)),IF(M481&lt;=0,1,IF(30/M481&gt;10,1,0)))),0)&gt;0,1,0))</f>
        <v/>
      </c>
      <c r="O481" s="22">
        <f>IF(AND(J481=1,N481=0),1,0)</f>
        <v/>
      </c>
      <c r="P481" s="22">
        <f>INDEX(Personendaten!$J$2:$J$32,MATCH(A481,Personendaten!$A$2:$A$32,0))</f>
        <v/>
      </c>
      <c r="Q481" s="22">
        <f>IF(O481=1,"",IF(AND(B481="post",P481="nicht angetreten"),"NANG",IF(N481=1,"AUSL",IFERROR(VLOOKUP(H481,Vokabular!$A$2:$B$8,2,FALSE),"UNBEKANNT"))))</f>
        <v/>
      </c>
    </row>
    <row r="482">
      <c r="A482" s="5" t="inlineStr">
        <is>
          <t>VS-10</t>
        </is>
      </c>
      <c r="B482" s="5" t="inlineStr">
        <is>
          <t>prä</t>
        </is>
      </c>
      <c r="C482" s="5" t="inlineStr">
        <is>
          <t>COD_505</t>
        </is>
      </c>
      <c r="D482" s="5" t="inlineStr">
        <is>
          <t>L</t>
        </is>
      </c>
      <c r="E482" s="5" t="n">
        <v>1</v>
      </c>
      <c r="F482" s="5" t="n">
        <v>2.4</v>
      </c>
      <c r="G482" s="5" t="n"/>
      <c r="H482" s="5" t="n"/>
      <c r="I482" s="22">
        <f>INDEX(Personendaten!$C$2:$C$32,MATCH(A482,Personendaten!$A$2:$A$32,0))</f>
        <v/>
      </c>
      <c r="J482" s="22">
        <f>IF(AND(F482&lt;&gt;"",G482=""),1,0)</f>
        <v/>
      </c>
      <c r="K482" s="22">
        <f>IF(LEFT(C482,7)&lt;&gt;"Sprint_","",IF(COUNTIFS(Versuchsdaten!$A$2:$A$1117,$A482,Versuchsdaten!$B$2:$B$1117,$B482,Versuchsdaten!$C$2:$C$1117,"Sprint_5m",Versuchsdaten!$E$2:$E$1117,$E482,Versuchsdaten!$J$2:$J$1117,1)=1,SUMIFS(Versuchsdaten!$F$2:$F$1117,Versuchsdaten!$A$2:$A$1117,$A482,Versuchsdaten!$B$2:$B$1117,$B482,Versuchsdaten!$C$2:$C$1117,"Sprint_5m",Versuchsdaten!$E$2:$E$1117,$E482,Versuchsdaten!$J$2:$J$1117,1),""))</f>
        <v/>
      </c>
      <c r="L482" s="22">
        <f>IF(LEFT(C482,7)&lt;&gt;"Sprint_","",IF(COUNTIFS(Versuchsdaten!$A$2:$A$1117,$A482,Versuchsdaten!$B$2:$B$1117,$B482,Versuchsdaten!$C$2:$C$1117,"Sprint_10m",Versuchsdaten!$E$2:$E$1117,$E482,Versuchsdaten!$J$2:$J$1117,1)=1,SUMIFS(Versuchsdaten!$F$2:$F$1117,Versuchsdaten!$A$2:$A$1117,$A482,Versuchsdaten!$B$2:$B$1117,$B482,Versuchsdaten!$C$2:$C$1117,"Sprint_10m",Versuchsdaten!$E$2:$E$1117,$E482,Versuchsdaten!$J$2:$J$1117,1),""))</f>
        <v/>
      </c>
      <c r="M482" s="22">
        <f>IF(LEFT(C482,7)&lt;&gt;"Sprint_","",IF(COUNTIFS(Versuchsdaten!$A$2:$A$1117,$A482,Versuchsdaten!$B$2:$B$1117,$B482,Versuchsdaten!$C$2:$C$1117,"Sprint_30m",Versuchsdaten!$E$2:$E$1117,$E482,Versuchsdaten!$J$2:$J$1117,1)=1,SUMIFS(Versuchsdaten!$F$2:$F$1117,Versuchsdaten!$A$2:$A$1117,$A482,Versuchsdaten!$B$2:$B$1117,$B482,Versuchsdaten!$C$2:$C$1117,"Sprint_30m",Versuchsdaten!$E$2:$E$1117,$E482,Versuchsdaten!$J$2:$J$1117,1),""))</f>
        <v/>
      </c>
      <c r="N482" s="22">
        <f>IF(LEFT(C482,7)&lt;&gt;"Sprint_",0,IF(IF(ISNUMBER(K482),IF(K482&lt;=0,1,IF(5/K482&gt;10,1,0)),0)+IF(ISNUMBER(L482),IF(ISNUMBER(K482),IF(L482-K482&lt;=0,1,IF(5/(L482-K482)&gt;10,1,0)),IF(L482&lt;=0,1,IF(10/L482&gt;10,1,0))),0)+IF(ISNUMBER(M482),IF(ISNUMBER(L482),IF(M482-L482&lt;=0,1,IF(20/(M482-L482)&gt;10,1,0)),IF(ISNUMBER(K482),IF(M482-K482&lt;=0,1,IF(25/(M482-K482)&gt;10,1,0)),IF(M482&lt;=0,1,IF(30/M482&gt;10,1,0)))),0)&gt;0,1,0))</f>
        <v/>
      </c>
      <c r="O482" s="22">
        <f>IF(AND(J482=1,N482=0),1,0)</f>
        <v/>
      </c>
      <c r="P482" s="22">
        <f>INDEX(Personendaten!$J$2:$J$32,MATCH(A482,Personendaten!$A$2:$A$32,0))</f>
        <v/>
      </c>
      <c r="Q482" s="22">
        <f>IF(O482=1,"",IF(AND(B482="post",P482="nicht angetreten"),"NANG",IF(N482=1,"AUSL",IFERROR(VLOOKUP(H482,Vokabular!$A$2:$B$8,2,FALSE),"UNBEKANNT"))))</f>
        <v/>
      </c>
    </row>
    <row r="483">
      <c r="A483" s="5" t="inlineStr">
        <is>
          <t>VS-10</t>
        </is>
      </c>
      <c r="B483" s="5" t="inlineStr">
        <is>
          <t>prä</t>
        </is>
      </c>
      <c r="C483" s="5" t="inlineStr">
        <is>
          <t>COD_505</t>
        </is>
      </c>
      <c r="D483" s="5" t="inlineStr">
        <is>
          <t>L</t>
        </is>
      </c>
      <c r="E483" s="5" t="n">
        <v>2</v>
      </c>
      <c r="F483" s="5" t="n">
        <v>2.59</v>
      </c>
      <c r="G483" s="5" t="n"/>
      <c r="H483" s="5" t="n"/>
      <c r="I483" s="22">
        <f>INDEX(Personendaten!$C$2:$C$32,MATCH(A483,Personendaten!$A$2:$A$32,0))</f>
        <v/>
      </c>
      <c r="J483" s="22">
        <f>IF(AND(F483&lt;&gt;"",G483=""),1,0)</f>
        <v/>
      </c>
      <c r="K483" s="22">
        <f>IF(LEFT(C483,7)&lt;&gt;"Sprint_","",IF(COUNTIFS(Versuchsdaten!$A$2:$A$1117,$A483,Versuchsdaten!$B$2:$B$1117,$B483,Versuchsdaten!$C$2:$C$1117,"Sprint_5m",Versuchsdaten!$E$2:$E$1117,$E483,Versuchsdaten!$J$2:$J$1117,1)=1,SUMIFS(Versuchsdaten!$F$2:$F$1117,Versuchsdaten!$A$2:$A$1117,$A483,Versuchsdaten!$B$2:$B$1117,$B483,Versuchsdaten!$C$2:$C$1117,"Sprint_5m",Versuchsdaten!$E$2:$E$1117,$E483,Versuchsdaten!$J$2:$J$1117,1),""))</f>
        <v/>
      </c>
      <c r="L483" s="22">
        <f>IF(LEFT(C483,7)&lt;&gt;"Sprint_","",IF(COUNTIFS(Versuchsdaten!$A$2:$A$1117,$A483,Versuchsdaten!$B$2:$B$1117,$B483,Versuchsdaten!$C$2:$C$1117,"Sprint_10m",Versuchsdaten!$E$2:$E$1117,$E483,Versuchsdaten!$J$2:$J$1117,1)=1,SUMIFS(Versuchsdaten!$F$2:$F$1117,Versuchsdaten!$A$2:$A$1117,$A483,Versuchsdaten!$B$2:$B$1117,$B483,Versuchsdaten!$C$2:$C$1117,"Sprint_10m",Versuchsdaten!$E$2:$E$1117,$E483,Versuchsdaten!$J$2:$J$1117,1),""))</f>
        <v/>
      </c>
      <c r="M483" s="22">
        <f>IF(LEFT(C483,7)&lt;&gt;"Sprint_","",IF(COUNTIFS(Versuchsdaten!$A$2:$A$1117,$A483,Versuchsdaten!$B$2:$B$1117,$B483,Versuchsdaten!$C$2:$C$1117,"Sprint_30m",Versuchsdaten!$E$2:$E$1117,$E483,Versuchsdaten!$J$2:$J$1117,1)=1,SUMIFS(Versuchsdaten!$F$2:$F$1117,Versuchsdaten!$A$2:$A$1117,$A483,Versuchsdaten!$B$2:$B$1117,$B483,Versuchsdaten!$C$2:$C$1117,"Sprint_30m",Versuchsdaten!$E$2:$E$1117,$E483,Versuchsdaten!$J$2:$J$1117,1),""))</f>
        <v/>
      </c>
      <c r="N483" s="22">
        <f>IF(LEFT(C483,7)&lt;&gt;"Sprint_",0,IF(IF(ISNUMBER(K483),IF(K483&lt;=0,1,IF(5/K483&gt;10,1,0)),0)+IF(ISNUMBER(L483),IF(ISNUMBER(K483),IF(L483-K483&lt;=0,1,IF(5/(L483-K483)&gt;10,1,0)),IF(L483&lt;=0,1,IF(10/L483&gt;10,1,0))),0)+IF(ISNUMBER(M483),IF(ISNUMBER(L483),IF(M483-L483&lt;=0,1,IF(20/(M483-L483)&gt;10,1,0)),IF(ISNUMBER(K483),IF(M483-K483&lt;=0,1,IF(25/(M483-K483)&gt;10,1,0)),IF(M483&lt;=0,1,IF(30/M483&gt;10,1,0)))),0)&gt;0,1,0))</f>
        <v/>
      </c>
      <c r="O483" s="22">
        <f>IF(AND(J483=1,N483=0),1,0)</f>
        <v/>
      </c>
      <c r="P483" s="22">
        <f>INDEX(Personendaten!$J$2:$J$32,MATCH(A483,Personendaten!$A$2:$A$32,0))</f>
        <v/>
      </c>
      <c r="Q483" s="22">
        <f>IF(O483=1,"",IF(AND(B483="post",P483="nicht angetreten"),"NANG",IF(N483=1,"AUSL",IFERROR(VLOOKUP(H483,Vokabular!$A$2:$B$8,2,FALSE),"UNBEKANNT"))))</f>
        <v/>
      </c>
    </row>
    <row r="484">
      <c r="A484" s="5" t="inlineStr">
        <is>
          <t>VS-10</t>
        </is>
      </c>
      <c r="B484" s="5" t="inlineStr">
        <is>
          <t>prä</t>
        </is>
      </c>
      <c r="C484" s="5" t="inlineStr">
        <is>
          <t>COD_505</t>
        </is>
      </c>
      <c r="D484" s="5" t="inlineStr">
        <is>
          <t>L</t>
        </is>
      </c>
      <c r="E484" s="5" t="n">
        <v>3</v>
      </c>
      <c r="F484" s="5" t="n"/>
      <c r="G484" s="5" t="n"/>
      <c r="H484" s="5" t="inlineStr">
        <is>
          <t>Nur 2 Versuche aus Zeitmangel</t>
        </is>
      </c>
      <c r="I484" s="22">
        <f>INDEX(Personendaten!$C$2:$C$32,MATCH(A484,Personendaten!$A$2:$A$32,0))</f>
        <v/>
      </c>
      <c r="J484" s="22">
        <f>IF(AND(F484&lt;&gt;"",G484=""),1,0)</f>
        <v/>
      </c>
      <c r="K484" s="22">
        <f>IF(LEFT(C484,7)&lt;&gt;"Sprint_","",IF(COUNTIFS(Versuchsdaten!$A$2:$A$1117,$A484,Versuchsdaten!$B$2:$B$1117,$B484,Versuchsdaten!$C$2:$C$1117,"Sprint_5m",Versuchsdaten!$E$2:$E$1117,$E484,Versuchsdaten!$J$2:$J$1117,1)=1,SUMIFS(Versuchsdaten!$F$2:$F$1117,Versuchsdaten!$A$2:$A$1117,$A484,Versuchsdaten!$B$2:$B$1117,$B484,Versuchsdaten!$C$2:$C$1117,"Sprint_5m",Versuchsdaten!$E$2:$E$1117,$E484,Versuchsdaten!$J$2:$J$1117,1),""))</f>
        <v/>
      </c>
      <c r="L484" s="22">
        <f>IF(LEFT(C484,7)&lt;&gt;"Sprint_","",IF(COUNTIFS(Versuchsdaten!$A$2:$A$1117,$A484,Versuchsdaten!$B$2:$B$1117,$B484,Versuchsdaten!$C$2:$C$1117,"Sprint_10m",Versuchsdaten!$E$2:$E$1117,$E484,Versuchsdaten!$J$2:$J$1117,1)=1,SUMIFS(Versuchsdaten!$F$2:$F$1117,Versuchsdaten!$A$2:$A$1117,$A484,Versuchsdaten!$B$2:$B$1117,$B484,Versuchsdaten!$C$2:$C$1117,"Sprint_10m",Versuchsdaten!$E$2:$E$1117,$E484,Versuchsdaten!$J$2:$J$1117,1),""))</f>
        <v/>
      </c>
      <c r="M484" s="22">
        <f>IF(LEFT(C484,7)&lt;&gt;"Sprint_","",IF(COUNTIFS(Versuchsdaten!$A$2:$A$1117,$A484,Versuchsdaten!$B$2:$B$1117,$B484,Versuchsdaten!$C$2:$C$1117,"Sprint_30m",Versuchsdaten!$E$2:$E$1117,$E484,Versuchsdaten!$J$2:$J$1117,1)=1,SUMIFS(Versuchsdaten!$F$2:$F$1117,Versuchsdaten!$A$2:$A$1117,$A484,Versuchsdaten!$B$2:$B$1117,$B484,Versuchsdaten!$C$2:$C$1117,"Sprint_30m",Versuchsdaten!$E$2:$E$1117,$E484,Versuchsdaten!$J$2:$J$1117,1),""))</f>
        <v/>
      </c>
      <c r="N484" s="22">
        <f>IF(LEFT(C484,7)&lt;&gt;"Sprint_",0,IF(IF(ISNUMBER(K484),IF(K484&lt;=0,1,IF(5/K484&gt;10,1,0)),0)+IF(ISNUMBER(L484),IF(ISNUMBER(K484),IF(L484-K484&lt;=0,1,IF(5/(L484-K484)&gt;10,1,0)),IF(L484&lt;=0,1,IF(10/L484&gt;10,1,0))),0)+IF(ISNUMBER(M484),IF(ISNUMBER(L484),IF(M484-L484&lt;=0,1,IF(20/(M484-L484)&gt;10,1,0)),IF(ISNUMBER(K484),IF(M484-K484&lt;=0,1,IF(25/(M484-K484)&gt;10,1,0)),IF(M484&lt;=0,1,IF(30/M484&gt;10,1,0)))),0)&gt;0,1,0))</f>
        <v/>
      </c>
      <c r="O484" s="22">
        <f>IF(AND(J484=1,N484=0),1,0)</f>
        <v/>
      </c>
      <c r="P484" s="22">
        <f>INDEX(Personendaten!$J$2:$J$32,MATCH(A484,Personendaten!$A$2:$A$32,0))</f>
        <v/>
      </c>
      <c r="Q484" s="22">
        <f>IF(O484=1,"",IF(AND(B484="post",P484="nicht angetreten"),"NANG",IF(N484=1,"AUSL",IFERROR(VLOOKUP(H484,Vokabular!$A$2:$B$8,2,FALSE),"UNBEKANNT"))))</f>
        <v/>
      </c>
    </row>
    <row r="485">
      <c r="A485" s="5" t="inlineStr">
        <is>
          <t>VS-10</t>
        </is>
      </c>
      <c r="B485" s="5" t="inlineStr">
        <is>
          <t>prä</t>
        </is>
      </c>
      <c r="C485" s="5" t="inlineStr">
        <is>
          <t>COD_505</t>
        </is>
      </c>
      <c r="D485" s="5" t="inlineStr">
        <is>
          <t>R</t>
        </is>
      </c>
      <c r="E485" s="5" t="n">
        <v>1</v>
      </c>
      <c r="F485" s="5" t="n">
        <v>2.55</v>
      </c>
      <c r="G485" s="5" t="n"/>
      <c r="H485" s="5" t="n"/>
      <c r="I485" s="22">
        <f>INDEX(Personendaten!$C$2:$C$32,MATCH(A485,Personendaten!$A$2:$A$32,0))</f>
        <v/>
      </c>
      <c r="J485" s="22">
        <f>IF(AND(F485&lt;&gt;"",G485=""),1,0)</f>
        <v/>
      </c>
      <c r="K485" s="22">
        <f>IF(LEFT(C485,7)&lt;&gt;"Sprint_","",IF(COUNTIFS(Versuchsdaten!$A$2:$A$1117,$A485,Versuchsdaten!$B$2:$B$1117,$B485,Versuchsdaten!$C$2:$C$1117,"Sprint_5m",Versuchsdaten!$E$2:$E$1117,$E485,Versuchsdaten!$J$2:$J$1117,1)=1,SUMIFS(Versuchsdaten!$F$2:$F$1117,Versuchsdaten!$A$2:$A$1117,$A485,Versuchsdaten!$B$2:$B$1117,$B485,Versuchsdaten!$C$2:$C$1117,"Sprint_5m",Versuchsdaten!$E$2:$E$1117,$E485,Versuchsdaten!$J$2:$J$1117,1),""))</f>
        <v/>
      </c>
      <c r="L485" s="22">
        <f>IF(LEFT(C485,7)&lt;&gt;"Sprint_","",IF(COUNTIFS(Versuchsdaten!$A$2:$A$1117,$A485,Versuchsdaten!$B$2:$B$1117,$B485,Versuchsdaten!$C$2:$C$1117,"Sprint_10m",Versuchsdaten!$E$2:$E$1117,$E485,Versuchsdaten!$J$2:$J$1117,1)=1,SUMIFS(Versuchsdaten!$F$2:$F$1117,Versuchsdaten!$A$2:$A$1117,$A485,Versuchsdaten!$B$2:$B$1117,$B485,Versuchsdaten!$C$2:$C$1117,"Sprint_10m",Versuchsdaten!$E$2:$E$1117,$E485,Versuchsdaten!$J$2:$J$1117,1),""))</f>
        <v/>
      </c>
      <c r="M485" s="22">
        <f>IF(LEFT(C485,7)&lt;&gt;"Sprint_","",IF(COUNTIFS(Versuchsdaten!$A$2:$A$1117,$A485,Versuchsdaten!$B$2:$B$1117,$B485,Versuchsdaten!$C$2:$C$1117,"Sprint_30m",Versuchsdaten!$E$2:$E$1117,$E485,Versuchsdaten!$J$2:$J$1117,1)=1,SUMIFS(Versuchsdaten!$F$2:$F$1117,Versuchsdaten!$A$2:$A$1117,$A485,Versuchsdaten!$B$2:$B$1117,$B485,Versuchsdaten!$C$2:$C$1117,"Sprint_30m",Versuchsdaten!$E$2:$E$1117,$E485,Versuchsdaten!$J$2:$J$1117,1),""))</f>
        <v/>
      </c>
      <c r="N485" s="22">
        <f>IF(LEFT(C485,7)&lt;&gt;"Sprint_",0,IF(IF(ISNUMBER(K485),IF(K485&lt;=0,1,IF(5/K485&gt;10,1,0)),0)+IF(ISNUMBER(L485),IF(ISNUMBER(K485),IF(L485-K485&lt;=0,1,IF(5/(L485-K485)&gt;10,1,0)),IF(L485&lt;=0,1,IF(10/L485&gt;10,1,0))),0)+IF(ISNUMBER(M485),IF(ISNUMBER(L485),IF(M485-L485&lt;=0,1,IF(20/(M485-L485)&gt;10,1,0)),IF(ISNUMBER(K485),IF(M485-K485&lt;=0,1,IF(25/(M485-K485)&gt;10,1,0)),IF(M485&lt;=0,1,IF(30/M485&gt;10,1,0)))),0)&gt;0,1,0))</f>
        <v/>
      </c>
      <c r="O485" s="22">
        <f>IF(AND(J485=1,N485=0),1,0)</f>
        <v/>
      </c>
      <c r="P485" s="22">
        <f>INDEX(Personendaten!$J$2:$J$32,MATCH(A485,Personendaten!$A$2:$A$32,0))</f>
        <v/>
      </c>
      <c r="Q485" s="22">
        <f>IF(O485=1,"",IF(AND(B485="post",P485="nicht angetreten"),"NANG",IF(N485=1,"AUSL",IFERROR(VLOOKUP(H485,Vokabular!$A$2:$B$8,2,FALSE),"UNBEKANNT"))))</f>
        <v/>
      </c>
    </row>
    <row r="486">
      <c r="A486" s="5" t="inlineStr">
        <is>
          <t>VS-10</t>
        </is>
      </c>
      <c r="B486" s="5" t="inlineStr">
        <is>
          <t>prä</t>
        </is>
      </c>
      <c r="C486" s="5" t="inlineStr">
        <is>
          <t>COD_505</t>
        </is>
      </c>
      <c r="D486" s="5" t="inlineStr">
        <is>
          <t>R</t>
        </is>
      </c>
      <c r="E486" s="5" t="n">
        <v>2</v>
      </c>
      <c r="F486" s="5" t="n">
        <v>2.41</v>
      </c>
      <c r="G486" s="5" t="n"/>
      <c r="H486" s="5" t="n"/>
      <c r="I486" s="22">
        <f>INDEX(Personendaten!$C$2:$C$32,MATCH(A486,Personendaten!$A$2:$A$32,0))</f>
        <v/>
      </c>
      <c r="J486" s="22">
        <f>IF(AND(F486&lt;&gt;"",G486=""),1,0)</f>
        <v/>
      </c>
      <c r="K486" s="22">
        <f>IF(LEFT(C486,7)&lt;&gt;"Sprint_","",IF(COUNTIFS(Versuchsdaten!$A$2:$A$1117,$A486,Versuchsdaten!$B$2:$B$1117,$B486,Versuchsdaten!$C$2:$C$1117,"Sprint_5m",Versuchsdaten!$E$2:$E$1117,$E486,Versuchsdaten!$J$2:$J$1117,1)=1,SUMIFS(Versuchsdaten!$F$2:$F$1117,Versuchsdaten!$A$2:$A$1117,$A486,Versuchsdaten!$B$2:$B$1117,$B486,Versuchsdaten!$C$2:$C$1117,"Sprint_5m",Versuchsdaten!$E$2:$E$1117,$E486,Versuchsdaten!$J$2:$J$1117,1),""))</f>
        <v/>
      </c>
      <c r="L486" s="22">
        <f>IF(LEFT(C486,7)&lt;&gt;"Sprint_","",IF(COUNTIFS(Versuchsdaten!$A$2:$A$1117,$A486,Versuchsdaten!$B$2:$B$1117,$B486,Versuchsdaten!$C$2:$C$1117,"Sprint_10m",Versuchsdaten!$E$2:$E$1117,$E486,Versuchsdaten!$J$2:$J$1117,1)=1,SUMIFS(Versuchsdaten!$F$2:$F$1117,Versuchsdaten!$A$2:$A$1117,$A486,Versuchsdaten!$B$2:$B$1117,$B486,Versuchsdaten!$C$2:$C$1117,"Sprint_10m",Versuchsdaten!$E$2:$E$1117,$E486,Versuchsdaten!$J$2:$J$1117,1),""))</f>
        <v/>
      </c>
      <c r="M486" s="22">
        <f>IF(LEFT(C486,7)&lt;&gt;"Sprint_","",IF(COUNTIFS(Versuchsdaten!$A$2:$A$1117,$A486,Versuchsdaten!$B$2:$B$1117,$B486,Versuchsdaten!$C$2:$C$1117,"Sprint_30m",Versuchsdaten!$E$2:$E$1117,$E486,Versuchsdaten!$J$2:$J$1117,1)=1,SUMIFS(Versuchsdaten!$F$2:$F$1117,Versuchsdaten!$A$2:$A$1117,$A486,Versuchsdaten!$B$2:$B$1117,$B486,Versuchsdaten!$C$2:$C$1117,"Sprint_30m",Versuchsdaten!$E$2:$E$1117,$E486,Versuchsdaten!$J$2:$J$1117,1),""))</f>
        <v/>
      </c>
      <c r="N486" s="22">
        <f>IF(LEFT(C486,7)&lt;&gt;"Sprint_",0,IF(IF(ISNUMBER(K486),IF(K486&lt;=0,1,IF(5/K486&gt;10,1,0)),0)+IF(ISNUMBER(L486),IF(ISNUMBER(K486),IF(L486-K486&lt;=0,1,IF(5/(L486-K486)&gt;10,1,0)),IF(L486&lt;=0,1,IF(10/L486&gt;10,1,0))),0)+IF(ISNUMBER(M486),IF(ISNUMBER(L486),IF(M486-L486&lt;=0,1,IF(20/(M486-L486)&gt;10,1,0)),IF(ISNUMBER(K486),IF(M486-K486&lt;=0,1,IF(25/(M486-K486)&gt;10,1,0)),IF(M486&lt;=0,1,IF(30/M486&gt;10,1,0)))),0)&gt;0,1,0))</f>
        <v/>
      </c>
      <c r="O486" s="22">
        <f>IF(AND(J486=1,N486=0),1,0)</f>
        <v/>
      </c>
      <c r="P486" s="22">
        <f>INDEX(Personendaten!$J$2:$J$32,MATCH(A486,Personendaten!$A$2:$A$32,0))</f>
        <v/>
      </c>
      <c r="Q486" s="22">
        <f>IF(O486=1,"",IF(AND(B486="post",P486="nicht angetreten"),"NANG",IF(N486=1,"AUSL",IFERROR(VLOOKUP(H486,Vokabular!$A$2:$B$8,2,FALSE),"UNBEKANNT"))))</f>
        <v/>
      </c>
    </row>
    <row r="487">
      <c r="A487" s="5" t="inlineStr">
        <is>
          <t>VS-10</t>
        </is>
      </c>
      <c r="B487" s="5" t="inlineStr">
        <is>
          <t>prä</t>
        </is>
      </c>
      <c r="C487" s="5" t="inlineStr">
        <is>
          <t>COD_505</t>
        </is>
      </c>
      <c r="D487" s="5" t="inlineStr">
        <is>
          <t>R</t>
        </is>
      </c>
      <c r="E487" s="5" t="n">
        <v>3</v>
      </c>
      <c r="F487" s="5" t="n"/>
      <c r="G487" s="5" t="n"/>
      <c r="H487" s="5" t="inlineStr">
        <is>
          <t>Nur 2 Versuche aus Zeitmangel</t>
        </is>
      </c>
      <c r="I487" s="22">
        <f>INDEX(Personendaten!$C$2:$C$32,MATCH(A487,Personendaten!$A$2:$A$32,0))</f>
        <v/>
      </c>
      <c r="J487" s="22">
        <f>IF(AND(F487&lt;&gt;"",G487=""),1,0)</f>
        <v/>
      </c>
      <c r="K487" s="22">
        <f>IF(LEFT(C487,7)&lt;&gt;"Sprint_","",IF(COUNTIFS(Versuchsdaten!$A$2:$A$1117,$A487,Versuchsdaten!$B$2:$B$1117,$B487,Versuchsdaten!$C$2:$C$1117,"Sprint_5m",Versuchsdaten!$E$2:$E$1117,$E487,Versuchsdaten!$J$2:$J$1117,1)=1,SUMIFS(Versuchsdaten!$F$2:$F$1117,Versuchsdaten!$A$2:$A$1117,$A487,Versuchsdaten!$B$2:$B$1117,$B487,Versuchsdaten!$C$2:$C$1117,"Sprint_5m",Versuchsdaten!$E$2:$E$1117,$E487,Versuchsdaten!$J$2:$J$1117,1),""))</f>
        <v/>
      </c>
      <c r="L487" s="22">
        <f>IF(LEFT(C487,7)&lt;&gt;"Sprint_","",IF(COUNTIFS(Versuchsdaten!$A$2:$A$1117,$A487,Versuchsdaten!$B$2:$B$1117,$B487,Versuchsdaten!$C$2:$C$1117,"Sprint_10m",Versuchsdaten!$E$2:$E$1117,$E487,Versuchsdaten!$J$2:$J$1117,1)=1,SUMIFS(Versuchsdaten!$F$2:$F$1117,Versuchsdaten!$A$2:$A$1117,$A487,Versuchsdaten!$B$2:$B$1117,$B487,Versuchsdaten!$C$2:$C$1117,"Sprint_10m",Versuchsdaten!$E$2:$E$1117,$E487,Versuchsdaten!$J$2:$J$1117,1),""))</f>
        <v/>
      </c>
      <c r="M487" s="22">
        <f>IF(LEFT(C487,7)&lt;&gt;"Sprint_","",IF(COUNTIFS(Versuchsdaten!$A$2:$A$1117,$A487,Versuchsdaten!$B$2:$B$1117,$B487,Versuchsdaten!$C$2:$C$1117,"Sprint_30m",Versuchsdaten!$E$2:$E$1117,$E487,Versuchsdaten!$J$2:$J$1117,1)=1,SUMIFS(Versuchsdaten!$F$2:$F$1117,Versuchsdaten!$A$2:$A$1117,$A487,Versuchsdaten!$B$2:$B$1117,$B487,Versuchsdaten!$C$2:$C$1117,"Sprint_30m",Versuchsdaten!$E$2:$E$1117,$E487,Versuchsdaten!$J$2:$J$1117,1),""))</f>
        <v/>
      </c>
      <c r="N487" s="22">
        <f>IF(LEFT(C487,7)&lt;&gt;"Sprint_",0,IF(IF(ISNUMBER(K487),IF(K487&lt;=0,1,IF(5/K487&gt;10,1,0)),0)+IF(ISNUMBER(L487),IF(ISNUMBER(K487),IF(L487-K487&lt;=0,1,IF(5/(L487-K487)&gt;10,1,0)),IF(L487&lt;=0,1,IF(10/L487&gt;10,1,0))),0)+IF(ISNUMBER(M487),IF(ISNUMBER(L487),IF(M487-L487&lt;=0,1,IF(20/(M487-L487)&gt;10,1,0)),IF(ISNUMBER(K487),IF(M487-K487&lt;=0,1,IF(25/(M487-K487)&gt;10,1,0)),IF(M487&lt;=0,1,IF(30/M487&gt;10,1,0)))),0)&gt;0,1,0))</f>
        <v/>
      </c>
      <c r="O487" s="22">
        <f>IF(AND(J487=1,N487=0),1,0)</f>
        <v/>
      </c>
      <c r="P487" s="22">
        <f>INDEX(Personendaten!$J$2:$J$32,MATCH(A487,Personendaten!$A$2:$A$32,0))</f>
        <v/>
      </c>
      <c r="Q487" s="22">
        <f>IF(O487=1,"",IF(AND(B487="post",P487="nicht angetreten"),"NANG",IF(N487=1,"AUSL",IFERROR(VLOOKUP(H487,Vokabular!$A$2:$B$8,2,FALSE),"UNBEKANNT"))))</f>
        <v/>
      </c>
    </row>
    <row r="488">
      <c r="A488" s="5" t="inlineStr">
        <is>
          <t>VS-11</t>
        </is>
      </c>
      <c r="B488" s="5" t="inlineStr">
        <is>
          <t>prä</t>
        </is>
      </c>
      <c r="C488" s="5" t="inlineStr">
        <is>
          <t>Sprint_5m</t>
        </is>
      </c>
      <c r="D488" s="5" t="inlineStr">
        <is>
          <t>–</t>
        </is>
      </c>
      <c r="E488" s="5" t="n">
        <v>1</v>
      </c>
      <c r="F488" s="5" t="n"/>
      <c r="G488" s="5" t="n"/>
      <c r="H488" s="5" t="inlineStr">
        <is>
          <t>System nicht aufgenommen</t>
        </is>
      </c>
      <c r="I488" s="22">
        <f>INDEX(Personendaten!$C$2:$C$32,MATCH(A488,Personendaten!$A$2:$A$32,0))</f>
        <v/>
      </c>
      <c r="J488" s="22">
        <f>IF(AND(F488&lt;&gt;"",G488=""),1,0)</f>
        <v/>
      </c>
      <c r="K488" s="22">
        <f>IF(LEFT(C488,7)&lt;&gt;"Sprint_","",IF(COUNTIFS(Versuchsdaten!$A$2:$A$1117,$A488,Versuchsdaten!$B$2:$B$1117,$B488,Versuchsdaten!$C$2:$C$1117,"Sprint_5m",Versuchsdaten!$E$2:$E$1117,$E488,Versuchsdaten!$J$2:$J$1117,1)=1,SUMIFS(Versuchsdaten!$F$2:$F$1117,Versuchsdaten!$A$2:$A$1117,$A488,Versuchsdaten!$B$2:$B$1117,$B488,Versuchsdaten!$C$2:$C$1117,"Sprint_5m",Versuchsdaten!$E$2:$E$1117,$E488,Versuchsdaten!$J$2:$J$1117,1),""))</f>
        <v/>
      </c>
      <c r="L488" s="22">
        <f>IF(LEFT(C488,7)&lt;&gt;"Sprint_","",IF(COUNTIFS(Versuchsdaten!$A$2:$A$1117,$A488,Versuchsdaten!$B$2:$B$1117,$B488,Versuchsdaten!$C$2:$C$1117,"Sprint_10m",Versuchsdaten!$E$2:$E$1117,$E488,Versuchsdaten!$J$2:$J$1117,1)=1,SUMIFS(Versuchsdaten!$F$2:$F$1117,Versuchsdaten!$A$2:$A$1117,$A488,Versuchsdaten!$B$2:$B$1117,$B488,Versuchsdaten!$C$2:$C$1117,"Sprint_10m",Versuchsdaten!$E$2:$E$1117,$E488,Versuchsdaten!$J$2:$J$1117,1),""))</f>
        <v/>
      </c>
      <c r="M488" s="22">
        <f>IF(LEFT(C488,7)&lt;&gt;"Sprint_","",IF(COUNTIFS(Versuchsdaten!$A$2:$A$1117,$A488,Versuchsdaten!$B$2:$B$1117,$B488,Versuchsdaten!$C$2:$C$1117,"Sprint_30m",Versuchsdaten!$E$2:$E$1117,$E488,Versuchsdaten!$J$2:$J$1117,1)=1,SUMIFS(Versuchsdaten!$F$2:$F$1117,Versuchsdaten!$A$2:$A$1117,$A488,Versuchsdaten!$B$2:$B$1117,$B488,Versuchsdaten!$C$2:$C$1117,"Sprint_30m",Versuchsdaten!$E$2:$E$1117,$E488,Versuchsdaten!$J$2:$J$1117,1),""))</f>
        <v/>
      </c>
      <c r="N488" s="22">
        <f>IF(LEFT(C488,7)&lt;&gt;"Sprint_",0,IF(IF(ISNUMBER(K488),IF(K488&lt;=0,1,IF(5/K488&gt;10,1,0)),0)+IF(ISNUMBER(L488),IF(ISNUMBER(K488),IF(L488-K488&lt;=0,1,IF(5/(L488-K488)&gt;10,1,0)),IF(L488&lt;=0,1,IF(10/L488&gt;10,1,0))),0)+IF(ISNUMBER(M488),IF(ISNUMBER(L488),IF(M488-L488&lt;=0,1,IF(20/(M488-L488)&gt;10,1,0)),IF(ISNUMBER(K488),IF(M488-K488&lt;=0,1,IF(25/(M488-K488)&gt;10,1,0)),IF(M488&lt;=0,1,IF(30/M488&gt;10,1,0)))),0)&gt;0,1,0))</f>
        <v/>
      </c>
      <c r="O488" s="22">
        <f>IF(AND(J488=1,N488=0),1,0)</f>
        <v/>
      </c>
      <c r="P488" s="22">
        <f>INDEX(Personendaten!$J$2:$J$32,MATCH(A488,Personendaten!$A$2:$A$32,0))</f>
        <v/>
      </c>
      <c r="Q488" s="22">
        <f>IF(O488=1,"",IF(AND(B488="post",P488="nicht angetreten"),"NANG",IF(N488=1,"AUSL",IFERROR(VLOOKUP(H488,Vokabular!$A$2:$B$8,2,FALSE),"UNBEKANNT"))))</f>
        <v/>
      </c>
    </row>
    <row r="489">
      <c r="A489" s="5" t="inlineStr">
        <is>
          <t>VS-11</t>
        </is>
      </c>
      <c r="B489" s="5" t="inlineStr">
        <is>
          <t>prä</t>
        </is>
      </c>
      <c r="C489" s="5" t="inlineStr">
        <is>
          <t>Sprint_5m</t>
        </is>
      </c>
      <c r="D489" s="5" t="inlineStr">
        <is>
          <t>–</t>
        </is>
      </c>
      <c r="E489" s="5" t="n">
        <v>2</v>
      </c>
      <c r="F489" s="5" t="n"/>
      <c r="G489" s="5" t="n"/>
      <c r="H489" s="5" t="inlineStr">
        <is>
          <t>System nicht aufgenommen</t>
        </is>
      </c>
      <c r="I489" s="22">
        <f>INDEX(Personendaten!$C$2:$C$32,MATCH(A489,Personendaten!$A$2:$A$32,0))</f>
        <v/>
      </c>
      <c r="J489" s="22">
        <f>IF(AND(F489&lt;&gt;"",G489=""),1,0)</f>
        <v/>
      </c>
      <c r="K489" s="22">
        <f>IF(LEFT(C489,7)&lt;&gt;"Sprint_","",IF(COUNTIFS(Versuchsdaten!$A$2:$A$1117,$A489,Versuchsdaten!$B$2:$B$1117,$B489,Versuchsdaten!$C$2:$C$1117,"Sprint_5m",Versuchsdaten!$E$2:$E$1117,$E489,Versuchsdaten!$J$2:$J$1117,1)=1,SUMIFS(Versuchsdaten!$F$2:$F$1117,Versuchsdaten!$A$2:$A$1117,$A489,Versuchsdaten!$B$2:$B$1117,$B489,Versuchsdaten!$C$2:$C$1117,"Sprint_5m",Versuchsdaten!$E$2:$E$1117,$E489,Versuchsdaten!$J$2:$J$1117,1),""))</f>
        <v/>
      </c>
      <c r="L489" s="22">
        <f>IF(LEFT(C489,7)&lt;&gt;"Sprint_","",IF(COUNTIFS(Versuchsdaten!$A$2:$A$1117,$A489,Versuchsdaten!$B$2:$B$1117,$B489,Versuchsdaten!$C$2:$C$1117,"Sprint_10m",Versuchsdaten!$E$2:$E$1117,$E489,Versuchsdaten!$J$2:$J$1117,1)=1,SUMIFS(Versuchsdaten!$F$2:$F$1117,Versuchsdaten!$A$2:$A$1117,$A489,Versuchsdaten!$B$2:$B$1117,$B489,Versuchsdaten!$C$2:$C$1117,"Sprint_10m",Versuchsdaten!$E$2:$E$1117,$E489,Versuchsdaten!$J$2:$J$1117,1),""))</f>
        <v/>
      </c>
      <c r="M489" s="22">
        <f>IF(LEFT(C489,7)&lt;&gt;"Sprint_","",IF(COUNTIFS(Versuchsdaten!$A$2:$A$1117,$A489,Versuchsdaten!$B$2:$B$1117,$B489,Versuchsdaten!$C$2:$C$1117,"Sprint_30m",Versuchsdaten!$E$2:$E$1117,$E489,Versuchsdaten!$J$2:$J$1117,1)=1,SUMIFS(Versuchsdaten!$F$2:$F$1117,Versuchsdaten!$A$2:$A$1117,$A489,Versuchsdaten!$B$2:$B$1117,$B489,Versuchsdaten!$C$2:$C$1117,"Sprint_30m",Versuchsdaten!$E$2:$E$1117,$E489,Versuchsdaten!$J$2:$J$1117,1),""))</f>
        <v/>
      </c>
      <c r="N489" s="22">
        <f>IF(LEFT(C489,7)&lt;&gt;"Sprint_",0,IF(IF(ISNUMBER(K489),IF(K489&lt;=0,1,IF(5/K489&gt;10,1,0)),0)+IF(ISNUMBER(L489),IF(ISNUMBER(K489),IF(L489-K489&lt;=0,1,IF(5/(L489-K489)&gt;10,1,0)),IF(L489&lt;=0,1,IF(10/L489&gt;10,1,0))),0)+IF(ISNUMBER(M489),IF(ISNUMBER(L489),IF(M489-L489&lt;=0,1,IF(20/(M489-L489)&gt;10,1,0)),IF(ISNUMBER(K489),IF(M489-K489&lt;=0,1,IF(25/(M489-K489)&gt;10,1,0)),IF(M489&lt;=0,1,IF(30/M489&gt;10,1,0)))),0)&gt;0,1,0))</f>
        <v/>
      </c>
      <c r="O489" s="22">
        <f>IF(AND(J489=1,N489=0),1,0)</f>
        <v/>
      </c>
      <c r="P489" s="22">
        <f>INDEX(Personendaten!$J$2:$J$32,MATCH(A489,Personendaten!$A$2:$A$32,0))</f>
        <v/>
      </c>
      <c r="Q489" s="22">
        <f>IF(O489=1,"",IF(AND(B489="post",P489="nicht angetreten"),"NANG",IF(N489=1,"AUSL",IFERROR(VLOOKUP(H489,Vokabular!$A$2:$B$8,2,FALSE),"UNBEKANNT"))))</f>
        <v/>
      </c>
    </row>
    <row r="490">
      <c r="A490" s="5" t="inlineStr">
        <is>
          <t>VS-11</t>
        </is>
      </c>
      <c r="B490" s="5" t="inlineStr">
        <is>
          <t>prä</t>
        </is>
      </c>
      <c r="C490" s="5" t="inlineStr">
        <is>
          <t>Sprint_5m</t>
        </is>
      </c>
      <c r="D490" s="5" t="inlineStr">
        <is>
          <t>–</t>
        </is>
      </c>
      <c r="E490" s="5" t="n">
        <v>3</v>
      </c>
      <c r="F490" s="5" t="n">
        <v>1.18</v>
      </c>
      <c r="G490" s="5" t="n"/>
      <c r="H490" s="5" t="n"/>
      <c r="I490" s="22">
        <f>INDEX(Personendaten!$C$2:$C$32,MATCH(A490,Personendaten!$A$2:$A$32,0))</f>
        <v/>
      </c>
      <c r="J490" s="22">
        <f>IF(AND(F490&lt;&gt;"",G490=""),1,0)</f>
        <v/>
      </c>
      <c r="K490" s="22">
        <f>IF(LEFT(C490,7)&lt;&gt;"Sprint_","",IF(COUNTIFS(Versuchsdaten!$A$2:$A$1117,$A490,Versuchsdaten!$B$2:$B$1117,$B490,Versuchsdaten!$C$2:$C$1117,"Sprint_5m",Versuchsdaten!$E$2:$E$1117,$E490,Versuchsdaten!$J$2:$J$1117,1)=1,SUMIFS(Versuchsdaten!$F$2:$F$1117,Versuchsdaten!$A$2:$A$1117,$A490,Versuchsdaten!$B$2:$B$1117,$B490,Versuchsdaten!$C$2:$C$1117,"Sprint_5m",Versuchsdaten!$E$2:$E$1117,$E490,Versuchsdaten!$J$2:$J$1117,1),""))</f>
        <v/>
      </c>
      <c r="L490" s="22">
        <f>IF(LEFT(C490,7)&lt;&gt;"Sprint_","",IF(COUNTIFS(Versuchsdaten!$A$2:$A$1117,$A490,Versuchsdaten!$B$2:$B$1117,$B490,Versuchsdaten!$C$2:$C$1117,"Sprint_10m",Versuchsdaten!$E$2:$E$1117,$E490,Versuchsdaten!$J$2:$J$1117,1)=1,SUMIFS(Versuchsdaten!$F$2:$F$1117,Versuchsdaten!$A$2:$A$1117,$A490,Versuchsdaten!$B$2:$B$1117,$B490,Versuchsdaten!$C$2:$C$1117,"Sprint_10m",Versuchsdaten!$E$2:$E$1117,$E490,Versuchsdaten!$J$2:$J$1117,1),""))</f>
        <v/>
      </c>
      <c r="M490" s="22">
        <f>IF(LEFT(C490,7)&lt;&gt;"Sprint_","",IF(COUNTIFS(Versuchsdaten!$A$2:$A$1117,$A490,Versuchsdaten!$B$2:$B$1117,$B490,Versuchsdaten!$C$2:$C$1117,"Sprint_30m",Versuchsdaten!$E$2:$E$1117,$E490,Versuchsdaten!$J$2:$J$1117,1)=1,SUMIFS(Versuchsdaten!$F$2:$F$1117,Versuchsdaten!$A$2:$A$1117,$A490,Versuchsdaten!$B$2:$B$1117,$B490,Versuchsdaten!$C$2:$C$1117,"Sprint_30m",Versuchsdaten!$E$2:$E$1117,$E490,Versuchsdaten!$J$2:$J$1117,1),""))</f>
        <v/>
      </c>
      <c r="N490" s="22">
        <f>IF(LEFT(C490,7)&lt;&gt;"Sprint_",0,IF(IF(ISNUMBER(K490),IF(K490&lt;=0,1,IF(5/K490&gt;10,1,0)),0)+IF(ISNUMBER(L490),IF(ISNUMBER(K490),IF(L490-K490&lt;=0,1,IF(5/(L490-K490)&gt;10,1,0)),IF(L490&lt;=0,1,IF(10/L490&gt;10,1,0))),0)+IF(ISNUMBER(M490),IF(ISNUMBER(L490),IF(M490-L490&lt;=0,1,IF(20/(M490-L490)&gt;10,1,0)),IF(ISNUMBER(K490),IF(M490-K490&lt;=0,1,IF(25/(M490-K490)&gt;10,1,0)),IF(M490&lt;=0,1,IF(30/M490&gt;10,1,0)))),0)&gt;0,1,0))</f>
        <v/>
      </c>
      <c r="O490" s="22">
        <f>IF(AND(J490=1,N490=0),1,0)</f>
        <v/>
      </c>
      <c r="P490" s="22">
        <f>INDEX(Personendaten!$J$2:$J$32,MATCH(A490,Personendaten!$A$2:$A$32,0))</f>
        <v/>
      </c>
      <c r="Q490" s="22">
        <f>IF(O490=1,"",IF(AND(B490="post",P490="nicht angetreten"),"NANG",IF(N490=1,"AUSL",IFERROR(VLOOKUP(H490,Vokabular!$A$2:$B$8,2,FALSE),"UNBEKANNT"))))</f>
        <v/>
      </c>
    </row>
    <row r="491">
      <c r="A491" s="5" t="inlineStr">
        <is>
          <t>VS-11</t>
        </is>
      </c>
      <c r="B491" s="5" t="inlineStr">
        <is>
          <t>prä</t>
        </is>
      </c>
      <c r="C491" s="5" t="inlineStr">
        <is>
          <t>Sprint_10m</t>
        </is>
      </c>
      <c r="D491" s="5" t="inlineStr">
        <is>
          <t>–</t>
        </is>
      </c>
      <c r="E491" s="5" t="n">
        <v>1</v>
      </c>
      <c r="F491" s="5" t="n"/>
      <c r="G491" s="5" t="n"/>
      <c r="H491" s="5" t="inlineStr">
        <is>
          <t>System nicht aufgenommen</t>
        </is>
      </c>
      <c r="I491" s="22">
        <f>INDEX(Personendaten!$C$2:$C$32,MATCH(A491,Personendaten!$A$2:$A$32,0))</f>
        <v/>
      </c>
      <c r="J491" s="22">
        <f>IF(AND(F491&lt;&gt;"",G491=""),1,0)</f>
        <v/>
      </c>
      <c r="K491" s="22">
        <f>IF(LEFT(C491,7)&lt;&gt;"Sprint_","",IF(COUNTIFS(Versuchsdaten!$A$2:$A$1117,$A491,Versuchsdaten!$B$2:$B$1117,$B491,Versuchsdaten!$C$2:$C$1117,"Sprint_5m",Versuchsdaten!$E$2:$E$1117,$E491,Versuchsdaten!$J$2:$J$1117,1)=1,SUMIFS(Versuchsdaten!$F$2:$F$1117,Versuchsdaten!$A$2:$A$1117,$A491,Versuchsdaten!$B$2:$B$1117,$B491,Versuchsdaten!$C$2:$C$1117,"Sprint_5m",Versuchsdaten!$E$2:$E$1117,$E491,Versuchsdaten!$J$2:$J$1117,1),""))</f>
        <v/>
      </c>
      <c r="L491" s="22">
        <f>IF(LEFT(C491,7)&lt;&gt;"Sprint_","",IF(COUNTIFS(Versuchsdaten!$A$2:$A$1117,$A491,Versuchsdaten!$B$2:$B$1117,$B491,Versuchsdaten!$C$2:$C$1117,"Sprint_10m",Versuchsdaten!$E$2:$E$1117,$E491,Versuchsdaten!$J$2:$J$1117,1)=1,SUMIFS(Versuchsdaten!$F$2:$F$1117,Versuchsdaten!$A$2:$A$1117,$A491,Versuchsdaten!$B$2:$B$1117,$B491,Versuchsdaten!$C$2:$C$1117,"Sprint_10m",Versuchsdaten!$E$2:$E$1117,$E491,Versuchsdaten!$J$2:$J$1117,1),""))</f>
        <v/>
      </c>
      <c r="M491" s="22">
        <f>IF(LEFT(C491,7)&lt;&gt;"Sprint_","",IF(COUNTIFS(Versuchsdaten!$A$2:$A$1117,$A491,Versuchsdaten!$B$2:$B$1117,$B491,Versuchsdaten!$C$2:$C$1117,"Sprint_30m",Versuchsdaten!$E$2:$E$1117,$E491,Versuchsdaten!$J$2:$J$1117,1)=1,SUMIFS(Versuchsdaten!$F$2:$F$1117,Versuchsdaten!$A$2:$A$1117,$A491,Versuchsdaten!$B$2:$B$1117,$B491,Versuchsdaten!$C$2:$C$1117,"Sprint_30m",Versuchsdaten!$E$2:$E$1117,$E491,Versuchsdaten!$J$2:$J$1117,1),""))</f>
        <v/>
      </c>
      <c r="N491" s="22">
        <f>IF(LEFT(C491,7)&lt;&gt;"Sprint_",0,IF(IF(ISNUMBER(K491),IF(K491&lt;=0,1,IF(5/K491&gt;10,1,0)),0)+IF(ISNUMBER(L491),IF(ISNUMBER(K491),IF(L491-K491&lt;=0,1,IF(5/(L491-K491)&gt;10,1,0)),IF(L491&lt;=0,1,IF(10/L491&gt;10,1,0))),0)+IF(ISNUMBER(M491),IF(ISNUMBER(L491),IF(M491-L491&lt;=0,1,IF(20/(M491-L491)&gt;10,1,0)),IF(ISNUMBER(K491),IF(M491-K491&lt;=0,1,IF(25/(M491-K491)&gt;10,1,0)),IF(M491&lt;=0,1,IF(30/M491&gt;10,1,0)))),0)&gt;0,1,0))</f>
        <v/>
      </c>
      <c r="O491" s="22">
        <f>IF(AND(J491=1,N491=0),1,0)</f>
        <v/>
      </c>
      <c r="P491" s="22">
        <f>INDEX(Personendaten!$J$2:$J$32,MATCH(A491,Personendaten!$A$2:$A$32,0))</f>
        <v/>
      </c>
      <c r="Q491" s="22">
        <f>IF(O491=1,"",IF(AND(B491="post",P491="nicht angetreten"),"NANG",IF(N491=1,"AUSL",IFERROR(VLOOKUP(H491,Vokabular!$A$2:$B$8,2,FALSE),"UNBEKANNT"))))</f>
        <v/>
      </c>
    </row>
    <row r="492">
      <c r="A492" s="5" t="inlineStr">
        <is>
          <t>VS-11</t>
        </is>
      </c>
      <c r="B492" s="5" t="inlineStr">
        <is>
          <t>prä</t>
        </is>
      </c>
      <c r="C492" s="5" t="inlineStr">
        <is>
          <t>Sprint_10m</t>
        </is>
      </c>
      <c r="D492" s="5" t="inlineStr">
        <is>
          <t>–</t>
        </is>
      </c>
      <c r="E492" s="5" t="n">
        <v>2</v>
      </c>
      <c r="F492" s="5" t="n">
        <v>1.97</v>
      </c>
      <c r="G492" s="5" t="n"/>
      <c r="H492" s="5" t="n"/>
      <c r="I492" s="22">
        <f>INDEX(Personendaten!$C$2:$C$32,MATCH(A492,Personendaten!$A$2:$A$32,0))</f>
        <v/>
      </c>
      <c r="J492" s="22">
        <f>IF(AND(F492&lt;&gt;"",G492=""),1,0)</f>
        <v/>
      </c>
      <c r="K492" s="22">
        <f>IF(LEFT(C492,7)&lt;&gt;"Sprint_","",IF(COUNTIFS(Versuchsdaten!$A$2:$A$1117,$A492,Versuchsdaten!$B$2:$B$1117,$B492,Versuchsdaten!$C$2:$C$1117,"Sprint_5m",Versuchsdaten!$E$2:$E$1117,$E492,Versuchsdaten!$J$2:$J$1117,1)=1,SUMIFS(Versuchsdaten!$F$2:$F$1117,Versuchsdaten!$A$2:$A$1117,$A492,Versuchsdaten!$B$2:$B$1117,$B492,Versuchsdaten!$C$2:$C$1117,"Sprint_5m",Versuchsdaten!$E$2:$E$1117,$E492,Versuchsdaten!$J$2:$J$1117,1),""))</f>
        <v/>
      </c>
      <c r="L492" s="22">
        <f>IF(LEFT(C492,7)&lt;&gt;"Sprint_","",IF(COUNTIFS(Versuchsdaten!$A$2:$A$1117,$A492,Versuchsdaten!$B$2:$B$1117,$B492,Versuchsdaten!$C$2:$C$1117,"Sprint_10m",Versuchsdaten!$E$2:$E$1117,$E492,Versuchsdaten!$J$2:$J$1117,1)=1,SUMIFS(Versuchsdaten!$F$2:$F$1117,Versuchsdaten!$A$2:$A$1117,$A492,Versuchsdaten!$B$2:$B$1117,$B492,Versuchsdaten!$C$2:$C$1117,"Sprint_10m",Versuchsdaten!$E$2:$E$1117,$E492,Versuchsdaten!$J$2:$J$1117,1),""))</f>
        <v/>
      </c>
      <c r="M492" s="22">
        <f>IF(LEFT(C492,7)&lt;&gt;"Sprint_","",IF(COUNTIFS(Versuchsdaten!$A$2:$A$1117,$A492,Versuchsdaten!$B$2:$B$1117,$B492,Versuchsdaten!$C$2:$C$1117,"Sprint_30m",Versuchsdaten!$E$2:$E$1117,$E492,Versuchsdaten!$J$2:$J$1117,1)=1,SUMIFS(Versuchsdaten!$F$2:$F$1117,Versuchsdaten!$A$2:$A$1117,$A492,Versuchsdaten!$B$2:$B$1117,$B492,Versuchsdaten!$C$2:$C$1117,"Sprint_30m",Versuchsdaten!$E$2:$E$1117,$E492,Versuchsdaten!$J$2:$J$1117,1),""))</f>
        <v/>
      </c>
      <c r="N492" s="22">
        <f>IF(LEFT(C492,7)&lt;&gt;"Sprint_",0,IF(IF(ISNUMBER(K492),IF(K492&lt;=0,1,IF(5/K492&gt;10,1,0)),0)+IF(ISNUMBER(L492),IF(ISNUMBER(K492),IF(L492-K492&lt;=0,1,IF(5/(L492-K492)&gt;10,1,0)),IF(L492&lt;=0,1,IF(10/L492&gt;10,1,0))),0)+IF(ISNUMBER(M492),IF(ISNUMBER(L492),IF(M492-L492&lt;=0,1,IF(20/(M492-L492)&gt;10,1,0)),IF(ISNUMBER(K492),IF(M492-K492&lt;=0,1,IF(25/(M492-K492)&gt;10,1,0)),IF(M492&lt;=0,1,IF(30/M492&gt;10,1,0)))),0)&gt;0,1,0))</f>
        <v/>
      </c>
      <c r="O492" s="22">
        <f>IF(AND(J492=1,N492=0),1,0)</f>
        <v/>
      </c>
      <c r="P492" s="22">
        <f>INDEX(Personendaten!$J$2:$J$32,MATCH(A492,Personendaten!$A$2:$A$32,0))</f>
        <v/>
      </c>
      <c r="Q492" s="22">
        <f>IF(O492=1,"",IF(AND(B492="post",P492="nicht angetreten"),"NANG",IF(N492=1,"AUSL",IFERROR(VLOOKUP(H492,Vokabular!$A$2:$B$8,2,FALSE),"UNBEKANNT"))))</f>
        <v/>
      </c>
    </row>
    <row r="493">
      <c r="A493" s="5" t="inlineStr">
        <is>
          <t>VS-11</t>
        </is>
      </c>
      <c r="B493" s="5" t="inlineStr">
        <is>
          <t>prä</t>
        </is>
      </c>
      <c r="C493" s="5" t="inlineStr">
        <is>
          <t>Sprint_10m</t>
        </is>
      </c>
      <c r="D493" s="5" t="inlineStr">
        <is>
          <t>–</t>
        </is>
      </c>
      <c r="E493" s="5" t="n">
        <v>3</v>
      </c>
      <c r="F493" s="5" t="n">
        <v>2.1</v>
      </c>
      <c r="G493" s="5" t="n"/>
      <c r="H493" s="5" t="n"/>
      <c r="I493" s="22">
        <f>INDEX(Personendaten!$C$2:$C$32,MATCH(A493,Personendaten!$A$2:$A$32,0))</f>
        <v/>
      </c>
      <c r="J493" s="22">
        <f>IF(AND(F493&lt;&gt;"",G493=""),1,0)</f>
        <v/>
      </c>
      <c r="K493" s="22">
        <f>IF(LEFT(C493,7)&lt;&gt;"Sprint_","",IF(COUNTIFS(Versuchsdaten!$A$2:$A$1117,$A493,Versuchsdaten!$B$2:$B$1117,$B493,Versuchsdaten!$C$2:$C$1117,"Sprint_5m",Versuchsdaten!$E$2:$E$1117,$E493,Versuchsdaten!$J$2:$J$1117,1)=1,SUMIFS(Versuchsdaten!$F$2:$F$1117,Versuchsdaten!$A$2:$A$1117,$A493,Versuchsdaten!$B$2:$B$1117,$B493,Versuchsdaten!$C$2:$C$1117,"Sprint_5m",Versuchsdaten!$E$2:$E$1117,$E493,Versuchsdaten!$J$2:$J$1117,1),""))</f>
        <v/>
      </c>
      <c r="L493" s="22">
        <f>IF(LEFT(C493,7)&lt;&gt;"Sprint_","",IF(COUNTIFS(Versuchsdaten!$A$2:$A$1117,$A493,Versuchsdaten!$B$2:$B$1117,$B493,Versuchsdaten!$C$2:$C$1117,"Sprint_10m",Versuchsdaten!$E$2:$E$1117,$E493,Versuchsdaten!$J$2:$J$1117,1)=1,SUMIFS(Versuchsdaten!$F$2:$F$1117,Versuchsdaten!$A$2:$A$1117,$A493,Versuchsdaten!$B$2:$B$1117,$B493,Versuchsdaten!$C$2:$C$1117,"Sprint_10m",Versuchsdaten!$E$2:$E$1117,$E493,Versuchsdaten!$J$2:$J$1117,1),""))</f>
        <v/>
      </c>
      <c r="M493" s="22">
        <f>IF(LEFT(C493,7)&lt;&gt;"Sprint_","",IF(COUNTIFS(Versuchsdaten!$A$2:$A$1117,$A493,Versuchsdaten!$B$2:$B$1117,$B493,Versuchsdaten!$C$2:$C$1117,"Sprint_30m",Versuchsdaten!$E$2:$E$1117,$E493,Versuchsdaten!$J$2:$J$1117,1)=1,SUMIFS(Versuchsdaten!$F$2:$F$1117,Versuchsdaten!$A$2:$A$1117,$A493,Versuchsdaten!$B$2:$B$1117,$B493,Versuchsdaten!$C$2:$C$1117,"Sprint_30m",Versuchsdaten!$E$2:$E$1117,$E493,Versuchsdaten!$J$2:$J$1117,1),""))</f>
        <v/>
      </c>
      <c r="N493" s="22">
        <f>IF(LEFT(C493,7)&lt;&gt;"Sprint_",0,IF(IF(ISNUMBER(K493),IF(K493&lt;=0,1,IF(5/K493&gt;10,1,0)),0)+IF(ISNUMBER(L493),IF(ISNUMBER(K493),IF(L493-K493&lt;=0,1,IF(5/(L493-K493)&gt;10,1,0)),IF(L493&lt;=0,1,IF(10/L493&gt;10,1,0))),0)+IF(ISNUMBER(M493),IF(ISNUMBER(L493),IF(M493-L493&lt;=0,1,IF(20/(M493-L493)&gt;10,1,0)),IF(ISNUMBER(K493),IF(M493-K493&lt;=0,1,IF(25/(M493-K493)&gt;10,1,0)),IF(M493&lt;=0,1,IF(30/M493&gt;10,1,0)))),0)&gt;0,1,0))</f>
        <v/>
      </c>
      <c r="O493" s="22">
        <f>IF(AND(J493=1,N493=0),1,0)</f>
        <v/>
      </c>
      <c r="P493" s="22">
        <f>INDEX(Personendaten!$J$2:$J$32,MATCH(A493,Personendaten!$A$2:$A$32,0))</f>
        <v/>
      </c>
      <c r="Q493" s="22">
        <f>IF(O493=1,"",IF(AND(B493="post",P493="nicht angetreten"),"NANG",IF(N493=1,"AUSL",IFERROR(VLOOKUP(H493,Vokabular!$A$2:$B$8,2,FALSE),"UNBEKANNT"))))</f>
        <v/>
      </c>
    </row>
    <row r="494">
      <c r="A494" s="5" t="inlineStr">
        <is>
          <t>VS-11</t>
        </is>
      </c>
      <c r="B494" s="5" t="inlineStr">
        <is>
          <t>prä</t>
        </is>
      </c>
      <c r="C494" s="5" t="inlineStr">
        <is>
          <t>Sprint_30m</t>
        </is>
      </c>
      <c r="D494" s="5" t="inlineStr">
        <is>
          <t>–</t>
        </is>
      </c>
      <c r="E494" s="5" t="n">
        <v>1</v>
      </c>
      <c r="F494" s="5" t="n"/>
      <c r="G494" s="5" t="n"/>
      <c r="H494" s="5" t="inlineStr">
        <is>
          <t>System nicht aufgenommen</t>
        </is>
      </c>
      <c r="I494" s="22">
        <f>INDEX(Personendaten!$C$2:$C$32,MATCH(A494,Personendaten!$A$2:$A$32,0))</f>
        <v/>
      </c>
      <c r="J494" s="22">
        <f>IF(AND(F494&lt;&gt;"",G494=""),1,0)</f>
        <v/>
      </c>
      <c r="K494" s="22">
        <f>IF(LEFT(C494,7)&lt;&gt;"Sprint_","",IF(COUNTIFS(Versuchsdaten!$A$2:$A$1117,$A494,Versuchsdaten!$B$2:$B$1117,$B494,Versuchsdaten!$C$2:$C$1117,"Sprint_5m",Versuchsdaten!$E$2:$E$1117,$E494,Versuchsdaten!$J$2:$J$1117,1)=1,SUMIFS(Versuchsdaten!$F$2:$F$1117,Versuchsdaten!$A$2:$A$1117,$A494,Versuchsdaten!$B$2:$B$1117,$B494,Versuchsdaten!$C$2:$C$1117,"Sprint_5m",Versuchsdaten!$E$2:$E$1117,$E494,Versuchsdaten!$J$2:$J$1117,1),""))</f>
        <v/>
      </c>
      <c r="L494" s="22">
        <f>IF(LEFT(C494,7)&lt;&gt;"Sprint_","",IF(COUNTIFS(Versuchsdaten!$A$2:$A$1117,$A494,Versuchsdaten!$B$2:$B$1117,$B494,Versuchsdaten!$C$2:$C$1117,"Sprint_10m",Versuchsdaten!$E$2:$E$1117,$E494,Versuchsdaten!$J$2:$J$1117,1)=1,SUMIFS(Versuchsdaten!$F$2:$F$1117,Versuchsdaten!$A$2:$A$1117,$A494,Versuchsdaten!$B$2:$B$1117,$B494,Versuchsdaten!$C$2:$C$1117,"Sprint_10m",Versuchsdaten!$E$2:$E$1117,$E494,Versuchsdaten!$J$2:$J$1117,1),""))</f>
        <v/>
      </c>
      <c r="M494" s="22">
        <f>IF(LEFT(C494,7)&lt;&gt;"Sprint_","",IF(COUNTIFS(Versuchsdaten!$A$2:$A$1117,$A494,Versuchsdaten!$B$2:$B$1117,$B494,Versuchsdaten!$C$2:$C$1117,"Sprint_30m",Versuchsdaten!$E$2:$E$1117,$E494,Versuchsdaten!$J$2:$J$1117,1)=1,SUMIFS(Versuchsdaten!$F$2:$F$1117,Versuchsdaten!$A$2:$A$1117,$A494,Versuchsdaten!$B$2:$B$1117,$B494,Versuchsdaten!$C$2:$C$1117,"Sprint_30m",Versuchsdaten!$E$2:$E$1117,$E494,Versuchsdaten!$J$2:$J$1117,1),""))</f>
        <v/>
      </c>
      <c r="N494" s="22">
        <f>IF(LEFT(C494,7)&lt;&gt;"Sprint_",0,IF(IF(ISNUMBER(K494),IF(K494&lt;=0,1,IF(5/K494&gt;10,1,0)),0)+IF(ISNUMBER(L494),IF(ISNUMBER(K494),IF(L494-K494&lt;=0,1,IF(5/(L494-K494)&gt;10,1,0)),IF(L494&lt;=0,1,IF(10/L494&gt;10,1,0))),0)+IF(ISNUMBER(M494),IF(ISNUMBER(L494),IF(M494-L494&lt;=0,1,IF(20/(M494-L494)&gt;10,1,0)),IF(ISNUMBER(K494),IF(M494-K494&lt;=0,1,IF(25/(M494-K494)&gt;10,1,0)),IF(M494&lt;=0,1,IF(30/M494&gt;10,1,0)))),0)&gt;0,1,0))</f>
        <v/>
      </c>
      <c r="O494" s="22">
        <f>IF(AND(J494=1,N494=0),1,0)</f>
        <v/>
      </c>
      <c r="P494" s="22">
        <f>INDEX(Personendaten!$J$2:$J$32,MATCH(A494,Personendaten!$A$2:$A$32,0))</f>
        <v/>
      </c>
      <c r="Q494" s="22">
        <f>IF(O494=1,"",IF(AND(B494="post",P494="nicht angetreten"),"NANG",IF(N494=1,"AUSL",IFERROR(VLOOKUP(H494,Vokabular!$A$2:$B$8,2,FALSE),"UNBEKANNT"))))</f>
        <v/>
      </c>
    </row>
    <row r="495">
      <c r="A495" s="5" t="inlineStr">
        <is>
          <t>VS-11</t>
        </is>
      </c>
      <c r="B495" s="5" t="inlineStr">
        <is>
          <t>prä</t>
        </is>
      </c>
      <c r="C495" s="5" t="inlineStr">
        <is>
          <t>Sprint_30m</t>
        </is>
      </c>
      <c r="D495" s="5" t="inlineStr">
        <is>
          <t>–</t>
        </is>
      </c>
      <c r="E495" s="5" t="n">
        <v>2</v>
      </c>
      <c r="F495" s="5" t="n">
        <v>5.04</v>
      </c>
      <c r="G495" s="5" t="n"/>
      <c r="H495" s="5" t="n"/>
      <c r="I495" s="22">
        <f>INDEX(Personendaten!$C$2:$C$32,MATCH(A495,Personendaten!$A$2:$A$32,0))</f>
        <v/>
      </c>
      <c r="J495" s="22">
        <f>IF(AND(F495&lt;&gt;"",G495=""),1,0)</f>
        <v/>
      </c>
      <c r="K495" s="22">
        <f>IF(LEFT(C495,7)&lt;&gt;"Sprint_","",IF(COUNTIFS(Versuchsdaten!$A$2:$A$1117,$A495,Versuchsdaten!$B$2:$B$1117,$B495,Versuchsdaten!$C$2:$C$1117,"Sprint_5m",Versuchsdaten!$E$2:$E$1117,$E495,Versuchsdaten!$J$2:$J$1117,1)=1,SUMIFS(Versuchsdaten!$F$2:$F$1117,Versuchsdaten!$A$2:$A$1117,$A495,Versuchsdaten!$B$2:$B$1117,$B495,Versuchsdaten!$C$2:$C$1117,"Sprint_5m",Versuchsdaten!$E$2:$E$1117,$E495,Versuchsdaten!$J$2:$J$1117,1),""))</f>
        <v/>
      </c>
      <c r="L495" s="22">
        <f>IF(LEFT(C495,7)&lt;&gt;"Sprint_","",IF(COUNTIFS(Versuchsdaten!$A$2:$A$1117,$A495,Versuchsdaten!$B$2:$B$1117,$B495,Versuchsdaten!$C$2:$C$1117,"Sprint_10m",Versuchsdaten!$E$2:$E$1117,$E495,Versuchsdaten!$J$2:$J$1117,1)=1,SUMIFS(Versuchsdaten!$F$2:$F$1117,Versuchsdaten!$A$2:$A$1117,$A495,Versuchsdaten!$B$2:$B$1117,$B495,Versuchsdaten!$C$2:$C$1117,"Sprint_10m",Versuchsdaten!$E$2:$E$1117,$E495,Versuchsdaten!$J$2:$J$1117,1),""))</f>
        <v/>
      </c>
      <c r="M495" s="22">
        <f>IF(LEFT(C495,7)&lt;&gt;"Sprint_","",IF(COUNTIFS(Versuchsdaten!$A$2:$A$1117,$A495,Versuchsdaten!$B$2:$B$1117,$B495,Versuchsdaten!$C$2:$C$1117,"Sprint_30m",Versuchsdaten!$E$2:$E$1117,$E495,Versuchsdaten!$J$2:$J$1117,1)=1,SUMIFS(Versuchsdaten!$F$2:$F$1117,Versuchsdaten!$A$2:$A$1117,$A495,Versuchsdaten!$B$2:$B$1117,$B495,Versuchsdaten!$C$2:$C$1117,"Sprint_30m",Versuchsdaten!$E$2:$E$1117,$E495,Versuchsdaten!$J$2:$J$1117,1),""))</f>
        <v/>
      </c>
      <c r="N495" s="22">
        <f>IF(LEFT(C495,7)&lt;&gt;"Sprint_",0,IF(IF(ISNUMBER(K495),IF(K495&lt;=0,1,IF(5/K495&gt;10,1,0)),0)+IF(ISNUMBER(L495),IF(ISNUMBER(K495),IF(L495-K495&lt;=0,1,IF(5/(L495-K495)&gt;10,1,0)),IF(L495&lt;=0,1,IF(10/L495&gt;10,1,0))),0)+IF(ISNUMBER(M495),IF(ISNUMBER(L495),IF(M495-L495&lt;=0,1,IF(20/(M495-L495)&gt;10,1,0)),IF(ISNUMBER(K495),IF(M495-K495&lt;=0,1,IF(25/(M495-K495)&gt;10,1,0)),IF(M495&lt;=0,1,IF(30/M495&gt;10,1,0)))),0)&gt;0,1,0))</f>
        <v/>
      </c>
      <c r="O495" s="22">
        <f>IF(AND(J495=1,N495=0),1,0)</f>
        <v/>
      </c>
      <c r="P495" s="22">
        <f>INDEX(Personendaten!$J$2:$J$32,MATCH(A495,Personendaten!$A$2:$A$32,0))</f>
        <v/>
      </c>
      <c r="Q495" s="22">
        <f>IF(O495=1,"",IF(AND(B495="post",P495="nicht angetreten"),"NANG",IF(N495=1,"AUSL",IFERROR(VLOOKUP(H495,Vokabular!$A$2:$B$8,2,FALSE),"UNBEKANNT"))))</f>
        <v/>
      </c>
    </row>
    <row r="496">
      <c r="A496" s="5" t="inlineStr">
        <is>
          <t>VS-11</t>
        </is>
      </c>
      <c r="B496" s="5" t="inlineStr">
        <is>
          <t>prä</t>
        </is>
      </c>
      <c r="C496" s="5" t="inlineStr">
        <is>
          <t>Sprint_30m</t>
        </is>
      </c>
      <c r="D496" s="5" t="inlineStr">
        <is>
          <t>–</t>
        </is>
      </c>
      <c r="E496" s="5" t="n">
        <v>3</v>
      </c>
      <c r="F496" s="5" t="n">
        <v>5.05</v>
      </c>
      <c r="G496" s="5" t="n"/>
      <c r="H496" s="5" t="n"/>
      <c r="I496" s="22">
        <f>INDEX(Personendaten!$C$2:$C$32,MATCH(A496,Personendaten!$A$2:$A$32,0))</f>
        <v/>
      </c>
      <c r="J496" s="22">
        <f>IF(AND(F496&lt;&gt;"",G496=""),1,0)</f>
        <v/>
      </c>
      <c r="K496" s="22">
        <f>IF(LEFT(C496,7)&lt;&gt;"Sprint_","",IF(COUNTIFS(Versuchsdaten!$A$2:$A$1117,$A496,Versuchsdaten!$B$2:$B$1117,$B496,Versuchsdaten!$C$2:$C$1117,"Sprint_5m",Versuchsdaten!$E$2:$E$1117,$E496,Versuchsdaten!$J$2:$J$1117,1)=1,SUMIFS(Versuchsdaten!$F$2:$F$1117,Versuchsdaten!$A$2:$A$1117,$A496,Versuchsdaten!$B$2:$B$1117,$B496,Versuchsdaten!$C$2:$C$1117,"Sprint_5m",Versuchsdaten!$E$2:$E$1117,$E496,Versuchsdaten!$J$2:$J$1117,1),""))</f>
        <v/>
      </c>
      <c r="L496" s="22">
        <f>IF(LEFT(C496,7)&lt;&gt;"Sprint_","",IF(COUNTIFS(Versuchsdaten!$A$2:$A$1117,$A496,Versuchsdaten!$B$2:$B$1117,$B496,Versuchsdaten!$C$2:$C$1117,"Sprint_10m",Versuchsdaten!$E$2:$E$1117,$E496,Versuchsdaten!$J$2:$J$1117,1)=1,SUMIFS(Versuchsdaten!$F$2:$F$1117,Versuchsdaten!$A$2:$A$1117,$A496,Versuchsdaten!$B$2:$B$1117,$B496,Versuchsdaten!$C$2:$C$1117,"Sprint_10m",Versuchsdaten!$E$2:$E$1117,$E496,Versuchsdaten!$J$2:$J$1117,1),""))</f>
        <v/>
      </c>
      <c r="M496" s="22">
        <f>IF(LEFT(C496,7)&lt;&gt;"Sprint_","",IF(COUNTIFS(Versuchsdaten!$A$2:$A$1117,$A496,Versuchsdaten!$B$2:$B$1117,$B496,Versuchsdaten!$C$2:$C$1117,"Sprint_30m",Versuchsdaten!$E$2:$E$1117,$E496,Versuchsdaten!$J$2:$J$1117,1)=1,SUMIFS(Versuchsdaten!$F$2:$F$1117,Versuchsdaten!$A$2:$A$1117,$A496,Versuchsdaten!$B$2:$B$1117,$B496,Versuchsdaten!$C$2:$C$1117,"Sprint_30m",Versuchsdaten!$E$2:$E$1117,$E496,Versuchsdaten!$J$2:$J$1117,1),""))</f>
        <v/>
      </c>
      <c r="N496" s="22">
        <f>IF(LEFT(C496,7)&lt;&gt;"Sprint_",0,IF(IF(ISNUMBER(K496),IF(K496&lt;=0,1,IF(5/K496&gt;10,1,0)),0)+IF(ISNUMBER(L496),IF(ISNUMBER(K496),IF(L496-K496&lt;=0,1,IF(5/(L496-K496)&gt;10,1,0)),IF(L496&lt;=0,1,IF(10/L496&gt;10,1,0))),0)+IF(ISNUMBER(M496),IF(ISNUMBER(L496),IF(M496-L496&lt;=0,1,IF(20/(M496-L496)&gt;10,1,0)),IF(ISNUMBER(K496),IF(M496-K496&lt;=0,1,IF(25/(M496-K496)&gt;10,1,0)),IF(M496&lt;=0,1,IF(30/M496&gt;10,1,0)))),0)&gt;0,1,0))</f>
        <v/>
      </c>
      <c r="O496" s="22">
        <f>IF(AND(J496=1,N496=0),1,0)</f>
        <v/>
      </c>
      <c r="P496" s="22">
        <f>INDEX(Personendaten!$J$2:$J$32,MATCH(A496,Personendaten!$A$2:$A$32,0))</f>
        <v/>
      </c>
      <c r="Q496" s="22">
        <f>IF(O496=1,"",IF(AND(B496="post",P496="nicht angetreten"),"NANG",IF(N496=1,"AUSL",IFERROR(VLOOKUP(H496,Vokabular!$A$2:$B$8,2,FALSE),"UNBEKANNT"))))</f>
        <v/>
      </c>
    </row>
    <row r="497">
      <c r="A497" s="5" t="inlineStr">
        <is>
          <t>VS-11</t>
        </is>
      </c>
      <c r="B497" s="5" t="inlineStr">
        <is>
          <t>prä</t>
        </is>
      </c>
      <c r="C497" s="5" t="inlineStr">
        <is>
          <t>Standweitsprung</t>
        </is>
      </c>
      <c r="D497" s="5" t="inlineStr">
        <is>
          <t>–</t>
        </is>
      </c>
      <c r="E497" s="5" t="n">
        <v>1</v>
      </c>
      <c r="F497" s="5" t="n">
        <v>204</v>
      </c>
      <c r="G497" s="5" t="n"/>
      <c r="H497" s="5" t="n"/>
      <c r="I497" s="22">
        <f>INDEX(Personendaten!$C$2:$C$32,MATCH(A497,Personendaten!$A$2:$A$32,0))</f>
        <v/>
      </c>
      <c r="J497" s="22">
        <f>IF(AND(F497&lt;&gt;"",G497=""),1,0)</f>
        <v/>
      </c>
      <c r="K497" s="22">
        <f>IF(LEFT(C497,7)&lt;&gt;"Sprint_","",IF(COUNTIFS(Versuchsdaten!$A$2:$A$1117,$A497,Versuchsdaten!$B$2:$B$1117,$B497,Versuchsdaten!$C$2:$C$1117,"Sprint_5m",Versuchsdaten!$E$2:$E$1117,$E497,Versuchsdaten!$J$2:$J$1117,1)=1,SUMIFS(Versuchsdaten!$F$2:$F$1117,Versuchsdaten!$A$2:$A$1117,$A497,Versuchsdaten!$B$2:$B$1117,$B497,Versuchsdaten!$C$2:$C$1117,"Sprint_5m",Versuchsdaten!$E$2:$E$1117,$E497,Versuchsdaten!$J$2:$J$1117,1),""))</f>
        <v/>
      </c>
      <c r="L497" s="22">
        <f>IF(LEFT(C497,7)&lt;&gt;"Sprint_","",IF(COUNTIFS(Versuchsdaten!$A$2:$A$1117,$A497,Versuchsdaten!$B$2:$B$1117,$B497,Versuchsdaten!$C$2:$C$1117,"Sprint_10m",Versuchsdaten!$E$2:$E$1117,$E497,Versuchsdaten!$J$2:$J$1117,1)=1,SUMIFS(Versuchsdaten!$F$2:$F$1117,Versuchsdaten!$A$2:$A$1117,$A497,Versuchsdaten!$B$2:$B$1117,$B497,Versuchsdaten!$C$2:$C$1117,"Sprint_10m",Versuchsdaten!$E$2:$E$1117,$E497,Versuchsdaten!$J$2:$J$1117,1),""))</f>
        <v/>
      </c>
      <c r="M497" s="22">
        <f>IF(LEFT(C497,7)&lt;&gt;"Sprint_","",IF(COUNTIFS(Versuchsdaten!$A$2:$A$1117,$A497,Versuchsdaten!$B$2:$B$1117,$B497,Versuchsdaten!$C$2:$C$1117,"Sprint_30m",Versuchsdaten!$E$2:$E$1117,$E497,Versuchsdaten!$J$2:$J$1117,1)=1,SUMIFS(Versuchsdaten!$F$2:$F$1117,Versuchsdaten!$A$2:$A$1117,$A497,Versuchsdaten!$B$2:$B$1117,$B497,Versuchsdaten!$C$2:$C$1117,"Sprint_30m",Versuchsdaten!$E$2:$E$1117,$E497,Versuchsdaten!$J$2:$J$1117,1),""))</f>
        <v/>
      </c>
      <c r="N497" s="22">
        <f>IF(LEFT(C497,7)&lt;&gt;"Sprint_",0,IF(IF(ISNUMBER(K497),IF(K497&lt;=0,1,IF(5/K497&gt;10,1,0)),0)+IF(ISNUMBER(L497),IF(ISNUMBER(K497),IF(L497-K497&lt;=0,1,IF(5/(L497-K497)&gt;10,1,0)),IF(L497&lt;=0,1,IF(10/L497&gt;10,1,0))),0)+IF(ISNUMBER(M497),IF(ISNUMBER(L497),IF(M497-L497&lt;=0,1,IF(20/(M497-L497)&gt;10,1,0)),IF(ISNUMBER(K497),IF(M497-K497&lt;=0,1,IF(25/(M497-K497)&gt;10,1,0)),IF(M497&lt;=0,1,IF(30/M497&gt;10,1,0)))),0)&gt;0,1,0))</f>
        <v/>
      </c>
      <c r="O497" s="22">
        <f>IF(AND(J497=1,N497=0),1,0)</f>
        <v/>
      </c>
      <c r="P497" s="22">
        <f>INDEX(Personendaten!$J$2:$J$32,MATCH(A497,Personendaten!$A$2:$A$32,0))</f>
        <v/>
      </c>
      <c r="Q497" s="22">
        <f>IF(O497=1,"",IF(AND(B497="post",P497="nicht angetreten"),"NANG",IF(N497=1,"AUSL",IFERROR(VLOOKUP(H497,Vokabular!$A$2:$B$8,2,FALSE),"UNBEKANNT"))))</f>
        <v/>
      </c>
    </row>
    <row r="498">
      <c r="A498" s="5" t="inlineStr">
        <is>
          <t>VS-11</t>
        </is>
      </c>
      <c r="B498" s="5" t="inlineStr">
        <is>
          <t>prä</t>
        </is>
      </c>
      <c r="C498" s="5" t="inlineStr">
        <is>
          <t>Standweitsprung</t>
        </is>
      </c>
      <c r="D498" s="5" t="inlineStr">
        <is>
          <t>–</t>
        </is>
      </c>
      <c r="E498" s="5" t="n">
        <v>2</v>
      </c>
      <c r="F498" s="5" t="n">
        <v>199</v>
      </c>
      <c r="G498" s="5" t="n"/>
      <c r="H498" s="5" t="n"/>
      <c r="I498" s="22">
        <f>INDEX(Personendaten!$C$2:$C$32,MATCH(A498,Personendaten!$A$2:$A$32,0))</f>
        <v/>
      </c>
      <c r="J498" s="22">
        <f>IF(AND(F498&lt;&gt;"",G498=""),1,0)</f>
        <v/>
      </c>
      <c r="K498" s="22">
        <f>IF(LEFT(C498,7)&lt;&gt;"Sprint_","",IF(COUNTIFS(Versuchsdaten!$A$2:$A$1117,$A498,Versuchsdaten!$B$2:$B$1117,$B498,Versuchsdaten!$C$2:$C$1117,"Sprint_5m",Versuchsdaten!$E$2:$E$1117,$E498,Versuchsdaten!$J$2:$J$1117,1)=1,SUMIFS(Versuchsdaten!$F$2:$F$1117,Versuchsdaten!$A$2:$A$1117,$A498,Versuchsdaten!$B$2:$B$1117,$B498,Versuchsdaten!$C$2:$C$1117,"Sprint_5m",Versuchsdaten!$E$2:$E$1117,$E498,Versuchsdaten!$J$2:$J$1117,1),""))</f>
        <v/>
      </c>
      <c r="L498" s="22">
        <f>IF(LEFT(C498,7)&lt;&gt;"Sprint_","",IF(COUNTIFS(Versuchsdaten!$A$2:$A$1117,$A498,Versuchsdaten!$B$2:$B$1117,$B498,Versuchsdaten!$C$2:$C$1117,"Sprint_10m",Versuchsdaten!$E$2:$E$1117,$E498,Versuchsdaten!$J$2:$J$1117,1)=1,SUMIFS(Versuchsdaten!$F$2:$F$1117,Versuchsdaten!$A$2:$A$1117,$A498,Versuchsdaten!$B$2:$B$1117,$B498,Versuchsdaten!$C$2:$C$1117,"Sprint_10m",Versuchsdaten!$E$2:$E$1117,$E498,Versuchsdaten!$J$2:$J$1117,1),""))</f>
        <v/>
      </c>
      <c r="M498" s="22">
        <f>IF(LEFT(C498,7)&lt;&gt;"Sprint_","",IF(COUNTIFS(Versuchsdaten!$A$2:$A$1117,$A498,Versuchsdaten!$B$2:$B$1117,$B498,Versuchsdaten!$C$2:$C$1117,"Sprint_30m",Versuchsdaten!$E$2:$E$1117,$E498,Versuchsdaten!$J$2:$J$1117,1)=1,SUMIFS(Versuchsdaten!$F$2:$F$1117,Versuchsdaten!$A$2:$A$1117,$A498,Versuchsdaten!$B$2:$B$1117,$B498,Versuchsdaten!$C$2:$C$1117,"Sprint_30m",Versuchsdaten!$E$2:$E$1117,$E498,Versuchsdaten!$J$2:$J$1117,1),""))</f>
        <v/>
      </c>
      <c r="N498" s="22">
        <f>IF(LEFT(C498,7)&lt;&gt;"Sprint_",0,IF(IF(ISNUMBER(K498),IF(K498&lt;=0,1,IF(5/K498&gt;10,1,0)),0)+IF(ISNUMBER(L498),IF(ISNUMBER(K498),IF(L498-K498&lt;=0,1,IF(5/(L498-K498)&gt;10,1,0)),IF(L498&lt;=0,1,IF(10/L498&gt;10,1,0))),0)+IF(ISNUMBER(M498),IF(ISNUMBER(L498),IF(M498-L498&lt;=0,1,IF(20/(M498-L498)&gt;10,1,0)),IF(ISNUMBER(K498),IF(M498-K498&lt;=0,1,IF(25/(M498-K498)&gt;10,1,0)),IF(M498&lt;=0,1,IF(30/M498&gt;10,1,0)))),0)&gt;0,1,0))</f>
        <v/>
      </c>
      <c r="O498" s="22">
        <f>IF(AND(J498=1,N498=0),1,0)</f>
        <v/>
      </c>
      <c r="P498" s="22">
        <f>INDEX(Personendaten!$J$2:$J$32,MATCH(A498,Personendaten!$A$2:$A$32,0))</f>
        <v/>
      </c>
      <c r="Q498" s="22">
        <f>IF(O498=1,"",IF(AND(B498="post",P498="nicht angetreten"),"NANG",IF(N498=1,"AUSL",IFERROR(VLOOKUP(H498,Vokabular!$A$2:$B$8,2,FALSE),"UNBEKANNT"))))</f>
        <v/>
      </c>
    </row>
    <row r="499">
      <c r="A499" s="5" t="inlineStr">
        <is>
          <t>VS-11</t>
        </is>
      </c>
      <c r="B499" s="5" t="inlineStr">
        <is>
          <t>prä</t>
        </is>
      </c>
      <c r="C499" s="5" t="inlineStr">
        <is>
          <t>Standweitsprung</t>
        </is>
      </c>
      <c r="D499" s="5" t="inlineStr">
        <is>
          <t>–</t>
        </is>
      </c>
      <c r="E499" s="5" t="n">
        <v>3</v>
      </c>
      <c r="F499" s="5" t="n"/>
      <c r="G499" s="5" t="n"/>
      <c r="H499" s="5" t="inlineStr">
        <is>
          <t>System nicht aufgenommen</t>
        </is>
      </c>
      <c r="I499" s="22">
        <f>INDEX(Personendaten!$C$2:$C$32,MATCH(A499,Personendaten!$A$2:$A$32,0))</f>
        <v/>
      </c>
      <c r="J499" s="22">
        <f>IF(AND(F499&lt;&gt;"",G499=""),1,0)</f>
        <v/>
      </c>
      <c r="K499" s="22">
        <f>IF(LEFT(C499,7)&lt;&gt;"Sprint_","",IF(COUNTIFS(Versuchsdaten!$A$2:$A$1117,$A499,Versuchsdaten!$B$2:$B$1117,$B499,Versuchsdaten!$C$2:$C$1117,"Sprint_5m",Versuchsdaten!$E$2:$E$1117,$E499,Versuchsdaten!$J$2:$J$1117,1)=1,SUMIFS(Versuchsdaten!$F$2:$F$1117,Versuchsdaten!$A$2:$A$1117,$A499,Versuchsdaten!$B$2:$B$1117,$B499,Versuchsdaten!$C$2:$C$1117,"Sprint_5m",Versuchsdaten!$E$2:$E$1117,$E499,Versuchsdaten!$J$2:$J$1117,1),""))</f>
        <v/>
      </c>
      <c r="L499" s="22">
        <f>IF(LEFT(C499,7)&lt;&gt;"Sprint_","",IF(COUNTIFS(Versuchsdaten!$A$2:$A$1117,$A499,Versuchsdaten!$B$2:$B$1117,$B499,Versuchsdaten!$C$2:$C$1117,"Sprint_10m",Versuchsdaten!$E$2:$E$1117,$E499,Versuchsdaten!$J$2:$J$1117,1)=1,SUMIFS(Versuchsdaten!$F$2:$F$1117,Versuchsdaten!$A$2:$A$1117,$A499,Versuchsdaten!$B$2:$B$1117,$B499,Versuchsdaten!$C$2:$C$1117,"Sprint_10m",Versuchsdaten!$E$2:$E$1117,$E499,Versuchsdaten!$J$2:$J$1117,1),""))</f>
        <v/>
      </c>
      <c r="M499" s="22">
        <f>IF(LEFT(C499,7)&lt;&gt;"Sprint_","",IF(COUNTIFS(Versuchsdaten!$A$2:$A$1117,$A499,Versuchsdaten!$B$2:$B$1117,$B499,Versuchsdaten!$C$2:$C$1117,"Sprint_30m",Versuchsdaten!$E$2:$E$1117,$E499,Versuchsdaten!$J$2:$J$1117,1)=1,SUMIFS(Versuchsdaten!$F$2:$F$1117,Versuchsdaten!$A$2:$A$1117,$A499,Versuchsdaten!$B$2:$B$1117,$B499,Versuchsdaten!$C$2:$C$1117,"Sprint_30m",Versuchsdaten!$E$2:$E$1117,$E499,Versuchsdaten!$J$2:$J$1117,1),""))</f>
        <v/>
      </c>
      <c r="N499" s="22">
        <f>IF(LEFT(C499,7)&lt;&gt;"Sprint_",0,IF(IF(ISNUMBER(K499),IF(K499&lt;=0,1,IF(5/K499&gt;10,1,0)),0)+IF(ISNUMBER(L499),IF(ISNUMBER(K499),IF(L499-K499&lt;=0,1,IF(5/(L499-K499)&gt;10,1,0)),IF(L499&lt;=0,1,IF(10/L499&gt;10,1,0))),0)+IF(ISNUMBER(M499),IF(ISNUMBER(L499),IF(M499-L499&lt;=0,1,IF(20/(M499-L499)&gt;10,1,0)),IF(ISNUMBER(K499),IF(M499-K499&lt;=0,1,IF(25/(M499-K499)&gt;10,1,0)),IF(M499&lt;=0,1,IF(30/M499&gt;10,1,0)))),0)&gt;0,1,0))</f>
        <v/>
      </c>
      <c r="O499" s="22">
        <f>IF(AND(J499=1,N499=0),1,0)</f>
        <v/>
      </c>
      <c r="P499" s="22">
        <f>INDEX(Personendaten!$J$2:$J$32,MATCH(A499,Personendaten!$A$2:$A$32,0))</f>
        <v/>
      </c>
      <c r="Q499" s="22">
        <f>IF(O499=1,"",IF(AND(B499="post",P499="nicht angetreten"),"NANG",IF(N499=1,"AUSL",IFERROR(VLOOKUP(H499,Vokabular!$A$2:$B$8,2,FALSE),"UNBEKANNT"))))</f>
        <v/>
      </c>
    </row>
    <row r="500">
      <c r="A500" s="5" t="inlineStr">
        <is>
          <t>VS-11</t>
        </is>
      </c>
      <c r="B500" s="5" t="inlineStr">
        <is>
          <t>prä</t>
        </is>
      </c>
      <c r="C500" s="5" t="inlineStr">
        <is>
          <t>COD_505</t>
        </is>
      </c>
      <c r="D500" s="5" t="inlineStr">
        <is>
          <t>L</t>
        </is>
      </c>
      <c r="E500" s="5" t="n">
        <v>1</v>
      </c>
      <c r="F500" s="5" t="n">
        <v>2.75</v>
      </c>
      <c r="G500" s="5" t="n"/>
      <c r="H500" s="5" t="n"/>
      <c r="I500" s="22">
        <f>INDEX(Personendaten!$C$2:$C$32,MATCH(A500,Personendaten!$A$2:$A$32,0))</f>
        <v/>
      </c>
      <c r="J500" s="22">
        <f>IF(AND(F500&lt;&gt;"",G500=""),1,0)</f>
        <v/>
      </c>
      <c r="K500" s="22">
        <f>IF(LEFT(C500,7)&lt;&gt;"Sprint_","",IF(COUNTIFS(Versuchsdaten!$A$2:$A$1117,$A500,Versuchsdaten!$B$2:$B$1117,$B500,Versuchsdaten!$C$2:$C$1117,"Sprint_5m",Versuchsdaten!$E$2:$E$1117,$E500,Versuchsdaten!$J$2:$J$1117,1)=1,SUMIFS(Versuchsdaten!$F$2:$F$1117,Versuchsdaten!$A$2:$A$1117,$A500,Versuchsdaten!$B$2:$B$1117,$B500,Versuchsdaten!$C$2:$C$1117,"Sprint_5m",Versuchsdaten!$E$2:$E$1117,$E500,Versuchsdaten!$J$2:$J$1117,1),""))</f>
        <v/>
      </c>
      <c r="L500" s="22">
        <f>IF(LEFT(C500,7)&lt;&gt;"Sprint_","",IF(COUNTIFS(Versuchsdaten!$A$2:$A$1117,$A500,Versuchsdaten!$B$2:$B$1117,$B500,Versuchsdaten!$C$2:$C$1117,"Sprint_10m",Versuchsdaten!$E$2:$E$1117,$E500,Versuchsdaten!$J$2:$J$1117,1)=1,SUMIFS(Versuchsdaten!$F$2:$F$1117,Versuchsdaten!$A$2:$A$1117,$A500,Versuchsdaten!$B$2:$B$1117,$B500,Versuchsdaten!$C$2:$C$1117,"Sprint_10m",Versuchsdaten!$E$2:$E$1117,$E500,Versuchsdaten!$J$2:$J$1117,1),""))</f>
        <v/>
      </c>
      <c r="M500" s="22">
        <f>IF(LEFT(C500,7)&lt;&gt;"Sprint_","",IF(COUNTIFS(Versuchsdaten!$A$2:$A$1117,$A500,Versuchsdaten!$B$2:$B$1117,$B500,Versuchsdaten!$C$2:$C$1117,"Sprint_30m",Versuchsdaten!$E$2:$E$1117,$E500,Versuchsdaten!$J$2:$J$1117,1)=1,SUMIFS(Versuchsdaten!$F$2:$F$1117,Versuchsdaten!$A$2:$A$1117,$A500,Versuchsdaten!$B$2:$B$1117,$B500,Versuchsdaten!$C$2:$C$1117,"Sprint_30m",Versuchsdaten!$E$2:$E$1117,$E500,Versuchsdaten!$J$2:$J$1117,1),""))</f>
        <v/>
      </c>
      <c r="N500" s="22">
        <f>IF(LEFT(C500,7)&lt;&gt;"Sprint_",0,IF(IF(ISNUMBER(K500),IF(K500&lt;=0,1,IF(5/K500&gt;10,1,0)),0)+IF(ISNUMBER(L500),IF(ISNUMBER(K500),IF(L500-K500&lt;=0,1,IF(5/(L500-K500)&gt;10,1,0)),IF(L500&lt;=0,1,IF(10/L500&gt;10,1,0))),0)+IF(ISNUMBER(M500),IF(ISNUMBER(L500),IF(M500-L500&lt;=0,1,IF(20/(M500-L500)&gt;10,1,0)),IF(ISNUMBER(K500),IF(M500-K500&lt;=0,1,IF(25/(M500-K500)&gt;10,1,0)),IF(M500&lt;=0,1,IF(30/M500&gt;10,1,0)))),0)&gt;0,1,0))</f>
        <v/>
      </c>
      <c r="O500" s="22">
        <f>IF(AND(J500=1,N500=0),1,0)</f>
        <v/>
      </c>
      <c r="P500" s="22">
        <f>INDEX(Personendaten!$J$2:$J$32,MATCH(A500,Personendaten!$A$2:$A$32,0))</f>
        <v/>
      </c>
      <c r="Q500" s="22">
        <f>IF(O500=1,"",IF(AND(B500="post",P500="nicht angetreten"),"NANG",IF(N500=1,"AUSL",IFERROR(VLOOKUP(H500,Vokabular!$A$2:$B$8,2,FALSE),"UNBEKANNT"))))</f>
        <v/>
      </c>
    </row>
    <row r="501">
      <c r="A501" s="5" t="inlineStr">
        <is>
          <t>VS-11</t>
        </is>
      </c>
      <c r="B501" s="5" t="inlineStr">
        <is>
          <t>prä</t>
        </is>
      </c>
      <c r="C501" s="5" t="inlineStr">
        <is>
          <t>COD_505</t>
        </is>
      </c>
      <c r="D501" s="5" t="inlineStr">
        <is>
          <t>L</t>
        </is>
      </c>
      <c r="E501" s="5" t="n">
        <v>2</v>
      </c>
      <c r="F501" s="5" t="n">
        <v>2.85</v>
      </c>
      <c r="G501" s="5" t="n"/>
      <c r="H501" s="5" t="n"/>
      <c r="I501" s="22">
        <f>INDEX(Personendaten!$C$2:$C$32,MATCH(A501,Personendaten!$A$2:$A$32,0))</f>
        <v/>
      </c>
      <c r="J501" s="22">
        <f>IF(AND(F501&lt;&gt;"",G501=""),1,0)</f>
        <v/>
      </c>
      <c r="K501" s="22">
        <f>IF(LEFT(C501,7)&lt;&gt;"Sprint_","",IF(COUNTIFS(Versuchsdaten!$A$2:$A$1117,$A501,Versuchsdaten!$B$2:$B$1117,$B501,Versuchsdaten!$C$2:$C$1117,"Sprint_5m",Versuchsdaten!$E$2:$E$1117,$E501,Versuchsdaten!$J$2:$J$1117,1)=1,SUMIFS(Versuchsdaten!$F$2:$F$1117,Versuchsdaten!$A$2:$A$1117,$A501,Versuchsdaten!$B$2:$B$1117,$B501,Versuchsdaten!$C$2:$C$1117,"Sprint_5m",Versuchsdaten!$E$2:$E$1117,$E501,Versuchsdaten!$J$2:$J$1117,1),""))</f>
        <v/>
      </c>
      <c r="L501" s="22">
        <f>IF(LEFT(C501,7)&lt;&gt;"Sprint_","",IF(COUNTIFS(Versuchsdaten!$A$2:$A$1117,$A501,Versuchsdaten!$B$2:$B$1117,$B501,Versuchsdaten!$C$2:$C$1117,"Sprint_10m",Versuchsdaten!$E$2:$E$1117,$E501,Versuchsdaten!$J$2:$J$1117,1)=1,SUMIFS(Versuchsdaten!$F$2:$F$1117,Versuchsdaten!$A$2:$A$1117,$A501,Versuchsdaten!$B$2:$B$1117,$B501,Versuchsdaten!$C$2:$C$1117,"Sprint_10m",Versuchsdaten!$E$2:$E$1117,$E501,Versuchsdaten!$J$2:$J$1117,1),""))</f>
        <v/>
      </c>
      <c r="M501" s="22">
        <f>IF(LEFT(C501,7)&lt;&gt;"Sprint_","",IF(COUNTIFS(Versuchsdaten!$A$2:$A$1117,$A501,Versuchsdaten!$B$2:$B$1117,$B501,Versuchsdaten!$C$2:$C$1117,"Sprint_30m",Versuchsdaten!$E$2:$E$1117,$E501,Versuchsdaten!$J$2:$J$1117,1)=1,SUMIFS(Versuchsdaten!$F$2:$F$1117,Versuchsdaten!$A$2:$A$1117,$A501,Versuchsdaten!$B$2:$B$1117,$B501,Versuchsdaten!$C$2:$C$1117,"Sprint_30m",Versuchsdaten!$E$2:$E$1117,$E501,Versuchsdaten!$J$2:$J$1117,1),""))</f>
        <v/>
      </c>
      <c r="N501" s="22">
        <f>IF(LEFT(C501,7)&lt;&gt;"Sprint_",0,IF(IF(ISNUMBER(K501),IF(K501&lt;=0,1,IF(5/K501&gt;10,1,0)),0)+IF(ISNUMBER(L501),IF(ISNUMBER(K501),IF(L501-K501&lt;=0,1,IF(5/(L501-K501)&gt;10,1,0)),IF(L501&lt;=0,1,IF(10/L501&gt;10,1,0))),0)+IF(ISNUMBER(M501),IF(ISNUMBER(L501),IF(M501-L501&lt;=0,1,IF(20/(M501-L501)&gt;10,1,0)),IF(ISNUMBER(K501),IF(M501-K501&lt;=0,1,IF(25/(M501-K501)&gt;10,1,0)),IF(M501&lt;=0,1,IF(30/M501&gt;10,1,0)))),0)&gt;0,1,0))</f>
        <v/>
      </c>
      <c r="O501" s="22">
        <f>IF(AND(J501=1,N501=0),1,0)</f>
        <v/>
      </c>
      <c r="P501" s="22">
        <f>INDEX(Personendaten!$J$2:$J$32,MATCH(A501,Personendaten!$A$2:$A$32,0))</f>
        <v/>
      </c>
      <c r="Q501" s="22">
        <f>IF(O501=1,"",IF(AND(B501="post",P501="nicht angetreten"),"NANG",IF(N501=1,"AUSL",IFERROR(VLOOKUP(H501,Vokabular!$A$2:$B$8,2,FALSE),"UNBEKANNT"))))</f>
        <v/>
      </c>
    </row>
    <row r="502">
      <c r="A502" s="5" t="inlineStr">
        <is>
          <t>VS-11</t>
        </is>
      </c>
      <c r="B502" s="5" t="inlineStr">
        <is>
          <t>prä</t>
        </is>
      </c>
      <c r="C502" s="5" t="inlineStr">
        <is>
          <t>COD_505</t>
        </is>
      </c>
      <c r="D502" s="5" t="inlineStr">
        <is>
          <t>L</t>
        </is>
      </c>
      <c r="E502" s="5" t="n">
        <v>3</v>
      </c>
      <c r="F502" s="5" t="n"/>
      <c r="G502" s="5" t="n"/>
      <c r="H502" s="5" t="inlineStr">
        <is>
          <t>System nicht aufgenommen</t>
        </is>
      </c>
      <c r="I502" s="22">
        <f>INDEX(Personendaten!$C$2:$C$32,MATCH(A502,Personendaten!$A$2:$A$32,0))</f>
        <v/>
      </c>
      <c r="J502" s="22">
        <f>IF(AND(F502&lt;&gt;"",G502=""),1,0)</f>
        <v/>
      </c>
      <c r="K502" s="22">
        <f>IF(LEFT(C502,7)&lt;&gt;"Sprint_","",IF(COUNTIFS(Versuchsdaten!$A$2:$A$1117,$A502,Versuchsdaten!$B$2:$B$1117,$B502,Versuchsdaten!$C$2:$C$1117,"Sprint_5m",Versuchsdaten!$E$2:$E$1117,$E502,Versuchsdaten!$J$2:$J$1117,1)=1,SUMIFS(Versuchsdaten!$F$2:$F$1117,Versuchsdaten!$A$2:$A$1117,$A502,Versuchsdaten!$B$2:$B$1117,$B502,Versuchsdaten!$C$2:$C$1117,"Sprint_5m",Versuchsdaten!$E$2:$E$1117,$E502,Versuchsdaten!$J$2:$J$1117,1),""))</f>
        <v/>
      </c>
      <c r="L502" s="22">
        <f>IF(LEFT(C502,7)&lt;&gt;"Sprint_","",IF(COUNTIFS(Versuchsdaten!$A$2:$A$1117,$A502,Versuchsdaten!$B$2:$B$1117,$B502,Versuchsdaten!$C$2:$C$1117,"Sprint_10m",Versuchsdaten!$E$2:$E$1117,$E502,Versuchsdaten!$J$2:$J$1117,1)=1,SUMIFS(Versuchsdaten!$F$2:$F$1117,Versuchsdaten!$A$2:$A$1117,$A502,Versuchsdaten!$B$2:$B$1117,$B502,Versuchsdaten!$C$2:$C$1117,"Sprint_10m",Versuchsdaten!$E$2:$E$1117,$E502,Versuchsdaten!$J$2:$J$1117,1),""))</f>
        <v/>
      </c>
      <c r="M502" s="22">
        <f>IF(LEFT(C502,7)&lt;&gt;"Sprint_","",IF(COUNTIFS(Versuchsdaten!$A$2:$A$1117,$A502,Versuchsdaten!$B$2:$B$1117,$B502,Versuchsdaten!$C$2:$C$1117,"Sprint_30m",Versuchsdaten!$E$2:$E$1117,$E502,Versuchsdaten!$J$2:$J$1117,1)=1,SUMIFS(Versuchsdaten!$F$2:$F$1117,Versuchsdaten!$A$2:$A$1117,$A502,Versuchsdaten!$B$2:$B$1117,$B502,Versuchsdaten!$C$2:$C$1117,"Sprint_30m",Versuchsdaten!$E$2:$E$1117,$E502,Versuchsdaten!$J$2:$J$1117,1),""))</f>
        <v/>
      </c>
      <c r="N502" s="22">
        <f>IF(LEFT(C502,7)&lt;&gt;"Sprint_",0,IF(IF(ISNUMBER(K502),IF(K502&lt;=0,1,IF(5/K502&gt;10,1,0)),0)+IF(ISNUMBER(L502),IF(ISNUMBER(K502),IF(L502-K502&lt;=0,1,IF(5/(L502-K502)&gt;10,1,0)),IF(L502&lt;=0,1,IF(10/L502&gt;10,1,0))),0)+IF(ISNUMBER(M502),IF(ISNUMBER(L502),IF(M502-L502&lt;=0,1,IF(20/(M502-L502)&gt;10,1,0)),IF(ISNUMBER(K502),IF(M502-K502&lt;=0,1,IF(25/(M502-K502)&gt;10,1,0)),IF(M502&lt;=0,1,IF(30/M502&gt;10,1,0)))),0)&gt;0,1,0))</f>
        <v/>
      </c>
      <c r="O502" s="22">
        <f>IF(AND(J502=1,N502=0),1,0)</f>
        <v/>
      </c>
      <c r="P502" s="22">
        <f>INDEX(Personendaten!$J$2:$J$32,MATCH(A502,Personendaten!$A$2:$A$32,0))</f>
        <v/>
      </c>
      <c r="Q502" s="22">
        <f>IF(O502=1,"",IF(AND(B502="post",P502="nicht angetreten"),"NANG",IF(N502=1,"AUSL",IFERROR(VLOOKUP(H502,Vokabular!$A$2:$B$8,2,FALSE),"UNBEKANNT"))))</f>
        <v/>
      </c>
    </row>
    <row r="503">
      <c r="A503" s="5" t="inlineStr">
        <is>
          <t>VS-11</t>
        </is>
      </c>
      <c r="B503" s="5" t="inlineStr">
        <is>
          <t>prä</t>
        </is>
      </c>
      <c r="C503" s="5" t="inlineStr">
        <is>
          <t>COD_505</t>
        </is>
      </c>
      <c r="D503" s="5" t="inlineStr">
        <is>
          <t>R</t>
        </is>
      </c>
      <c r="E503" s="5" t="n">
        <v>1</v>
      </c>
      <c r="F503" s="5" t="n">
        <v>2.64</v>
      </c>
      <c r="G503" s="5" t="n"/>
      <c r="H503" s="5" t="n"/>
      <c r="I503" s="22">
        <f>INDEX(Personendaten!$C$2:$C$32,MATCH(A503,Personendaten!$A$2:$A$32,0))</f>
        <v/>
      </c>
      <c r="J503" s="22">
        <f>IF(AND(F503&lt;&gt;"",G503=""),1,0)</f>
        <v/>
      </c>
      <c r="K503" s="22">
        <f>IF(LEFT(C503,7)&lt;&gt;"Sprint_","",IF(COUNTIFS(Versuchsdaten!$A$2:$A$1117,$A503,Versuchsdaten!$B$2:$B$1117,$B503,Versuchsdaten!$C$2:$C$1117,"Sprint_5m",Versuchsdaten!$E$2:$E$1117,$E503,Versuchsdaten!$J$2:$J$1117,1)=1,SUMIFS(Versuchsdaten!$F$2:$F$1117,Versuchsdaten!$A$2:$A$1117,$A503,Versuchsdaten!$B$2:$B$1117,$B503,Versuchsdaten!$C$2:$C$1117,"Sprint_5m",Versuchsdaten!$E$2:$E$1117,$E503,Versuchsdaten!$J$2:$J$1117,1),""))</f>
        <v/>
      </c>
      <c r="L503" s="22">
        <f>IF(LEFT(C503,7)&lt;&gt;"Sprint_","",IF(COUNTIFS(Versuchsdaten!$A$2:$A$1117,$A503,Versuchsdaten!$B$2:$B$1117,$B503,Versuchsdaten!$C$2:$C$1117,"Sprint_10m",Versuchsdaten!$E$2:$E$1117,$E503,Versuchsdaten!$J$2:$J$1117,1)=1,SUMIFS(Versuchsdaten!$F$2:$F$1117,Versuchsdaten!$A$2:$A$1117,$A503,Versuchsdaten!$B$2:$B$1117,$B503,Versuchsdaten!$C$2:$C$1117,"Sprint_10m",Versuchsdaten!$E$2:$E$1117,$E503,Versuchsdaten!$J$2:$J$1117,1),""))</f>
        <v/>
      </c>
      <c r="M503" s="22">
        <f>IF(LEFT(C503,7)&lt;&gt;"Sprint_","",IF(COUNTIFS(Versuchsdaten!$A$2:$A$1117,$A503,Versuchsdaten!$B$2:$B$1117,$B503,Versuchsdaten!$C$2:$C$1117,"Sprint_30m",Versuchsdaten!$E$2:$E$1117,$E503,Versuchsdaten!$J$2:$J$1117,1)=1,SUMIFS(Versuchsdaten!$F$2:$F$1117,Versuchsdaten!$A$2:$A$1117,$A503,Versuchsdaten!$B$2:$B$1117,$B503,Versuchsdaten!$C$2:$C$1117,"Sprint_30m",Versuchsdaten!$E$2:$E$1117,$E503,Versuchsdaten!$J$2:$J$1117,1),""))</f>
        <v/>
      </c>
      <c r="N503" s="22">
        <f>IF(LEFT(C503,7)&lt;&gt;"Sprint_",0,IF(IF(ISNUMBER(K503),IF(K503&lt;=0,1,IF(5/K503&gt;10,1,0)),0)+IF(ISNUMBER(L503),IF(ISNUMBER(K503),IF(L503-K503&lt;=0,1,IF(5/(L503-K503)&gt;10,1,0)),IF(L503&lt;=0,1,IF(10/L503&gt;10,1,0))),0)+IF(ISNUMBER(M503),IF(ISNUMBER(L503),IF(M503-L503&lt;=0,1,IF(20/(M503-L503)&gt;10,1,0)),IF(ISNUMBER(K503),IF(M503-K503&lt;=0,1,IF(25/(M503-K503)&gt;10,1,0)),IF(M503&lt;=0,1,IF(30/M503&gt;10,1,0)))),0)&gt;0,1,0))</f>
        <v/>
      </c>
      <c r="O503" s="22">
        <f>IF(AND(J503=1,N503=0),1,0)</f>
        <v/>
      </c>
      <c r="P503" s="22">
        <f>INDEX(Personendaten!$J$2:$J$32,MATCH(A503,Personendaten!$A$2:$A$32,0))</f>
        <v/>
      </c>
      <c r="Q503" s="22">
        <f>IF(O503=1,"",IF(AND(B503="post",P503="nicht angetreten"),"NANG",IF(N503=1,"AUSL",IFERROR(VLOOKUP(H503,Vokabular!$A$2:$B$8,2,FALSE),"UNBEKANNT"))))</f>
        <v/>
      </c>
    </row>
    <row r="504">
      <c r="A504" s="5" t="inlineStr">
        <is>
          <t>VS-11</t>
        </is>
      </c>
      <c r="B504" s="5" t="inlineStr">
        <is>
          <t>prä</t>
        </is>
      </c>
      <c r="C504" s="5" t="inlineStr">
        <is>
          <t>COD_505</t>
        </is>
      </c>
      <c r="D504" s="5" t="inlineStr">
        <is>
          <t>R</t>
        </is>
      </c>
      <c r="E504" s="5" t="n">
        <v>2</v>
      </c>
      <c r="F504" s="5" t="n">
        <v>2.73</v>
      </c>
      <c r="G504" s="5" t="n"/>
      <c r="H504" s="5" t="n"/>
      <c r="I504" s="22">
        <f>INDEX(Personendaten!$C$2:$C$32,MATCH(A504,Personendaten!$A$2:$A$32,0))</f>
        <v/>
      </c>
      <c r="J504" s="22">
        <f>IF(AND(F504&lt;&gt;"",G504=""),1,0)</f>
        <v/>
      </c>
      <c r="K504" s="22">
        <f>IF(LEFT(C504,7)&lt;&gt;"Sprint_","",IF(COUNTIFS(Versuchsdaten!$A$2:$A$1117,$A504,Versuchsdaten!$B$2:$B$1117,$B504,Versuchsdaten!$C$2:$C$1117,"Sprint_5m",Versuchsdaten!$E$2:$E$1117,$E504,Versuchsdaten!$J$2:$J$1117,1)=1,SUMIFS(Versuchsdaten!$F$2:$F$1117,Versuchsdaten!$A$2:$A$1117,$A504,Versuchsdaten!$B$2:$B$1117,$B504,Versuchsdaten!$C$2:$C$1117,"Sprint_5m",Versuchsdaten!$E$2:$E$1117,$E504,Versuchsdaten!$J$2:$J$1117,1),""))</f>
        <v/>
      </c>
      <c r="L504" s="22">
        <f>IF(LEFT(C504,7)&lt;&gt;"Sprint_","",IF(COUNTIFS(Versuchsdaten!$A$2:$A$1117,$A504,Versuchsdaten!$B$2:$B$1117,$B504,Versuchsdaten!$C$2:$C$1117,"Sprint_10m",Versuchsdaten!$E$2:$E$1117,$E504,Versuchsdaten!$J$2:$J$1117,1)=1,SUMIFS(Versuchsdaten!$F$2:$F$1117,Versuchsdaten!$A$2:$A$1117,$A504,Versuchsdaten!$B$2:$B$1117,$B504,Versuchsdaten!$C$2:$C$1117,"Sprint_10m",Versuchsdaten!$E$2:$E$1117,$E504,Versuchsdaten!$J$2:$J$1117,1),""))</f>
        <v/>
      </c>
      <c r="M504" s="22">
        <f>IF(LEFT(C504,7)&lt;&gt;"Sprint_","",IF(COUNTIFS(Versuchsdaten!$A$2:$A$1117,$A504,Versuchsdaten!$B$2:$B$1117,$B504,Versuchsdaten!$C$2:$C$1117,"Sprint_30m",Versuchsdaten!$E$2:$E$1117,$E504,Versuchsdaten!$J$2:$J$1117,1)=1,SUMIFS(Versuchsdaten!$F$2:$F$1117,Versuchsdaten!$A$2:$A$1117,$A504,Versuchsdaten!$B$2:$B$1117,$B504,Versuchsdaten!$C$2:$C$1117,"Sprint_30m",Versuchsdaten!$E$2:$E$1117,$E504,Versuchsdaten!$J$2:$J$1117,1),""))</f>
        <v/>
      </c>
      <c r="N504" s="22">
        <f>IF(LEFT(C504,7)&lt;&gt;"Sprint_",0,IF(IF(ISNUMBER(K504),IF(K504&lt;=0,1,IF(5/K504&gt;10,1,0)),0)+IF(ISNUMBER(L504),IF(ISNUMBER(K504),IF(L504-K504&lt;=0,1,IF(5/(L504-K504)&gt;10,1,0)),IF(L504&lt;=0,1,IF(10/L504&gt;10,1,0))),0)+IF(ISNUMBER(M504),IF(ISNUMBER(L504),IF(M504-L504&lt;=0,1,IF(20/(M504-L504)&gt;10,1,0)),IF(ISNUMBER(K504),IF(M504-K504&lt;=0,1,IF(25/(M504-K504)&gt;10,1,0)),IF(M504&lt;=0,1,IF(30/M504&gt;10,1,0)))),0)&gt;0,1,0))</f>
        <v/>
      </c>
      <c r="O504" s="22">
        <f>IF(AND(J504=1,N504=0),1,0)</f>
        <v/>
      </c>
      <c r="P504" s="22">
        <f>INDEX(Personendaten!$J$2:$J$32,MATCH(A504,Personendaten!$A$2:$A$32,0))</f>
        <v/>
      </c>
      <c r="Q504" s="22">
        <f>IF(O504=1,"",IF(AND(B504="post",P504="nicht angetreten"),"NANG",IF(N504=1,"AUSL",IFERROR(VLOOKUP(H504,Vokabular!$A$2:$B$8,2,FALSE),"UNBEKANNT"))))</f>
        <v/>
      </c>
    </row>
    <row r="505">
      <c r="A505" s="5" t="inlineStr">
        <is>
          <t>VS-11</t>
        </is>
      </c>
      <c r="B505" s="5" t="inlineStr">
        <is>
          <t>prä</t>
        </is>
      </c>
      <c r="C505" s="5" t="inlineStr">
        <is>
          <t>COD_505</t>
        </is>
      </c>
      <c r="D505" s="5" t="inlineStr">
        <is>
          <t>R</t>
        </is>
      </c>
      <c r="E505" s="5" t="n">
        <v>3</v>
      </c>
      <c r="F505" s="5" t="n"/>
      <c r="G505" s="5" t="n"/>
      <c r="H505" s="5" t="inlineStr">
        <is>
          <t>Nur 2 Versuche aus Zeitmangel</t>
        </is>
      </c>
      <c r="I505" s="22">
        <f>INDEX(Personendaten!$C$2:$C$32,MATCH(A505,Personendaten!$A$2:$A$32,0))</f>
        <v/>
      </c>
      <c r="J505" s="22">
        <f>IF(AND(F505&lt;&gt;"",G505=""),1,0)</f>
        <v/>
      </c>
      <c r="K505" s="22">
        <f>IF(LEFT(C505,7)&lt;&gt;"Sprint_","",IF(COUNTIFS(Versuchsdaten!$A$2:$A$1117,$A505,Versuchsdaten!$B$2:$B$1117,$B505,Versuchsdaten!$C$2:$C$1117,"Sprint_5m",Versuchsdaten!$E$2:$E$1117,$E505,Versuchsdaten!$J$2:$J$1117,1)=1,SUMIFS(Versuchsdaten!$F$2:$F$1117,Versuchsdaten!$A$2:$A$1117,$A505,Versuchsdaten!$B$2:$B$1117,$B505,Versuchsdaten!$C$2:$C$1117,"Sprint_5m",Versuchsdaten!$E$2:$E$1117,$E505,Versuchsdaten!$J$2:$J$1117,1),""))</f>
        <v/>
      </c>
      <c r="L505" s="22">
        <f>IF(LEFT(C505,7)&lt;&gt;"Sprint_","",IF(COUNTIFS(Versuchsdaten!$A$2:$A$1117,$A505,Versuchsdaten!$B$2:$B$1117,$B505,Versuchsdaten!$C$2:$C$1117,"Sprint_10m",Versuchsdaten!$E$2:$E$1117,$E505,Versuchsdaten!$J$2:$J$1117,1)=1,SUMIFS(Versuchsdaten!$F$2:$F$1117,Versuchsdaten!$A$2:$A$1117,$A505,Versuchsdaten!$B$2:$B$1117,$B505,Versuchsdaten!$C$2:$C$1117,"Sprint_10m",Versuchsdaten!$E$2:$E$1117,$E505,Versuchsdaten!$J$2:$J$1117,1),""))</f>
        <v/>
      </c>
      <c r="M505" s="22">
        <f>IF(LEFT(C505,7)&lt;&gt;"Sprint_","",IF(COUNTIFS(Versuchsdaten!$A$2:$A$1117,$A505,Versuchsdaten!$B$2:$B$1117,$B505,Versuchsdaten!$C$2:$C$1117,"Sprint_30m",Versuchsdaten!$E$2:$E$1117,$E505,Versuchsdaten!$J$2:$J$1117,1)=1,SUMIFS(Versuchsdaten!$F$2:$F$1117,Versuchsdaten!$A$2:$A$1117,$A505,Versuchsdaten!$B$2:$B$1117,$B505,Versuchsdaten!$C$2:$C$1117,"Sprint_30m",Versuchsdaten!$E$2:$E$1117,$E505,Versuchsdaten!$J$2:$J$1117,1),""))</f>
        <v/>
      </c>
      <c r="N505" s="22">
        <f>IF(LEFT(C505,7)&lt;&gt;"Sprint_",0,IF(IF(ISNUMBER(K505),IF(K505&lt;=0,1,IF(5/K505&gt;10,1,0)),0)+IF(ISNUMBER(L505),IF(ISNUMBER(K505),IF(L505-K505&lt;=0,1,IF(5/(L505-K505)&gt;10,1,0)),IF(L505&lt;=0,1,IF(10/L505&gt;10,1,0))),0)+IF(ISNUMBER(M505),IF(ISNUMBER(L505),IF(M505-L505&lt;=0,1,IF(20/(M505-L505)&gt;10,1,0)),IF(ISNUMBER(K505),IF(M505-K505&lt;=0,1,IF(25/(M505-K505)&gt;10,1,0)),IF(M505&lt;=0,1,IF(30/M505&gt;10,1,0)))),0)&gt;0,1,0))</f>
        <v/>
      </c>
      <c r="O505" s="22">
        <f>IF(AND(J505=1,N505=0),1,0)</f>
        <v/>
      </c>
      <c r="P505" s="22">
        <f>INDEX(Personendaten!$J$2:$J$32,MATCH(A505,Personendaten!$A$2:$A$32,0))</f>
        <v/>
      </c>
      <c r="Q505" s="22">
        <f>IF(O505=1,"",IF(AND(B505="post",P505="nicht angetreten"),"NANG",IF(N505=1,"AUSL",IFERROR(VLOOKUP(H505,Vokabular!$A$2:$B$8,2,FALSE),"UNBEKANNT"))))</f>
        <v/>
      </c>
    </row>
    <row r="506">
      <c r="A506" s="5" t="inlineStr">
        <is>
          <t>VS-16</t>
        </is>
      </c>
      <c r="B506" s="5" t="inlineStr">
        <is>
          <t>prä</t>
        </is>
      </c>
      <c r="C506" s="5" t="inlineStr">
        <is>
          <t>Sprint_5m</t>
        </is>
      </c>
      <c r="D506" s="5" t="inlineStr">
        <is>
          <t>–</t>
        </is>
      </c>
      <c r="E506" s="5" t="n">
        <v>1</v>
      </c>
      <c r="F506" s="5" t="n"/>
      <c r="G506" s="5" t="n"/>
      <c r="H506" s="5" t="inlineStr">
        <is>
          <t>System nicht aufgenommen</t>
        </is>
      </c>
      <c r="I506" s="22">
        <f>INDEX(Personendaten!$C$2:$C$32,MATCH(A506,Personendaten!$A$2:$A$32,0))</f>
        <v/>
      </c>
      <c r="J506" s="22">
        <f>IF(AND(F506&lt;&gt;"",G506=""),1,0)</f>
        <v/>
      </c>
      <c r="K506" s="22">
        <f>IF(LEFT(C506,7)&lt;&gt;"Sprint_","",IF(COUNTIFS(Versuchsdaten!$A$2:$A$1117,$A506,Versuchsdaten!$B$2:$B$1117,$B506,Versuchsdaten!$C$2:$C$1117,"Sprint_5m",Versuchsdaten!$E$2:$E$1117,$E506,Versuchsdaten!$J$2:$J$1117,1)=1,SUMIFS(Versuchsdaten!$F$2:$F$1117,Versuchsdaten!$A$2:$A$1117,$A506,Versuchsdaten!$B$2:$B$1117,$B506,Versuchsdaten!$C$2:$C$1117,"Sprint_5m",Versuchsdaten!$E$2:$E$1117,$E506,Versuchsdaten!$J$2:$J$1117,1),""))</f>
        <v/>
      </c>
      <c r="L506" s="22">
        <f>IF(LEFT(C506,7)&lt;&gt;"Sprint_","",IF(COUNTIFS(Versuchsdaten!$A$2:$A$1117,$A506,Versuchsdaten!$B$2:$B$1117,$B506,Versuchsdaten!$C$2:$C$1117,"Sprint_10m",Versuchsdaten!$E$2:$E$1117,$E506,Versuchsdaten!$J$2:$J$1117,1)=1,SUMIFS(Versuchsdaten!$F$2:$F$1117,Versuchsdaten!$A$2:$A$1117,$A506,Versuchsdaten!$B$2:$B$1117,$B506,Versuchsdaten!$C$2:$C$1117,"Sprint_10m",Versuchsdaten!$E$2:$E$1117,$E506,Versuchsdaten!$J$2:$J$1117,1),""))</f>
        <v/>
      </c>
      <c r="M506" s="22">
        <f>IF(LEFT(C506,7)&lt;&gt;"Sprint_","",IF(COUNTIFS(Versuchsdaten!$A$2:$A$1117,$A506,Versuchsdaten!$B$2:$B$1117,$B506,Versuchsdaten!$C$2:$C$1117,"Sprint_30m",Versuchsdaten!$E$2:$E$1117,$E506,Versuchsdaten!$J$2:$J$1117,1)=1,SUMIFS(Versuchsdaten!$F$2:$F$1117,Versuchsdaten!$A$2:$A$1117,$A506,Versuchsdaten!$B$2:$B$1117,$B506,Versuchsdaten!$C$2:$C$1117,"Sprint_30m",Versuchsdaten!$E$2:$E$1117,$E506,Versuchsdaten!$J$2:$J$1117,1),""))</f>
        <v/>
      </c>
      <c r="N506" s="22">
        <f>IF(LEFT(C506,7)&lt;&gt;"Sprint_",0,IF(IF(ISNUMBER(K506),IF(K506&lt;=0,1,IF(5/K506&gt;10,1,0)),0)+IF(ISNUMBER(L506),IF(ISNUMBER(K506),IF(L506-K506&lt;=0,1,IF(5/(L506-K506)&gt;10,1,0)),IF(L506&lt;=0,1,IF(10/L506&gt;10,1,0))),0)+IF(ISNUMBER(M506),IF(ISNUMBER(L506),IF(M506-L506&lt;=0,1,IF(20/(M506-L506)&gt;10,1,0)),IF(ISNUMBER(K506),IF(M506-K506&lt;=0,1,IF(25/(M506-K506)&gt;10,1,0)),IF(M506&lt;=0,1,IF(30/M506&gt;10,1,0)))),0)&gt;0,1,0))</f>
        <v/>
      </c>
      <c r="O506" s="22">
        <f>IF(AND(J506=1,N506=0),1,0)</f>
        <v/>
      </c>
      <c r="P506" s="22">
        <f>INDEX(Personendaten!$J$2:$J$32,MATCH(A506,Personendaten!$A$2:$A$32,0))</f>
        <v/>
      </c>
      <c r="Q506" s="22">
        <f>IF(O506=1,"",IF(AND(B506="post",P506="nicht angetreten"),"NANG",IF(N506=1,"AUSL",IFERROR(VLOOKUP(H506,Vokabular!$A$2:$B$8,2,FALSE),"UNBEKANNT"))))</f>
        <v/>
      </c>
    </row>
    <row r="507">
      <c r="A507" s="5" t="inlineStr">
        <is>
          <t>VS-16</t>
        </is>
      </c>
      <c r="B507" s="5" t="inlineStr">
        <is>
          <t>prä</t>
        </is>
      </c>
      <c r="C507" s="5" t="inlineStr">
        <is>
          <t>Sprint_5m</t>
        </is>
      </c>
      <c r="D507" s="5" t="inlineStr">
        <is>
          <t>–</t>
        </is>
      </c>
      <c r="E507" s="5" t="n">
        <v>2</v>
      </c>
      <c r="F507" s="5" t="n"/>
      <c r="G507" s="5" t="n"/>
      <c r="H507" s="5" t="inlineStr">
        <is>
          <t>System nicht aufgenommen</t>
        </is>
      </c>
      <c r="I507" s="22">
        <f>INDEX(Personendaten!$C$2:$C$32,MATCH(A507,Personendaten!$A$2:$A$32,0))</f>
        <v/>
      </c>
      <c r="J507" s="22">
        <f>IF(AND(F507&lt;&gt;"",G507=""),1,0)</f>
        <v/>
      </c>
      <c r="K507" s="22">
        <f>IF(LEFT(C507,7)&lt;&gt;"Sprint_","",IF(COUNTIFS(Versuchsdaten!$A$2:$A$1117,$A507,Versuchsdaten!$B$2:$B$1117,$B507,Versuchsdaten!$C$2:$C$1117,"Sprint_5m",Versuchsdaten!$E$2:$E$1117,$E507,Versuchsdaten!$J$2:$J$1117,1)=1,SUMIFS(Versuchsdaten!$F$2:$F$1117,Versuchsdaten!$A$2:$A$1117,$A507,Versuchsdaten!$B$2:$B$1117,$B507,Versuchsdaten!$C$2:$C$1117,"Sprint_5m",Versuchsdaten!$E$2:$E$1117,$E507,Versuchsdaten!$J$2:$J$1117,1),""))</f>
        <v/>
      </c>
      <c r="L507" s="22">
        <f>IF(LEFT(C507,7)&lt;&gt;"Sprint_","",IF(COUNTIFS(Versuchsdaten!$A$2:$A$1117,$A507,Versuchsdaten!$B$2:$B$1117,$B507,Versuchsdaten!$C$2:$C$1117,"Sprint_10m",Versuchsdaten!$E$2:$E$1117,$E507,Versuchsdaten!$J$2:$J$1117,1)=1,SUMIFS(Versuchsdaten!$F$2:$F$1117,Versuchsdaten!$A$2:$A$1117,$A507,Versuchsdaten!$B$2:$B$1117,$B507,Versuchsdaten!$C$2:$C$1117,"Sprint_10m",Versuchsdaten!$E$2:$E$1117,$E507,Versuchsdaten!$J$2:$J$1117,1),""))</f>
        <v/>
      </c>
      <c r="M507" s="22">
        <f>IF(LEFT(C507,7)&lt;&gt;"Sprint_","",IF(COUNTIFS(Versuchsdaten!$A$2:$A$1117,$A507,Versuchsdaten!$B$2:$B$1117,$B507,Versuchsdaten!$C$2:$C$1117,"Sprint_30m",Versuchsdaten!$E$2:$E$1117,$E507,Versuchsdaten!$J$2:$J$1117,1)=1,SUMIFS(Versuchsdaten!$F$2:$F$1117,Versuchsdaten!$A$2:$A$1117,$A507,Versuchsdaten!$B$2:$B$1117,$B507,Versuchsdaten!$C$2:$C$1117,"Sprint_30m",Versuchsdaten!$E$2:$E$1117,$E507,Versuchsdaten!$J$2:$J$1117,1),""))</f>
        <v/>
      </c>
      <c r="N507" s="22">
        <f>IF(LEFT(C507,7)&lt;&gt;"Sprint_",0,IF(IF(ISNUMBER(K507),IF(K507&lt;=0,1,IF(5/K507&gt;10,1,0)),0)+IF(ISNUMBER(L507),IF(ISNUMBER(K507),IF(L507-K507&lt;=0,1,IF(5/(L507-K507)&gt;10,1,0)),IF(L507&lt;=0,1,IF(10/L507&gt;10,1,0))),0)+IF(ISNUMBER(M507),IF(ISNUMBER(L507),IF(M507-L507&lt;=0,1,IF(20/(M507-L507)&gt;10,1,0)),IF(ISNUMBER(K507),IF(M507-K507&lt;=0,1,IF(25/(M507-K507)&gt;10,1,0)),IF(M507&lt;=0,1,IF(30/M507&gt;10,1,0)))),0)&gt;0,1,0))</f>
        <v/>
      </c>
      <c r="O507" s="22">
        <f>IF(AND(J507=1,N507=0),1,0)</f>
        <v/>
      </c>
      <c r="P507" s="22">
        <f>INDEX(Personendaten!$J$2:$J$32,MATCH(A507,Personendaten!$A$2:$A$32,0))</f>
        <v/>
      </c>
      <c r="Q507" s="22">
        <f>IF(O507=1,"",IF(AND(B507="post",P507="nicht angetreten"),"NANG",IF(N507=1,"AUSL",IFERROR(VLOOKUP(H507,Vokabular!$A$2:$B$8,2,FALSE),"UNBEKANNT"))))</f>
        <v/>
      </c>
    </row>
    <row r="508">
      <c r="A508" s="5" t="inlineStr">
        <is>
          <t>VS-16</t>
        </is>
      </c>
      <c r="B508" s="5" t="inlineStr">
        <is>
          <t>prä</t>
        </is>
      </c>
      <c r="C508" s="5" t="inlineStr">
        <is>
          <t>Sprint_5m</t>
        </is>
      </c>
      <c r="D508" s="5" t="inlineStr">
        <is>
          <t>–</t>
        </is>
      </c>
      <c r="E508" s="5" t="n">
        <v>3</v>
      </c>
      <c r="F508" s="5" t="n"/>
      <c r="G508" s="5" t="n"/>
      <c r="H508" s="5" t="inlineStr">
        <is>
          <t>System nicht aufgenommen</t>
        </is>
      </c>
      <c r="I508" s="22">
        <f>INDEX(Personendaten!$C$2:$C$32,MATCH(A508,Personendaten!$A$2:$A$32,0))</f>
        <v/>
      </c>
      <c r="J508" s="22">
        <f>IF(AND(F508&lt;&gt;"",G508=""),1,0)</f>
        <v/>
      </c>
      <c r="K508" s="22">
        <f>IF(LEFT(C508,7)&lt;&gt;"Sprint_","",IF(COUNTIFS(Versuchsdaten!$A$2:$A$1117,$A508,Versuchsdaten!$B$2:$B$1117,$B508,Versuchsdaten!$C$2:$C$1117,"Sprint_5m",Versuchsdaten!$E$2:$E$1117,$E508,Versuchsdaten!$J$2:$J$1117,1)=1,SUMIFS(Versuchsdaten!$F$2:$F$1117,Versuchsdaten!$A$2:$A$1117,$A508,Versuchsdaten!$B$2:$B$1117,$B508,Versuchsdaten!$C$2:$C$1117,"Sprint_5m",Versuchsdaten!$E$2:$E$1117,$E508,Versuchsdaten!$J$2:$J$1117,1),""))</f>
        <v/>
      </c>
      <c r="L508" s="22">
        <f>IF(LEFT(C508,7)&lt;&gt;"Sprint_","",IF(COUNTIFS(Versuchsdaten!$A$2:$A$1117,$A508,Versuchsdaten!$B$2:$B$1117,$B508,Versuchsdaten!$C$2:$C$1117,"Sprint_10m",Versuchsdaten!$E$2:$E$1117,$E508,Versuchsdaten!$J$2:$J$1117,1)=1,SUMIFS(Versuchsdaten!$F$2:$F$1117,Versuchsdaten!$A$2:$A$1117,$A508,Versuchsdaten!$B$2:$B$1117,$B508,Versuchsdaten!$C$2:$C$1117,"Sprint_10m",Versuchsdaten!$E$2:$E$1117,$E508,Versuchsdaten!$J$2:$J$1117,1),""))</f>
        <v/>
      </c>
      <c r="M508" s="22">
        <f>IF(LEFT(C508,7)&lt;&gt;"Sprint_","",IF(COUNTIFS(Versuchsdaten!$A$2:$A$1117,$A508,Versuchsdaten!$B$2:$B$1117,$B508,Versuchsdaten!$C$2:$C$1117,"Sprint_30m",Versuchsdaten!$E$2:$E$1117,$E508,Versuchsdaten!$J$2:$J$1117,1)=1,SUMIFS(Versuchsdaten!$F$2:$F$1117,Versuchsdaten!$A$2:$A$1117,$A508,Versuchsdaten!$B$2:$B$1117,$B508,Versuchsdaten!$C$2:$C$1117,"Sprint_30m",Versuchsdaten!$E$2:$E$1117,$E508,Versuchsdaten!$J$2:$J$1117,1),""))</f>
        <v/>
      </c>
      <c r="N508" s="22">
        <f>IF(LEFT(C508,7)&lt;&gt;"Sprint_",0,IF(IF(ISNUMBER(K508),IF(K508&lt;=0,1,IF(5/K508&gt;10,1,0)),0)+IF(ISNUMBER(L508),IF(ISNUMBER(K508),IF(L508-K508&lt;=0,1,IF(5/(L508-K508)&gt;10,1,0)),IF(L508&lt;=0,1,IF(10/L508&gt;10,1,0))),0)+IF(ISNUMBER(M508),IF(ISNUMBER(L508),IF(M508-L508&lt;=0,1,IF(20/(M508-L508)&gt;10,1,0)),IF(ISNUMBER(K508),IF(M508-K508&lt;=0,1,IF(25/(M508-K508)&gt;10,1,0)),IF(M508&lt;=0,1,IF(30/M508&gt;10,1,0)))),0)&gt;0,1,0))</f>
        <v/>
      </c>
      <c r="O508" s="22">
        <f>IF(AND(J508=1,N508=0),1,0)</f>
        <v/>
      </c>
      <c r="P508" s="22">
        <f>INDEX(Personendaten!$J$2:$J$32,MATCH(A508,Personendaten!$A$2:$A$32,0))</f>
        <v/>
      </c>
      <c r="Q508" s="22">
        <f>IF(O508=1,"",IF(AND(B508="post",P508="nicht angetreten"),"NANG",IF(N508=1,"AUSL",IFERROR(VLOOKUP(H508,Vokabular!$A$2:$B$8,2,FALSE),"UNBEKANNT"))))</f>
        <v/>
      </c>
    </row>
    <row r="509">
      <c r="A509" s="5" t="inlineStr">
        <is>
          <t>VS-16</t>
        </is>
      </c>
      <c r="B509" s="5" t="inlineStr">
        <is>
          <t>prä</t>
        </is>
      </c>
      <c r="C509" s="5" t="inlineStr">
        <is>
          <t>Sprint_10m</t>
        </is>
      </c>
      <c r="D509" s="5" t="inlineStr">
        <is>
          <t>–</t>
        </is>
      </c>
      <c r="E509" s="5" t="n">
        <v>1</v>
      </c>
      <c r="F509" s="5" t="n"/>
      <c r="G509" s="5" t="n"/>
      <c r="H509" s="5" t="inlineStr">
        <is>
          <t>System nicht aufgenommen</t>
        </is>
      </c>
      <c r="I509" s="22">
        <f>INDEX(Personendaten!$C$2:$C$32,MATCH(A509,Personendaten!$A$2:$A$32,0))</f>
        <v/>
      </c>
      <c r="J509" s="22">
        <f>IF(AND(F509&lt;&gt;"",G509=""),1,0)</f>
        <v/>
      </c>
      <c r="K509" s="22">
        <f>IF(LEFT(C509,7)&lt;&gt;"Sprint_","",IF(COUNTIFS(Versuchsdaten!$A$2:$A$1117,$A509,Versuchsdaten!$B$2:$B$1117,$B509,Versuchsdaten!$C$2:$C$1117,"Sprint_5m",Versuchsdaten!$E$2:$E$1117,$E509,Versuchsdaten!$J$2:$J$1117,1)=1,SUMIFS(Versuchsdaten!$F$2:$F$1117,Versuchsdaten!$A$2:$A$1117,$A509,Versuchsdaten!$B$2:$B$1117,$B509,Versuchsdaten!$C$2:$C$1117,"Sprint_5m",Versuchsdaten!$E$2:$E$1117,$E509,Versuchsdaten!$J$2:$J$1117,1),""))</f>
        <v/>
      </c>
      <c r="L509" s="22">
        <f>IF(LEFT(C509,7)&lt;&gt;"Sprint_","",IF(COUNTIFS(Versuchsdaten!$A$2:$A$1117,$A509,Versuchsdaten!$B$2:$B$1117,$B509,Versuchsdaten!$C$2:$C$1117,"Sprint_10m",Versuchsdaten!$E$2:$E$1117,$E509,Versuchsdaten!$J$2:$J$1117,1)=1,SUMIFS(Versuchsdaten!$F$2:$F$1117,Versuchsdaten!$A$2:$A$1117,$A509,Versuchsdaten!$B$2:$B$1117,$B509,Versuchsdaten!$C$2:$C$1117,"Sprint_10m",Versuchsdaten!$E$2:$E$1117,$E509,Versuchsdaten!$J$2:$J$1117,1),""))</f>
        <v/>
      </c>
      <c r="M509" s="22">
        <f>IF(LEFT(C509,7)&lt;&gt;"Sprint_","",IF(COUNTIFS(Versuchsdaten!$A$2:$A$1117,$A509,Versuchsdaten!$B$2:$B$1117,$B509,Versuchsdaten!$C$2:$C$1117,"Sprint_30m",Versuchsdaten!$E$2:$E$1117,$E509,Versuchsdaten!$J$2:$J$1117,1)=1,SUMIFS(Versuchsdaten!$F$2:$F$1117,Versuchsdaten!$A$2:$A$1117,$A509,Versuchsdaten!$B$2:$B$1117,$B509,Versuchsdaten!$C$2:$C$1117,"Sprint_30m",Versuchsdaten!$E$2:$E$1117,$E509,Versuchsdaten!$J$2:$J$1117,1),""))</f>
        <v/>
      </c>
      <c r="N509" s="22">
        <f>IF(LEFT(C509,7)&lt;&gt;"Sprint_",0,IF(IF(ISNUMBER(K509),IF(K509&lt;=0,1,IF(5/K509&gt;10,1,0)),0)+IF(ISNUMBER(L509),IF(ISNUMBER(K509),IF(L509-K509&lt;=0,1,IF(5/(L509-K509)&gt;10,1,0)),IF(L509&lt;=0,1,IF(10/L509&gt;10,1,0))),0)+IF(ISNUMBER(M509),IF(ISNUMBER(L509),IF(M509-L509&lt;=0,1,IF(20/(M509-L509)&gt;10,1,0)),IF(ISNUMBER(K509),IF(M509-K509&lt;=0,1,IF(25/(M509-K509)&gt;10,1,0)),IF(M509&lt;=0,1,IF(30/M509&gt;10,1,0)))),0)&gt;0,1,0))</f>
        <v/>
      </c>
      <c r="O509" s="22">
        <f>IF(AND(J509=1,N509=0),1,0)</f>
        <v/>
      </c>
      <c r="P509" s="22">
        <f>INDEX(Personendaten!$J$2:$J$32,MATCH(A509,Personendaten!$A$2:$A$32,0))</f>
        <v/>
      </c>
      <c r="Q509" s="22">
        <f>IF(O509=1,"",IF(AND(B509="post",P509="nicht angetreten"),"NANG",IF(N509=1,"AUSL",IFERROR(VLOOKUP(H509,Vokabular!$A$2:$B$8,2,FALSE),"UNBEKANNT"))))</f>
        <v/>
      </c>
    </row>
    <row r="510">
      <c r="A510" s="5" t="inlineStr">
        <is>
          <t>VS-16</t>
        </is>
      </c>
      <c r="B510" s="5" t="inlineStr">
        <is>
          <t>prä</t>
        </is>
      </c>
      <c r="C510" s="5" t="inlineStr">
        <is>
          <t>Sprint_10m</t>
        </is>
      </c>
      <c r="D510" s="5" t="inlineStr">
        <is>
          <t>–</t>
        </is>
      </c>
      <c r="E510" s="5" t="n">
        <v>2</v>
      </c>
      <c r="F510" s="5" t="n">
        <v>1.98</v>
      </c>
      <c r="G510" s="5" t="n"/>
      <c r="H510" s="5" t="n"/>
      <c r="I510" s="22">
        <f>INDEX(Personendaten!$C$2:$C$32,MATCH(A510,Personendaten!$A$2:$A$32,0))</f>
        <v/>
      </c>
      <c r="J510" s="22">
        <f>IF(AND(F510&lt;&gt;"",G510=""),1,0)</f>
        <v/>
      </c>
      <c r="K510" s="22">
        <f>IF(LEFT(C510,7)&lt;&gt;"Sprint_","",IF(COUNTIFS(Versuchsdaten!$A$2:$A$1117,$A510,Versuchsdaten!$B$2:$B$1117,$B510,Versuchsdaten!$C$2:$C$1117,"Sprint_5m",Versuchsdaten!$E$2:$E$1117,$E510,Versuchsdaten!$J$2:$J$1117,1)=1,SUMIFS(Versuchsdaten!$F$2:$F$1117,Versuchsdaten!$A$2:$A$1117,$A510,Versuchsdaten!$B$2:$B$1117,$B510,Versuchsdaten!$C$2:$C$1117,"Sprint_5m",Versuchsdaten!$E$2:$E$1117,$E510,Versuchsdaten!$J$2:$J$1117,1),""))</f>
        <v/>
      </c>
      <c r="L510" s="22">
        <f>IF(LEFT(C510,7)&lt;&gt;"Sprint_","",IF(COUNTIFS(Versuchsdaten!$A$2:$A$1117,$A510,Versuchsdaten!$B$2:$B$1117,$B510,Versuchsdaten!$C$2:$C$1117,"Sprint_10m",Versuchsdaten!$E$2:$E$1117,$E510,Versuchsdaten!$J$2:$J$1117,1)=1,SUMIFS(Versuchsdaten!$F$2:$F$1117,Versuchsdaten!$A$2:$A$1117,$A510,Versuchsdaten!$B$2:$B$1117,$B510,Versuchsdaten!$C$2:$C$1117,"Sprint_10m",Versuchsdaten!$E$2:$E$1117,$E510,Versuchsdaten!$J$2:$J$1117,1),""))</f>
        <v/>
      </c>
      <c r="M510" s="22">
        <f>IF(LEFT(C510,7)&lt;&gt;"Sprint_","",IF(COUNTIFS(Versuchsdaten!$A$2:$A$1117,$A510,Versuchsdaten!$B$2:$B$1117,$B510,Versuchsdaten!$C$2:$C$1117,"Sprint_30m",Versuchsdaten!$E$2:$E$1117,$E510,Versuchsdaten!$J$2:$J$1117,1)=1,SUMIFS(Versuchsdaten!$F$2:$F$1117,Versuchsdaten!$A$2:$A$1117,$A510,Versuchsdaten!$B$2:$B$1117,$B510,Versuchsdaten!$C$2:$C$1117,"Sprint_30m",Versuchsdaten!$E$2:$E$1117,$E510,Versuchsdaten!$J$2:$J$1117,1),""))</f>
        <v/>
      </c>
      <c r="N510" s="22">
        <f>IF(LEFT(C510,7)&lt;&gt;"Sprint_",0,IF(IF(ISNUMBER(K510),IF(K510&lt;=0,1,IF(5/K510&gt;10,1,0)),0)+IF(ISNUMBER(L510),IF(ISNUMBER(K510),IF(L510-K510&lt;=0,1,IF(5/(L510-K510)&gt;10,1,0)),IF(L510&lt;=0,1,IF(10/L510&gt;10,1,0))),0)+IF(ISNUMBER(M510),IF(ISNUMBER(L510),IF(M510-L510&lt;=0,1,IF(20/(M510-L510)&gt;10,1,0)),IF(ISNUMBER(K510),IF(M510-K510&lt;=0,1,IF(25/(M510-K510)&gt;10,1,0)),IF(M510&lt;=0,1,IF(30/M510&gt;10,1,0)))),0)&gt;0,1,0))</f>
        <v/>
      </c>
      <c r="O510" s="22">
        <f>IF(AND(J510=1,N510=0),1,0)</f>
        <v/>
      </c>
      <c r="P510" s="22">
        <f>INDEX(Personendaten!$J$2:$J$32,MATCH(A510,Personendaten!$A$2:$A$32,0))</f>
        <v/>
      </c>
      <c r="Q510" s="22">
        <f>IF(O510=1,"",IF(AND(B510="post",P510="nicht angetreten"),"NANG",IF(N510=1,"AUSL",IFERROR(VLOOKUP(H510,Vokabular!$A$2:$B$8,2,FALSE),"UNBEKANNT"))))</f>
        <v/>
      </c>
    </row>
    <row r="511">
      <c r="A511" s="5" t="inlineStr">
        <is>
          <t>VS-16</t>
        </is>
      </c>
      <c r="B511" s="5" t="inlineStr">
        <is>
          <t>prä</t>
        </is>
      </c>
      <c r="C511" s="5" t="inlineStr">
        <is>
          <t>Sprint_10m</t>
        </is>
      </c>
      <c r="D511" s="5" t="inlineStr">
        <is>
          <t>–</t>
        </is>
      </c>
      <c r="E511" s="5" t="n">
        <v>3</v>
      </c>
      <c r="F511" s="5" t="n"/>
      <c r="G511" s="5" t="n"/>
      <c r="H511" s="5" t="inlineStr">
        <is>
          <t>System nicht aufgenommen</t>
        </is>
      </c>
      <c r="I511" s="22">
        <f>INDEX(Personendaten!$C$2:$C$32,MATCH(A511,Personendaten!$A$2:$A$32,0))</f>
        <v/>
      </c>
      <c r="J511" s="22">
        <f>IF(AND(F511&lt;&gt;"",G511=""),1,0)</f>
        <v/>
      </c>
      <c r="K511" s="22">
        <f>IF(LEFT(C511,7)&lt;&gt;"Sprint_","",IF(COUNTIFS(Versuchsdaten!$A$2:$A$1117,$A511,Versuchsdaten!$B$2:$B$1117,$B511,Versuchsdaten!$C$2:$C$1117,"Sprint_5m",Versuchsdaten!$E$2:$E$1117,$E511,Versuchsdaten!$J$2:$J$1117,1)=1,SUMIFS(Versuchsdaten!$F$2:$F$1117,Versuchsdaten!$A$2:$A$1117,$A511,Versuchsdaten!$B$2:$B$1117,$B511,Versuchsdaten!$C$2:$C$1117,"Sprint_5m",Versuchsdaten!$E$2:$E$1117,$E511,Versuchsdaten!$J$2:$J$1117,1),""))</f>
        <v/>
      </c>
      <c r="L511" s="22">
        <f>IF(LEFT(C511,7)&lt;&gt;"Sprint_","",IF(COUNTIFS(Versuchsdaten!$A$2:$A$1117,$A511,Versuchsdaten!$B$2:$B$1117,$B511,Versuchsdaten!$C$2:$C$1117,"Sprint_10m",Versuchsdaten!$E$2:$E$1117,$E511,Versuchsdaten!$J$2:$J$1117,1)=1,SUMIFS(Versuchsdaten!$F$2:$F$1117,Versuchsdaten!$A$2:$A$1117,$A511,Versuchsdaten!$B$2:$B$1117,$B511,Versuchsdaten!$C$2:$C$1117,"Sprint_10m",Versuchsdaten!$E$2:$E$1117,$E511,Versuchsdaten!$J$2:$J$1117,1),""))</f>
        <v/>
      </c>
      <c r="M511" s="22">
        <f>IF(LEFT(C511,7)&lt;&gt;"Sprint_","",IF(COUNTIFS(Versuchsdaten!$A$2:$A$1117,$A511,Versuchsdaten!$B$2:$B$1117,$B511,Versuchsdaten!$C$2:$C$1117,"Sprint_30m",Versuchsdaten!$E$2:$E$1117,$E511,Versuchsdaten!$J$2:$J$1117,1)=1,SUMIFS(Versuchsdaten!$F$2:$F$1117,Versuchsdaten!$A$2:$A$1117,$A511,Versuchsdaten!$B$2:$B$1117,$B511,Versuchsdaten!$C$2:$C$1117,"Sprint_30m",Versuchsdaten!$E$2:$E$1117,$E511,Versuchsdaten!$J$2:$J$1117,1),""))</f>
        <v/>
      </c>
      <c r="N511" s="22">
        <f>IF(LEFT(C511,7)&lt;&gt;"Sprint_",0,IF(IF(ISNUMBER(K511),IF(K511&lt;=0,1,IF(5/K511&gt;10,1,0)),0)+IF(ISNUMBER(L511),IF(ISNUMBER(K511),IF(L511-K511&lt;=0,1,IF(5/(L511-K511)&gt;10,1,0)),IF(L511&lt;=0,1,IF(10/L511&gt;10,1,0))),0)+IF(ISNUMBER(M511),IF(ISNUMBER(L511),IF(M511-L511&lt;=0,1,IF(20/(M511-L511)&gt;10,1,0)),IF(ISNUMBER(K511),IF(M511-K511&lt;=0,1,IF(25/(M511-K511)&gt;10,1,0)),IF(M511&lt;=0,1,IF(30/M511&gt;10,1,0)))),0)&gt;0,1,0))</f>
        <v/>
      </c>
      <c r="O511" s="22">
        <f>IF(AND(J511=1,N511=0),1,0)</f>
        <v/>
      </c>
      <c r="P511" s="22">
        <f>INDEX(Personendaten!$J$2:$J$32,MATCH(A511,Personendaten!$A$2:$A$32,0))</f>
        <v/>
      </c>
      <c r="Q511" s="22">
        <f>IF(O511=1,"",IF(AND(B511="post",P511="nicht angetreten"),"NANG",IF(N511=1,"AUSL",IFERROR(VLOOKUP(H511,Vokabular!$A$2:$B$8,2,FALSE),"UNBEKANNT"))))</f>
        <v/>
      </c>
    </row>
    <row r="512">
      <c r="A512" s="5" t="inlineStr">
        <is>
          <t>VS-16</t>
        </is>
      </c>
      <c r="B512" s="5" t="inlineStr">
        <is>
          <t>prä</t>
        </is>
      </c>
      <c r="C512" s="5" t="inlineStr">
        <is>
          <t>Sprint_30m</t>
        </is>
      </c>
      <c r="D512" s="5" t="inlineStr">
        <is>
          <t>–</t>
        </is>
      </c>
      <c r="E512" s="5" t="n">
        <v>1</v>
      </c>
      <c r="F512" s="5" t="n"/>
      <c r="G512" s="5" t="n"/>
      <c r="H512" s="5" t="inlineStr">
        <is>
          <t>System nicht aufgenommen</t>
        </is>
      </c>
      <c r="I512" s="22">
        <f>INDEX(Personendaten!$C$2:$C$32,MATCH(A512,Personendaten!$A$2:$A$32,0))</f>
        <v/>
      </c>
      <c r="J512" s="22">
        <f>IF(AND(F512&lt;&gt;"",G512=""),1,0)</f>
        <v/>
      </c>
      <c r="K512" s="22">
        <f>IF(LEFT(C512,7)&lt;&gt;"Sprint_","",IF(COUNTIFS(Versuchsdaten!$A$2:$A$1117,$A512,Versuchsdaten!$B$2:$B$1117,$B512,Versuchsdaten!$C$2:$C$1117,"Sprint_5m",Versuchsdaten!$E$2:$E$1117,$E512,Versuchsdaten!$J$2:$J$1117,1)=1,SUMIFS(Versuchsdaten!$F$2:$F$1117,Versuchsdaten!$A$2:$A$1117,$A512,Versuchsdaten!$B$2:$B$1117,$B512,Versuchsdaten!$C$2:$C$1117,"Sprint_5m",Versuchsdaten!$E$2:$E$1117,$E512,Versuchsdaten!$J$2:$J$1117,1),""))</f>
        <v/>
      </c>
      <c r="L512" s="22">
        <f>IF(LEFT(C512,7)&lt;&gt;"Sprint_","",IF(COUNTIFS(Versuchsdaten!$A$2:$A$1117,$A512,Versuchsdaten!$B$2:$B$1117,$B512,Versuchsdaten!$C$2:$C$1117,"Sprint_10m",Versuchsdaten!$E$2:$E$1117,$E512,Versuchsdaten!$J$2:$J$1117,1)=1,SUMIFS(Versuchsdaten!$F$2:$F$1117,Versuchsdaten!$A$2:$A$1117,$A512,Versuchsdaten!$B$2:$B$1117,$B512,Versuchsdaten!$C$2:$C$1117,"Sprint_10m",Versuchsdaten!$E$2:$E$1117,$E512,Versuchsdaten!$J$2:$J$1117,1),""))</f>
        <v/>
      </c>
      <c r="M512" s="22">
        <f>IF(LEFT(C512,7)&lt;&gt;"Sprint_","",IF(COUNTIFS(Versuchsdaten!$A$2:$A$1117,$A512,Versuchsdaten!$B$2:$B$1117,$B512,Versuchsdaten!$C$2:$C$1117,"Sprint_30m",Versuchsdaten!$E$2:$E$1117,$E512,Versuchsdaten!$J$2:$J$1117,1)=1,SUMIFS(Versuchsdaten!$F$2:$F$1117,Versuchsdaten!$A$2:$A$1117,$A512,Versuchsdaten!$B$2:$B$1117,$B512,Versuchsdaten!$C$2:$C$1117,"Sprint_30m",Versuchsdaten!$E$2:$E$1117,$E512,Versuchsdaten!$J$2:$J$1117,1),""))</f>
        <v/>
      </c>
      <c r="N512" s="22">
        <f>IF(LEFT(C512,7)&lt;&gt;"Sprint_",0,IF(IF(ISNUMBER(K512),IF(K512&lt;=0,1,IF(5/K512&gt;10,1,0)),0)+IF(ISNUMBER(L512),IF(ISNUMBER(K512),IF(L512-K512&lt;=0,1,IF(5/(L512-K512)&gt;10,1,0)),IF(L512&lt;=0,1,IF(10/L512&gt;10,1,0))),0)+IF(ISNUMBER(M512),IF(ISNUMBER(L512),IF(M512-L512&lt;=0,1,IF(20/(M512-L512)&gt;10,1,0)),IF(ISNUMBER(K512),IF(M512-K512&lt;=0,1,IF(25/(M512-K512)&gt;10,1,0)),IF(M512&lt;=0,1,IF(30/M512&gt;10,1,0)))),0)&gt;0,1,0))</f>
        <v/>
      </c>
      <c r="O512" s="22">
        <f>IF(AND(J512=1,N512=0),1,0)</f>
        <v/>
      </c>
      <c r="P512" s="22">
        <f>INDEX(Personendaten!$J$2:$J$32,MATCH(A512,Personendaten!$A$2:$A$32,0))</f>
        <v/>
      </c>
      <c r="Q512" s="22">
        <f>IF(O512=1,"",IF(AND(B512="post",P512="nicht angetreten"),"NANG",IF(N512=1,"AUSL",IFERROR(VLOOKUP(H512,Vokabular!$A$2:$B$8,2,FALSE),"UNBEKANNT"))))</f>
        <v/>
      </c>
    </row>
    <row r="513">
      <c r="A513" s="5" t="inlineStr">
        <is>
          <t>VS-16</t>
        </is>
      </c>
      <c r="B513" s="5" t="inlineStr">
        <is>
          <t>prä</t>
        </is>
      </c>
      <c r="C513" s="5" t="inlineStr">
        <is>
          <t>Sprint_30m</t>
        </is>
      </c>
      <c r="D513" s="5" t="inlineStr">
        <is>
          <t>–</t>
        </is>
      </c>
      <c r="E513" s="5" t="n">
        <v>2</v>
      </c>
      <c r="F513" s="5" t="n">
        <v>4.92</v>
      </c>
      <c r="G513" s="5" t="n"/>
      <c r="H513" s="5" t="n"/>
      <c r="I513" s="22">
        <f>INDEX(Personendaten!$C$2:$C$32,MATCH(A513,Personendaten!$A$2:$A$32,0))</f>
        <v/>
      </c>
      <c r="J513" s="22">
        <f>IF(AND(F513&lt;&gt;"",G513=""),1,0)</f>
        <v/>
      </c>
      <c r="K513" s="22">
        <f>IF(LEFT(C513,7)&lt;&gt;"Sprint_","",IF(COUNTIFS(Versuchsdaten!$A$2:$A$1117,$A513,Versuchsdaten!$B$2:$B$1117,$B513,Versuchsdaten!$C$2:$C$1117,"Sprint_5m",Versuchsdaten!$E$2:$E$1117,$E513,Versuchsdaten!$J$2:$J$1117,1)=1,SUMIFS(Versuchsdaten!$F$2:$F$1117,Versuchsdaten!$A$2:$A$1117,$A513,Versuchsdaten!$B$2:$B$1117,$B513,Versuchsdaten!$C$2:$C$1117,"Sprint_5m",Versuchsdaten!$E$2:$E$1117,$E513,Versuchsdaten!$J$2:$J$1117,1),""))</f>
        <v/>
      </c>
      <c r="L513" s="22">
        <f>IF(LEFT(C513,7)&lt;&gt;"Sprint_","",IF(COUNTIFS(Versuchsdaten!$A$2:$A$1117,$A513,Versuchsdaten!$B$2:$B$1117,$B513,Versuchsdaten!$C$2:$C$1117,"Sprint_10m",Versuchsdaten!$E$2:$E$1117,$E513,Versuchsdaten!$J$2:$J$1117,1)=1,SUMIFS(Versuchsdaten!$F$2:$F$1117,Versuchsdaten!$A$2:$A$1117,$A513,Versuchsdaten!$B$2:$B$1117,$B513,Versuchsdaten!$C$2:$C$1117,"Sprint_10m",Versuchsdaten!$E$2:$E$1117,$E513,Versuchsdaten!$J$2:$J$1117,1),""))</f>
        <v/>
      </c>
      <c r="M513" s="22">
        <f>IF(LEFT(C513,7)&lt;&gt;"Sprint_","",IF(COUNTIFS(Versuchsdaten!$A$2:$A$1117,$A513,Versuchsdaten!$B$2:$B$1117,$B513,Versuchsdaten!$C$2:$C$1117,"Sprint_30m",Versuchsdaten!$E$2:$E$1117,$E513,Versuchsdaten!$J$2:$J$1117,1)=1,SUMIFS(Versuchsdaten!$F$2:$F$1117,Versuchsdaten!$A$2:$A$1117,$A513,Versuchsdaten!$B$2:$B$1117,$B513,Versuchsdaten!$C$2:$C$1117,"Sprint_30m",Versuchsdaten!$E$2:$E$1117,$E513,Versuchsdaten!$J$2:$J$1117,1),""))</f>
        <v/>
      </c>
      <c r="N513" s="22">
        <f>IF(LEFT(C513,7)&lt;&gt;"Sprint_",0,IF(IF(ISNUMBER(K513),IF(K513&lt;=0,1,IF(5/K513&gt;10,1,0)),0)+IF(ISNUMBER(L513),IF(ISNUMBER(K513),IF(L513-K513&lt;=0,1,IF(5/(L513-K513)&gt;10,1,0)),IF(L513&lt;=0,1,IF(10/L513&gt;10,1,0))),0)+IF(ISNUMBER(M513),IF(ISNUMBER(L513),IF(M513-L513&lt;=0,1,IF(20/(M513-L513)&gt;10,1,0)),IF(ISNUMBER(K513),IF(M513-K513&lt;=0,1,IF(25/(M513-K513)&gt;10,1,0)),IF(M513&lt;=0,1,IF(30/M513&gt;10,1,0)))),0)&gt;0,1,0))</f>
        <v/>
      </c>
      <c r="O513" s="22">
        <f>IF(AND(J513=1,N513=0),1,0)</f>
        <v/>
      </c>
      <c r="P513" s="22">
        <f>INDEX(Personendaten!$J$2:$J$32,MATCH(A513,Personendaten!$A$2:$A$32,0))</f>
        <v/>
      </c>
      <c r="Q513" s="22">
        <f>IF(O513=1,"",IF(AND(B513="post",P513="nicht angetreten"),"NANG",IF(N513=1,"AUSL",IFERROR(VLOOKUP(H513,Vokabular!$A$2:$B$8,2,FALSE),"UNBEKANNT"))))</f>
        <v/>
      </c>
    </row>
    <row r="514">
      <c r="A514" s="5" t="inlineStr">
        <is>
          <t>VS-16</t>
        </is>
      </c>
      <c r="B514" s="5" t="inlineStr">
        <is>
          <t>prä</t>
        </is>
      </c>
      <c r="C514" s="5" t="inlineStr">
        <is>
          <t>Sprint_30m</t>
        </is>
      </c>
      <c r="D514" s="5" t="inlineStr">
        <is>
          <t>–</t>
        </is>
      </c>
      <c r="E514" s="5" t="n">
        <v>3</v>
      </c>
      <c r="F514" s="5" t="n">
        <v>4.92</v>
      </c>
      <c r="G514" s="5" t="n"/>
      <c r="H514" s="5" t="n"/>
      <c r="I514" s="22">
        <f>INDEX(Personendaten!$C$2:$C$32,MATCH(A514,Personendaten!$A$2:$A$32,0))</f>
        <v/>
      </c>
      <c r="J514" s="22">
        <f>IF(AND(F514&lt;&gt;"",G514=""),1,0)</f>
        <v/>
      </c>
      <c r="K514" s="22">
        <f>IF(LEFT(C514,7)&lt;&gt;"Sprint_","",IF(COUNTIFS(Versuchsdaten!$A$2:$A$1117,$A514,Versuchsdaten!$B$2:$B$1117,$B514,Versuchsdaten!$C$2:$C$1117,"Sprint_5m",Versuchsdaten!$E$2:$E$1117,$E514,Versuchsdaten!$J$2:$J$1117,1)=1,SUMIFS(Versuchsdaten!$F$2:$F$1117,Versuchsdaten!$A$2:$A$1117,$A514,Versuchsdaten!$B$2:$B$1117,$B514,Versuchsdaten!$C$2:$C$1117,"Sprint_5m",Versuchsdaten!$E$2:$E$1117,$E514,Versuchsdaten!$J$2:$J$1117,1),""))</f>
        <v/>
      </c>
      <c r="L514" s="22">
        <f>IF(LEFT(C514,7)&lt;&gt;"Sprint_","",IF(COUNTIFS(Versuchsdaten!$A$2:$A$1117,$A514,Versuchsdaten!$B$2:$B$1117,$B514,Versuchsdaten!$C$2:$C$1117,"Sprint_10m",Versuchsdaten!$E$2:$E$1117,$E514,Versuchsdaten!$J$2:$J$1117,1)=1,SUMIFS(Versuchsdaten!$F$2:$F$1117,Versuchsdaten!$A$2:$A$1117,$A514,Versuchsdaten!$B$2:$B$1117,$B514,Versuchsdaten!$C$2:$C$1117,"Sprint_10m",Versuchsdaten!$E$2:$E$1117,$E514,Versuchsdaten!$J$2:$J$1117,1),""))</f>
        <v/>
      </c>
      <c r="M514" s="22">
        <f>IF(LEFT(C514,7)&lt;&gt;"Sprint_","",IF(COUNTIFS(Versuchsdaten!$A$2:$A$1117,$A514,Versuchsdaten!$B$2:$B$1117,$B514,Versuchsdaten!$C$2:$C$1117,"Sprint_30m",Versuchsdaten!$E$2:$E$1117,$E514,Versuchsdaten!$J$2:$J$1117,1)=1,SUMIFS(Versuchsdaten!$F$2:$F$1117,Versuchsdaten!$A$2:$A$1117,$A514,Versuchsdaten!$B$2:$B$1117,$B514,Versuchsdaten!$C$2:$C$1117,"Sprint_30m",Versuchsdaten!$E$2:$E$1117,$E514,Versuchsdaten!$J$2:$J$1117,1),""))</f>
        <v/>
      </c>
      <c r="N514" s="22">
        <f>IF(LEFT(C514,7)&lt;&gt;"Sprint_",0,IF(IF(ISNUMBER(K514),IF(K514&lt;=0,1,IF(5/K514&gt;10,1,0)),0)+IF(ISNUMBER(L514),IF(ISNUMBER(K514),IF(L514-K514&lt;=0,1,IF(5/(L514-K514)&gt;10,1,0)),IF(L514&lt;=0,1,IF(10/L514&gt;10,1,0))),0)+IF(ISNUMBER(M514),IF(ISNUMBER(L514),IF(M514-L514&lt;=0,1,IF(20/(M514-L514)&gt;10,1,0)),IF(ISNUMBER(K514),IF(M514-K514&lt;=0,1,IF(25/(M514-K514)&gt;10,1,0)),IF(M514&lt;=0,1,IF(30/M514&gt;10,1,0)))),0)&gt;0,1,0))</f>
        <v/>
      </c>
      <c r="O514" s="22">
        <f>IF(AND(J514=1,N514=0),1,0)</f>
        <v/>
      </c>
      <c r="P514" s="22">
        <f>INDEX(Personendaten!$J$2:$J$32,MATCH(A514,Personendaten!$A$2:$A$32,0))</f>
        <v/>
      </c>
      <c r="Q514" s="22">
        <f>IF(O514=1,"",IF(AND(B514="post",P514="nicht angetreten"),"NANG",IF(N514=1,"AUSL",IFERROR(VLOOKUP(H514,Vokabular!$A$2:$B$8,2,FALSE),"UNBEKANNT"))))</f>
        <v/>
      </c>
    </row>
    <row r="515">
      <c r="A515" s="5" t="inlineStr">
        <is>
          <t>VS-16</t>
        </is>
      </c>
      <c r="B515" s="5" t="inlineStr">
        <is>
          <t>prä</t>
        </is>
      </c>
      <c r="C515" s="5" t="inlineStr">
        <is>
          <t>Standweitsprung</t>
        </is>
      </c>
      <c r="D515" s="5" t="inlineStr">
        <is>
          <t>–</t>
        </is>
      </c>
      <c r="E515" s="5" t="n">
        <v>1</v>
      </c>
      <c r="F515" s="5" t="n">
        <v>226</v>
      </c>
      <c r="G515" s="5" t="n"/>
      <c r="H515" s="5" t="n"/>
      <c r="I515" s="22">
        <f>INDEX(Personendaten!$C$2:$C$32,MATCH(A515,Personendaten!$A$2:$A$32,0))</f>
        <v/>
      </c>
      <c r="J515" s="22">
        <f>IF(AND(F515&lt;&gt;"",G515=""),1,0)</f>
        <v/>
      </c>
      <c r="K515" s="22">
        <f>IF(LEFT(C515,7)&lt;&gt;"Sprint_","",IF(COUNTIFS(Versuchsdaten!$A$2:$A$1117,$A515,Versuchsdaten!$B$2:$B$1117,$B515,Versuchsdaten!$C$2:$C$1117,"Sprint_5m",Versuchsdaten!$E$2:$E$1117,$E515,Versuchsdaten!$J$2:$J$1117,1)=1,SUMIFS(Versuchsdaten!$F$2:$F$1117,Versuchsdaten!$A$2:$A$1117,$A515,Versuchsdaten!$B$2:$B$1117,$B515,Versuchsdaten!$C$2:$C$1117,"Sprint_5m",Versuchsdaten!$E$2:$E$1117,$E515,Versuchsdaten!$J$2:$J$1117,1),""))</f>
        <v/>
      </c>
      <c r="L515" s="22">
        <f>IF(LEFT(C515,7)&lt;&gt;"Sprint_","",IF(COUNTIFS(Versuchsdaten!$A$2:$A$1117,$A515,Versuchsdaten!$B$2:$B$1117,$B515,Versuchsdaten!$C$2:$C$1117,"Sprint_10m",Versuchsdaten!$E$2:$E$1117,$E515,Versuchsdaten!$J$2:$J$1117,1)=1,SUMIFS(Versuchsdaten!$F$2:$F$1117,Versuchsdaten!$A$2:$A$1117,$A515,Versuchsdaten!$B$2:$B$1117,$B515,Versuchsdaten!$C$2:$C$1117,"Sprint_10m",Versuchsdaten!$E$2:$E$1117,$E515,Versuchsdaten!$J$2:$J$1117,1),""))</f>
        <v/>
      </c>
      <c r="M515" s="22">
        <f>IF(LEFT(C515,7)&lt;&gt;"Sprint_","",IF(COUNTIFS(Versuchsdaten!$A$2:$A$1117,$A515,Versuchsdaten!$B$2:$B$1117,$B515,Versuchsdaten!$C$2:$C$1117,"Sprint_30m",Versuchsdaten!$E$2:$E$1117,$E515,Versuchsdaten!$J$2:$J$1117,1)=1,SUMIFS(Versuchsdaten!$F$2:$F$1117,Versuchsdaten!$A$2:$A$1117,$A515,Versuchsdaten!$B$2:$B$1117,$B515,Versuchsdaten!$C$2:$C$1117,"Sprint_30m",Versuchsdaten!$E$2:$E$1117,$E515,Versuchsdaten!$J$2:$J$1117,1),""))</f>
        <v/>
      </c>
      <c r="N515" s="22">
        <f>IF(LEFT(C515,7)&lt;&gt;"Sprint_",0,IF(IF(ISNUMBER(K515),IF(K515&lt;=0,1,IF(5/K515&gt;10,1,0)),0)+IF(ISNUMBER(L515),IF(ISNUMBER(K515),IF(L515-K515&lt;=0,1,IF(5/(L515-K515)&gt;10,1,0)),IF(L515&lt;=0,1,IF(10/L515&gt;10,1,0))),0)+IF(ISNUMBER(M515),IF(ISNUMBER(L515),IF(M515-L515&lt;=0,1,IF(20/(M515-L515)&gt;10,1,0)),IF(ISNUMBER(K515),IF(M515-K515&lt;=0,1,IF(25/(M515-K515)&gt;10,1,0)),IF(M515&lt;=0,1,IF(30/M515&gt;10,1,0)))),0)&gt;0,1,0))</f>
        <v/>
      </c>
      <c r="O515" s="22">
        <f>IF(AND(J515=1,N515=0),1,0)</f>
        <v/>
      </c>
      <c r="P515" s="22">
        <f>INDEX(Personendaten!$J$2:$J$32,MATCH(A515,Personendaten!$A$2:$A$32,0))</f>
        <v/>
      </c>
      <c r="Q515" s="22">
        <f>IF(O515=1,"",IF(AND(B515="post",P515="nicht angetreten"),"NANG",IF(N515=1,"AUSL",IFERROR(VLOOKUP(H515,Vokabular!$A$2:$B$8,2,FALSE),"UNBEKANNT"))))</f>
        <v/>
      </c>
    </row>
    <row r="516">
      <c r="A516" s="5" t="inlineStr">
        <is>
          <t>VS-16</t>
        </is>
      </c>
      <c r="B516" s="5" t="inlineStr">
        <is>
          <t>prä</t>
        </is>
      </c>
      <c r="C516" s="5" t="inlineStr">
        <is>
          <t>Standweitsprung</t>
        </is>
      </c>
      <c r="D516" s="5" t="inlineStr">
        <is>
          <t>–</t>
        </is>
      </c>
      <c r="E516" s="5" t="n">
        <v>2</v>
      </c>
      <c r="F516" s="5" t="n">
        <v>225</v>
      </c>
      <c r="G516" s="5" t="n"/>
      <c r="H516" s="5" t="n"/>
      <c r="I516" s="22">
        <f>INDEX(Personendaten!$C$2:$C$32,MATCH(A516,Personendaten!$A$2:$A$32,0))</f>
        <v/>
      </c>
      <c r="J516" s="22">
        <f>IF(AND(F516&lt;&gt;"",G516=""),1,0)</f>
        <v/>
      </c>
      <c r="K516" s="22">
        <f>IF(LEFT(C516,7)&lt;&gt;"Sprint_","",IF(COUNTIFS(Versuchsdaten!$A$2:$A$1117,$A516,Versuchsdaten!$B$2:$B$1117,$B516,Versuchsdaten!$C$2:$C$1117,"Sprint_5m",Versuchsdaten!$E$2:$E$1117,$E516,Versuchsdaten!$J$2:$J$1117,1)=1,SUMIFS(Versuchsdaten!$F$2:$F$1117,Versuchsdaten!$A$2:$A$1117,$A516,Versuchsdaten!$B$2:$B$1117,$B516,Versuchsdaten!$C$2:$C$1117,"Sprint_5m",Versuchsdaten!$E$2:$E$1117,$E516,Versuchsdaten!$J$2:$J$1117,1),""))</f>
        <v/>
      </c>
      <c r="L516" s="22">
        <f>IF(LEFT(C516,7)&lt;&gt;"Sprint_","",IF(COUNTIFS(Versuchsdaten!$A$2:$A$1117,$A516,Versuchsdaten!$B$2:$B$1117,$B516,Versuchsdaten!$C$2:$C$1117,"Sprint_10m",Versuchsdaten!$E$2:$E$1117,$E516,Versuchsdaten!$J$2:$J$1117,1)=1,SUMIFS(Versuchsdaten!$F$2:$F$1117,Versuchsdaten!$A$2:$A$1117,$A516,Versuchsdaten!$B$2:$B$1117,$B516,Versuchsdaten!$C$2:$C$1117,"Sprint_10m",Versuchsdaten!$E$2:$E$1117,$E516,Versuchsdaten!$J$2:$J$1117,1),""))</f>
        <v/>
      </c>
      <c r="M516" s="22">
        <f>IF(LEFT(C516,7)&lt;&gt;"Sprint_","",IF(COUNTIFS(Versuchsdaten!$A$2:$A$1117,$A516,Versuchsdaten!$B$2:$B$1117,$B516,Versuchsdaten!$C$2:$C$1117,"Sprint_30m",Versuchsdaten!$E$2:$E$1117,$E516,Versuchsdaten!$J$2:$J$1117,1)=1,SUMIFS(Versuchsdaten!$F$2:$F$1117,Versuchsdaten!$A$2:$A$1117,$A516,Versuchsdaten!$B$2:$B$1117,$B516,Versuchsdaten!$C$2:$C$1117,"Sprint_30m",Versuchsdaten!$E$2:$E$1117,$E516,Versuchsdaten!$J$2:$J$1117,1),""))</f>
        <v/>
      </c>
      <c r="N516" s="22">
        <f>IF(LEFT(C516,7)&lt;&gt;"Sprint_",0,IF(IF(ISNUMBER(K516),IF(K516&lt;=0,1,IF(5/K516&gt;10,1,0)),0)+IF(ISNUMBER(L516),IF(ISNUMBER(K516),IF(L516-K516&lt;=0,1,IF(5/(L516-K516)&gt;10,1,0)),IF(L516&lt;=0,1,IF(10/L516&gt;10,1,0))),0)+IF(ISNUMBER(M516),IF(ISNUMBER(L516),IF(M516-L516&lt;=0,1,IF(20/(M516-L516)&gt;10,1,0)),IF(ISNUMBER(K516),IF(M516-K516&lt;=0,1,IF(25/(M516-K516)&gt;10,1,0)),IF(M516&lt;=0,1,IF(30/M516&gt;10,1,0)))),0)&gt;0,1,0))</f>
        <v/>
      </c>
      <c r="O516" s="22">
        <f>IF(AND(J516=1,N516=0),1,0)</f>
        <v/>
      </c>
      <c r="P516" s="22">
        <f>INDEX(Personendaten!$J$2:$J$32,MATCH(A516,Personendaten!$A$2:$A$32,0))</f>
        <v/>
      </c>
      <c r="Q516" s="22">
        <f>IF(O516=1,"",IF(AND(B516="post",P516="nicht angetreten"),"NANG",IF(N516=1,"AUSL",IFERROR(VLOOKUP(H516,Vokabular!$A$2:$B$8,2,FALSE),"UNBEKANNT"))))</f>
        <v/>
      </c>
    </row>
    <row r="517">
      <c r="A517" s="5" t="inlineStr">
        <is>
          <t>VS-16</t>
        </is>
      </c>
      <c r="B517" s="5" t="inlineStr">
        <is>
          <t>prä</t>
        </is>
      </c>
      <c r="C517" s="5" t="inlineStr">
        <is>
          <t>Standweitsprung</t>
        </is>
      </c>
      <c r="D517" s="5" t="inlineStr">
        <is>
          <t>–</t>
        </is>
      </c>
      <c r="E517" s="5" t="n">
        <v>3</v>
      </c>
      <c r="F517" s="5" t="n"/>
      <c r="G517" s="5" t="n"/>
      <c r="H517" s="5" t="inlineStr">
        <is>
          <t>Nur 2 Versuche aus Zeitmangel</t>
        </is>
      </c>
      <c r="I517" s="22">
        <f>INDEX(Personendaten!$C$2:$C$32,MATCH(A517,Personendaten!$A$2:$A$32,0))</f>
        <v/>
      </c>
      <c r="J517" s="22">
        <f>IF(AND(F517&lt;&gt;"",G517=""),1,0)</f>
        <v/>
      </c>
      <c r="K517" s="22">
        <f>IF(LEFT(C517,7)&lt;&gt;"Sprint_","",IF(COUNTIFS(Versuchsdaten!$A$2:$A$1117,$A517,Versuchsdaten!$B$2:$B$1117,$B517,Versuchsdaten!$C$2:$C$1117,"Sprint_5m",Versuchsdaten!$E$2:$E$1117,$E517,Versuchsdaten!$J$2:$J$1117,1)=1,SUMIFS(Versuchsdaten!$F$2:$F$1117,Versuchsdaten!$A$2:$A$1117,$A517,Versuchsdaten!$B$2:$B$1117,$B517,Versuchsdaten!$C$2:$C$1117,"Sprint_5m",Versuchsdaten!$E$2:$E$1117,$E517,Versuchsdaten!$J$2:$J$1117,1),""))</f>
        <v/>
      </c>
      <c r="L517" s="22">
        <f>IF(LEFT(C517,7)&lt;&gt;"Sprint_","",IF(COUNTIFS(Versuchsdaten!$A$2:$A$1117,$A517,Versuchsdaten!$B$2:$B$1117,$B517,Versuchsdaten!$C$2:$C$1117,"Sprint_10m",Versuchsdaten!$E$2:$E$1117,$E517,Versuchsdaten!$J$2:$J$1117,1)=1,SUMIFS(Versuchsdaten!$F$2:$F$1117,Versuchsdaten!$A$2:$A$1117,$A517,Versuchsdaten!$B$2:$B$1117,$B517,Versuchsdaten!$C$2:$C$1117,"Sprint_10m",Versuchsdaten!$E$2:$E$1117,$E517,Versuchsdaten!$J$2:$J$1117,1),""))</f>
        <v/>
      </c>
      <c r="M517" s="22">
        <f>IF(LEFT(C517,7)&lt;&gt;"Sprint_","",IF(COUNTIFS(Versuchsdaten!$A$2:$A$1117,$A517,Versuchsdaten!$B$2:$B$1117,$B517,Versuchsdaten!$C$2:$C$1117,"Sprint_30m",Versuchsdaten!$E$2:$E$1117,$E517,Versuchsdaten!$J$2:$J$1117,1)=1,SUMIFS(Versuchsdaten!$F$2:$F$1117,Versuchsdaten!$A$2:$A$1117,$A517,Versuchsdaten!$B$2:$B$1117,$B517,Versuchsdaten!$C$2:$C$1117,"Sprint_30m",Versuchsdaten!$E$2:$E$1117,$E517,Versuchsdaten!$J$2:$J$1117,1),""))</f>
        <v/>
      </c>
      <c r="N517" s="22">
        <f>IF(LEFT(C517,7)&lt;&gt;"Sprint_",0,IF(IF(ISNUMBER(K517),IF(K517&lt;=0,1,IF(5/K517&gt;10,1,0)),0)+IF(ISNUMBER(L517),IF(ISNUMBER(K517),IF(L517-K517&lt;=0,1,IF(5/(L517-K517)&gt;10,1,0)),IF(L517&lt;=0,1,IF(10/L517&gt;10,1,0))),0)+IF(ISNUMBER(M517),IF(ISNUMBER(L517),IF(M517-L517&lt;=0,1,IF(20/(M517-L517)&gt;10,1,0)),IF(ISNUMBER(K517),IF(M517-K517&lt;=0,1,IF(25/(M517-K517)&gt;10,1,0)),IF(M517&lt;=0,1,IF(30/M517&gt;10,1,0)))),0)&gt;0,1,0))</f>
        <v/>
      </c>
      <c r="O517" s="22">
        <f>IF(AND(J517=1,N517=0),1,0)</f>
        <v/>
      </c>
      <c r="P517" s="22">
        <f>INDEX(Personendaten!$J$2:$J$32,MATCH(A517,Personendaten!$A$2:$A$32,0))</f>
        <v/>
      </c>
      <c r="Q517" s="22">
        <f>IF(O517=1,"",IF(AND(B517="post",P517="nicht angetreten"),"NANG",IF(N517=1,"AUSL",IFERROR(VLOOKUP(H517,Vokabular!$A$2:$B$8,2,FALSE),"UNBEKANNT"))))</f>
        <v/>
      </c>
    </row>
    <row r="518">
      <c r="A518" s="5" t="inlineStr">
        <is>
          <t>VS-16</t>
        </is>
      </c>
      <c r="B518" s="5" t="inlineStr">
        <is>
          <t>prä</t>
        </is>
      </c>
      <c r="C518" s="5" t="inlineStr">
        <is>
          <t>COD_505</t>
        </is>
      </c>
      <c r="D518" s="5" t="inlineStr">
        <is>
          <t>L</t>
        </is>
      </c>
      <c r="E518" s="5" t="n">
        <v>1</v>
      </c>
      <c r="F518" s="5" t="n"/>
      <c r="G518" s="5" t="n"/>
      <c r="H518" s="5" t="inlineStr">
        <is>
          <t>System nicht aufgenommen</t>
        </is>
      </c>
      <c r="I518" s="22">
        <f>INDEX(Personendaten!$C$2:$C$32,MATCH(A518,Personendaten!$A$2:$A$32,0))</f>
        <v/>
      </c>
      <c r="J518" s="22">
        <f>IF(AND(F518&lt;&gt;"",G518=""),1,0)</f>
        <v/>
      </c>
      <c r="K518" s="22">
        <f>IF(LEFT(C518,7)&lt;&gt;"Sprint_","",IF(COUNTIFS(Versuchsdaten!$A$2:$A$1117,$A518,Versuchsdaten!$B$2:$B$1117,$B518,Versuchsdaten!$C$2:$C$1117,"Sprint_5m",Versuchsdaten!$E$2:$E$1117,$E518,Versuchsdaten!$J$2:$J$1117,1)=1,SUMIFS(Versuchsdaten!$F$2:$F$1117,Versuchsdaten!$A$2:$A$1117,$A518,Versuchsdaten!$B$2:$B$1117,$B518,Versuchsdaten!$C$2:$C$1117,"Sprint_5m",Versuchsdaten!$E$2:$E$1117,$E518,Versuchsdaten!$J$2:$J$1117,1),""))</f>
        <v/>
      </c>
      <c r="L518" s="22">
        <f>IF(LEFT(C518,7)&lt;&gt;"Sprint_","",IF(COUNTIFS(Versuchsdaten!$A$2:$A$1117,$A518,Versuchsdaten!$B$2:$B$1117,$B518,Versuchsdaten!$C$2:$C$1117,"Sprint_10m",Versuchsdaten!$E$2:$E$1117,$E518,Versuchsdaten!$J$2:$J$1117,1)=1,SUMIFS(Versuchsdaten!$F$2:$F$1117,Versuchsdaten!$A$2:$A$1117,$A518,Versuchsdaten!$B$2:$B$1117,$B518,Versuchsdaten!$C$2:$C$1117,"Sprint_10m",Versuchsdaten!$E$2:$E$1117,$E518,Versuchsdaten!$J$2:$J$1117,1),""))</f>
        <v/>
      </c>
      <c r="M518" s="22">
        <f>IF(LEFT(C518,7)&lt;&gt;"Sprint_","",IF(COUNTIFS(Versuchsdaten!$A$2:$A$1117,$A518,Versuchsdaten!$B$2:$B$1117,$B518,Versuchsdaten!$C$2:$C$1117,"Sprint_30m",Versuchsdaten!$E$2:$E$1117,$E518,Versuchsdaten!$J$2:$J$1117,1)=1,SUMIFS(Versuchsdaten!$F$2:$F$1117,Versuchsdaten!$A$2:$A$1117,$A518,Versuchsdaten!$B$2:$B$1117,$B518,Versuchsdaten!$C$2:$C$1117,"Sprint_30m",Versuchsdaten!$E$2:$E$1117,$E518,Versuchsdaten!$J$2:$J$1117,1),""))</f>
        <v/>
      </c>
      <c r="N518" s="22">
        <f>IF(LEFT(C518,7)&lt;&gt;"Sprint_",0,IF(IF(ISNUMBER(K518),IF(K518&lt;=0,1,IF(5/K518&gt;10,1,0)),0)+IF(ISNUMBER(L518),IF(ISNUMBER(K518),IF(L518-K518&lt;=0,1,IF(5/(L518-K518)&gt;10,1,0)),IF(L518&lt;=0,1,IF(10/L518&gt;10,1,0))),0)+IF(ISNUMBER(M518),IF(ISNUMBER(L518),IF(M518-L518&lt;=0,1,IF(20/(M518-L518)&gt;10,1,0)),IF(ISNUMBER(K518),IF(M518-K518&lt;=0,1,IF(25/(M518-K518)&gt;10,1,0)),IF(M518&lt;=0,1,IF(30/M518&gt;10,1,0)))),0)&gt;0,1,0))</f>
        <v/>
      </c>
      <c r="O518" s="22">
        <f>IF(AND(J518=1,N518=0),1,0)</f>
        <v/>
      </c>
      <c r="P518" s="22">
        <f>INDEX(Personendaten!$J$2:$J$32,MATCH(A518,Personendaten!$A$2:$A$32,0))</f>
        <v/>
      </c>
      <c r="Q518" s="22">
        <f>IF(O518=1,"",IF(AND(B518="post",P518="nicht angetreten"),"NANG",IF(N518=1,"AUSL",IFERROR(VLOOKUP(H518,Vokabular!$A$2:$B$8,2,FALSE),"UNBEKANNT"))))</f>
        <v/>
      </c>
    </row>
    <row r="519">
      <c r="A519" s="5" t="inlineStr">
        <is>
          <t>VS-16</t>
        </is>
      </c>
      <c r="B519" s="5" t="inlineStr">
        <is>
          <t>prä</t>
        </is>
      </c>
      <c r="C519" s="5" t="inlineStr">
        <is>
          <t>COD_505</t>
        </is>
      </c>
      <c r="D519" s="5" t="inlineStr">
        <is>
          <t>L</t>
        </is>
      </c>
      <c r="E519" s="5" t="n">
        <v>2</v>
      </c>
      <c r="F519" s="5" t="n"/>
      <c r="G519" s="5" t="n"/>
      <c r="H519" s="5" t="inlineStr">
        <is>
          <t>System nicht aufgenommen</t>
        </is>
      </c>
      <c r="I519" s="22">
        <f>INDEX(Personendaten!$C$2:$C$32,MATCH(A519,Personendaten!$A$2:$A$32,0))</f>
        <v/>
      </c>
      <c r="J519" s="22">
        <f>IF(AND(F519&lt;&gt;"",G519=""),1,0)</f>
        <v/>
      </c>
      <c r="K519" s="22">
        <f>IF(LEFT(C519,7)&lt;&gt;"Sprint_","",IF(COUNTIFS(Versuchsdaten!$A$2:$A$1117,$A519,Versuchsdaten!$B$2:$B$1117,$B519,Versuchsdaten!$C$2:$C$1117,"Sprint_5m",Versuchsdaten!$E$2:$E$1117,$E519,Versuchsdaten!$J$2:$J$1117,1)=1,SUMIFS(Versuchsdaten!$F$2:$F$1117,Versuchsdaten!$A$2:$A$1117,$A519,Versuchsdaten!$B$2:$B$1117,$B519,Versuchsdaten!$C$2:$C$1117,"Sprint_5m",Versuchsdaten!$E$2:$E$1117,$E519,Versuchsdaten!$J$2:$J$1117,1),""))</f>
        <v/>
      </c>
      <c r="L519" s="22">
        <f>IF(LEFT(C519,7)&lt;&gt;"Sprint_","",IF(COUNTIFS(Versuchsdaten!$A$2:$A$1117,$A519,Versuchsdaten!$B$2:$B$1117,$B519,Versuchsdaten!$C$2:$C$1117,"Sprint_10m",Versuchsdaten!$E$2:$E$1117,$E519,Versuchsdaten!$J$2:$J$1117,1)=1,SUMIFS(Versuchsdaten!$F$2:$F$1117,Versuchsdaten!$A$2:$A$1117,$A519,Versuchsdaten!$B$2:$B$1117,$B519,Versuchsdaten!$C$2:$C$1117,"Sprint_10m",Versuchsdaten!$E$2:$E$1117,$E519,Versuchsdaten!$J$2:$J$1117,1),""))</f>
        <v/>
      </c>
      <c r="M519" s="22">
        <f>IF(LEFT(C519,7)&lt;&gt;"Sprint_","",IF(COUNTIFS(Versuchsdaten!$A$2:$A$1117,$A519,Versuchsdaten!$B$2:$B$1117,$B519,Versuchsdaten!$C$2:$C$1117,"Sprint_30m",Versuchsdaten!$E$2:$E$1117,$E519,Versuchsdaten!$J$2:$J$1117,1)=1,SUMIFS(Versuchsdaten!$F$2:$F$1117,Versuchsdaten!$A$2:$A$1117,$A519,Versuchsdaten!$B$2:$B$1117,$B519,Versuchsdaten!$C$2:$C$1117,"Sprint_30m",Versuchsdaten!$E$2:$E$1117,$E519,Versuchsdaten!$J$2:$J$1117,1),""))</f>
        <v/>
      </c>
      <c r="N519" s="22">
        <f>IF(LEFT(C519,7)&lt;&gt;"Sprint_",0,IF(IF(ISNUMBER(K519),IF(K519&lt;=0,1,IF(5/K519&gt;10,1,0)),0)+IF(ISNUMBER(L519),IF(ISNUMBER(K519),IF(L519-K519&lt;=0,1,IF(5/(L519-K519)&gt;10,1,0)),IF(L519&lt;=0,1,IF(10/L519&gt;10,1,0))),0)+IF(ISNUMBER(M519),IF(ISNUMBER(L519),IF(M519-L519&lt;=0,1,IF(20/(M519-L519)&gt;10,1,0)),IF(ISNUMBER(K519),IF(M519-K519&lt;=0,1,IF(25/(M519-K519)&gt;10,1,0)),IF(M519&lt;=0,1,IF(30/M519&gt;10,1,0)))),0)&gt;0,1,0))</f>
        <v/>
      </c>
      <c r="O519" s="22">
        <f>IF(AND(J519=1,N519=0),1,0)</f>
        <v/>
      </c>
      <c r="P519" s="22">
        <f>INDEX(Personendaten!$J$2:$J$32,MATCH(A519,Personendaten!$A$2:$A$32,0))</f>
        <v/>
      </c>
      <c r="Q519" s="22">
        <f>IF(O519=1,"",IF(AND(B519="post",P519="nicht angetreten"),"NANG",IF(N519=1,"AUSL",IFERROR(VLOOKUP(H519,Vokabular!$A$2:$B$8,2,FALSE),"UNBEKANNT"))))</f>
        <v/>
      </c>
    </row>
    <row r="520">
      <c r="A520" s="5" t="inlineStr">
        <is>
          <t>VS-16</t>
        </is>
      </c>
      <c r="B520" s="5" t="inlineStr">
        <is>
          <t>prä</t>
        </is>
      </c>
      <c r="C520" s="5" t="inlineStr">
        <is>
          <t>COD_505</t>
        </is>
      </c>
      <c r="D520" s="5" t="inlineStr">
        <is>
          <t>L</t>
        </is>
      </c>
      <c r="E520" s="5" t="n">
        <v>3</v>
      </c>
      <c r="F520" s="5" t="n"/>
      <c r="G520" s="5" t="n"/>
      <c r="H520" s="5" t="inlineStr">
        <is>
          <t>Nur 2 Versuche aus Zeitmangel</t>
        </is>
      </c>
      <c r="I520" s="22">
        <f>INDEX(Personendaten!$C$2:$C$32,MATCH(A520,Personendaten!$A$2:$A$32,0))</f>
        <v/>
      </c>
      <c r="J520" s="22">
        <f>IF(AND(F520&lt;&gt;"",G520=""),1,0)</f>
        <v/>
      </c>
      <c r="K520" s="22">
        <f>IF(LEFT(C520,7)&lt;&gt;"Sprint_","",IF(COUNTIFS(Versuchsdaten!$A$2:$A$1117,$A520,Versuchsdaten!$B$2:$B$1117,$B520,Versuchsdaten!$C$2:$C$1117,"Sprint_5m",Versuchsdaten!$E$2:$E$1117,$E520,Versuchsdaten!$J$2:$J$1117,1)=1,SUMIFS(Versuchsdaten!$F$2:$F$1117,Versuchsdaten!$A$2:$A$1117,$A520,Versuchsdaten!$B$2:$B$1117,$B520,Versuchsdaten!$C$2:$C$1117,"Sprint_5m",Versuchsdaten!$E$2:$E$1117,$E520,Versuchsdaten!$J$2:$J$1117,1),""))</f>
        <v/>
      </c>
      <c r="L520" s="22">
        <f>IF(LEFT(C520,7)&lt;&gt;"Sprint_","",IF(COUNTIFS(Versuchsdaten!$A$2:$A$1117,$A520,Versuchsdaten!$B$2:$B$1117,$B520,Versuchsdaten!$C$2:$C$1117,"Sprint_10m",Versuchsdaten!$E$2:$E$1117,$E520,Versuchsdaten!$J$2:$J$1117,1)=1,SUMIFS(Versuchsdaten!$F$2:$F$1117,Versuchsdaten!$A$2:$A$1117,$A520,Versuchsdaten!$B$2:$B$1117,$B520,Versuchsdaten!$C$2:$C$1117,"Sprint_10m",Versuchsdaten!$E$2:$E$1117,$E520,Versuchsdaten!$J$2:$J$1117,1),""))</f>
        <v/>
      </c>
      <c r="M520" s="22">
        <f>IF(LEFT(C520,7)&lt;&gt;"Sprint_","",IF(COUNTIFS(Versuchsdaten!$A$2:$A$1117,$A520,Versuchsdaten!$B$2:$B$1117,$B520,Versuchsdaten!$C$2:$C$1117,"Sprint_30m",Versuchsdaten!$E$2:$E$1117,$E520,Versuchsdaten!$J$2:$J$1117,1)=1,SUMIFS(Versuchsdaten!$F$2:$F$1117,Versuchsdaten!$A$2:$A$1117,$A520,Versuchsdaten!$B$2:$B$1117,$B520,Versuchsdaten!$C$2:$C$1117,"Sprint_30m",Versuchsdaten!$E$2:$E$1117,$E520,Versuchsdaten!$J$2:$J$1117,1),""))</f>
        <v/>
      </c>
      <c r="N520" s="22">
        <f>IF(LEFT(C520,7)&lt;&gt;"Sprint_",0,IF(IF(ISNUMBER(K520),IF(K520&lt;=0,1,IF(5/K520&gt;10,1,0)),0)+IF(ISNUMBER(L520),IF(ISNUMBER(K520),IF(L520-K520&lt;=0,1,IF(5/(L520-K520)&gt;10,1,0)),IF(L520&lt;=0,1,IF(10/L520&gt;10,1,0))),0)+IF(ISNUMBER(M520),IF(ISNUMBER(L520),IF(M520-L520&lt;=0,1,IF(20/(M520-L520)&gt;10,1,0)),IF(ISNUMBER(K520),IF(M520-K520&lt;=0,1,IF(25/(M520-K520)&gt;10,1,0)),IF(M520&lt;=0,1,IF(30/M520&gt;10,1,0)))),0)&gt;0,1,0))</f>
        <v/>
      </c>
      <c r="O520" s="22">
        <f>IF(AND(J520=1,N520=0),1,0)</f>
        <v/>
      </c>
      <c r="P520" s="22">
        <f>INDEX(Personendaten!$J$2:$J$32,MATCH(A520,Personendaten!$A$2:$A$32,0))</f>
        <v/>
      </c>
      <c r="Q520" s="22">
        <f>IF(O520=1,"",IF(AND(B520="post",P520="nicht angetreten"),"NANG",IF(N520=1,"AUSL",IFERROR(VLOOKUP(H520,Vokabular!$A$2:$B$8,2,FALSE),"UNBEKANNT"))))</f>
        <v/>
      </c>
    </row>
    <row r="521">
      <c r="A521" s="5" t="inlineStr">
        <is>
          <t>VS-16</t>
        </is>
      </c>
      <c r="B521" s="5" t="inlineStr">
        <is>
          <t>prä</t>
        </is>
      </c>
      <c r="C521" s="5" t="inlineStr">
        <is>
          <t>COD_505</t>
        </is>
      </c>
      <c r="D521" s="5" t="inlineStr">
        <is>
          <t>R</t>
        </is>
      </c>
      <c r="E521" s="5" t="n">
        <v>1</v>
      </c>
      <c r="F521" s="5" t="n">
        <v>2.32</v>
      </c>
      <c r="G521" s="5" t="n"/>
      <c r="H521" s="5" t="n"/>
      <c r="I521" s="22">
        <f>INDEX(Personendaten!$C$2:$C$32,MATCH(A521,Personendaten!$A$2:$A$32,0))</f>
        <v/>
      </c>
      <c r="J521" s="22">
        <f>IF(AND(F521&lt;&gt;"",G521=""),1,0)</f>
        <v/>
      </c>
      <c r="K521" s="22">
        <f>IF(LEFT(C521,7)&lt;&gt;"Sprint_","",IF(COUNTIFS(Versuchsdaten!$A$2:$A$1117,$A521,Versuchsdaten!$B$2:$B$1117,$B521,Versuchsdaten!$C$2:$C$1117,"Sprint_5m",Versuchsdaten!$E$2:$E$1117,$E521,Versuchsdaten!$J$2:$J$1117,1)=1,SUMIFS(Versuchsdaten!$F$2:$F$1117,Versuchsdaten!$A$2:$A$1117,$A521,Versuchsdaten!$B$2:$B$1117,$B521,Versuchsdaten!$C$2:$C$1117,"Sprint_5m",Versuchsdaten!$E$2:$E$1117,$E521,Versuchsdaten!$J$2:$J$1117,1),""))</f>
        <v/>
      </c>
      <c r="L521" s="22">
        <f>IF(LEFT(C521,7)&lt;&gt;"Sprint_","",IF(COUNTIFS(Versuchsdaten!$A$2:$A$1117,$A521,Versuchsdaten!$B$2:$B$1117,$B521,Versuchsdaten!$C$2:$C$1117,"Sprint_10m",Versuchsdaten!$E$2:$E$1117,$E521,Versuchsdaten!$J$2:$J$1117,1)=1,SUMIFS(Versuchsdaten!$F$2:$F$1117,Versuchsdaten!$A$2:$A$1117,$A521,Versuchsdaten!$B$2:$B$1117,$B521,Versuchsdaten!$C$2:$C$1117,"Sprint_10m",Versuchsdaten!$E$2:$E$1117,$E521,Versuchsdaten!$J$2:$J$1117,1),""))</f>
        <v/>
      </c>
      <c r="M521" s="22">
        <f>IF(LEFT(C521,7)&lt;&gt;"Sprint_","",IF(COUNTIFS(Versuchsdaten!$A$2:$A$1117,$A521,Versuchsdaten!$B$2:$B$1117,$B521,Versuchsdaten!$C$2:$C$1117,"Sprint_30m",Versuchsdaten!$E$2:$E$1117,$E521,Versuchsdaten!$J$2:$J$1117,1)=1,SUMIFS(Versuchsdaten!$F$2:$F$1117,Versuchsdaten!$A$2:$A$1117,$A521,Versuchsdaten!$B$2:$B$1117,$B521,Versuchsdaten!$C$2:$C$1117,"Sprint_30m",Versuchsdaten!$E$2:$E$1117,$E521,Versuchsdaten!$J$2:$J$1117,1),""))</f>
        <v/>
      </c>
      <c r="N521" s="22">
        <f>IF(LEFT(C521,7)&lt;&gt;"Sprint_",0,IF(IF(ISNUMBER(K521),IF(K521&lt;=0,1,IF(5/K521&gt;10,1,0)),0)+IF(ISNUMBER(L521),IF(ISNUMBER(K521),IF(L521-K521&lt;=0,1,IF(5/(L521-K521)&gt;10,1,0)),IF(L521&lt;=0,1,IF(10/L521&gt;10,1,0))),0)+IF(ISNUMBER(M521),IF(ISNUMBER(L521),IF(M521-L521&lt;=0,1,IF(20/(M521-L521)&gt;10,1,0)),IF(ISNUMBER(K521),IF(M521-K521&lt;=0,1,IF(25/(M521-K521)&gt;10,1,0)),IF(M521&lt;=0,1,IF(30/M521&gt;10,1,0)))),0)&gt;0,1,0))</f>
        <v/>
      </c>
      <c r="O521" s="22">
        <f>IF(AND(J521=1,N521=0),1,0)</f>
        <v/>
      </c>
      <c r="P521" s="22">
        <f>INDEX(Personendaten!$J$2:$J$32,MATCH(A521,Personendaten!$A$2:$A$32,0))</f>
        <v/>
      </c>
      <c r="Q521" s="22">
        <f>IF(O521=1,"",IF(AND(B521="post",P521="nicht angetreten"),"NANG",IF(N521=1,"AUSL",IFERROR(VLOOKUP(H521,Vokabular!$A$2:$B$8,2,FALSE),"UNBEKANNT"))))</f>
        <v/>
      </c>
    </row>
    <row r="522">
      <c r="A522" s="5" t="inlineStr">
        <is>
          <t>VS-16</t>
        </is>
      </c>
      <c r="B522" s="5" t="inlineStr">
        <is>
          <t>prä</t>
        </is>
      </c>
      <c r="C522" s="5" t="inlineStr">
        <is>
          <t>COD_505</t>
        </is>
      </c>
      <c r="D522" s="5" t="inlineStr">
        <is>
          <t>R</t>
        </is>
      </c>
      <c r="E522" s="5" t="n">
        <v>2</v>
      </c>
      <c r="F522" s="5" t="n">
        <v>2.49</v>
      </c>
      <c r="G522" s="5" t="n"/>
      <c r="H522" s="5" t="n"/>
      <c r="I522" s="22">
        <f>INDEX(Personendaten!$C$2:$C$32,MATCH(A522,Personendaten!$A$2:$A$32,0))</f>
        <v/>
      </c>
      <c r="J522" s="22">
        <f>IF(AND(F522&lt;&gt;"",G522=""),1,0)</f>
        <v/>
      </c>
      <c r="K522" s="22">
        <f>IF(LEFT(C522,7)&lt;&gt;"Sprint_","",IF(COUNTIFS(Versuchsdaten!$A$2:$A$1117,$A522,Versuchsdaten!$B$2:$B$1117,$B522,Versuchsdaten!$C$2:$C$1117,"Sprint_5m",Versuchsdaten!$E$2:$E$1117,$E522,Versuchsdaten!$J$2:$J$1117,1)=1,SUMIFS(Versuchsdaten!$F$2:$F$1117,Versuchsdaten!$A$2:$A$1117,$A522,Versuchsdaten!$B$2:$B$1117,$B522,Versuchsdaten!$C$2:$C$1117,"Sprint_5m",Versuchsdaten!$E$2:$E$1117,$E522,Versuchsdaten!$J$2:$J$1117,1),""))</f>
        <v/>
      </c>
      <c r="L522" s="22">
        <f>IF(LEFT(C522,7)&lt;&gt;"Sprint_","",IF(COUNTIFS(Versuchsdaten!$A$2:$A$1117,$A522,Versuchsdaten!$B$2:$B$1117,$B522,Versuchsdaten!$C$2:$C$1117,"Sprint_10m",Versuchsdaten!$E$2:$E$1117,$E522,Versuchsdaten!$J$2:$J$1117,1)=1,SUMIFS(Versuchsdaten!$F$2:$F$1117,Versuchsdaten!$A$2:$A$1117,$A522,Versuchsdaten!$B$2:$B$1117,$B522,Versuchsdaten!$C$2:$C$1117,"Sprint_10m",Versuchsdaten!$E$2:$E$1117,$E522,Versuchsdaten!$J$2:$J$1117,1),""))</f>
        <v/>
      </c>
      <c r="M522" s="22">
        <f>IF(LEFT(C522,7)&lt;&gt;"Sprint_","",IF(COUNTIFS(Versuchsdaten!$A$2:$A$1117,$A522,Versuchsdaten!$B$2:$B$1117,$B522,Versuchsdaten!$C$2:$C$1117,"Sprint_30m",Versuchsdaten!$E$2:$E$1117,$E522,Versuchsdaten!$J$2:$J$1117,1)=1,SUMIFS(Versuchsdaten!$F$2:$F$1117,Versuchsdaten!$A$2:$A$1117,$A522,Versuchsdaten!$B$2:$B$1117,$B522,Versuchsdaten!$C$2:$C$1117,"Sprint_30m",Versuchsdaten!$E$2:$E$1117,$E522,Versuchsdaten!$J$2:$J$1117,1),""))</f>
        <v/>
      </c>
      <c r="N522" s="22">
        <f>IF(LEFT(C522,7)&lt;&gt;"Sprint_",0,IF(IF(ISNUMBER(K522),IF(K522&lt;=0,1,IF(5/K522&gt;10,1,0)),0)+IF(ISNUMBER(L522),IF(ISNUMBER(K522),IF(L522-K522&lt;=0,1,IF(5/(L522-K522)&gt;10,1,0)),IF(L522&lt;=0,1,IF(10/L522&gt;10,1,0))),0)+IF(ISNUMBER(M522),IF(ISNUMBER(L522),IF(M522-L522&lt;=0,1,IF(20/(M522-L522)&gt;10,1,0)),IF(ISNUMBER(K522),IF(M522-K522&lt;=0,1,IF(25/(M522-K522)&gt;10,1,0)),IF(M522&lt;=0,1,IF(30/M522&gt;10,1,0)))),0)&gt;0,1,0))</f>
        <v/>
      </c>
      <c r="O522" s="22">
        <f>IF(AND(J522=1,N522=0),1,0)</f>
        <v/>
      </c>
      <c r="P522" s="22">
        <f>INDEX(Personendaten!$J$2:$J$32,MATCH(A522,Personendaten!$A$2:$A$32,0))</f>
        <v/>
      </c>
      <c r="Q522" s="22">
        <f>IF(O522=1,"",IF(AND(B522="post",P522="nicht angetreten"),"NANG",IF(N522=1,"AUSL",IFERROR(VLOOKUP(H522,Vokabular!$A$2:$B$8,2,FALSE),"UNBEKANNT"))))</f>
        <v/>
      </c>
    </row>
    <row r="523">
      <c r="A523" s="5" t="inlineStr">
        <is>
          <t>VS-16</t>
        </is>
      </c>
      <c r="B523" s="5" t="inlineStr">
        <is>
          <t>prä</t>
        </is>
      </c>
      <c r="C523" s="5" t="inlineStr">
        <is>
          <t>COD_505</t>
        </is>
      </c>
      <c r="D523" s="5" t="inlineStr">
        <is>
          <t>R</t>
        </is>
      </c>
      <c r="E523" s="5" t="n">
        <v>3</v>
      </c>
      <c r="F523" s="5" t="n"/>
      <c r="G523" s="5" t="n"/>
      <c r="H523" s="5" t="inlineStr">
        <is>
          <t>Nur 2 Versuche aus Zeitmangel</t>
        </is>
      </c>
      <c r="I523" s="22">
        <f>INDEX(Personendaten!$C$2:$C$32,MATCH(A523,Personendaten!$A$2:$A$32,0))</f>
        <v/>
      </c>
      <c r="J523" s="22">
        <f>IF(AND(F523&lt;&gt;"",G523=""),1,0)</f>
        <v/>
      </c>
      <c r="K523" s="22">
        <f>IF(LEFT(C523,7)&lt;&gt;"Sprint_","",IF(COUNTIFS(Versuchsdaten!$A$2:$A$1117,$A523,Versuchsdaten!$B$2:$B$1117,$B523,Versuchsdaten!$C$2:$C$1117,"Sprint_5m",Versuchsdaten!$E$2:$E$1117,$E523,Versuchsdaten!$J$2:$J$1117,1)=1,SUMIFS(Versuchsdaten!$F$2:$F$1117,Versuchsdaten!$A$2:$A$1117,$A523,Versuchsdaten!$B$2:$B$1117,$B523,Versuchsdaten!$C$2:$C$1117,"Sprint_5m",Versuchsdaten!$E$2:$E$1117,$E523,Versuchsdaten!$J$2:$J$1117,1),""))</f>
        <v/>
      </c>
      <c r="L523" s="22">
        <f>IF(LEFT(C523,7)&lt;&gt;"Sprint_","",IF(COUNTIFS(Versuchsdaten!$A$2:$A$1117,$A523,Versuchsdaten!$B$2:$B$1117,$B523,Versuchsdaten!$C$2:$C$1117,"Sprint_10m",Versuchsdaten!$E$2:$E$1117,$E523,Versuchsdaten!$J$2:$J$1117,1)=1,SUMIFS(Versuchsdaten!$F$2:$F$1117,Versuchsdaten!$A$2:$A$1117,$A523,Versuchsdaten!$B$2:$B$1117,$B523,Versuchsdaten!$C$2:$C$1117,"Sprint_10m",Versuchsdaten!$E$2:$E$1117,$E523,Versuchsdaten!$J$2:$J$1117,1),""))</f>
        <v/>
      </c>
      <c r="M523" s="22">
        <f>IF(LEFT(C523,7)&lt;&gt;"Sprint_","",IF(COUNTIFS(Versuchsdaten!$A$2:$A$1117,$A523,Versuchsdaten!$B$2:$B$1117,$B523,Versuchsdaten!$C$2:$C$1117,"Sprint_30m",Versuchsdaten!$E$2:$E$1117,$E523,Versuchsdaten!$J$2:$J$1117,1)=1,SUMIFS(Versuchsdaten!$F$2:$F$1117,Versuchsdaten!$A$2:$A$1117,$A523,Versuchsdaten!$B$2:$B$1117,$B523,Versuchsdaten!$C$2:$C$1117,"Sprint_30m",Versuchsdaten!$E$2:$E$1117,$E523,Versuchsdaten!$J$2:$J$1117,1),""))</f>
        <v/>
      </c>
      <c r="N523" s="22">
        <f>IF(LEFT(C523,7)&lt;&gt;"Sprint_",0,IF(IF(ISNUMBER(K523),IF(K523&lt;=0,1,IF(5/K523&gt;10,1,0)),0)+IF(ISNUMBER(L523),IF(ISNUMBER(K523),IF(L523-K523&lt;=0,1,IF(5/(L523-K523)&gt;10,1,0)),IF(L523&lt;=0,1,IF(10/L523&gt;10,1,0))),0)+IF(ISNUMBER(M523),IF(ISNUMBER(L523),IF(M523-L523&lt;=0,1,IF(20/(M523-L523)&gt;10,1,0)),IF(ISNUMBER(K523),IF(M523-K523&lt;=0,1,IF(25/(M523-K523)&gt;10,1,0)),IF(M523&lt;=0,1,IF(30/M523&gt;10,1,0)))),0)&gt;0,1,0))</f>
        <v/>
      </c>
      <c r="O523" s="22">
        <f>IF(AND(J523=1,N523=0),1,0)</f>
        <v/>
      </c>
      <c r="P523" s="22">
        <f>INDEX(Personendaten!$J$2:$J$32,MATCH(A523,Personendaten!$A$2:$A$32,0))</f>
        <v/>
      </c>
      <c r="Q523" s="22">
        <f>IF(O523=1,"",IF(AND(B523="post",P523="nicht angetreten"),"NANG",IF(N523=1,"AUSL",IFERROR(VLOOKUP(H523,Vokabular!$A$2:$B$8,2,FALSE),"UNBEKANNT"))))</f>
        <v/>
      </c>
    </row>
    <row r="524">
      <c r="A524" s="5" t="inlineStr">
        <is>
          <t>VS-17</t>
        </is>
      </c>
      <c r="B524" s="5" t="inlineStr">
        <is>
          <t>prä</t>
        </is>
      </c>
      <c r="C524" s="5" t="inlineStr">
        <is>
          <t>Sprint_5m</t>
        </is>
      </c>
      <c r="D524" s="5" t="inlineStr">
        <is>
          <t>–</t>
        </is>
      </c>
      <c r="E524" s="5" t="n">
        <v>1</v>
      </c>
      <c r="F524" s="5" t="n"/>
      <c r="G524" s="5" t="n"/>
      <c r="H524" s="5" t="inlineStr">
        <is>
          <t>System nicht aufgenommen</t>
        </is>
      </c>
      <c r="I524" s="22">
        <f>INDEX(Personendaten!$C$2:$C$32,MATCH(A524,Personendaten!$A$2:$A$32,0))</f>
        <v/>
      </c>
      <c r="J524" s="22">
        <f>IF(AND(F524&lt;&gt;"",G524=""),1,0)</f>
        <v/>
      </c>
      <c r="K524" s="22">
        <f>IF(LEFT(C524,7)&lt;&gt;"Sprint_","",IF(COUNTIFS(Versuchsdaten!$A$2:$A$1117,$A524,Versuchsdaten!$B$2:$B$1117,$B524,Versuchsdaten!$C$2:$C$1117,"Sprint_5m",Versuchsdaten!$E$2:$E$1117,$E524,Versuchsdaten!$J$2:$J$1117,1)=1,SUMIFS(Versuchsdaten!$F$2:$F$1117,Versuchsdaten!$A$2:$A$1117,$A524,Versuchsdaten!$B$2:$B$1117,$B524,Versuchsdaten!$C$2:$C$1117,"Sprint_5m",Versuchsdaten!$E$2:$E$1117,$E524,Versuchsdaten!$J$2:$J$1117,1),""))</f>
        <v/>
      </c>
      <c r="L524" s="22">
        <f>IF(LEFT(C524,7)&lt;&gt;"Sprint_","",IF(COUNTIFS(Versuchsdaten!$A$2:$A$1117,$A524,Versuchsdaten!$B$2:$B$1117,$B524,Versuchsdaten!$C$2:$C$1117,"Sprint_10m",Versuchsdaten!$E$2:$E$1117,$E524,Versuchsdaten!$J$2:$J$1117,1)=1,SUMIFS(Versuchsdaten!$F$2:$F$1117,Versuchsdaten!$A$2:$A$1117,$A524,Versuchsdaten!$B$2:$B$1117,$B524,Versuchsdaten!$C$2:$C$1117,"Sprint_10m",Versuchsdaten!$E$2:$E$1117,$E524,Versuchsdaten!$J$2:$J$1117,1),""))</f>
        <v/>
      </c>
      <c r="M524" s="22">
        <f>IF(LEFT(C524,7)&lt;&gt;"Sprint_","",IF(COUNTIFS(Versuchsdaten!$A$2:$A$1117,$A524,Versuchsdaten!$B$2:$B$1117,$B524,Versuchsdaten!$C$2:$C$1117,"Sprint_30m",Versuchsdaten!$E$2:$E$1117,$E524,Versuchsdaten!$J$2:$J$1117,1)=1,SUMIFS(Versuchsdaten!$F$2:$F$1117,Versuchsdaten!$A$2:$A$1117,$A524,Versuchsdaten!$B$2:$B$1117,$B524,Versuchsdaten!$C$2:$C$1117,"Sprint_30m",Versuchsdaten!$E$2:$E$1117,$E524,Versuchsdaten!$J$2:$J$1117,1),""))</f>
        <v/>
      </c>
      <c r="N524" s="22">
        <f>IF(LEFT(C524,7)&lt;&gt;"Sprint_",0,IF(IF(ISNUMBER(K524),IF(K524&lt;=0,1,IF(5/K524&gt;10,1,0)),0)+IF(ISNUMBER(L524),IF(ISNUMBER(K524),IF(L524-K524&lt;=0,1,IF(5/(L524-K524)&gt;10,1,0)),IF(L524&lt;=0,1,IF(10/L524&gt;10,1,0))),0)+IF(ISNUMBER(M524),IF(ISNUMBER(L524),IF(M524-L524&lt;=0,1,IF(20/(M524-L524)&gt;10,1,0)),IF(ISNUMBER(K524),IF(M524-K524&lt;=0,1,IF(25/(M524-K524)&gt;10,1,0)),IF(M524&lt;=0,1,IF(30/M524&gt;10,1,0)))),0)&gt;0,1,0))</f>
        <v/>
      </c>
      <c r="O524" s="22">
        <f>IF(AND(J524=1,N524=0),1,0)</f>
        <v/>
      </c>
      <c r="P524" s="22">
        <f>INDEX(Personendaten!$J$2:$J$32,MATCH(A524,Personendaten!$A$2:$A$32,0))</f>
        <v/>
      </c>
      <c r="Q524" s="22">
        <f>IF(O524=1,"",IF(AND(B524="post",P524="nicht angetreten"),"NANG",IF(N524=1,"AUSL",IFERROR(VLOOKUP(H524,Vokabular!$A$2:$B$8,2,FALSE),"UNBEKANNT"))))</f>
        <v/>
      </c>
    </row>
    <row r="525">
      <c r="A525" s="5" t="inlineStr">
        <is>
          <t>VS-17</t>
        </is>
      </c>
      <c r="B525" s="5" t="inlineStr">
        <is>
          <t>prä</t>
        </is>
      </c>
      <c r="C525" s="5" t="inlineStr">
        <is>
          <t>Sprint_5m</t>
        </is>
      </c>
      <c r="D525" s="5" t="inlineStr">
        <is>
          <t>–</t>
        </is>
      </c>
      <c r="E525" s="5" t="n">
        <v>2</v>
      </c>
      <c r="F525" s="5" t="n"/>
      <c r="G525" s="5" t="n"/>
      <c r="H525" s="5" t="inlineStr">
        <is>
          <t>System nicht aufgenommen</t>
        </is>
      </c>
      <c r="I525" s="22">
        <f>INDEX(Personendaten!$C$2:$C$32,MATCH(A525,Personendaten!$A$2:$A$32,0))</f>
        <v/>
      </c>
      <c r="J525" s="22">
        <f>IF(AND(F525&lt;&gt;"",G525=""),1,0)</f>
        <v/>
      </c>
      <c r="K525" s="22">
        <f>IF(LEFT(C525,7)&lt;&gt;"Sprint_","",IF(COUNTIFS(Versuchsdaten!$A$2:$A$1117,$A525,Versuchsdaten!$B$2:$B$1117,$B525,Versuchsdaten!$C$2:$C$1117,"Sprint_5m",Versuchsdaten!$E$2:$E$1117,$E525,Versuchsdaten!$J$2:$J$1117,1)=1,SUMIFS(Versuchsdaten!$F$2:$F$1117,Versuchsdaten!$A$2:$A$1117,$A525,Versuchsdaten!$B$2:$B$1117,$B525,Versuchsdaten!$C$2:$C$1117,"Sprint_5m",Versuchsdaten!$E$2:$E$1117,$E525,Versuchsdaten!$J$2:$J$1117,1),""))</f>
        <v/>
      </c>
      <c r="L525" s="22">
        <f>IF(LEFT(C525,7)&lt;&gt;"Sprint_","",IF(COUNTIFS(Versuchsdaten!$A$2:$A$1117,$A525,Versuchsdaten!$B$2:$B$1117,$B525,Versuchsdaten!$C$2:$C$1117,"Sprint_10m",Versuchsdaten!$E$2:$E$1117,$E525,Versuchsdaten!$J$2:$J$1117,1)=1,SUMIFS(Versuchsdaten!$F$2:$F$1117,Versuchsdaten!$A$2:$A$1117,$A525,Versuchsdaten!$B$2:$B$1117,$B525,Versuchsdaten!$C$2:$C$1117,"Sprint_10m",Versuchsdaten!$E$2:$E$1117,$E525,Versuchsdaten!$J$2:$J$1117,1),""))</f>
        <v/>
      </c>
      <c r="M525" s="22">
        <f>IF(LEFT(C525,7)&lt;&gt;"Sprint_","",IF(COUNTIFS(Versuchsdaten!$A$2:$A$1117,$A525,Versuchsdaten!$B$2:$B$1117,$B525,Versuchsdaten!$C$2:$C$1117,"Sprint_30m",Versuchsdaten!$E$2:$E$1117,$E525,Versuchsdaten!$J$2:$J$1117,1)=1,SUMIFS(Versuchsdaten!$F$2:$F$1117,Versuchsdaten!$A$2:$A$1117,$A525,Versuchsdaten!$B$2:$B$1117,$B525,Versuchsdaten!$C$2:$C$1117,"Sprint_30m",Versuchsdaten!$E$2:$E$1117,$E525,Versuchsdaten!$J$2:$J$1117,1),""))</f>
        <v/>
      </c>
      <c r="N525" s="22">
        <f>IF(LEFT(C525,7)&lt;&gt;"Sprint_",0,IF(IF(ISNUMBER(K525),IF(K525&lt;=0,1,IF(5/K525&gt;10,1,0)),0)+IF(ISNUMBER(L525),IF(ISNUMBER(K525),IF(L525-K525&lt;=0,1,IF(5/(L525-K525)&gt;10,1,0)),IF(L525&lt;=0,1,IF(10/L525&gt;10,1,0))),0)+IF(ISNUMBER(M525),IF(ISNUMBER(L525),IF(M525-L525&lt;=0,1,IF(20/(M525-L525)&gt;10,1,0)),IF(ISNUMBER(K525),IF(M525-K525&lt;=0,1,IF(25/(M525-K525)&gt;10,1,0)),IF(M525&lt;=0,1,IF(30/M525&gt;10,1,0)))),0)&gt;0,1,0))</f>
        <v/>
      </c>
      <c r="O525" s="22">
        <f>IF(AND(J525=1,N525=0),1,0)</f>
        <v/>
      </c>
      <c r="P525" s="22">
        <f>INDEX(Personendaten!$J$2:$J$32,MATCH(A525,Personendaten!$A$2:$A$32,0))</f>
        <v/>
      </c>
      <c r="Q525" s="22">
        <f>IF(O525=1,"",IF(AND(B525="post",P525="nicht angetreten"),"NANG",IF(N525=1,"AUSL",IFERROR(VLOOKUP(H525,Vokabular!$A$2:$B$8,2,FALSE),"UNBEKANNT"))))</f>
        <v/>
      </c>
    </row>
    <row r="526">
      <c r="A526" s="5" t="inlineStr">
        <is>
          <t>VS-17</t>
        </is>
      </c>
      <c r="B526" s="5" t="inlineStr">
        <is>
          <t>prä</t>
        </is>
      </c>
      <c r="C526" s="5" t="inlineStr">
        <is>
          <t>Sprint_5m</t>
        </is>
      </c>
      <c r="D526" s="5" t="inlineStr">
        <is>
          <t>–</t>
        </is>
      </c>
      <c r="E526" s="5" t="n">
        <v>3</v>
      </c>
      <c r="F526" s="5" t="n"/>
      <c r="G526" s="5" t="n"/>
      <c r="H526" s="5" t="inlineStr">
        <is>
          <t>System nicht aufgenommen</t>
        </is>
      </c>
      <c r="I526" s="22">
        <f>INDEX(Personendaten!$C$2:$C$32,MATCH(A526,Personendaten!$A$2:$A$32,0))</f>
        <v/>
      </c>
      <c r="J526" s="22">
        <f>IF(AND(F526&lt;&gt;"",G526=""),1,0)</f>
        <v/>
      </c>
      <c r="K526" s="22">
        <f>IF(LEFT(C526,7)&lt;&gt;"Sprint_","",IF(COUNTIFS(Versuchsdaten!$A$2:$A$1117,$A526,Versuchsdaten!$B$2:$B$1117,$B526,Versuchsdaten!$C$2:$C$1117,"Sprint_5m",Versuchsdaten!$E$2:$E$1117,$E526,Versuchsdaten!$J$2:$J$1117,1)=1,SUMIFS(Versuchsdaten!$F$2:$F$1117,Versuchsdaten!$A$2:$A$1117,$A526,Versuchsdaten!$B$2:$B$1117,$B526,Versuchsdaten!$C$2:$C$1117,"Sprint_5m",Versuchsdaten!$E$2:$E$1117,$E526,Versuchsdaten!$J$2:$J$1117,1),""))</f>
        <v/>
      </c>
      <c r="L526" s="22">
        <f>IF(LEFT(C526,7)&lt;&gt;"Sprint_","",IF(COUNTIFS(Versuchsdaten!$A$2:$A$1117,$A526,Versuchsdaten!$B$2:$B$1117,$B526,Versuchsdaten!$C$2:$C$1117,"Sprint_10m",Versuchsdaten!$E$2:$E$1117,$E526,Versuchsdaten!$J$2:$J$1117,1)=1,SUMIFS(Versuchsdaten!$F$2:$F$1117,Versuchsdaten!$A$2:$A$1117,$A526,Versuchsdaten!$B$2:$B$1117,$B526,Versuchsdaten!$C$2:$C$1117,"Sprint_10m",Versuchsdaten!$E$2:$E$1117,$E526,Versuchsdaten!$J$2:$J$1117,1),""))</f>
        <v/>
      </c>
      <c r="M526" s="22">
        <f>IF(LEFT(C526,7)&lt;&gt;"Sprint_","",IF(COUNTIFS(Versuchsdaten!$A$2:$A$1117,$A526,Versuchsdaten!$B$2:$B$1117,$B526,Versuchsdaten!$C$2:$C$1117,"Sprint_30m",Versuchsdaten!$E$2:$E$1117,$E526,Versuchsdaten!$J$2:$J$1117,1)=1,SUMIFS(Versuchsdaten!$F$2:$F$1117,Versuchsdaten!$A$2:$A$1117,$A526,Versuchsdaten!$B$2:$B$1117,$B526,Versuchsdaten!$C$2:$C$1117,"Sprint_30m",Versuchsdaten!$E$2:$E$1117,$E526,Versuchsdaten!$J$2:$J$1117,1),""))</f>
        <v/>
      </c>
      <c r="N526" s="22">
        <f>IF(LEFT(C526,7)&lt;&gt;"Sprint_",0,IF(IF(ISNUMBER(K526),IF(K526&lt;=0,1,IF(5/K526&gt;10,1,0)),0)+IF(ISNUMBER(L526),IF(ISNUMBER(K526),IF(L526-K526&lt;=0,1,IF(5/(L526-K526)&gt;10,1,0)),IF(L526&lt;=0,1,IF(10/L526&gt;10,1,0))),0)+IF(ISNUMBER(M526),IF(ISNUMBER(L526),IF(M526-L526&lt;=0,1,IF(20/(M526-L526)&gt;10,1,0)),IF(ISNUMBER(K526),IF(M526-K526&lt;=0,1,IF(25/(M526-K526)&gt;10,1,0)),IF(M526&lt;=0,1,IF(30/M526&gt;10,1,0)))),0)&gt;0,1,0))</f>
        <v/>
      </c>
      <c r="O526" s="22">
        <f>IF(AND(J526=1,N526=0),1,0)</f>
        <v/>
      </c>
      <c r="P526" s="22">
        <f>INDEX(Personendaten!$J$2:$J$32,MATCH(A526,Personendaten!$A$2:$A$32,0))</f>
        <v/>
      </c>
      <c r="Q526" s="22">
        <f>IF(O526=1,"",IF(AND(B526="post",P526="nicht angetreten"),"NANG",IF(N526=1,"AUSL",IFERROR(VLOOKUP(H526,Vokabular!$A$2:$B$8,2,FALSE),"UNBEKANNT"))))</f>
        <v/>
      </c>
    </row>
    <row r="527">
      <c r="A527" s="5" t="inlineStr">
        <is>
          <t>VS-17</t>
        </is>
      </c>
      <c r="B527" s="5" t="inlineStr">
        <is>
          <t>prä</t>
        </is>
      </c>
      <c r="C527" s="5" t="inlineStr">
        <is>
          <t>Sprint_10m</t>
        </is>
      </c>
      <c r="D527" s="5" t="inlineStr">
        <is>
          <t>–</t>
        </is>
      </c>
      <c r="E527" s="5" t="n">
        <v>1</v>
      </c>
      <c r="F527" s="5" t="n">
        <v>2.02</v>
      </c>
      <c r="G527" s="5" t="n"/>
      <c r="H527" s="5" t="n"/>
      <c r="I527" s="22">
        <f>INDEX(Personendaten!$C$2:$C$32,MATCH(A527,Personendaten!$A$2:$A$32,0))</f>
        <v/>
      </c>
      <c r="J527" s="22">
        <f>IF(AND(F527&lt;&gt;"",G527=""),1,0)</f>
        <v/>
      </c>
      <c r="K527" s="22">
        <f>IF(LEFT(C527,7)&lt;&gt;"Sprint_","",IF(COUNTIFS(Versuchsdaten!$A$2:$A$1117,$A527,Versuchsdaten!$B$2:$B$1117,$B527,Versuchsdaten!$C$2:$C$1117,"Sprint_5m",Versuchsdaten!$E$2:$E$1117,$E527,Versuchsdaten!$J$2:$J$1117,1)=1,SUMIFS(Versuchsdaten!$F$2:$F$1117,Versuchsdaten!$A$2:$A$1117,$A527,Versuchsdaten!$B$2:$B$1117,$B527,Versuchsdaten!$C$2:$C$1117,"Sprint_5m",Versuchsdaten!$E$2:$E$1117,$E527,Versuchsdaten!$J$2:$J$1117,1),""))</f>
        <v/>
      </c>
      <c r="L527" s="22">
        <f>IF(LEFT(C527,7)&lt;&gt;"Sprint_","",IF(COUNTIFS(Versuchsdaten!$A$2:$A$1117,$A527,Versuchsdaten!$B$2:$B$1117,$B527,Versuchsdaten!$C$2:$C$1117,"Sprint_10m",Versuchsdaten!$E$2:$E$1117,$E527,Versuchsdaten!$J$2:$J$1117,1)=1,SUMIFS(Versuchsdaten!$F$2:$F$1117,Versuchsdaten!$A$2:$A$1117,$A527,Versuchsdaten!$B$2:$B$1117,$B527,Versuchsdaten!$C$2:$C$1117,"Sprint_10m",Versuchsdaten!$E$2:$E$1117,$E527,Versuchsdaten!$J$2:$J$1117,1),""))</f>
        <v/>
      </c>
      <c r="M527" s="22">
        <f>IF(LEFT(C527,7)&lt;&gt;"Sprint_","",IF(COUNTIFS(Versuchsdaten!$A$2:$A$1117,$A527,Versuchsdaten!$B$2:$B$1117,$B527,Versuchsdaten!$C$2:$C$1117,"Sprint_30m",Versuchsdaten!$E$2:$E$1117,$E527,Versuchsdaten!$J$2:$J$1117,1)=1,SUMIFS(Versuchsdaten!$F$2:$F$1117,Versuchsdaten!$A$2:$A$1117,$A527,Versuchsdaten!$B$2:$B$1117,$B527,Versuchsdaten!$C$2:$C$1117,"Sprint_30m",Versuchsdaten!$E$2:$E$1117,$E527,Versuchsdaten!$J$2:$J$1117,1),""))</f>
        <v/>
      </c>
      <c r="N527" s="22">
        <f>IF(LEFT(C527,7)&lt;&gt;"Sprint_",0,IF(IF(ISNUMBER(K527),IF(K527&lt;=0,1,IF(5/K527&gt;10,1,0)),0)+IF(ISNUMBER(L527),IF(ISNUMBER(K527),IF(L527-K527&lt;=0,1,IF(5/(L527-K527)&gt;10,1,0)),IF(L527&lt;=0,1,IF(10/L527&gt;10,1,0))),0)+IF(ISNUMBER(M527),IF(ISNUMBER(L527),IF(M527-L527&lt;=0,1,IF(20/(M527-L527)&gt;10,1,0)),IF(ISNUMBER(K527),IF(M527-K527&lt;=0,1,IF(25/(M527-K527)&gt;10,1,0)),IF(M527&lt;=0,1,IF(30/M527&gt;10,1,0)))),0)&gt;0,1,0))</f>
        <v/>
      </c>
      <c r="O527" s="22">
        <f>IF(AND(J527=1,N527=0),1,0)</f>
        <v/>
      </c>
      <c r="P527" s="22">
        <f>INDEX(Personendaten!$J$2:$J$32,MATCH(A527,Personendaten!$A$2:$A$32,0))</f>
        <v/>
      </c>
      <c r="Q527" s="22">
        <f>IF(O527=1,"",IF(AND(B527="post",P527="nicht angetreten"),"NANG",IF(N527=1,"AUSL",IFERROR(VLOOKUP(H527,Vokabular!$A$2:$B$8,2,FALSE),"UNBEKANNT"))))</f>
        <v/>
      </c>
    </row>
    <row r="528">
      <c r="A528" s="5" t="inlineStr">
        <is>
          <t>VS-17</t>
        </is>
      </c>
      <c r="B528" s="5" t="inlineStr">
        <is>
          <t>prä</t>
        </is>
      </c>
      <c r="C528" s="5" t="inlineStr">
        <is>
          <t>Sprint_10m</t>
        </is>
      </c>
      <c r="D528" s="5" t="inlineStr">
        <is>
          <t>–</t>
        </is>
      </c>
      <c r="E528" s="5" t="n">
        <v>2</v>
      </c>
      <c r="F528" s="5" t="n"/>
      <c r="G528" s="5" t="n"/>
      <c r="H528" s="5" t="inlineStr">
        <is>
          <t>System nicht aufgenommen</t>
        </is>
      </c>
      <c r="I528" s="22">
        <f>INDEX(Personendaten!$C$2:$C$32,MATCH(A528,Personendaten!$A$2:$A$32,0))</f>
        <v/>
      </c>
      <c r="J528" s="22">
        <f>IF(AND(F528&lt;&gt;"",G528=""),1,0)</f>
        <v/>
      </c>
      <c r="K528" s="22">
        <f>IF(LEFT(C528,7)&lt;&gt;"Sprint_","",IF(COUNTIFS(Versuchsdaten!$A$2:$A$1117,$A528,Versuchsdaten!$B$2:$B$1117,$B528,Versuchsdaten!$C$2:$C$1117,"Sprint_5m",Versuchsdaten!$E$2:$E$1117,$E528,Versuchsdaten!$J$2:$J$1117,1)=1,SUMIFS(Versuchsdaten!$F$2:$F$1117,Versuchsdaten!$A$2:$A$1117,$A528,Versuchsdaten!$B$2:$B$1117,$B528,Versuchsdaten!$C$2:$C$1117,"Sprint_5m",Versuchsdaten!$E$2:$E$1117,$E528,Versuchsdaten!$J$2:$J$1117,1),""))</f>
        <v/>
      </c>
      <c r="L528" s="22">
        <f>IF(LEFT(C528,7)&lt;&gt;"Sprint_","",IF(COUNTIFS(Versuchsdaten!$A$2:$A$1117,$A528,Versuchsdaten!$B$2:$B$1117,$B528,Versuchsdaten!$C$2:$C$1117,"Sprint_10m",Versuchsdaten!$E$2:$E$1117,$E528,Versuchsdaten!$J$2:$J$1117,1)=1,SUMIFS(Versuchsdaten!$F$2:$F$1117,Versuchsdaten!$A$2:$A$1117,$A528,Versuchsdaten!$B$2:$B$1117,$B528,Versuchsdaten!$C$2:$C$1117,"Sprint_10m",Versuchsdaten!$E$2:$E$1117,$E528,Versuchsdaten!$J$2:$J$1117,1),""))</f>
        <v/>
      </c>
      <c r="M528" s="22">
        <f>IF(LEFT(C528,7)&lt;&gt;"Sprint_","",IF(COUNTIFS(Versuchsdaten!$A$2:$A$1117,$A528,Versuchsdaten!$B$2:$B$1117,$B528,Versuchsdaten!$C$2:$C$1117,"Sprint_30m",Versuchsdaten!$E$2:$E$1117,$E528,Versuchsdaten!$J$2:$J$1117,1)=1,SUMIFS(Versuchsdaten!$F$2:$F$1117,Versuchsdaten!$A$2:$A$1117,$A528,Versuchsdaten!$B$2:$B$1117,$B528,Versuchsdaten!$C$2:$C$1117,"Sprint_30m",Versuchsdaten!$E$2:$E$1117,$E528,Versuchsdaten!$J$2:$J$1117,1),""))</f>
        <v/>
      </c>
      <c r="N528" s="22">
        <f>IF(LEFT(C528,7)&lt;&gt;"Sprint_",0,IF(IF(ISNUMBER(K528),IF(K528&lt;=0,1,IF(5/K528&gt;10,1,0)),0)+IF(ISNUMBER(L528),IF(ISNUMBER(K528),IF(L528-K528&lt;=0,1,IF(5/(L528-K528)&gt;10,1,0)),IF(L528&lt;=0,1,IF(10/L528&gt;10,1,0))),0)+IF(ISNUMBER(M528),IF(ISNUMBER(L528),IF(M528-L528&lt;=0,1,IF(20/(M528-L528)&gt;10,1,0)),IF(ISNUMBER(K528),IF(M528-K528&lt;=0,1,IF(25/(M528-K528)&gt;10,1,0)),IF(M528&lt;=0,1,IF(30/M528&gt;10,1,0)))),0)&gt;0,1,0))</f>
        <v/>
      </c>
      <c r="O528" s="22">
        <f>IF(AND(J528=1,N528=0),1,0)</f>
        <v/>
      </c>
      <c r="P528" s="22">
        <f>INDEX(Personendaten!$J$2:$J$32,MATCH(A528,Personendaten!$A$2:$A$32,0))</f>
        <v/>
      </c>
      <c r="Q528" s="22">
        <f>IF(O528=1,"",IF(AND(B528="post",P528="nicht angetreten"),"NANG",IF(N528=1,"AUSL",IFERROR(VLOOKUP(H528,Vokabular!$A$2:$B$8,2,FALSE),"UNBEKANNT"))))</f>
        <v/>
      </c>
    </row>
    <row r="529">
      <c r="A529" s="5" t="inlineStr">
        <is>
          <t>VS-17</t>
        </is>
      </c>
      <c r="B529" s="5" t="inlineStr">
        <is>
          <t>prä</t>
        </is>
      </c>
      <c r="C529" s="5" t="inlineStr">
        <is>
          <t>Sprint_10m</t>
        </is>
      </c>
      <c r="D529" s="5" t="inlineStr">
        <is>
          <t>–</t>
        </is>
      </c>
      <c r="E529" s="5" t="n">
        <v>3</v>
      </c>
      <c r="F529" s="5" t="n"/>
      <c r="G529" s="5" t="n"/>
      <c r="H529" s="5" t="inlineStr">
        <is>
          <t>System nicht aufgenommen</t>
        </is>
      </c>
      <c r="I529" s="22">
        <f>INDEX(Personendaten!$C$2:$C$32,MATCH(A529,Personendaten!$A$2:$A$32,0))</f>
        <v/>
      </c>
      <c r="J529" s="22">
        <f>IF(AND(F529&lt;&gt;"",G529=""),1,0)</f>
        <v/>
      </c>
      <c r="K529" s="22">
        <f>IF(LEFT(C529,7)&lt;&gt;"Sprint_","",IF(COUNTIFS(Versuchsdaten!$A$2:$A$1117,$A529,Versuchsdaten!$B$2:$B$1117,$B529,Versuchsdaten!$C$2:$C$1117,"Sprint_5m",Versuchsdaten!$E$2:$E$1117,$E529,Versuchsdaten!$J$2:$J$1117,1)=1,SUMIFS(Versuchsdaten!$F$2:$F$1117,Versuchsdaten!$A$2:$A$1117,$A529,Versuchsdaten!$B$2:$B$1117,$B529,Versuchsdaten!$C$2:$C$1117,"Sprint_5m",Versuchsdaten!$E$2:$E$1117,$E529,Versuchsdaten!$J$2:$J$1117,1),""))</f>
        <v/>
      </c>
      <c r="L529" s="22">
        <f>IF(LEFT(C529,7)&lt;&gt;"Sprint_","",IF(COUNTIFS(Versuchsdaten!$A$2:$A$1117,$A529,Versuchsdaten!$B$2:$B$1117,$B529,Versuchsdaten!$C$2:$C$1117,"Sprint_10m",Versuchsdaten!$E$2:$E$1117,$E529,Versuchsdaten!$J$2:$J$1117,1)=1,SUMIFS(Versuchsdaten!$F$2:$F$1117,Versuchsdaten!$A$2:$A$1117,$A529,Versuchsdaten!$B$2:$B$1117,$B529,Versuchsdaten!$C$2:$C$1117,"Sprint_10m",Versuchsdaten!$E$2:$E$1117,$E529,Versuchsdaten!$J$2:$J$1117,1),""))</f>
        <v/>
      </c>
      <c r="M529" s="22">
        <f>IF(LEFT(C529,7)&lt;&gt;"Sprint_","",IF(COUNTIFS(Versuchsdaten!$A$2:$A$1117,$A529,Versuchsdaten!$B$2:$B$1117,$B529,Versuchsdaten!$C$2:$C$1117,"Sprint_30m",Versuchsdaten!$E$2:$E$1117,$E529,Versuchsdaten!$J$2:$J$1117,1)=1,SUMIFS(Versuchsdaten!$F$2:$F$1117,Versuchsdaten!$A$2:$A$1117,$A529,Versuchsdaten!$B$2:$B$1117,$B529,Versuchsdaten!$C$2:$C$1117,"Sprint_30m",Versuchsdaten!$E$2:$E$1117,$E529,Versuchsdaten!$J$2:$J$1117,1),""))</f>
        <v/>
      </c>
      <c r="N529" s="22">
        <f>IF(LEFT(C529,7)&lt;&gt;"Sprint_",0,IF(IF(ISNUMBER(K529),IF(K529&lt;=0,1,IF(5/K529&gt;10,1,0)),0)+IF(ISNUMBER(L529),IF(ISNUMBER(K529),IF(L529-K529&lt;=0,1,IF(5/(L529-K529)&gt;10,1,0)),IF(L529&lt;=0,1,IF(10/L529&gt;10,1,0))),0)+IF(ISNUMBER(M529),IF(ISNUMBER(L529),IF(M529-L529&lt;=0,1,IF(20/(M529-L529)&gt;10,1,0)),IF(ISNUMBER(K529),IF(M529-K529&lt;=0,1,IF(25/(M529-K529)&gt;10,1,0)),IF(M529&lt;=0,1,IF(30/M529&gt;10,1,0)))),0)&gt;0,1,0))</f>
        <v/>
      </c>
      <c r="O529" s="22">
        <f>IF(AND(J529=1,N529=0),1,0)</f>
        <v/>
      </c>
      <c r="P529" s="22">
        <f>INDEX(Personendaten!$J$2:$J$32,MATCH(A529,Personendaten!$A$2:$A$32,0))</f>
        <v/>
      </c>
      <c r="Q529" s="22">
        <f>IF(O529=1,"",IF(AND(B529="post",P529="nicht angetreten"),"NANG",IF(N529=1,"AUSL",IFERROR(VLOOKUP(H529,Vokabular!$A$2:$B$8,2,FALSE),"UNBEKANNT"))))</f>
        <v/>
      </c>
    </row>
    <row r="530">
      <c r="A530" s="5" t="inlineStr">
        <is>
          <t>VS-17</t>
        </is>
      </c>
      <c r="B530" s="5" t="inlineStr">
        <is>
          <t>prä</t>
        </is>
      </c>
      <c r="C530" s="5" t="inlineStr">
        <is>
          <t>Sprint_30m</t>
        </is>
      </c>
      <c r="D530" s="5" t="inlineStr">
        <is>
          <t>–</t>
        </is>
      </c>
      <c r="E530" s="5" t="n">
        <v>1</v>
      </c>
      <c r="F530" s="5" t="n">
        <v>5.19</v>
      </c>
      <c r="G530" s="5" t="n"/>
      <c r="H530" s="5" t="n"/>
      <c r="I530" s="22">
        <f>INDEX(Personendaten!$C$2:$C$32,MATCH(A530,Personendaten!$A$2:$A$32,0))</f>
        <v/>
      </c>
      <c r="J530" s="22">
        <f>IF(AND(F530&lt;&gt;"",G530=""),1,0)</f>
        <v/>
      </c>
      <c r="K530" s="22">
        <f>IF(LEFT(C530,7)&lt;&gt;"Sprint_","",IF(COUNTIFS(Versuchsdaten!$A$2:$A$1117,$A530,Versuchsdaten!$B$2:$B$1117,$B530,Versuchsdaten!$C$2:$C$1117,"Sprint_5m",Versuchsdaten!$E$2:$E$1117,$E530,Versuchsdaten!$J$2:$J$1117,1)=1,SUMIFS(Versuchsdaten!$F$2:$F$1117,Versuchsdaten!$A$2:$A$1117,$A530,Versuchsdaten!$B$2:$B$1117,$B530,Versuchsdaten!$C$2:$C$1117,"Sprint_5m",Versuchsdaten!$E$2:$E$1117,$E530,Versuchsdaten!$J$2:$J$1117,1),""))</f>
        <v/>
      </c>
      <c r="L530" s="22">
        <f>IF(LEFT(C530,7)&lt;&gt;"Sprint_","",IF(COUNTIFS(Versuchsdaten!$A$2:$A$1117,$A530,Versuchsdaten!$B$2:$B$1117,$B530,Versuchsdaten!$C$2:$C$1117,"Sprint_10m",Versuchsdaten!$E$2:$E$1117,$E530,Versuchsdaten!$J$2:$J$1117,1)=1,SUMIFS(Versuchsdaten!$F$2:$F$1117,Versuchsdaten!$A$2:$A$1117,$A530,Versuchsdaten!$B$2:$B$1117,$B530,Versuchsdaten!$C$2:$C$1117,"Sprint_10m",Versuchsdaten!$E$2:$E$1117,$E530,Versuchsdaten!$J$2:$J$1117,1),""))</f>
        <v/>
      </c>
      <c r="M530" s="22">
        <f>IF(LEFT(C530,7)&lt;&gt;"Sprint_","",IF(COUNTIFS(Versuchsdaten!$A$2:$A$1117,$A530,Versuchsdaten!$B$2:$B$1117,$B530,Versuchsdaten!$C$2:$C$1117,"Sprint_30m",Versuchsdaten!$E$2:$E$1117,$E530,Versuchsdaten!$J$2:$J$1117,1)=1,SUMIFS(Versuchsdaten!$F$2:$F$1117,Versuchsdaten!$A$2:$A$1117,$A530,Versuchsdaten!$B$2:$B$1117,$B530,Versuchsdaten!$C$2:$C$1117,"Sprint_30m",Versuchsdaten!$E$2:$E$1117,$E530,Versuchsdaten!$J$2:$J$1117,1),""))</f>
        <v/>
      </c>
      <c r="N530" s="22">
        <f>IF(LEFT(C530,7)&lt;&gt;"Sprint_",0,IF(IF(ISNUMBER(K530),IF(K530&lt;=0,1,IF(5/K530&gt;10,1,0)),0)+IF(ISNUMBER(L530),IF(ISNUMBER(K530),IF(L530-K530&lt;=0,1,IF(5/(L530-K530)&gt;10,1,0)),IF(L530&lt;=0,1,IF(10/L530&gt;10,1,0))),0)+IF(ISNUMBER(M530),IF(ISNUMBER(L530),IF(M530-L530&lt;=0,1,IF(20/(M530-L530)&gt;10,1,0)),IF(ISNUMBER(K530),IF(M530-K530&lt;=0,1,IF(25/(M530-K530)&gt;10,1,0)),IF(M530&lt;=0,1,IF(30/M530&gt;10,1,0)))),0)&gt;0,1,0))</f>
        <v/>
      </c>
      <c r="O530" s="22">
        <f>IF(AND(J530=1,N530=0),1,0)</f>
        <v/>
      </c>
      <c r="P530" s="22">
        <f>INDEX(Personendaten!$J$2:$J$32,MATCH(A530,Personendaten!$A$2:$A$32,0))</f>
        <v/>
      </c>
      <c r="Q530" s="22">
        <f>IF(O530=1,"",IF(AND(B530="post",P530="nicht angetreten"),"NANG",IF(N530=1,"AUSL",IFERROR(VLOOKUP(H530,Vokabular!$A$2:$B$8,2,FALSE),"UNBEKANNT"))))</f>
        <v/>
      </c>
    </row>
    <row r="531">
      <c r="A531" s="5" t="inlineStr">
        <is>
          <t>VS-17</t>
        </is>
      </c>
      <c r="B531" s="5" t="inlineStr">
        <is>
          <t>prä</t>
        </is>
      </c>
      <c r="C531" s="5" t="inlineStr">
        <is>
          <t>Sprint_30m</t>
        </is>
      </c>
      <c r="D531" s="5" t="inlineStr">
        <is>
          <t>–</t>
        </is>
      </c>
      <c r="E531" s="5" t="n">
        <v>2</v>
      </c>
      <c r="F531" s="5" t="n">
        <v>4.79</v>
      </c>
      <c r="G531" s="5" t="n"/>
      <c r="H531" s="5" t="n"/>
      <c r="I531" s="22">
        <f>INDEX(Personendaten!$C$2:$C$32,MATCH(A531,Personendaten!$A$2:$A$32,0))</f>
        <v/>
      </c>
      <c r="J531" s="22">
        <f>IF(AND(F531&lt;&gt;"",G531=""),1,0)</f>
        <v/>
      </c>
      <c r="K531" s="22">
        <f>IF(LEFT(C531,7)&lt;&gt;"Sprint_","",IF(COUNTIFS(Versuchsdaten!$A$2:$A$1117,$A531,Versuchsdaten!$B$2:$B$1117,$B531,Versuchsdaten!$C$2:$C$1117,"Sprint_5m",Versuchsdaten!$E$2:$E$1117,$E531,Versuchsdaten!$J$2:$J$1117,1)=1,SUMIFS(Versuchsdaten!$F$2:$F$1117,Versuchsdaten!$A$2:$A$1117,$A531,Versuchsdaten!$B$2:$B$1117,$B531,Versuchsdaten!$C$2:$C$1117,"Sprint_5m",Versuchsdaten!$E$2:$E$1117,$E531,Versuchsdaten!$J$2:$J$1117,1),""))</f>
        <v/>
      </c>
      <c r="L531" s="22">
        <f>IF(LEFT(C531,7)&lt;&gt;"Sprint_","",IF(COUNTIFS(Versuchsdaten!$A$2:$A$1117,$A531,Versuchsdaten!$B$2:$B$1117,$B531,Versuchsdaten!$C$2:$C$1117,"Sprint_10m",Versuchsdaten!$E$2:$E$1117,$E531,Versuchsdaten!$J$2:$J$1117,1)=1,SUMIFS(Versuchsdaten!$F$2:$F$1117,Versuchsdaten!$A$2:$A$1117,$A531,Versuchsdaten!$B$2:$B$1117,$B531,Versuchsdaten!$C$2:$C$1117,"Sprint_10m",Versuchsdaten!$E$2:$E$1117,$E531,Versuchsdaten!$J$2:$J$1117,1),""))</f>
        <v/>
      </c>
      <c r="M531" s="22">
        <f>IF(LEFT(C531,7)&lt;&gt;"Sprint_","",IF(COUNTIFS(Versuchsdaten!$A$2:$A$1117,$A531,Versuchsdaten!$B$2:$B$1117,$B531,Versuchsdaten!$C$2:$C$1117,"Sprint_30m",Versuchsdaten!$E$2:$E$1117,$E531,Versuchsdaten!$J$2:$J$1117,1)=1,SUMIFS(Versuchsdaten!$F$2:$F$1117,Versuchsdaten!$A$2:$A$1117,$A531,Versuchsdaten!$B$2:$B$1117,$B531,Versuchsdaten!$C$2:$C$1117,"Sprint_30m",Versuchsdaten!$E$2:$E$1117,$E531,Versuchsdaten!$J$2:$J$1117,1),""))</f>
        <v/>
      </c>
      <c r="N531" s="22">
        <f>IF(LEFT(C531,7)&lt;&gt;"Sprint_",0,IF(IF(ISNUMBER(K531),IF(K531&lt;=0,1,IF(5/K531&gt;10,1,0)),0)+IF(ISNUMBER(L531),IF(ISNUMBER(K531),IF(L531-K531&lt;=0,1,IF(5/(L531-K531)&gt;10,1,0)),IF(L531&lt;=0,1,IF(10/L531&gt;10,1,0))),0)+IF(ISNUMBER(M531),IF(ISNUMBER(L531),IF(M531-L531&lt;=0,1,IF(20/(M531-L531)&gt;10,1,0)),IF(ISNUMBER(K531),IF(M531-K531&lt;=0,1,IF(25/(M531-K531)&gt;10,1,0)),IF(M531&lt;=0,1,IF(30/M531&gt;10,1,0)))),0)&gt;0,1,0))</f>
        <v/>
      </c>
      <c r="O531" s="22">
        <f>IF(AND(J531=1,N531=0),1,0)</f>
        <v/>
      </c>
      <c r="P531" s="22">
        <f>INDEX(Personendaten!$J$2:$J$32,MATCH(A531,Personendaten!$A$2:$A$32,0))</f>
        <v/>
      </c>
      <c r="Q531" s="22">
        <f>IF(O531=1,"",IF(AND(B531="post",P531="nicht angetreten"),"NANG",IF(N531=1,"AUSL",IFERROR(VLOOKUP(H531,Vokabular!$A$2:$B$8,2,FALSE),"UNBEKANNT"))))</f>
        <v/>
      </c>
    </row>
    <row r="532">
      <c r="A532" s="5" t="inlineStr">
        <is>
          <t>VS-17</t>
        </is>
      </c>
      <c r="B532" s="5" t="inlineStr">
        <is>
          <t>prä</t>
        </is>
      </c>
      <c r="C532" s="5" t="inlineStr">
        <is>
          <t>Sprint_30m</t>
        </is>
      </c>
      <c r="D532" s="5" t="inlineStr">
        <is>
          <t>–</t>
        </is>
      </c>
      <c r="E532" s="5" t="n">
        <v>3</v>
      </c>
      <c r="F532" s="5" t="n">
        <v>4.66</v>
      </c>
      <c r="G532" s="5" t="n"/>
      <c r="H532" s="5" t="n"/>
      <c r="I532" s="22">
        <f>INDEX(Personendaten!$C$2:$C$32,MATCH(A532,Personendaten!$A$2:$A$32,0))</f>
        <v/>
      </c>
      <c r="J532" s="22">
        <f>IF(AND(F532&lt;&gt;"",G532=""),1,0)</f>
        <v/>
      </c>
      <c r="K532" s="22">
        <f>IF(LEFT(C532,7)&lt;&gt;"Sprint_","",IF(COUNTIFS(Versuchsdaten!$A$2:$A$1117,$A532,Versuchsdaten!$B$2:$B$1117,$B532,Versuchsdaten!$C$2:$C$1117,"Sprint_5m",Versuchsdaten!$E$2:$E$1117,$E532,Versuchsdaten!$J$2:$J$1117,1)=1,SUMIFS(Versuchsdaten!$F$2:$F$1117,Versuchsdaten!$A$2:$A$1117,$A532,Versuchsdaten!$B$2:$B$1117,$B532,Versuchsdaten!$C$2:$C$1117,"Sprint_5m",Versuchsdaten!$E$2:$E$1117,$E532,Versuchsdaten!$J$2:$J$1117,1),""))</f>
        <v/>
      </c>
      <c r="L532" s="22">
        <f>IF(LEFT(C532,7)&lt;&gt;"Sprint_","",IF(COUNTIFS(Versuchsdaten!$A$2:$A$1117,$A532,Versuchsdaten!$B$2:$B$1117,$B532,Versuchsdaten!$C$2:$C$1117,"Sprint_10m",Versuchsdaten!$E$2:$E$1117,$E532,Versuchsdaten!$J$2:$J$1117,1)=1,SUMIFS(Versuchsdaten!$F$2:$F$1117,Versuchsdaten!$A$2:$A$1117,$A532,Versuchsdaten!$B$2:$B$1117,$B532,Versuchsdaten!$C$2:$C$1117,"Sprint_10m",Versuchsdaten!$E$2:$E$1117,$E532,Versuchsdaten!$J$2:$J$1117,1),""))</f>
        <v/>
      </c>
      <c r="M532" s="22">
        <f>IF(LEFT(C532,7)&lt;&gt;"Sprint_","",IF(COUNTIFS(Versuchsdaten!$A$2:$A$1117,$A532,Versuchsdaten!$B$2:$B$1117,$B532,Versuchsdaten!$C$2:$C$1117,"Sprint_30m",Versuchsdaten!$E$2:$E$1117,$E532,Versuchsdaten!$J$2:$J$1117,1)=1,SUMIFS(Versuchsdaten!$F$2:$F$1117,Versuchsdaten!$A$2:$A$1117,$A532,Versuchsdaten!$B$2:$B$1117,$B532,Versuchsdaten!$C$2:$C$1117,"Sprint_30m",Versuchsdaten!$E$2:$E$1117,$E532,Versuchsdaten!$J$2:$J$1117,1),""))</f>
        <v/>
      </c>
      <c r="N532" s="22">
        <f>IF(LEFT(C532,7)&lt;&gt;"Sprint_",0,IF(IF(ISNUMBER(K532),IF(K532&lt;=0,1,IF(5/K532&gt;10,1,0)),0)+IF(ISNUMBER(L532),IF(ISNUMBER(K532),IF(L532-K532&lt;=0,1,IF(5/(L532-K532)&gt;10,1,0)),IF(L532&lt;=0,1,IF(10/L532&gt;10,1,0))),0)+IF(ISNUMBER(M532),IF(ISNUMBER(L532),IF(M532-L532&lt;=0,1,IF(20/(M532-L532)&gt;10,1,0)),IF(ISNUMBER(K532),IF(M532-K532&lt;=0,1,IF(25/(M532-K532)&gt;10,1,0)),IF(M532&lt;=0,1,IF(30/M532&gt;10,1,0)))),0)&gt;0,1,0))</f>
        <v/>
      </c>
      <c r="O532" s="22">
        <f>IF(AND(J532=1,N532=0),1,0)</f>
        <v/>
      </c>
      <c r="P532" s="22">
        <f>INDEX(Personendaten!$J$2:$J$32,MATCH(A532,Personendaten!$A$2:$A$32,0))</f>
        <v/>
      </c>
      <c r="Q532" s="22">
        <f>IF(O532=1,"",IF(AND(B532="post",P532="nicht angetreten"),"NANG",IF(N532=1,"AUSL",IFERROR(VLOOKUP(H532,Vokabular!$A$2:$B$8,2,FALSE),"UNBEKANNT"))))</f>
        <v/>
      </c>
    </row>
    <row r="533">
      <c r="A533" s="5" t="inlineStr">
        <is>
          <t>VS-17</t>
        </is>
      </c>
      <c r="B533" s="5" t="inlineStr">
        <is>
          <t>prä</t>
        </is>
      </c>
      <c r="C533" s="5" t="inlineStr">
        <is>
          <t>Standweitsprung</t>
        </is>
      </c>
      <c r="D533" s="5" t="inlineStr">
        <is>
          <t>–</t>
        </is>
      </c>
      <c r="E533" s="5" t="n">
        <v>1</v>
      </c>
      <c r="F533" s="5" t="n">
        <v>258</v>
      </c>
      <c r="G533" s="5" t="n"/>
      <c r="H533" s="5" t="n"/>
      <c r="I533" s="22">
        <f>INDEX(Personendaten!$C$2:$C$32,MATCH(A533,Personendaten!$A$2:$A$32,0))</f>
        <v/>
      </c>
      <c r="J533" s="22">
        <f>IF(AND(F533&lt;&gt;"",G533=""),1,0)</f>
        <v/>
      </c>
      <c r="K533" s="22">
        <f>IF(LEFT(C533,7)&lt;&gt;"Sprint_","",IF(COUNTIFS(Versuchsdaten!$A$2:$A$1117,$A533,Versuchsdaten!$B$2:$B$1117,$B533,Versuchsdaten!$C$2:$C$1117,"Sprint_5m",Versuchsdaten!$E$2:$E$1117,$E533,Versuchsdaten!$J$2:$J$1117,1)=1,SUMIFS(Versuchsdaten!$F$2:$F$1117,Versuchsdaten!$A$2:$A$1117,$A533,Versuchsdaten!$B$2:$B$1117,$B533,Versuchsdaten!$C$2:$C$1117,"Sprint_5m",Versuchsdaten!$E$2:$E$1117,$E533,Versuchsdaten!$J$2:$J$1117,1),""))</f>
        <v/>
      </c>
      <c r="L533" s="22">
        <f>IF(LEFT(C533,7)&lt;&gt;"Sprint_","",IF(COUNTIFS(Versuchsdaten!$A$2:$A$1117,$A533,Versuchsdaten!$B$2:$B$1117,$B533,Versuchsdaten!$C$2:$C$1117,"Sprint_10m",Versuchsdaten!$E$2:$E$1117,$E533,Versuchsdaten!$J$2:$J$1117,1)=1,SUMIFS(Versuchsdaten!$F$2:$F$1117,Versuchsdaten!$A$2:$A$1117,$A533,Versuchsdaten!$B$2:$B$1117,$B533,Versuchsdaten!$C$2:$C$1117,"Sprint_10m",Versuchsdaten!$E$2:$E$1117,$E533,Versuchsdaten!$J$2:$J$1117,1),""))</f>
        <v/>
      </c>
      <c r="M533" s="22">
        <f>IF(LEFT(C533,7)&lt;&gt;"Sprint_","",IF(COUNTIFS(Versuchsdaten!$A$2:$A$1117,$A533,Versuchsdaten!$B$2:$B$1117,$B533,Versuchsdaten!$C$2:$C$1117,"Sprint_30m",Versuchsdaten!$E$2:$E$1117,$E533,Versuchsdaten!$J$2:$J$1117,1)=1,SUMIFS(Versuchsdaten!$F$2:$F$1117,Versuchsdaten!$A$2:$A$1117,$A533,Versuchsdaten!$B$2:$B$1117,$B533,Versuchsdaten!$C$2:$C$1117,"Sprint_30m",Versuchsdaten!$E$2:$E$1117,$E533,Versuchsdaten!$J$2:$J$1117,1),""))</f>
        <v/>
      </c>
      <c r="N533" s="22">
        <f>IF(LEFT(C533,7)&lt;&gt;"Sprint_",0,IF(IF(ISNUMBER(K533),IF(K533&lt;=0,1,IF(5/K533&gt;10,1,0)),0)+IF(ISNUMBER(L533),IF(ISNUMBER(K533),IF(L533-K533&lt;=0,1,IF(5/(L533-K533)&gt;10,1,0)),IF(L533&lt;=0,1,IF(10/L533&gt;10,1,0))),0)+IF(ISNUMBER(M533),IF(ISNUMBER(L533),IF(M533-L533&lt;=0,1,IF(20/(M533-L533)&gt;10,1,0)),IF(ISNUMBER(K533),IF(M533-K533&lt;=0,1,IF(25/(M533-K533)&gt;10,1,0)),IF(M533&lt;=0,1,IF(30/M533&gt;10,1,0)))),0)&gt;0,1,0))</f>
        <v/>
      </c>
      <c r="O533" s="22">
        <f>IF(AND(J533=1,N533=0),1,0)</f>
        <v/>
      </c>
      <c r="P533" s="22">
        <f>INDEX(Personendaten!$J$2:$J$32,MATCH(A533,Personendaten!$A$2:$A$32,0))</f>
        <v/>
      </c>
      <c r="Q533" s="22">
        <f>IF(O533=1,"",IF(AND(B533="post",P533="nicht angetreten"),"NANG",IF(N533=1,"AUSL",IFERROR(VLOOKUP(H533,Vokabular!$A$2:$B$8,2,FALSE),"UNBEKANNT"))))</f>
        <v/>
      </c>
    </row>
    <row r="534">
      <c r="A534" s="5" t="inlineStr">
        <is>
          <t>VS-17</t>
        </is>
      </c>
      <c r="B534" s="5" t="inlineStr">
        <is>
          <t>prä</t>
        </is>
      </c>
      <c r="C534" s="5" t="inlineStr">
        <is>
          <t>Standweitsprung</t>
        </is>
      </c>
      <c r="D534" s="5" t="inlineStr">
        <is>
          <t>–</t>
        </is>
      </c>
      <c r="E534" s="5" t="n">
        <v>2</v>
      </c>
      <c r="F534" s="5" t="n"/>
      <c r="G534" s="5" t="inlineStr">
        <is>
          <t>x</t>
        </is>
      </c>
      <c r="H534" s="5" t="inlineStr">
        <is>
          <t>Fehlversuch</t>
        </is>
      </c>
      <c r="I534" s="22">
        <f>INDEX(Personendaten!$C$2:$C$32,MATCH(A534,Personendaten!$A$2:$A$32,0))</f>
        <v/>
      </c>
      <c r="J534" s="22">
        <f>IF(AND(F534&lt;&gt;"",G534=""),1,0)</f>
        <v/>
      </c>
      <c r="K534" s="22">
        <f>IF(LEFT(C534,7)&lt;&gt;"Sprint_","",IF(COUNTIFS(Versuchsdaten!$A$2:$A$1117,$A534,Versuchsdaten!$B$2:$B$1117,$B534,Versuchsdaten!$C$2:$C$1117,"Sprint_5m",Versuchsdaten!$E$2:$E$1117,$E534,Versuchsdaten!$J$2:$J$1117,1)=1,SUMIFS(Versuchsdaten!$F$2:$F$1117,Versuchsdaten!$A$2:$A$1117,$A534,Versuchsdaten!$B$2:$B$1117,$B534,Versuchsdaten!$C$2:$C$1117,"Sprint_5m",Versuchsdaten!$E$2:$E$1117,$E534,Versuchsdaten!$J$2:$J$1117,1),""))</f>
        <v/>
      </c>
      <c r="L534" s="22">
        <f>IF(LEFT(C534,7)&lt;&gt;"Sprint_","",IF(COUNTIFS(Versuchsdaten!$A$2:$A$1117,$A534,Versuchsdaten!$B$2:$B$1117,$B534,Versuchsdaten!$C$2:$C$1117,"Sprint_10m",Versuchsdaten!$E$2:$E$1117,$E534,Versuchsdaten!$J$2:$J$1117,1)=1,SUMIFS(Versuchsdaten!$F$2:$F$1117,Versuchsdaten!$A$2:$A$1117,$A534,Versuchsdaten!$B$2:$B$1117,$B534,Versuchsdaten!$C$2:$C$1117,"Sprint_10m",Versuchsdaten!$E$2:$E$1117,$E534,Versuchsdaten!$J$2:$J$1117,1),""))</f>
        <v/>
      </c>
      <c r="M534" s="22">
        <f>IF(LEFT(C534,7)&lt;&gt;"Sprint_","",IF(COUNTIFS(Versuchsdaten!$A$2:$A$1117,$A534,Versuchsdaten!$B$2:$B$1117,$B534,Versuchsdaten!$C$2:$C$1117,"Sprint_30m",Versuchsdaten!$E$2:$E$1117,$E534,Versuchsdaten!$J$2:$J$1117,1)=1,SUMIFS(Versuchsdaten!$F$2:$F$1117,Versuchsdaten!$A$2:$A$1117,$A534,Versuchsdaten!$B$2:$B$1117,$B534,Versuchsdaten!$C$2:$C$1117,"Sprint_30m",Versuchsdaten!$E$2:$E$1117,$E534,Versuchsdaten!$J$2:$J$1117,1),""))</f>
        <v/>
      </c>
      <c r="N534" s="22">
        <f>IF(LEFT(C534,7)&lt;&gt;"Sprint_",0,IF(IF(ISNUMBER(K534),IF(K534&lt;=0,1,IF(5/K534&gt;10,1,0)),0)+IF(ISNUMBER(L534),IF(ISNUMBER(K534),IF(L534-K534&lt;=0,1,IF(5/(L534-K534)&gt;10,1,0)),IF(L534&lt;=0,1,IF(10/L534&gt;10,1,0))),0)+IF(ISNUMBER(M534),IF(ISNUMBER(L534),IF(M534-L534&lt;=0,1,IF(20/(M534-L534)&gt;10,1,0)),IF(ISNUMBER(K534),IF(M534-K534&lt;=0,1,IF(25/(M534-K534)&gt;10,1,0)),IF(M534&lt;=0,1,IF(30/M534&gt;10,1,0)))),0)&gt;0,1,0))</f>
        <v/>
      </c>
      <c r="O534" s="22">
        <f>IF(AND(J534=1,N534=0),1,0)</f>
        <v/>
      </c>
      <c r="P534" s="22">
        <f>INDEX(Personendaten!$J$2:$J$32,MATCH(A534,Personendaten!$A$2:$A$32,0))</f>
        <v/>
      </c>
      <c r="Q534" s="22">
        <f>IF(O534=1,"",IF(AND(B534="post",P534="nicht angetreten"),"NANG",IF(N534=1,"AUSL",IFERROR(VLOOKUP(H534,Vokabular!$A$2:$B$8,2,FALSE),"UNBEKANNT"))))</f>
        <v/>
      </c>
    </row>
    <row r="535">
      <c r="A535" s="5" t="inlineStr">
        <is>
          <t>VS-17</t>
        </is>
      </c>
      <c r="B535" s="5" t="inlineStr">
        <is>
          <t>prä</t>
        </is>
      </c>
      <c r="C535" s="5" t="inlineStr">
        <is>
          <t>Standweitsprung</t>
        </is>
      </c>
      <c r="D535" s="5" t="inlineStr">
        <is>
          <t>–</t>
        </is>
      </c>
      <c r="E535" s="5" t="n">
        <v>3</v>
      </c>
      <c r="F535" s="5" t="n"/>
      <c r="G535" s="5" t="n"/>
      <c r="H535" s="5" t="inlineStr">
        <is>
          <t>Nur 2 Versuche aus Zeitmangel</t>
        </is>
      </c>
      <c r="I535" s="22">
        <f>INDEX(Personendaten!$C$2:$C$32,MATCH(A535,Personendaten!$A$2:$A$32,0))</f>
        <v/>
      </c>
      <c r="J535" s="22">
        <f>IF(AND(F535&lt;&gt;"",G535=""),1,0)</f>
        <v/>
      </c>
      <c r="K535" s="22">
        <f>IF(LEFT(C535,7)&lt;&gt;"Sprint_","",IF(COUNTIFS(Versuchsdaten!$A$2:$A$1117,$A535,Versuchsdaten!$B$2:$B$1117,$B535,Versuchsdaten!$C$2:$C$1117,"Sprint_5m",Versuchsdaten!$E$2:$E$1117,$E535,Versuchsdaten!$J$2:$J$1117,1)=1,SUMIFS(Versuchsdaten!$F$2:$F$1117,Versuchsdaten!$A$2:$A$1117,$A535,Versuchsdaten!$B$2:$B$1117,$B535,Versuchsdaten!$C$2:$C$1117,"Sprint_5m",Versuchsdaten!$E$2:$E$1117,$E535,Versuchsdaten!$J$2:$J$1117,1),""))</f>
        <v/>
      </c>
      <c r="L535" s="22">
        <f>IF(LEFT(C535,7)&lt;&gt;"Sprint_","",IF(COUNTIFS(Versuchsdaten!$A$2:$A$1117,$A535,Versuchsdaten!$B$2:$B$1117,$B535,Versuchsdaten!$C$2:$C$1117,"Sprint_10m",Versuchsdaten!$E$2:$E$1117,$E535,Versuchsdaten!$J$2:$J$1117,1)=1,SUMIFS(Versuchsdaten!$F$2:$F$1117,Versuchsdaten!$A$2:$A$1117,$A535,Versuchsdaten!$B$2:$B$1117,$B535,Versuchsdaten!$C$2:$C$1117,"Sprint_10m",Versuchsdaten!$E$2:$E$1117,$E535,Versuchsdaten!$J$2:$J$1117,1),""))</f>
        <v/>
      </c>
      <c r="M535" s="22">
        <f>IF(LEFT(C535,7)&lt;&gt;"Sprint_","",IF(COUNTIFS(Versuchsdaten!$A$2:$A$1117,$A535,Versuchsdaten!$B$2:$B$1117,$B535,Versuchsdaten!$C$2:$C$1117,"Sprint_30m",Versuchsdaten!$E$2:$E$1117,$E535,Versuchsdaten!$J$2:$J$1117,1)=1,SUMIFS(Versuchsdaten!$F$2:$F$1117,Versuchsdaten!$A$2:$A$1117,$A535,Versuchsdaten!$B$2:$B$1117,$B535,Versuchsdaten!$C$2:$C$1117,"Sprint_30m",Versuchsdaten!$E$2:$E$1117,$E535,Versuchsdaten!$J$2:$J$1117,1),""))</f>
        <v/>
      </c>
      <c r="N535" s="22">
        <f>IF(LEFT(C535,7)&lt;&gt;"Sprint_",0,IF(IF(ISNUMBER(K535),IF(K535&lt;=0,1,IF(5/K535&gt;10,1,0)),0)+IF(ISNUMBER(L535),IF(ISNUMBER(K535),IF(L535-K535&lt;=0,1,IF(5/(L535-K535)&gt;10,1,0)),IF(L535&lt;=0,1,IF(10/L535&gt;10,1,0))),0)+IF(ISNUMBER(M535),IF(ISNUMBER(L535),IF(M535-L535&lt;=0,1,IF(20/(M535-L535)&gt;10,1,0)),IF(ISNUMBER(K535),IF(M535-K535&lt;=0,1,IF(25/(M535-K535)&gt;10,1,0)),IF(M535&lt;=0,1,IF(30/M535&gt;10,1,0)))),0)&gt;0,1,0))</f>
        <v/>
      </c>
      <c r="O535" s="22">
        <f>IF(AND(J535=1,N535=0),1,0)</f>
        <v/>
      </c>
      <c r="P535" s="22">
        <f>INDEX(Personendaten!$J$2:$J$32,MATCH(A535,Personendaten!$A$2:$A$32,0))</f>
        <v/>
      </c>
      <c r="Q535" s="22">
        <f>IF(O535=1,"",IF(AND(B535="post",P535="nicht angetreten"),"NANG",IF(N535=1,"AUSL",IFERROR(VLOOKUP(H535,Vokabular!$A$2:$B$8,2,FALSE),"UNBEKANNT"))))</f>
        <v/>
      </c>
    </row>
    <row r="536">
      <c r="A536" s="5" t="inlineStr">
        <is>
          <t>VS-17</t>
        </is>
      </c>
      <c r="B536" s="5" t="inlineStr">
        <is>
          <t>prä</t>
        </is>
      </c>
      <c r="C536" s="5" t="inlineStr">
        <is>
          <t>COD_505</t>
        </is>
      </c>
      <c r="D536" s="5" t="inlineStr">
        <is>
          <t>L</t>
        </is>
      </c>
      <c r="E536" s="5" t="n">
        <v>1</v>
      </c>
      <c r="F536" s="5" t="n">
        <v>2.54</v>
      </c>
      <c r="G536" s="5" t="n"/>
      <c r="H536" s="5" t="n"/>
      <c r="I536" s="22">
        <f>INDEX(Personendaten!$C$2:$C$32,MATCH(A536,Personendaten!$A$2:$A$32,0))</f>
        <v/>
      </c>
      <c r="J536" s="22">
        <f>IF(AND(F536&lt;&gt;"",G536=""),1,0)</f>
        <v/>
      </c>
      <c r="K536" s="22">
        <f>IF(LEFT(C536,7)&lt;&gt;"Sprint_","",IF(COUNTIFS(Versuchsdaten!$A$2:$A$1117,$A536,Versuchsdaten!$B$2:$B$1117,$B536,Versuchsdaten!$C$2:$C$1117,"Sprint_5m",Versuchsdaten!$E$2:$E$1117,$E536,Versuchsdaten!$J$2:$J$1117,1)=1,SUMIFS(Versuchsdaten!$F$2:$F$1117,Versuchsdaten!$A$2:$A$1117,$A536,Versuchsdaten!$B$2:$B$1117,$B536,Versuchsdaten!$C$2:$C$1117,"Sprint_5m",Versuchsdaten!$E$2:$E$1117,$E536,Versuchsdaten!$J$2:$J$1117,1),""))</f>
        <v/>
      </c>
      <c r="L536" s="22">
        <f>IF(LEFT(C536,7)&lt;&gt;"Sprint_","",IF(COUNTIFS(Versuchsdaten!$A$2:$A$1117,$A536,Versuchsdaten!$B$2:$B$1117,$B536,Versuchsdaten!$C$2:$C$1117,"Sprint_10m",Versuchsdaten!$E$2:$E$1117,$E536,Versuchsdaten!$J$2:$J$1117,1)=1,SUMIFS(Versuchsdaten!$F$2:$F$1117,Versuchsdaten!$A$2:$A$1117,$A536,Versuchsdaten!$B$2:$B$1117,$B536,Versuchsdaten!$C$2:$C$1117,"Sprint_10m",Versuchsdaten!$E$2:$E$1117,$E536,Versuchsdaten!$J$2:$J$1117,1),""))</f>
        <v/>
      </c>
      <c r="M536" s="22">
        <f>IF(LEFT(C536,7)&lt;&gt;"Sprint_","",IF(COUNTIFS(Versuchsdaten!$A$2:$A$1117,$A536,Versuchsdaten!$B$2:$B$1117,$B536,Versuchsdaten!$C$2:$C$1117,"Sprint_30m",Versuchsdaten!$E$2:$E$1117,$E536,Versuchsdaten!$J$2:$J$1117,1)=1,SUMIFS(Versuchsdaten!$F$2:$F$1117,Versuchsdaten!$A$2:$A$1117,$A536,Versuchsdaten!$B$2:$B$1117,$B536,Versuchsdaten!$C$2:$C$1117,"Sprint_30m",Versuchsdaten!$E$2:$E$1117,$E536,Versuchsdaten!$J$2:$J$1117,1),""))</f>
        <v/>
      </c>
      <c r="N536" s="22">
        <f>IF(LEFT(C536,7)&lt;&gt;"Sprint_",0,IF(IF(ISNUMBER(K536),IF(K536&lt;=0,1,IF(5/K536&gt;10,1,0)),0)+IF(ISNUMBER(L536),IF(ISNUMBER(K536),IF(L536-K536&lt;=0,1,IF(5/(L536-K536)&gt;10,1,0)),IF(L536&lt;=0,1,IF(10/L536&gt;10,1,0))),0)+IF(ISNUMBER(M536),IF(ISNUMBER(L536),IF(M536-L536&lt;=0,1,IF(20/(M536-L536)&gt;10,1,0)),IF(ISNUMBER(K536),IF(M536-K536&lt;=0,1,IF(25/(M536-K536)&gt;10,1,0)),IF(M536&lt;=0,1,IF(30/M536&gt;10,1,0)))),0)&gt;0,1,0))</f>
        <v/>
      </c>
      <c r="O536" s="22">
        <f>IF(AND(J536=1,N536=0),1,0)</f>
        <v/>
      </c>
      <c r="P536" s="22">
        <f>INDEX(Personendaten!$J$2:$J$32,MATCH(A536,Personendaten!$A$2:$A$32,0))</f>
        <v/>
      </c>
      <c r="Q536" s="22">
        <f>IF(O536=1,"",IF(AND(B536="post",P536="nicht angetreten"),"NANG",IF(N536=1,"AUSL",IFERROR(VLOOKUP(H536,Vokabular!$A$2:$B$8,2,FALSE),"UNBEKANNT"))))</f>
        <v/>
      </c>
    </row>
    <row r="537">
      <c r="A537" s="5" t="inlineStr">
        <is>
          <t>VS-17</t>
        </is>
      </c>
      <c r="B537" s="5" t="inlineStr">
        <is>
          <t>prä</t>
        </is>
      </c>
      <c r="C537" s="5" t="inlineStr">
        <is>
          <t>COD_505</t>
        </is>
      </c>
      <c r="D537" s="5" t="inlineStr">
        <is>
          <t>L</t>
        </is>
      </c>
      <c r="E537" s="5" t="n">
        <v>2</v>
      </c>
      <c r="F537" s="5" t="n">
        <v>2.62</v>
      </c>
      <c r="G537" s="5" t="n"/>
      <c r="H537" s="5" t="n"/>
      <c r="I537" s="22">
        <f>INDEX(Personendaten!$C$2:$C$32,MATCH(A537,Personendaten!$A$2:$A$32,0))</f>
        <v/>
      </c>
      <c r="J537" s="22">
        <f>IF(AND(F537&lt;&gt;"",G537=""),1,0)</f>
        <v/>
      </c>
      <c r="K537" s="22">
        <f>IF(LEFT(C537,7)&lt;&gt;"Sprint_","",IF(COUNTIFS(Versuchsdaten!$A$2:$A$1117,$A537,Versuchsdaten!$B$2:$B$1117,$B537,Versuchsdaten!$C$2:$C$1117,"Sprint_5m",Versuchsdaten!$E$2:$E$1117,$E537,Versuchsdaten!$J$2:$J$1117,1)=1,SUMIFS(Versuchsdaten!$F$2:$F$1117,Versuchsdaten!$A$2:$A$1117,$A537,Versuchsdaten!$B$2:$B$1117,$B537,Versuchsdaten!$C$2:$C$1117,"Sprint_5m",Versuchsdaten!$E$2:$E$1117,$E537,Versuchsdaten!$J$2:$J$1117,1),""))</f>
        <v/>
      </c>
      <c r="L537" s="22">
        <f>IF(LEFT(C537,7)&lt;&gt;"Sprint_","",IF(COUNTIFS(Versuchsdaten!$A$2:$A$1117,$A537,Versuchsdaten!$B$2:$B$1117,$B537,Versuchsdaten!$C$2:$C$1117,"Sprint_10m",Versuchsdaten!$E$2:$E$1117,$E537,Versuchsdaten!$J$2:$J$1117,1)=1,SUMIFS(Versuchsdaten!$F$2:$F$1117,Versuchsdaten!$A$2:$A$1117,$A537,Versuchsdaten!$B$2:$B$1117,$B537,Versuchsdaten!$C$2:$C$1117,"Sprint_10m",Versuchsdaten!$E$2:$E$1117,$E537,Versuchsdaten!$J$2:$J$1117,1),""))</f>
        <v/>
      </c>
      <c r="M537" s="22">
        <f>IF(LEFT(C537,7)&lt;&gt;"Sprint_","",IF(COUNTIFS(Versuchsdaten!$A$2:$A$1117,$A537,Versuchsdaten!$B$2:$B$1117,$B537,Versuchsdaten!$C$2:$C$1117,"Sprint_30m",Versuchsdaten!$E$2:$E$1117,$E537,Versuchsdaten!$J$2:$J$1117,1)=1,SUMIFS(Versuchsdaten!$F$2:$F$1117,Versuchsdaten!$A$2:$A$1117,$A537,Versuchsdaten!$B$2:$B$1117,$B537,Versuchsdaten!$C$2:$C$1117,"Sprint_30m",Versuchsdaten!$E$2:$E$1117,$E537,Versuchsdaten!$J$2:$J$1117,1),""))</f>
        <v/>
      </c>
      <c r="N537" s="22">
        <f>IF(LEFT(C537,7)&lt;&gt;"Sprint_",0,IF(IF(ISNUMBER(K537),IF(K537&lt;=0,1,IF(5/K537&gt;10,1,0)),0)+IF(ISNUMBER(L537),IF(ISNUMBER(K537),IF(L537-K537&lt;=0,1,IF(5/(L537-K537)&gt;10,1,0)),IF(L537&lt;=0,1,IF(10/L537&gt;10,1,0))),0)+IF(ISNUMBER(M537),IF(ISNUMBER(L537),IF(M537-L537&lt;=0,1,IF(20/(M537-L537)&gt;10,1,0)),IF(ISNUMBER(K537),IF(M537-K537&lt;=0,1,IF(25/(M537-K537)&gt;10,1,0)),IF(M537&lt;=0,1,IF(30/M537&gt;10,1,0)))),0)&gt;0,1,0))</f>
        <v/>
      </c>
      <c r="O537" s="22">
        <f>IF(AND(J537=1,N537=0),1,0)</f>
        <v/>
      </c>
      <c r="P537" s="22">
        <f>INDEX(Personendaten!$J$2:$J$32,MATCH(A537,Personendaten!$A$2:$A$32,0))</f>
        <v/>
      </c>
      <c r="Q537" s="22">
        <f>IF(O537=1,"",IF(AND(B537="post",P537="nicht angetreten"),"NANG",IF(N537=1,"AUSL",IFERROR(VLOOKUP(H537,Vokabular!$A$2:$B$8,2,FALSE),"UNBEKANNT"))))</f>
        <v/>
      </c>
    </row>
    <row r="538">
      <c r="A538" s="5" t="inlineStr">
        <is>
          <t>VS-17</t>
        </is>
      </c>
      <c r="B538" s="5" t="inlineStr">
        <is>
          <t>prä</t>
        </is>
      </c>
      <c r="C538" s="5" t="inlineStr">
        <is>
          <t>COD_505</t>
        </is>
      </c>
      <c r="D538" s="5" t="inlineStr">
        <is>
          <t>L</t>
        </is>
      </c>
      <c r="E538" s="5" t="n">
        <v>3</v>
      </c>
      <c r="F538" s="5" t="n"/>
      <c r="G538" s="5" t="n"/>
      <c r="H538" s="5" t="inlineStr">
        <is>
          <t>Nur 2 Versuche aus Zeitmangel</t>
        </is>
      </c>
      <c r="I538" s="22">
        <f>INDEX(Personendaten!$C$2:$C$32,MATCH(A538,Personendaten!$A$2:$A$32,0))</f>
        <v/>
      </c>
      <c r="J538" s="22">
        <f>IF(AND(F538&lt;&gt;"",G538=""),1,0)</f>
        <v/>
      </c>
      <c r="K538" s="22">
        <f>IF(LEFT(C538,7)&lt;&gt;"Sprint_","",IF(COUNTIFS(Versuchsdaten!$A$2:$A$1117,$A538,Versuchsdaten!$B$2:$B$1117,$B538,Versuchsdaten!$C$2:$C$1117,"Sprint_5m",Versuchsdaten!$E$2:$E$1117,$E538,Versuchsdaten!$J$2:$J$1117,1)=1,SUMIFS(Versuchsdaten!$F$2:$F$1117,Versuchsdaten!$A$2:$A$1117,$A538,Versuchsdaten!$B$2:$B$1117,$B538,Versuchsdaten!$C$2:$C$1117,"Sprint_5m",Versuchsdaten!$E$2:$E$1117,$E538,Versuchsdaten!$J$2:$J$1117,1),""))</f>
        <v/>
      </c>
      <c r="L538" s="22">
        <f>IF(LEFT(C538,7)&lt;&gt;"Sprint_","",IF(COUNTIFS(Versuchsdaten!$A$2:$A$1117,$A538,Versuchsdaten!$B$2:$B$1117,$B538,Versuchsdaten!$C$2:$C$1117,"Sprint_10m",Versuchsdaten!$E$2:$E$1117,$E538,Versuchsdaten!$J$2:$J$1117,1)=1,SUMIFS(Versuchsdaten!$F$2:$F$1117,Versuchsdaten!$A$2:$A$1117,$A538,Versuchsdaten!$B$2:$B$1117,$B538,Versuchsdaten!$C$2:$C$1117,"Sprint_10m",Versuchsdaten!$E$2:$E$1117,$E538,Versuchsdaten!$J$2:$J$1117,1),""))</f>
        <v/>
      </c>
      <c r="M538" s="22">
        <f>IF(LEFT(C538,7)&lt;&gt;"Sprint_","",IF(COUNTIFS(Versuchsdaten!$A$2:$A$1117,$A538,Versuchsdaten!$B$2:$B$1117,$B538,Versuchsdaten!$C$2:$C$1117,"Sprint_30m",Versuchsdaten!$E$2:$E$1117,$E538,Versuchsdaten!$J$2:$J$1117,1)=1,SUMIFS(Versuchsdaten!$F$2:$F$1117,Versuchsdaten!$A$2:$A$1117,$A538,Versuchsdaten!$B$2:$B$1117,$B538,Versuchsdaten!$C$2:$C$1117,"Sprint_30m",Versuchsdaten!$E$2:$E$1117,$E538,Versuchsdaten!$J$2:$J$1117,1),""))</f>
        <v/>
      </c>
      <c r="N538" s="22">
        <f>IF(LEFT(C538,7)&lt;&gt;"Sprint_",0,IF(IF(ISNUMBER(K538),IF(K538&lt;=0,1,IF(5/K538&gt;10,1,0)),0)+IF(ISNUMBER(L538),IF(ISNUMBER(K538),IF(L538-K538&lt;=0,1,IF(5/(L538-K538)&gt;10,1,0)),IF(L538&lt;=0,1,IF(10/L538&gt;10,1,0))),0)+IF(ISNUMBER(M538),IF(ISNUMBER(L538),IF(M538-L538&lt;=0,1,IF(20/(M538-L538)&gt;10,1,0)),IF(ISNUMBER(K538),IF(M538-K538&lt;=0,1,IF(25/(M538-K538)&gt;10,1,0)),IF(M538&lt;=0,1,IF(30/M538&gt;10,1,0)))),0)&gt;0,1,0))</f>
        <v/>
      </c>
      <c r="O538" s="22">
        <f>IF(AND(J538=1,N538=0),1,0)</f>
        <v/>
      </c>
      <c r="P538" s="22">
        <f>INDEX(Personendaten!$J$2:$J$32,MATCH(A538,Personendaten!$A$2:$A$32,0))</f>
        <v/>
      </c>
      <c r="Q538" s="22">
        <f>IF(O538=1,"",IF(AND(B538="post",P538="nicht angetreten"),"NANG",IF(N538=1,"AUSL",IFERROR(VLOOKUP(H538,Vokabular!$A$2:$B$8,2,FALSE),"UNBEKANNT"))))</f>
        <v/>
      </c>
    </row>
    <row r="539">
      <c r="A539" s="5" t="inlineStr">
        <is>
          <t>VS-17</t>
        </is>
      </c>
      <c r="B539" s="5" t="inlineStr">
        <is>
          <t>prä</t>
        </is>
      </c>
      <c r="C539" s="5" t="inlineStr">
        <is>
          <t>COD_505</t>
        </is>
      </c>
      <c r="D539" s="5" t="inlineStr">
        <is>
          <t>R</t>
        </is>
      </c>
      <c r="E539" s="5" t="n">
        <v>1</v>
      </c>
      <c r="F539" s="5" t="n">
        <v>2.52</v>
      </c>
      <c r="G539" s="5" t="n"/>
      <c r="H539" s="5" t="n"/>
      <c r="I539" s="22">
        <f>INDEX(Personendaten!$C$2:$C$32,MATCH(A539,Personendaten!$A$2:$A$32,0))</f>
        <v/>
      </c>
      <c r="J539" s="22">
        <f>IF(AND(F539&lt;&gt;"",G539=""),1,0)</f>
        <v/>
      </c>
      <c r="K539" s="22">
        <f>IF(LEFT(C539,7)&lt;&gt;"Sprint_","",IF(COUNTIFS(Versuchsdaten!$A$2:$A$1117,$A539,Versuchsdaten!$B$2:$B$1117,$B539,Versuchsdaten!$C$2:$C$1117,"Sprint_5m",Versuchsdaten!$E$2:$E$1117,$E539,Versuchsdaten!$J$2:$J$1117,1)=1,SUMIFS(Versuchsdaten!$F$2:$F$1117,Versuchsdaten!$A$2:$A$1117,$A539,Versuchsdaten!$B$2:$B$1117,$B539,Versuchsdaten!$C$2:$C$1117,"Sprint_5m",Versuchsdaten!$E$2:$E$1117,$E539,Versuchsdaten!$J$2:$J$1117,1),""))</f>
        <v/>
      </c>
      <c r="L539" s="22">
        <f>IF(LEFT(C539,7)&lt;&gt;"Sprint_","",IF(COUNTIFS(Versuchsdaten!$A$2:$A$1117,$A539,Versuchsdaten!$B$2:$B$1117,$B539,Versuchsdaten!$C$2:$C$1117,"Sprint_10m",Versuchsdaten!$E$2:$E$1117,$E539,Versuchsdaten!$J$2:$J$1117,1)=1,SUMIFS(Versuchsdaten!$F$2:$F$1117,Versuchsdaten!$A$2:$A$1117,$A539,Versuchsdaten!$B$2:$B$1117,$B539,Versuchsdaten!$C$2:$C$1117,"Sprint_10m",Versuchsdaten!$E$2:$E$1117,$E539,Versuchsdaten!$J$2:$J$1117,1),""))</f>
        <v/>
      </c>
      <c r="M539" s="22">
        <f>IF(LEFT(C539,7)&lt;&gt;"Sprint_","",IF(COUNTIFS(Versuchsdaten!$A$2:$A$1117,$A539,Versuchsdaten!$B$2:$B$1117,$B539,Versuchsdaten!$C$2:$C$1117,"Sprint_30m",Versuchsdaten!$E$2:$E$1117,$E539,Versuchsdaten!$J$2:$J$1117,1)=1,SUMIFS(Versuchsdaten!$F$2:$F$1117,Versuchsdaten!$A$2:$A$1117,$A539,Versuchsdaten!$B$2:$B$1117,$B539,Versuchsdaten!$C$2:$C$1117,"Sprint_30m",Versuchsdaten!$E$2:$E$1117,$E539,Versuchsdaten!$J$2:$J$1117,1),""))</f>
        <v/>
      </c>
      <c r="N539" s="22">
        <f>IF(LEFT(C539,7)&lt;&gt;"Sprint_",0,IF(IF(ISNUMBER(K539),IF(K539&lt;=0,1,IF(5/K539&gt;10,1,0)),0)+IF(ISNUMBER(L539),IF(ISNUMBER(K539),IF(L539-K539&lt;=0,1,IF(5/(L539-K539)&gt;10,1,0)),IF(L539&lt;=0,1,IF(10/L539&gt;10,1,0))),0)+IF(ISNUMBER(M539),IF(ISNUMBER(L539),IF(M539-L539&lt;=0,1,IF(20/(M539-L539)&gt;10,1,0)),IF(ISNUMBER(K539),IF(M539-K539&lt;=0,1,IF(25/(M539-K539)&gt;10,1,0)),IF(M539&lt;=0,1,IF(30/M539&gt;10,1,0)))),0)&gt;0,1,0))</f>
        <v/>
      </c>
      <c r="O539" s="22">
        <f>IF(AND(J539=1,N539=0),1,0)</f>
        <v/>
      </c>
      <c r="P539" s="22">
        <f>INDEX(Personendaten!$J$2:$J$32,MATCH(A539,Personendaten!$A$2:$A$32,0))</f>
        <v/>
      </c>
      <c r="Q539" s="22">
        <f>IF(O539=1,"",IF(AND(B539="post",P539="nicht angetreten"),"NANG",IF(N539=1,"AUSL",IFERROR(VLOOKUP(H539,Vokabular!$A$2:$B$8,2,FALSE),"UNBEKANNT"))))</f>
        <v/>
      </c>
    </row>
    <row r="540">
      <c r="A540" s="5" t="inlineStr">
        <is>
          <t>VS-17</t>
        </is>
      </c>
      <c r="B540" s="5" t="inlineStr">
        <is>
          <t>prä</t>
        </is>
      </c>
      <c r="C540" s="5" t="inlineStr">
        <is>
          <t>COD_505</t>
        </is>
      </c>
      <c r="D540" s="5" t="inlineStr">
        <is>
          <t>R</t>
        </is>
      </c>
      <c r="E540" s="5" t="n">
        <v>2</v>
      </c>
      <c r="F540" s="5" t="n">
        <v>2.48</v>
      </c>
      <c r="G540" s="5" t="n"/>
      <c r="H540" s="5" t="n"/>
      <c r="I540" s="22">
        <f>INDEX(Personendaten!$C$2:$C$32,MATCH(A540,Personendaten!$A$2:$A$32,0))</f>
        <v/>
      </c>
      <c r="J540" s="22">
        <f>IF(AND(F540&lt;&gt;"",G540=""),1,0)</f>
        <v/>
      </c>
      <c r="K540" s="22">
        <f>IF(LEFT(C540,7)&lt;&gt;"Sprint_","",IF(COUNTIFS(Versuchsdaten!$A$2:$A$1117,$A540,Versuchsdaten!$B$2:$B$1117,$B540,Versuchsdaten!$C$2:$C$1117,"Sprint_5m",Versuchsdaten!$E$2:$E$1117,$E540,Versuchsdaten!$J$2:$J$1117,1)=1,SUMIFS(Versuchsdaten!$F$2:$F$1117,Versuchsdaten!$A$2:$A$1117,$A540,Versuchsdaten!$B$2:$B$1117,$B540,Versuchsdaten!$C$2:$C$1117,"Sprint_5m",Versuchsdaten!$E$2:$E$1117,$E540,Versuchsdaten!$J$2:$J$1117,1),""))</f>
        <v/>
      </c>
      <c r="L540" s="22">
        <f>IF(LEFT(C540,7)&lt;&gt;"Sprint_","",IF(COUNTIFS(Versuchsdaten!$A$2:$A$1117,$A540,Versuchsdaten!$B$2:$B$1117,$B540,Versuchsdaten!$C$2:$C$1117,"Sprint_10m",Versuchsdaten!$E$2:$E$1117,$E540,Versuchsdaten!$J$2:$J$1117,1)=1,SUMIFS(Versuchsdaten!$F$2:$F$1117,Versuchsdaten!$A$2:$A$1117,$A540,Versuchsdaten!$B$2:$B$1117,$B540,Versuchsdaten!$C$2:$C$1117,"Sprint_10m",Versuchsdaten!$E$2:$E$1117,$E540,Versuchsdaten!$J$2:$J$1117,1),""))</f>
        <v/>
      </c>
      <c r="M540" s="22">
        <f>IF(LEFT(C540,7)&lt;&gt;"Sprint_","",IF(COUNTIFS(Versuchsdaten!$A$2:$A$1117,$A540,Versuchsdaten!$B$2:$B$1117,$B540,Versuchsdaten!$C$2:$C$1117,"Sprint_30m",Versuchsdaten!$E$2:$E$1117,$E540,Versuchsdaten!$J$2:$J$1117,1)=1,SUMIFS(Versuchsdaten!$F$2:$F$1117,Versuchsdaten!$A$2:$A$1117,$A540,Versuchsdaten!$B$2:$B$1117,$B540,Versuchsdaten!$C$2:$C$1117,"Sprint_30m",Versuchsdaten!$E$2:$E$1117,$E540,Versuchsdaten!$J$2:$J$1117,1),""))</f>
        <v/>
      </c>
      <c r="N540" s="22">
        <f>IF(LEFT(C540,7)&lt;&gt;"Sprint_",0,IF(IF(ISNUMBER(K540),IF(K540&lt;=0,1,IF(5/K540&gt;10,1,0)),0)+IF(ISNUMBER(L540),IF(ISNUMBER(K540),IF(L540-K540&lt;=0,1,IF(5/(L540-K540)&gt;10,1,0)),IF(L540&lt;=0,1,IF(10/L540&gt;10,1,0))),0)+IF(ISNUMBER(M540),IF(ISNUMBER(L540),IF(M540-L540&lt;=0,1,IF(20/(M540-L540)&gt;10,1,0)),IF(ISNUMBER(K540),IF(M540-K540&lt;=0,1,IF(25/(M540-K540)&gt;10,1,0)),IF(M540&lt;=0,1,IF(30/M540&gt;10,1,0)))),0)&gt;0,1,0))</f>
        <v/>
      </c>
      <c r="O540" s="22">
        <f>IF(AND(J540=1,N540=0),1,0)</f>
        <v/>
      </c>
      <c r="P540" s="22">
        <f>INDEX(Personendaten!$J$2:$J$32,MATCH(A540,Personendaten!$A$2:$A$32,0))</f>
        <v/>
      </c>
      <c r="Q540" s="22">
        <f>IF(O540=1,"",IF(AND(B540="post",P540="nicht angetreten"),"NANG",IF(N540=1,"AUSL",IFERROR(VLOOKUP(H540,Vokabular!$A$2:$B$8,2,FALSE),"UNBEKANNT"))))</f>
        <v/>
      </c>
    </row>
    <row r="541">
      <c r="A541" s="5" t="inlineStr">
        <is>
          <t>VS-17</t>
        </is>
      </c>
      <c r="B541" s="5" t="inlineStr">
        <is>
          <t>prä</t>
        </is>
      </c>
      <c r="C541" s="5" t="inlineStr">
        <is>
          <t>COD_505</t>
        </is>
      </c>
      <c r="D541" s="5" t="inlineStr">
        <is>
          <t>R</t>
        </is>
      </c>
      <c r="E541" s="5" t="n">
        <v>3</v>
      </c>
      <c r="F541" s="5" t="n"/>
      <c r="G541" s="5" t="n"/>
      <c r="H541" s="5" t="inlineStr">
        <is>
          <t>Nur 2 Versuche aus Zeitmangel</t>
        </is>
      </c>
      <c r="I541" s="22">
        <f>INDEX(Personendaten!$C$2:$C$32,MATCH(A541,Personendaten!$A$2:$A$32,0))</f>
        <v/>
      </c>
      <c r="J541" s="22">
        <f>IF(AND(F541&lt;&gt;"",G541=""),1,0)</f>
        <v/>
      </c>
      <c r="K541" s="22">
        <f>IF(LEFT(C541,7)&lt;&gt;"Sprint_","",IF(COUNTIFS(Versuchsdaten!$A$2:$A$1117,$A541,Versuchsdaten!$B$2:$B$1117,$B541,Versuchsdaten!$C$2:$C$1117,"Sprint_5m",Versuchsdaten!$E$2:$E$1117,$E541,Versuchsdaten!$J$2:$J$1117,1)=1,SUMIFS(Versuchsdaten!$F$2:$F$1117,Versuchsdaten!$A$2:$A$1117,$A541,Versuchsdaten!$B$2:$B$1117,$B541,Versuchsdaten!$C$2:$C$1117,"Sprint_5m",Versuchsdaten!$E$2:$E$1117,$E541,Versuchsdaten!$J$2:$J$1117,1),""))</f>
        <v/>
      </c>
      <c r="L541" s="22">
        <f>IF(LEFT(C541,7)&lt;&gt;"Sprint_","",IF(COUNTIFS(Versuchsdaten!$A$2:$A$1117,$A541,Versuchsdaten!$B$2:$B$1117,$B541,Versuchsdaten!$C$2:$C$1117,"Sprint_10m",Versuchsdaten!$E$2:$E$1117,$E541,Versuchsdaten!$J$2:$J$1117,1)=1,SUMIFS(Versuchsdaten!$F$2:$F$1117,Versuchsdaten!$A$2:$A$1117,$A541,Versuchsdaten!$B$2:$B$1117,$B541,Versuchsdaten!$C$2:$C$1117,"Sprint_10m",Versuchsdaten!$E$2:$E$1117,$E541,Versuchsdaten!$J$2:$J$1117,1),""))</f>
        <v/>
      </c>
      <c r="M541" s="22">
        <f>IF(LEFT(C541,7)&lt;&gt;"Sprint_","",IF(COUNTIFS(Versuchsdaten!$A$2:$A$1117,$A541,Versuchsdaten!$B$2:$B$1117,$B541,Versuchsdaten!$C$2:$C$1117,"Sprint_30m",Versuchsdaten!$E$2:$E$1117,$E541,Versuchsdaten!$J$2:$J$1117,1)=1,SUMIFS(Versuchsdaten!$F$2:$F$1117,Versuchsdaten!$A$2:$A$1117,$A541,Versuchsdaten!$B$2:$B$1117,$B541,Versuchsdaten!$C$2:$C$1117,"Sprint_30m",Versuchsdaten!$E$2:$E$1117,$E541,Versuchsdaten!$J$2:$J$1117,1),""))</f>
        <v/>
      </c>
      <c r="N541" s="22">
        <f>IF(LEFT(C541,7)&lt;&gt;"Sprint_",0,IF(IF(ISNUMBER(K541),IF(K541&lt;=0,1,IF(5/K541&gt;10,1,0)),0)+IF(ISNUMBER(L541),IF(ISNUMBER(K541),IF(L541-K541&lt;=0,1,IF(5/(L541-K541)&gt;10,1,0)),IF(L541&lt;=0,1,IF(10/L541&gt;10,1,0))),0)+IF(ISNUMBER(M541),IF(ISNUMBER(L541),IF(M541-L541&lt;=0,1,IF(20/(M541-L541)&gt;10,1,0)),IF(ISNUMBER(K541),IF(M541-K541&lt;=0,1,IF(25/(M541-K541)&gt;10,1,0)),IF(M541&lt;=0,1,IF(30/M541&gt;10,1,0)))),0)&gt;0,1,0))</f>
        <v/>
      </c>
      <c r="O541" s="22">
        <f>IF(AND(J541=1,N541=0),1,0)</f>
        <v/>
      </c>
      <c r="P541" s="22">
        <f>INDEX(Personendaten!$J$2:$J$32,MATCH(A541,Personendaten!$A$2:$A$32,0))</f>
        <v/>
      </c>
      <c r="Q541" s="22">
        <f>IF(O541=1,"",IF(AND(B541="post",P541="nicht angetreten"),"NANG",IF(N541=1,"AUSL",IFERROR(VLOOKUP(H541,Vokabular!$A$2:$B$8,2,FALSE),"UNBEKANNT"))))</f>
        <v/>
      </c>
    </row>
    <row r="542">
      <c r="A542" s="5" t="inlineStr">
        <is>
          <t>VS-18</t>
        </is>
      </c>
      <c r="B542" s="5" t="inlineStr">
        <is>
          <t>prä</t>
        </is>
      </c>
      <c r="C542" s="5" t="inlineStr">
        <is>
          <t>Sprint_5m</t>
        </is>
      </c>
      <c r="D542" s="5" t="inlineStr">
        <is>
          <t>–</t>
        </is>
      </c>
      <c r="E542" s="5" t="n">
        <v>1</v>
      </c>
      <c r="F542" s="5" t="n"/>
      <c r="G542" s="5" t="n"/>
      <c r="H542" s="5" t="inlineStr">
        <is>
          <t>System nicht aufgenommen</t>
        </is>
      </c>
      <c r="I542" s="22">
        <f>INDEX(Personendaten!$C$2:$C$32,MATCH(A542,Personendaten!$A$2:$A$32,0))</f>
        <v/>
      </c>
      <c r="J542" s="22">
        <f>IF(AND(F542&lt;&gt;"",G542=""),1,0)</f>
        <v/>
      </c>
      <c r="K542" s="22">
        <f>IF(LEFT(C542,7)&lt;&gt;"Sprint_","",IF(COUNTIFS(Versuchsdaten!$A$2:$A$1117,$A542,Versuchsdaten!$B$2:$B$1117,$B542,Versuchsdaten!$C$2:$C$1117,"Sprint_5m",Versuchsdaten!$E$2:$E$1117,$E542,Versuchsdaten!$J$2:$J$1117,1)=1,SUMIFS(Versuchsdaten!$F$2:$F$1117,Versuchsdaten!$A$2:$A$1117,$A542,Versuchsdaten!$B$2:$B$1117,$B542,Versuchsdaten!$C$2:$C$1117,"Sprint_5m",Versuchsdaten!$E$2:$E$1117,$E542,Versuchsdaten!$J$2:$J$1117,1),""))</f>
        <v/>
      </c>
      <c r="L542" s="22">
        <f>IF(LEFT(C542,7)&lt;&gt;"Sprint_","",IF(COUNTIFS(Versuchsdaten!$A$2:$A$1117,$A542,Versuchsdaten!$B$2:$B$1117,$B542,Versuchsdaten!$C$2:$C$1117,"Sprint_10m",Versuchsdaten!$E$2:$E$1117,$E542,Versuchsdaten!$J$2:$J$1117,1)=1,SUMIFS(Versuchsdaten!$F$2:$F$1117,Versuchsdaten!$A$2:$A$1117,$A542,Versuchsdaten!$B$2:$B$1117,$B542,Versuchsdaten!$C$2:$C$1117,"Sprint_10m",Versuchsdaten!$E$2:$E$1117,$E542,Versuchsdaten!$J$2:$J$1117,1),""))</f>
        <v/>
      </c>
      <c r="M542" s="22">
        <f>IF(LEFT(C542,7)&lt;&gt;"Sprint_","",IF(COUNTIFS(Versuchsdaten!$A$2:$A$1117,$A542,Versuchsdaten!$B$2:$B$1117,$B542,Versuchsdaten!$C$2:$C$1117,"Sprint_30m",Versuchsdaten!$E$2:$E$1117,$E542,Versuchsdaten!$J$2:$J$1117,1)=1,SUMIFS(Versuchsdaten!$F$2:$F$1117,Versuchsdaten!$A$2:$A$1117,$A542,Versuchsdaten!$B$2:$B$1117,$B542,Versuchsdaten!$C$2:$C$1117,"Sprint_30m",Versuchsdaten!$E$2:$E$1117,$E542,Versuchsdaten!$J$2:$J$1117,1),""))</f>
        <v/>
      </c>
      <c r="N542" s="22">
        <f>IF(LEFT(C542,7)&lt;&gt;"Sprint_",0,IF(IF(ISNUMBER(K542),IF(K542&lt;=0,1,IF(5/K542&gt;10,1,0)),0)+IF(ISNUMBER(L542),IF(ISNUMBER(K542),IF(L542-K542&lt;=0,1,IF(5/(L542-K542)&gt;10,1,0)),IF(L542&lt;=0,1,IF(10/L542&gt;10,1,0))),0)+IF(ISNUMBER(M542),IF(ISNUMBER(L542),IF(M542-L542&lt;=0,1,IF(20/(M542-L542)&gt;10,1,0)),IF(ISNUMBER(K542),IF(M542-K542&lt;=0,1,IF(25/(M542-K542)&gt;10,1,0)),IF(M542&lt;=0,1,IF(30/M542&gt;10,1,0)))),0)&gt;0,1,0))</f>
        <v/>
      </c>
      <c r="O542" s="22">
        <f>IF(AND(J542=1,N542=0),1,0)</f>
        <v/>
      </c>
      <c r="P542" s="22">
        <f>INDEX(Personendaten!$J$2:$J$32,MATCH(A542,Personendaten!$A$2:$A$32,0))</f>
        <v/>
      </c>
      <c r="Q542" s="22">
        <f>IF(O542=1,"",IF(AND(B542="post",P542="nicht angetreten"),"NANG",IF(N542=1,"AUSL",IFERROR(VLOOKUP(H542,Vokabular!$A$2:$B$8,2,FALSE),"UNBEKANNT"))))</f>
        <v/>
      </c>
    </row>
    <row r="543">
      <c r="A543" s="5" t="inlineStr">
        <is>
          <t>VS-18</t>
        </is>
      </c>
      <c r="B543" s="5" t="inlineStr">
        <is>
          <t>prä</t>
        </is>
      </c>
      <c r="C543" s="5" t="inlineStr">
        <is>
          <t>Sprint_5m</t>
        </is>
      </c>
      <c r="D543" s="5" t="inlineStr">
        <is>
          <t>–</t>
        </is>
      </c>
      <c r="E543" s="5" t="n">
        <v>2</v>
      </c>
      <c r="F543" s="5" t="n"/>
      <c r="G543" s="5" t="n"/>
      <c r="H543" s="5" t="inlineStr">
        <is>
          <t>System nicht aufgenommen</t>
        </is>
      </c>
      <c r="I543" s="22">
        <f>INDEX(Personendaten!$C$2:$C$32,MATCH(A543,Personendaten!$A$2:$A$32,0))</f>
        <v/>
      </c>
      <c r="J543" s="22">
        <f>IF(AND(F543&lt;&gt;"",G543=""),1,0)</f>
        <v/>
      </c>
      <c r="K543" s="22">
        <f>IF(LEFT(C543,7)&lt;&gt;"Sprint_","",IF(COUNTIFS(Versuchsdaten!$A$2:$A$1117,$A543,Versuchsdaten!$B$2:$B$1117,$B543,Versuchsdaten!$C$2:$C$1117,"Sprint_5m",Versuchsdaten!$E$2:$E$1117,$E543,Versuchsdaten!$J$2:$J$1117,1)=1,SUMIFS(Versuchsdaten!$F$2:$F$1117,Versuchsdaten!$A$2:$A$1117,$A543,Versuchsdaten!$B$2:$B$1117,$B543,Versuchsdaten!$C$2:$C$1117,"Sprint_5m",Versuchsdaten!$E$2:$E$1117,$E543,Versuchsdaten!$J$2:$J$1117,1),""))</f>
        <v/>
      </c>
      <c r="L543" s="22">
        <f>IF(LEFT(C543,7)&lt;&gt;"Sprint_","",IF(COUNTIFS(Versuchsdaten!$A$2:$A$1117,$A543,Versuchsdaten!$B$2:$B$1117,$B543,Versuchsdaten!$C$2:$C$1117,"Sprint_10m",Versuchsdaten!$E$2:$E$1117,$E543,Versuchsdaten!$J$2:$J$1117,1)=1,SUMIFS(Versuchsdaten!$F$2:$F$1117,Versuchsdaten!$A$2:$A$1117,$A543,Versuchsdaten!$B$2:$B$1117,$B543,Versuchsdaten!$C$2:$C$1117,"Sprint_10m",Versuchsdaten!$E$2:$E$1117,$E543,Versuchsdaten!$J$2:$J$1117,1),""))</f>
        <v/>
      </c>
      <c r="M543" s="22">
        <f>IF(LEFT(C543,7)&lt;&gt;"Sprint_","",IF(COUNTIFS(Versuchsdaten!$A$2:$A$1117,$A543,Versuchsdaten!$B$2:$B$1117,$B543,Versuchsdaten!$C$2:$C$1117,"Sprint_30m",Versuchsdaten!$E$2:$E$1117,$E543,Versuchsdaten!$J$2:$J$1117,1)=1,SUMIFS(Versuchsdaten!$F$2:$F$1117,Versuchsdaten!$A$2:$A$1117,$A543,Versuchsdaten!$B$2:$B$1117,$B543,Versuchsdaten!$C$2:$C$1117,"Sprint_30m",Versuchsdaten!$E$2:$E$1117,$E543,Versuchsdaten!$J$2:$J$1117,1),""))</f>
        <v/>
      </c>
      <c r="N543" s="22">
        <f>IF(LEFT(C543,7)&lt;&gt;"Sprint_",0,IF(IF(ISNUMBER(K543),IF(K543&lt;=0,1,IF(5/K543&gt;10,1,0)),0)+IF(ISNUMBER(L543),IF(ISNUMBER(K543),IF(L543-K543&lt;=0,1,IF(5/(L543-K543)&gt;10,1,0)),IF(L543&lt;=0,1,IF(10/L543&gt;10,1,0))),0)+IF(ISNUMBER(M543),IF(ISNUMBER(L543),IF(M543-L543&lt;=0,1,IF(20/(M543-L543)&gt;10,1,0)),IF(ISNUMBER(K543),IF(M543-K543&lt;=0,1,IF(25/(M543-K543)&gt;10,1,0)),IF(M543&lt;=0,1,IF(30/M543&gt;10,1,0)))),0)&gt;0,1,0))</f>
        <v/>
      </c>
      <c r="O543" s="22">
        <f>IF(AND(J543=1,N543=0),1,0)</f>
        <v/>
      </c>
      <c r="P543" s="22">
        <f>INDEX(Personendaten!$J$2:$J$32,MATCH(A543,Personendaten!$A$2:$A$32,0))</f>
        <v/>
      </c>
      <c r="Q543" s="22">
        <f>IF(O543=1,"",IF(AND(B543="post",P543="nicht angetreten"),"NANG",IF(N543=1,"AUSL",IFERROR(VLOOKUP(H543,Vokabular!$A$2:$B$8,2,FALSE),"UNBEKANNT"))))</f>
        <v/>
      </c>
    </row>
    <row r="544">
      <c r="A544" s="5" t="inlineStr">
        <is>
          <t>VS-18</t>
        </is>
      </c>
      <c r="B544" s="5" t="inlineStr">
        <is>
          <t>prä</t>
        </is>
      </c>
      <c r="C544" s="5" t="inlineStr">
        <is>
          <t>Sprint_5m</t>
        </is>
      </c>
      <c r="D544" s="5" t="inlineStr">
        <is>
          <t>–</t>
        </is>
      </c>
      <c r="E544" s="5" t="n">
        <v>3</v>
      </c>
      <c r="F544" s="5" t="n"/>
      <c r="G544" s="5" t="n"/>
      <c r="H544" s="5" t="inlineStr">
        <is>
          <t>System nicht aufgenommen</t>
        </is>
      </c>
      <c r="I544" s="22">
        <f>INDEX(Personendaten!$C$2:$C$32,MATCH(A544,Personendaten!$A$2:$A$32,0))</f>
        <v/>
      </c>
      <c r="J544" s="22">
        <f>IF(AND(F544&lt;&gt;"",G544=""),1,0)</f>
        <v/>
      </c>
      <c r="K544" s="22">
        <f>IF(LEFT(C544,7)&lt;&gt;"Sprint_","",IF(COUNTIFS(Versuchsdaten!$A$2:$A$1117,$A544,Versuchsdaten!$B$2:$B$1117,$B544,Versuchsdaten!$C$2:$C$1117,"Sprint_5m",Versuchsdaten!$E$2:$E$1117,$E544,Versuchsdaten!$J$2:$J$1117,1)=1,SUMIFS(Versuchsdaten!$F$2:$F$1117,Versuchsdaten!$A$2:$A$1117,$A544,Versuchsdaten!$B$2:$B$1117,$B544,Versuchsdaten!$C$2:$C$1117,"Sprint_5m",Versuchsdaten!$E$2:$E$1117,$E544,Versuchsdaten!$J$2:$J$1117,1),""))</f>
        <v/>
      </c>
      <c r="L544" s="22">
        <f>IF(LEFT(C544,7)&lt;&gt;"Sprint_","",IF(COUNTIFS(Versuchsdaten!$A$2:$A$1117,$A544,Versuchsdaten!$B$2:$B$1117,$B544,Versuchsdaten!$C$2:$C$1117,"Sprint_10m",Versuchsdaten!$E$2:$E$1117,$E544,Versuchsdaten!$J$2:$J$1117,1)=1,SUMIFS(Versuchsdaten!$F$2:$F$1117,Versuchsdaten!$A$2:$A$1117,$A544,Versuchsdaten!$B$2:$B$1117,$B544,Versuchsdaten!$C$2:$C$1117,"Sprint_10m",Versuchsdaten!$E$2:$E$1117,$E544,Versuchsdaten!$J$2:$J$1117,1),""))</f>
        <v/>
      </c>
      <c r="M544" s="22">
        <f>IF(LEFT(C544,7)&lt;&gt;"Sprint_","",IF(COUNTIFS(Versuchsdaten!$A$2:$A$1117,$A544,Versuchsdaten!$B$2:$B$1117,$B544,Versuchsdaten!$C$2:$C$1117,"Sprint_30m",Versuchsdaten!$E$2:$E$1117,$E544,Versuchsdaten!$J$2:$J$1117,1)=1,SUMIFS(Versuchsdaten!$F$2:$F$1117,Versuchsdaten!$A$2:$A$1117,$A544,Versuchsdaten!$B$2:$B$1117,$B544,Versuchsdaten!$C$2:$C$1117,"Sprint_30m",Versuchsdaten!$E$2:$E$1117,$E544,Versuchsdaten!$J$2:$J$1117,1),""))</f>
        <v/>
      </c>
      <c r="N544" s="22">
        <f>IF(LEFT(C544,7)&lt;&gt;"Sprint_",0,IF(IF(ISNUMBER(K544),IF(K544&lt;=0,1,IF(5/K544&gt;10,1,0)),0)+IF(ISNUMBER(L544),IF(ISNUMBER(K544),IF(L544-K544&lt;=0,1,IF(5/(L544-K544)&gt;10,1,0)),IF(L544&lt;=0,1,IF(10/L544&gt;10,1,0))),0)+IF(ISNUMBER(M544),IF(ISNUMBER(L544),IF(M544-L544&lt;=0,1,IF(20/(M544-L544)&gt;10,1,0)),IF(ISNUMBER(K544),IF(M544-K544&lt;=0,1,IF(25/(M544-K544)&gt;10,1,0)),IF(M544&lt;=0,1,IF(30/M544&gt;10,1,0)))),0)&gt;0,1,0))</f>
        <v/>
      </c>
      <c r="O544" s="22">
        <f>IF(AND(J544=1,N544=0),1,0)</f>
        <v/>
      </c>
      <c r="P544" s="22">
        <f>INDEX(Personendaten!$J$2:$J$32,MATCH(A544,Personendaten!$A$2:$A$32,0))</f>
        <v/>
      </c>
      <c r="Q544" s="22">
        <f>IF(O544=1,"",IF(AND(B544="post",P544="nicht angetreten"),"NANG",IF(N544=1,"AUSL",IFERROR(VLOOKUP(H544,Vokabular!$A$2:$B$8,2,FALSE),"UNBEKANNT"))))</f>
        <v/>
      </c>
    </row>
    <row r="545">
      <c r="A545" s="5" t="inlineStr">
        <is>
          <t>VS-18</t>
        </is>
      </c>
      <c r="B545" s="5" t="inlineStr">
        <is>
          <t>prä</t>
        </is>
      </c>
      <c r="C545" s="5" t="inlineStr">
        <is>
          <t>Sprint_10m</t>
        </is>
      </c>
      <c r="D545" s="5" t="inlineStr">
        <is>
          <t>–</t>
        </is>
      </c>
      <c r="E545" s="5" t="n">
        <v>1</v>
      </c>
      <c r="F545" s="5" t="n"/>
      <c r="G545" s="5" t="n"/>
      <c r="H545" s="5" t="inlineStr">
        <is>
          <t>System nicht aufgenommen</t>
        </is>
      </c>
      <c r="I545" s="22">
        <f>INDEX(Personendaten!$C$2:$C$32,MATCH(A545,Personendaten!$A$2:$A$32,0))</f>
        <v/>
      </c>
      <c r="J545" s="22">
        <f>IF(AND(F545&lt;&gt;"",G545=""),1,0)</f>
        <v/>
      </c>
      <c r="K545" s="22">
        <f>IF(LEFT(C545,7)&lt;&gt;"Sprint_","",IF(COUNTIFS(Versuchsdaten!$A$2:$A$1117,$A545,Versuchsdaten!$B$2:$B$1117,$B545,Versuchsdaten!$C$2:$C$1117,"Sprint_5m",Versuchsdaten!$E$2:$E$1117,$E545,Versuchsdaten!$J$2:$J$1117,1)=1,SUMIFS(Versuchsdaten!$F$2:$F$1117,Versuchsdaten!$A$2:$A$1117,$A545,Versuchsdaten!$B$2:$B$1117,$B545,Versuchsdaten!$C$2:$C$1117,"Sprint_5m",Versuchsdaten!$E$2:$E$1117,$E545,Versuchsdaten!$J$2:$J$1117,1),""))</f>
        <v/>
      </c>
      <c r="L545" s="22">
        <f>IF(LEFT(C545,7)&lt;&gt;"Sprint_","",IF(COUNTIFS(Versuchsdaten!$A$2:$A$1117,$A545,Versuchsdaten!$B$2:$B$1117,$B545,Versuchsdaten!$C$2:$C$1117,"Sprint_10m",Versuchsdaten!$E$2:$E$1117,$E545,Versuchsdaten!$J$2:$J$1117,1)=1,SUMIFS(Versuchsdaten!$F$2:$F$1117,Versuchsdaten!$A$2:$A$1117,$A545,Versuchsdaten!$B$2:$B$1117,$B545,Versuchsdaten!$C$2:$C$1117,"Sprint_10m",Versuchsdaten!$E$2:$E$1117,$E545,Versuchsdaten!$J$2:$J$1117,1),""))</f>
        <v/>
      </c>
      <c r="M545" s="22">
        <f>IF(LEFT(C545,7)&lt;&gt;"Sprint_","",IF(COUNTIFS(Versuchsdaten!$A$2:$A$1117,$A545,Versuchsdaten!$B$2:$B$1117,$B545,Versuchsdaten!$C$2:$C$1117,"Sprint_30m",Versuchsdaten!$E$2:$E$1117,$E545,Versuchsdaten!$J$2:$J$1117,1)=1,SUMIFS(Versuchsdaten!$F$2:$F$1117,Versuchsdaten!$A$2:$A$1117,$A545,Versuchsdaten!$B$2:$B$1117,$B545,Versuchsdaten!$C$2:$C$1117,"Sprint_30m",Versuchsdaten!$E$2:$E$1117,$E545,Versuchsdaten!$J$2:$J$1117,1),""))</f>
        <v/>
      </c>
      <c r="N545" s="22">
        <f>IF(LEFT(C545,7)&lt;&gt;"Sprint_",0,IF(IF(ISNUMBER(K545),IF(K545&lt;=0,1,IF(5/K545&gt;10,1,0)),0)+IF(ISNUMBER(L545),IF(ISNUMBER(K545),IF(L545-K545&lt;=0,1,IF(5/(L545-K545)&gt;10,1,0)),IF(L545&lt;=0,1,IF(10/L545&gt;10,1,0))),0)+IF(ISNUMBER(M545),IF(ISNUMBER(L545),IF(M545-L545&lt;=0,1,IF(20/(M545-L545)&gt;10,1,0)),IF(ISNUMBER(K545),IF(M545-K545&lt;=0,1,IF(25/(M545-K545)&gt;10,1,0)),IF(M545&lt;=0,1,IF(30/M545&gt;10,1,0)))),0)&gt;0,1,0))</f>
        <v/>
      </c>
      <c r="O545" s="22">
        <f>IF(AND(J545=1,N545=0),1,0)</f>
        <v/>
      </c>
      <c r="P545" s="22">
        <f>INDEX(Personendaten!$J$2:$J$32,MATCH(A545,Personendaten!$A$2:$A$32,0))</f>
        <v/>
      </c>
      <c r="Q545" s="22">
        <f>IF(O545=1,"",IF(AND(B545="post",P545="nicht angetreten"),"NANG",IF(N545=1,"AUSL",IFERROR(VLOOKUP(H545,Vokabular!$A$2:$B$8,2,FALSE),"UNBEKANNT"))))</f>
        <v/>
      </c>
    </row>
    <row r="546">
      <c r="A546" s="5" t="inlineStr">
        <is>
          <t>VS-18</t>
        </is>
      </c>
      <c r="B546" s="5" t="inlineStr">
        <is>
          <t>prä</t>
        </is>
      </c>
      <c r="C546" s="5" t="inlineStr">
        <is>
          <t>Sprint_10m</t>
        </is>
      </c>
      <c r="D546" s="5" t="inlineStr">
        <is>
          <t>–</t>
        </is>
      </c>
      <c r="E546" s="5" t="n">
        <v>2</v>
      </c>
      <c r="F546" s="5" t="n">
        <v>2.05</v>
      </c>
      <c r="G546" s="5" t="n"/>
      <c r="H546" s="5" t="n"/>
      <c r="I546" s="22">
        <f>INDEX(Personendaten!$C$2:$C$32,MATCH(A546,Personendaten!$A$2:$A$32,0))</f>
        <v/>
      </c>
      <c r="J546" s="22">
        <f>IF(AND(F546&lt;&gt;"",G546=""),1,0)</f>
        <v/>
      </c>
      <c r="K546" s="22">
        <f>IF(LEFT(C546,7)&lt;&gt;"Sprint_","",IF(COUNTIFS(Versuchsdaten!$A$2:$A$1117,$A546,Versuchsdaten!$B$2:$B$1117,$B546,Versuchsdaten!$C$2:$C$1117,"Sprint_5m",Versuchsdaten!$E$2:$E$1117,$E546,Versuchsdaten!$J$2:$J$1117,1)=1,SUMIFS(Versuchsdaten!$F$2:$F$1117,Versuchsdaten!$A$2:$A$1117,$A546,Versuchsdaten!$B$2:$B$1117,$B546,Versuchsdaten!$C$2:$C$1117,"Sprint_5m",Versuchsdaten!$E$2:$E$1117,$E546,Versuchsdaten!$J$2:$J$1117,1),""))</f>
        <v/>
      </c>
      <c r="L546" s="22">
        <f>IF(LEFT(C546,7)&lt;&gt;"Sprint_","",IF(COUNTIFS(Versuchsdaten!$A$2:$A$1117,$A546,Versuchsdaten!$B$2:$B$1117,$B546,Versuchsdaten!$C$2:$C$1117,"Sprint_10m",Versuchsdaten!$E$2:$E$1117,$E546,Versuchsdaten!$J$2:$J$1117,1)=1,SUMIFS(Versuchsdaten!$F$2:$F$1117,Versuchsdaten!$A$2:$A$1117,$A546,Versuchsdaten!$B$2:$B$1117,$B546,Versuchsdaten!$C$2:$C$1117,"Sprint_10m",Versuchsdaten!$E$2:$E$1117,$E546,Versuchsdaten!$J$2:$J$1117,1),""))</f>
        <v/>
      </c>
      <c r="M546" s="22">
        <f>IF(LEFT(C546,7)&lt;&gt;"Sprint_","",IF(COUNTIFS(Versuchsdaten!$A$2:$A$1117,$A546,Versuchsdaten!$B$2:$B$1117,$B546,Versuchsdaten!$C$2:$C$1117,"Sprint_30m",Versuchsdaten!$E$2:$E$1117,$E546,Versuchsdaten!$J$2:$J$1117,1)=1,SUMIFS(Versuchsdaten!$F$2:$F$1117,Versuchsdaten!$A$2:$A$1117,$A546,Versuchsdaten!$B$2:$B$1117,$B546,Versuchsdaten!$C$2:$C$1117,"Sprint_30m",Versuchsdaten!$E$2:$E$1117,$E546,Versuchsdaten!$J$2:$J$1117,1),""))</f>
        <v/>
      </c>
      <c r="N546" s="22">
        <f>IF(LEFT(C546,7)&lt;&gt;"Sprint_",0,IF(IF(ISNUMBER(K546),IF(K546&lt;=0,1,IF(5/K546&gt;10,1,0)),0)+IF(ISNUMBER(L546),IF(ISNUMBER(K546),IF(L546-K546&lt;=0,1,IF(5/(L546-K546)&gt;10,1,0)),IF(L546&lt;=0,1,IF(10/L546&gt;10,1,0))),0)+IF(ISNUMBER(M546),IF(ISNUMBER(L546),IF(M546-L546&lt;=0,1,IF(20/(M546-L546)&gt;10,1,0)),IF(ISNUMBER(K546),IF(M546-K546&lt;=0,1,IF(25/(M546-K546)&gt;10,1,0)),IF(M546&lt;=0,1,IF(30/M546&gt;10,1,0)))),0)&gt;0,1,0))</f>
        <v/>
      </c>
      <c r="O546" s="22">
        <f>IF(AND(J546=1,N546=0),1,0)</f>
        <v/>
      </c>
      <c r="P546" s="22">
        <f>INDEX(Personendaten!$J$2:$J$32,MATCH(A546,Personendaten!$A$2:$A$32,0))</f>
        <v/>
      </c>
      <c r="Q546" s="22">
        <f>IF(O546=1,"",IF(AND(B546="post",P546="nicht angetreten"),"NANG",IF(N546=1,"AUSL",IFERROR(VLOOKUP(H546,Vokabular!$A$2:$B$8,2,FALSE),"UNBEKANNT"))))</f>
        <v/>
      </c>
    </row>
    <row r="547">
      <c r="A547" s="5" t="inlineStr">
        <is>
          <t>VS-18</t>
        </is>
      </c>
      <c r="B547" s="5" t="inlineStr">
        <is>
          <t>prä</t>
        </is>
      </c>
      <c r="C547" s="5" t="inlineStr">
        <is>
          <t>Sprint_10m</t>
        </is>
      </c>
      <c r="D547" s="5" t="inlineStr">
        <is>
          <t>–</t>
        </is>
      </c>
      <c r="E547" s="5" t="n">
        <v>3</v>
      </c>
      <c r="F547" s="5" t="n">
        <v>2</v>
      </c>
      <c r="G547" s="5" t="n"/>
      <c r="H547" s="5" t="n"/>
      <c r="I547" s="22">
        <f>INDEX(Personendaten!$C$2:$C$32,MATCH(A547,Personendaten!$A$2:$A$32,0))</f>
        <v/>
      </c>
      <c r="J547" s="22">
        <f>IF(AND(F547&lt;&gt;"",G547=""),1,0)</f>
        <v/>
      </c>
      <c r="K547" s="22">
        <f>IF(LEFT(C547,7)&lt;&gt;"Sprint_","",IF(COUNTIFS(Versuchsdaten!$A$2:$A$1117,$A547,Versuchsdaten!$B$2:$B$1117,$B547,Versuchsdaten!$C$2:$C$1117,"Sprint_5m",Versuchsdaten!$E$2:$E$1117,$E547,Versuchsdaten!$J$2:$J$1117,1)=1,SUMIFS(Versuchsdaten!$F$2:$F$1117,Versuchsdaten!$A$2:$A$1117,$A547,Versuchsdaten!$B$2:$B$1117,$B547,Versuchsdaten!$C$2:$C$1117,"Sprint_5m",Versuchsdaten!$E$2:$E$1117,$E547,Versuchsdaten!$J$2:$J$1117,1),""))</f>
        <v/>
      </c>
      <c r="L547" s="22">
        <f>IF(LEFT(C547,7)&lt;&gt;"Sprint_","",IF(COUNTIFS(Versuchsdaten!$A$2:$A$1117,$A547,Versuchsdaten!$B$2:$B$1117,$B547,Versuchsdaten!$C$2:$C$1117,"Sprint_10m",Versuchsdaten!$E$2:$E$1117,$E547,Versuchsdaten!$J$2:$J$1117,1)=1,SUMIFS(Versuchsdaten!$F$2:$F$1117,Versuchsdaten!$A$2:$A$1117,$A547,Versuchsdaten!$B$2:$B$1117,$B547,Versuchsdaten!$C$2:$C$1117,"Sprint_10m",Versuchsdaten!$E$2:$E$1117,$E547,Versuchsdaten!$J$2:$J$1117,1),""))</f>
        <v/>
      </c>
      <c r="M547" s="22">
        <f>IF(LEFT(C547,7)&lt;&gt;"Sprint_","",IF(COUNTIFS(Versuchsdaten!$A$2:$A$1117,$A547,Versuchsdaten!$B$2:$B$1117,$B547,Versuchsdaten!$C$2:$C$1117,"Sprint_30m",Versuchsdaten!$E$2:$E$1117,$E547,Versuchsdaten!$J$2:$J$1117,1)=1,SUMIFS(Versuchsdaten!$F$2:$F$1117,Versuchsdaten!$A$2:$A$1117,$A547,Versuchsdaten!$B$2:$B$1117,$B547,Versuchsdaten!$C$2:$C$1117,"Sprint_30m",Versuchsdaten!$E$2:$E$1117,$E547,Versuchsdaten!$J$2:$J$1117,1),""))</f>
        <v/>
      </c>
      <c r="N547" s="22">
        <f>IF(LEFT(C547,7)&lt;&gt;"Sprint_",0,IF(IF(ISNUMBER(K547),IF(K547&lt;=0,1,IF(5/K547&gt;10,1,0)),0)+IF(ISNUMBER(L547),IF(ISNUMBER(K547),IF(L547-K547&lt;=0,1,IF(5/(L547-K547)&gt;10,1,0)),IF(L547&lt;=0,1,IF(10/L547&gt;10,1,0))),0)+IF(ISNUMBER(M547),IF(ISNUMBER(L547),IF(M547-L547&lt;=0,1,IF(20/(M547-L547)&gt;10,1,0)),IF(ISNUMBER(K547),IF(M547-K547&lt;=0,1,IF(25/(M547-K547)&gt;10,1,0)),IF(M547&lt;=0,1,IF(30/M547&gt;10,1,0)))),0)&gt;0,1,0))</f>
        <v/>
      </c>
      <c r="O547" s="22">
        <f>IF(AND(J547=1,N547=0),1,0)</f>
        <v/>
      </c>
      <c r="P547" s="22">
        <f>INDEX(Personendaten!$J$2:$J$32,MATCH(A547,Personendaten!$A$2:$A$32,0))</f>
        <v/>
      </c>
      <c r="Q547" s="22">
        <f>IF(O547=1,"",IF(AND(B547="post",P547="nicht angetreten"),"NANG",IF(N547=1,"AUSL",IFERROR(VLOOKUP(H547,Vokabular!$A$2:$B$8,2,FALSE),"UNBEKANNT"))))</f>
        <v/>
      </c>
    </row>
    <row r="548">
      <c r="A548" s="5" t="inlineStr">
        <is>
          <t>VS-18</t>
        </is>
      </c>
      <c r="B548" s="5" t="inlineStr">
        <is>
          <t>prä</t>
        </is>
      </c>
      <c r="C548" s="5" t="inlineStr">
        <is>
          <t>Sprint_30m</t>
        </is>
      </c>
      <c r="D548" s="5" t="inlineStr">
        <is>
          <t>–</t>
        </is>
      </c>
      <c r="E548" s="5" t="n">
        <v>1</v>
      </c>
      <c r="F548" s="5" t="n"/>
      <c r="G548" s="5" t="n"/>
      <c r="H548" s="5" t="inlineStr">
        <is>
          <t>System nicht aufgenommen</t>
        </is>
      </c>
      <c r="I548" s="22">
        <f>INDEX(Personendaten!$C$2:$C$32,MATCH(A548,Personendaten!$A$2:$A$32,0))</f>
        <v/>
      </c>
      <c r="J548" s="22">
        <f>IF(AND(F548&lt;&gt;"",G548=""),1,0)</f>
        <v/>
      </c>
      <c r="K548" s="22">
        <f>IF(LEFT(C548,7)&lt;&gt;"Sprint_","",IF(COUNTIFS(Versuchsdaten!$A$2:$A$1117,$A548,Versuchsdaten!$B$2:$B$1117,$B548,Versuchsdaten!$C$2:$C$1117,"Sprint_5m",Versuchsdaten!$E$2:$E$1117,$E548,Versuchsdaten!$J$2:$J$1117,1)=1,SUMIFS(Versuchsdaten!$F$2:$F$1117,Versuchsdaten!$A$2:$A$1117,$A548,Versuchsdaten!$B$2:$B$1117,$B548,Versuchsdaten!$C$2:$C$1117,"Sprint_5m",Versuchsdaten!$E$2:$E$1117,$E548,Versuchsdaten!$J$2:$J$1117,1),""))</f>
        <v/>
      </c>
      <c r="L548" s="22">
        <f>IF(LEFT(C548,7)&lt;&gt;"Sprint_","",IF(COUNTIFS(Versuchsdaten!$A$2:$A$1117,$A548,Versuchsdaten!$B$2:$B$1117,$B548,Versuchsdaten!$C$2:$C$1117,"Sprint_10m",Versuchsdaten!$E$2:$E$1117,$E548,Versuchsdaten!$J$2:$J$1117,1)=1,SUMIFS(Versuchsdaten!$F$2:$F$1117,Versuchsdaten!$A$2:$A$1117,$A548,Versuchsdaten!$B$2:$B$1117,$B548,Versuchsdaten!$C$2:$C$1117,"Sprint_10m",Versuchsdaten!$E$2:$E$1117,$E548,Versuchsdaten!$J$2:$J$1117,1),""))</f>
        <v/>
      </c>
      <c r="M548" s="22">
        <f>IF(LEFT(C548,7)&lt;&gt;"Sprint_","",IF(COUNTIFS(Versuchsdaten!$A$2:$A$1117,$A548,Versuchsdaten!$B$2:$B$1117,$B548,Versuchsdaten!$C$2:$C$1117,"Sprint_30m",Versuchsdaten!$E$2:$E$1117,$E548,Versuchsdaten!$J$2:$J$1117,1)=1,SUMIFS(Versuchsdaten!$F$2:$F$1117,Versuchsdaten!$A$2:$A$1117,$A548,Versuchsdaten!$B$2:$B$1117,$B548,Versuchsdaten!$C$2:$C$1117,"Sprint_30m",Versuchsdaten!$E$2:$E$1117,$E548,Versuchsdaten!$J$2:$J$1117,1),""))</f>
        <v/>
      </c>
      <c r="N548" s="22">
        <f>IF(LEFT(C548,7)&lt;&gt;"Sprint_",0,IF(IF(ISNUMBER(K548),IF(K548&lt;=0,1,IF(5/K548&gt;10,1,0)),0)+IF(ISNUMBER(L548),IF(ISNUMBER(K548),IF(L548-K548&lt;=0,1,IF(5/(L548-K548)&gt;10,1,0)),IF(L548&lt;=0,1,IF(10/L548&gt;10,1,0))),0)+IF(ISNUMBER(M548),IF(ISNUMBER(L548),IF(M548-L548&lt;=0,1,IF(20/(M548-L548)&gt;10,1,0)),IF(ISNUMBER(K548),IF(M548-K548&lt;=0,1,IF(25/(M548-K548)&gt;10,1,0)),IF(M548&lt;=0,1,IF(30/M548&gt;10,1,0)))),0)&gt;0,1,0))</f>
        <v/>
      </c>
      <c r="O548" s="22">
        <f>IF(AND(J548=1,N548=0),1,0)</f>
        <v/>
      </c>
      <c r="P548" s="22">
        <f>INDEX(Personendaten!$J$2:$J$32,MATCH(A548,Personendaten!$A$2:$A$32,0))</f>
        <v/>
      </c>
      <c r="Q548" s="22">
        <f>IF(O548=1,"",IF(AND(B548="post",P548="nicht angetreten"),"NANG",IF(N548=1,"AUSL",IFERROR(VLOOKUP(H548,Vokabular!$A$2:$B$8,2,FALSE),"UNBEKANNT"))))</f>
        <v/>
      </c>
    </row>
    <row r="549">
      <c r="A549" s="5" t="inlineStr">
        <is>
          <t>VS-18</t>
        </is>
      </c>
      <c r="B549" s="5" t="inlineStr">
        <is>
          <t>prä</t>
        </is>
      </c>
      <c r="C549" s="5" t="inlineStr">
        <is>
          <t>Sprint_30m</t>
        </is>
      </c>
      <c r="D549" s="5" t="inlineStr">
        <is>
          <t>–</t>
        </is>
      </c>
      <c r="E549" s="5" t="n">
        <v>2</v>
      </c>
      <c r="F549" s="5" t="n">
        <v>5.19</v>
      </c>
      <c r="G549" s="5" t="n"/>
      <c r="H549" s="5" t="n"/>
      <c r="I549" s="22">
        <f>INDEX(Personendaten!$C$2:$C$32,MATCH(A549,Personendaten!$A$2:$A$32,0))</f>
        <v/>
      </c>
      <c r="J549" s="22">
        <f>IF(AND(F549&lt;&gt;"",G549=""),1,0)</f>
        <v/>
      </c>
      <c r="K549" s="22">
        <f>IF(LEFT(C549,7)&lt;&gt;"Sprint_","",IF(COUNTIFS(Versuchsdaten!$A$2:$A$1117,$A549,Versuchsdaten!$B$2:$B$1117,$B549,Versuchsdaten!$C$2:$C$1117,"Sprint_5m",Versuchsdaten!$E$2:$E$1117,$E549,Versuchsdaten!$J$2:$J$1117,1)=1,SUMIFS(Versuchsdaten!$F$2:$F$1117,Versuchsdaten!$A$2:$A$1117,$A549,Versuchsdaten!$B$2:$B$1117,$B549,Versuchsdaten!$C$2:$C$1117,"Sprint_5m",Versuchsdaten!$E$2:$E$1117,$E549,Versuchsdaten!$J$2:$J$1117,1),""))</f>
        <v/>
      </c>
      <c r="L549" s="22">
        <f>IF(LEFT(C549,7)&lt;&gt;"Sprint_","",IF(COUNTIFS(Versuchsdaten!$A$2:$A$1117,$A549,Versuchsdaten!$B$2:$B$1117,$B549,Versuchsdaten!$C$2:$C$1117,"Sprint_10m",Versuchsdaten!$E$2:$E$1117,$E549,Versuchsdaten!$J$2:$J$1117,1)=1,SUMIFS(Versuchsdaten!$F$2:$F$1117,Versuchsdaten!$A$2:$A$1117,$A549,Versuchsdaten!$B$2:$B$1117,$B549,Versuchsdaten!$C$2:$C$1117,"Sprint_10m",Versuchsdaten!$E$2:$E$1117,$E549,Versuchsdaten!$J$2:$J$1117,1),""))</f>
        <v/>
      </c>
      <c r="M549" s="22">
        <f>IF(LEFT(C549,7)&lt;&gt;"Sprint_","",IF(COUNTIFS(Versuchsdaten!$A$2:$A$1117,$A549,Versuchsdaten!$B$2:$B$1117,$B549,Versuchsdaten!$C$2:$C$1117,"Sprint_30m",Versuchsdaten!$E$2:$E$1117,$E549,Versuchsdaten!$J$2:$J$1117,1)=1,SUMIFS(Versuchsdaten!$F$2:$F$1117,Versuchsdaten!$A$2:$A$1117,$A549,Versuchsdaten!$B$2:$B$1117,$B549,Versuchsdaten!$C$2:$C$1117,"Sprint_30m",Versuchsdaten!$E$2:$E$1117,$E549,Versuchsdaten!$J$2:$J$1117,1),""))</f>
        <v/>
      </c>
      <c r="N549" s="22">
        <f>IF(LEFT(C549,7)&lt;&gt;"Sprint_",0,IF(IF(ISNUMBER(K549),IF(K549&lt;=0,1,IF(5/K549&gt;10,1,0)),0)+IF(ISNUMBER(L549),IF(ISNUMBER(K549),IF(L549-K549&lt;=0,1,IF(5/(L549-K549)&gt;10,1,0)),IF(L549&lt;=0,1,IF(10/L549&gt;10,1,0))),0)+IF(ISNUMBER(M549),IF(ISNUMBER(L549),IF(M549-L549&lt;=0,1,IF(20/(M549-L549)&gt;10,1,0)),IF(ISNUMBER(K549),IF(M549-K549&lt;=0,1,IF(25/(M549-K549)&gt;10,1,0)),IF(M549&lt;=0,1,IF(30/M549&gt;10,1,0)))),0)&gt;0,1,0))</f>
        <v/>
      </c>
      <c r="O549" s="22">
        <f>IF(AND(J549=1,N549=0),1,0)</f>
        <v/>
      </c>
      <c r="P549" s="22">
        <f>INDEX(Personendaten!$J$2:$J$32,MATCH(A549,Personendaten!$A$2:$A$32,0))</f>
        <v/>
      </c>
      <c r="Q549" s="22">
        <f>IF(O549=1,"",IF(AND(B549="post",P549="nicht angetreten"),"NANG",IF(N549=1,"AUSL",IFERROR(VLOOKUP(H549,Vokabular!$A$2:$B$8,2,FALSE),"UNBEKANNT"))))</f>
        <v/>
      </c>
    </row>
    <row r="550">
      <c r="A550" s="5" t="inlineStr">
        <is>
          <t>VS-18</t>
        </is>
      </c>
      <c r="B550" s="5" t="inlineStr">
        <is>
          <t>prä</t>
        </is>
      </c>
      <c r="C550" s="5" t="inlineStr">
        <is>
          <t>Sprint_30m</t>
        </is>
      </c>
      <c r="D550" s="5" t="inlineStr">
        <is>
          <t>–</t>
        </is>
      </c>
      <c r="E550" s="5" t="n">
        <v>3</v>
      </c>
      <c r="F550" s="5" t="n">
        <v>5.07</v>
      </c>
      <c r="G550" s="5" t="n"/>
      <c r="H550" s="5" t="n"/>
      <c r="I550" s="22">
        <f>INDEX(Personendaten!$C$2:$C$32,MATCH(A550,Personendaten!$A$2:$A$32,0))</f>
        <v/>
      </c>
      <c r="J550" s="22">
        <f>IF(AND(F550&lt;&gt;"",G550=""),1,0)</f>
        <v/>
      </c>
      <c r="K550" s="22">
        <f>IF(LEFT(C550,7)&lt;&gt;"Sprint_","",IF(COUNTIFS(Versuchsdaten!$A$2:$A$1117,$A550,Versuchsdaten!$B$2:$B$1117,$B550,Versuchsdaten!$C$2:$C$1117,"Sprint_5m",Versuchsdaten!$E$2:$E$1117,$E550,Versuchsdaten!$J$2:$J$1117,1)=1,SUMIFS(Versuchsdaten!$F$2:$F$1117,Versuchsdaten!$A$2:$A$1117,$A550,Versuchsdaten!$B$2:$B$1117,$B550,Versuchsdaten!$C$2:$C$1117,"Sprint_5m",Versuchsdaten!$E$2:$E$1117,$E550,Versuchsdaten!$J$2:$J$1117,1),""))</f>
        <v/>
      </c>
      <c r="L550" s="22">
        <f>IF(LEFT(C550,7)&lt;&gt;"Sprint_","",IF(COUNTIFS(Versuchsdaten!$A$2:$A$1117,$A550,Versuchsdaten!$B$2:$B$1117,$B550,Versuchsdaten!$C$2:$C$1117,"Sprint_10m",Versuchsdaten!$E$2:$E$1117,$E550,Versuchsdaten!$J$2:$J$1117,1)=1,SUMIFS(Versuchsdaten!$F$2:$F$1117,Versuchsdaten!$A$2:$A$1117,$A550,Versuchsdaten!$B$2:$B$1117,$B550,Versuchsdaten!$C$2:$C$1117,"Sprint_10m",Versuchsdaten!$E$2:$E$1117,$E550,Versuchsdaten!$J$2:$J$1117,1),""))</f>
        <v/>
      </c>
      <c r="M550" s="22">
        <f>IF(LEFT(C550,7)&lt;&gt;"Sprint_","",IF(COUNTIFS(Versuchsdaten!$A$2:$A$1117,$A550,Versuchsdaten!$B$2:$B$1117,$B550,Versuchsdaten!$C$2:$C$1117,"Sprint_30m",Versuchsdaten!$E$2:$E$1117,$E550,Versuchsdaten!$J$2:$J$1117,1)=1,SUMIFS(Versuchsdaten!$F$2:$F$1117,Versuchsdaten!$A$2:$A$1117,$A550,Versuchsdaten!$B$2:$B$1117,$B550,Versuchsdaten!$C$2:$C$1117,"Sprint_30m",Versuchsdaten!$E$2:$E$1117,$E550,Versuchsdaten!$J$2:$J$1117,1),""))</f>
        <v/>
      </c>
      <c r="N550" s="22">
        <f>IF(LEFT(C550,7)&lt;&gt;"Sprint_",0,IF(IF(ISNUMBER(K550),IF(K550&lt;=0,1,IF(5/K550&gt;10,1,0)),0)+IF(ISNUMBER(L550),IF(ISNUMBER(K550),IF(L550-K550&lt;=0,1,IF(5/(L550-K550)&gt;10,1,0)),IF(L550&lt;=0,1,IF(10/L550&gt;10,1,0))),0)+IF(ISNUMBER(M550),IF(ISNUMBER(L550),IF(M550-L550&lt;=0,1,IF(20/(M550-L550)&gt;10,1,0)),IF(ISNUMBER(K550),IF(M550-K550&lt;=0,1,IF(25/(M550-K550)&gt;10,1,0)),IF(M550&lt;=0,1,IF(30/M550&gt;10,1,0)))),0)&gt;0,1,0))</f>
        <v/>
      </c>
      <c r="O550" s="22">
        <f>IF(AND(J550=1,N550=0),1,0)</f>
        <v/>
      </c>
      <c r="P550" s="22">
        <f>INDEX(Personendaten!$J$2:$J$32,MATCH(A550,Personendaten!$A$2:$A$32,0))</f>
        <v/>
      </c>
      <c r="Q550" s="22">
        <f>IF(O550=1,"",IF(AND(B550="post",P550="nicht angetreten"),"NANG",IF(N550=1,"AUSL",IFERROR(VLOOKUP(H550,Vokabular!$A$2:$B$8,2,FALSE),"UNBEKANNT"))))</f>
        <v/>
      </c>
    </row>
    <row r="551">
      <c r="A551" s="5" t="inlineStr">
        <is>
          <t>VS-18</t>
        </is>
      </c>
      <c r="B551" s="5" t="inlineStr">
        <is>
          <t>prä</t>
        </is>
      </c>
      <c r="C551" s="5" t="inlineStr">
        <is>
          <t>Standweitsprung</t>
        </is>
      </c>
      <c r="D551" s="5" t="inlineStr">
        <is>
          <t>–</t>
        </is>
      </c>
      <c r="E551" s="5" t="n">
        <v>1</v>
      </c>
      <c r="F551" s="5" t="n">
        <v>201</v>
      </c>
      <c r="G551" s="5" t="n"/>
      <c r="H551" s="5" t="n"/>
      <c r="I551" s="22">
        <f>INDEX(Personendaten!$C$2:$C$32,MATCH(A551,Personendaten!$A$2:$A$32,0))</f>
        <v/>
      </c>
      <c r="J551" s="22">
        <f>IF(AND(F551&lt;&gt;"",G551=""),1,0)</f>
        <v/>
      </c>
      <c r="K551" s="22">
        <f>IF(LEFT(C551,7)&lt;&gt;"Sprint_","",IF(COUNTIFS(Versuchsdaten!$A$2:$A$1117,$A551,Versuchsdaten!$B$2:$B$1117,$B551,Versuchsdaten!$C$2:$C$1117,"Sprint_5m",Versuchsdaten!$E$2:$E$1117,$E551,Versuchsdaten!$J$2:$J$1117,1)=1,SUMIFS(Versuchsdaten!$F$2:$F$1117,Versuchsdaten!$A$2:$A$1117,$A551,Versuchsdaten!$B$2:$B$1117,$B551,Versuchsdaten!$C$2:$C$1117,"Sprint_5m",Versuchsdaten!$E$2:$E$1117,$E551,Versuchsdaten!$J$2:$J$1117,1),""))</f>
        <v/>
      </c>
      <c r="L551" s="22">
        <f>IF(LEFT(C551,7)&lt;&gt;"Sprint_","",IF(COUNTIFS(Versuchsdaten!$A$2:$A$1117,$A551,Versuchsdaten!$B$2:$B$1117,$B551,Versuchsdaten!$C$2:$C$1117,"Sprint_10m",Versuchsdaten!$E$2:$E$1117,$E551,Versuchsdaten!$J$2:$J$1117,1)=1,SUMIFS(Versuchsdaten!$F$2:$F$1117,Versuchsdaten!$A$2:$A$1117,$A551,Versuchsdaten!$B$2:$B$1117,$B551,Versuchsdaten!$C$2:$C$1117,"Sprint_10m",Versuchsdaten!$E$2:$E$1117,$E551,Versuchsdaten!$J$2:$J$1117,1),""))</f>
        <v/>
      </c>
      <c r="M551" s="22">
        <f>IF(LEFT(C551,7)&lt;&gt;"Sprint_","",IF(COUNTIFS(Versuchsdaten!$A$2:$A$1117,$A551,Versuchsdaten!$B$2:$B$1117,$B551,Versuchsdaten!$C$2:$C$1117,"Sprint_30m",Versuchsdaten!$E$2:$E$1117,$E551,Versuchsdaten!$J$2:$J$1117,1)=1,SUMIFS(Versuchsdaten!$F$2:$F$1117,Versuchsdaten!$A$2:$A$1117,$A551,Versuchsdaten!$B$2:$B$1117,$B551,Versuchsdaten!$C$2:$C$1117,"Sprint_30m",Versuchsdaten!$E$2:$E$1117,$E551,Versuchsdaten!$J$2:$J$1117,1),""))</f>
        <v/>
      </c>
      <c r="N551" s="22">
        <f>IF(LEFT(C551,7)&lt;&gt;"Sprint_",0,IF(IF(ISNUMBER(K551),IF(K551&lt;=0,1,IF(5/K551&gt;10,1,0)),0)+IF(ISNUMBER(L551),IF(ISNUMBER(K551),IF(L551-K551&lt;=0,1,IF(5/(L551-K551)&gt;10,1,0)),IF(L551&lt;=0,1,IF(10/L551&gt;10,1,0))),0)+IF(ISNUMBER(M551),IF(ISNUMBER(L551),IF(M551-L551&lt;=0,1,IF(20/(M551-L551)&gt;10,1,0)),IF(ISNUMBER(K551),IF(M551-K551&lt;=0,1,IF(25/(M551-K551)&gt;10,1,0)),IF(M551&lt;=0,1,IF(30/M551&gt;10,1,0)))),0)&gt;0,1,0))</f>
        <v/>
      </c>
      <c r="O551" s="22">
        <f>IF(AND(J551=1,N551=0),1,0)</f>
        <v/>
      </c>
      <c r="P551" s="22">
        <f>INDEX(Personendaten!$J$2:$J$32,MATCH(A551,Personendaten!$A$2:$A$32,0))</f>
        <v/>
      </c>
      <c r="Q551" s="22">
        <f>IF(O551=1,"",IF(AND(B551="post",P551="nicht angetreten"),"NANG",IF(N551=1,"AUSL",IFERROR(VLOOKUP(H551,Vokabular!$A$2:$B$8,2,FALSE),"UNBEKANNT"))))</f>
        <v/>
      </c>
    </row>
    <row r="552">
      <c r="A552" s="5" t="inlineStr">
        <is>
          <t>VS-18</t>
        </is>
      </c>
      <c r="B552" s="5" t="inlineStr">
        <is>
          <t>prä</t>
        </is>
      </c>
      <c r="C552" s="5" t="inlineStr">
        <is>
          <t>Standweitsprung</t>
        </is>
      </c>
      <c r="D552" s="5" t="inlineStr">
        <is>
          <t>–</t>
        </is>
      </c>
      <c r="E552" s="5" t="n">
        <v>2</v>
      </c>
      <c r="F552" s="5" t="n">
        <v>209</v>
      </c>
      <c r="G552" s="5" t="n"/>
      <c r="H552" s="5" t="n"/>
      <c r="I552" s="22">
        <f>INDEX(Personendaten!$C$2:$C$32,MATCH(A552,Personendaten!$A$2:$A$32,0))</f>
        <v/>
      </c>
      <c r="J552" s="22">
        <f>IF(AND(F552&lt;&gt;"",G552=""),1,0)</f>
        <v/>
      </c>
      <c r="K552" s="22">
        <f>IF(LEFT(C552,7)&lt;&gt;"Sprint_","",IF(COUNTIFS(Versuchsdaten!$A$2:$A$1117,$A552,Versuchsdaten!$B$2:$B$1117,$B552,Versuchsdaten!$C$2:$C$1117,"Sprint_5m",Versuchsdaten!$E$2:$E$1117,$E552,Versuchsdaten!$J$2:$J$1117,1)=1,SUMIFS(Versuchsdaten!$F$2:$F$1117,Versuchsdaten!$A$2:$A$1117,$A552,Versuchsdaten!$B$2:$B$1117,$B552,Versuchsdaten!$C$2:$C$1117,"Sprint_5m",Versuchsdaten!$E$2:$E$1117,$E552,Versuchsdaten!$J$2:$J$1117,1),""))</f>
        <v/>
      </c>
      <c r="L552" s="22">
        <f>IF(LEFT(C552,7)&lt;&gt;"Sprint_","",IF(COUNTIFS(Versuchsdaten!$A$2:$A$1117,$A552,Versuchsdaten!$B$2:$B$1117,$B552,Versuchsdaten!$C$2:$C$1117,"Sprint_10m",Versuchsdaten!$E$2:$E$1117,$E552,Versuchsdaten!$J$2:$J$1117,1)=1,SUMIFS(Versuchsdaten!$F$2:$F$1117,Versuchsdaten!$A$2:$A$1117,$A552,Versuchsdaten!$B$2:$B$1117,$B552,Versuchsdaten!$C$2:$C$1117,"Sprint_10m",Versuchsdaten!$E$2:$E$1117,$E552,Versuchsdaten!$J$2:$J$1117,1),""))</f>
        <v/>
      </c>
      <c r="M552" s="22">
        <f>IF(LEFT(C552,7)&lt;&gt;"Sprint_","",IF(COUNTIFS(Versuchsdaten!$A$2:$A$1117,$A552,Versuchsdaten!$B$2:$B$1117,$B552,Versuchsdaten!$C$2:$C$1117,"Sprint_30m",Versuchsdaten!$E$2:$E$1117,$E552,Versuchsdaten!$J$2:$J$1117,1)=1,SUMIFS(Versuchsdaten!$F$2:$F$1117,Versuchsdaten!$A$2:$A$1117,$A552,Versuchsdaten!$B$2:$B$1117,$B552,Versuchsdaten!$C$2:$C$1117,"Sprint_30m",Versuchsdaten!$E$2:$E$1117,$E552,Versuchsdaten!$J$2:$J$1117,1),""))</f>
        <v/>
      </c>
      <c r="N552" s="22">
        <f>IF(LEFT(C552,7)&lt;&gt;"Sprint_",0,IF(IF(ISNUMBER(K552),IF(K552&lt;=0,1,IF(5/K552&gt;10,1,0)),0)+IF(ISNUMBER(L552),IF(ISNUMBER(K552),IF(L552-K552&lt;=0,1,IF(5/(L552-K552)&gt;10,1,0)),IF(L552&lt;=0,1,IF(10/L552&gt;10,1,0))),0)+IF(ISNUMBER(M552),IF(ISNUMBER(L552),IF(M552-L552&lt;=0,1,IF(20/(M552-L552)&gt;10,1,0)),IF(ISNUMBER(K552),IF(M552-K552&lt;=0,1,IF(25/(M552-K552)&gt;10,1,0)),IF(M552&lt;=0,1,IF(30/M552&gt;10,1,0)))),0)&gt;0,1,0))</f>
        <v/>
      </c>
      <c r="O552" s="22">
        <f>IF(AND(J552=1,N552=0),1,0)</f>
        <v/>
      </c>
      <c r="P552" s="22">
        <f>INDEX(Personendaten!$J$2:$J$32,MATCH(A552,Personendaten!$A$2:$A$32,0))</f>
        <v/>
      </c>
      <c r="Q552" s="22">
        <f>IF(O552=1,"",IF(AND(B552="post",P552="nicht angetreten"),"NANG",IF(N552=1,"AUSL",IFERROR(VLOOKUP(H552,Vokabular!$A$2:$B$8,2,FALSE),"UNBEKANNT"))))</f>
        <v/>
      </c>
    </row>
    <row r="553">
      <c r="A553" s="5" t="inlineStr">
        <is>
          <t>VS-18</t>
        </is>
      </c>
      <c r="B553" s="5" t="inlineStr">
        <is>
          <t>prä</t>
        </is>
      </c>
      <c r="C553" s="5" t="inlineStr">
        <is>
          <t>Standweitsprung</t>
        </is>
      </c>
      <c r="D553" s="5" t="inlineStr">
        <is>
          <t>–</t>
        </is>
      </c>
      <c r="E553" s="5" t="n">
        <v>3</v>
      </c>
      <c r="F553" s="5" t="n"/>
      <c r="G553" s="5" t="n"/>
      <c r="H553" s="5" t="inlineStr">
        <is>
          <t>Nur 2 Versuche aus Zeitmangel</t>
        </is>
      </c>
      <c r="I553" s="22">
        <f>INDEX(Personendaten!$C$2:$C$32,MATCH(A553,Personendaten!$A$2:$A$32,0))</f>
        <v/>
      </c>
      <c r="J553" s="22">
        <f>IF(AND(F553&lt;&gt;"",G553=""),1,0)</f>
        <v/>
      </c>
      <c r="K553" s="22">
        <f>IF(LEFT(C553,7)&lt;&gt;"Sprint_","",IF(COUNTIFS(Versuchsdaten!$A$2:$A$1117,$A553,Versuchsdaten!$B$2:$B$1117,$B553,Versuchsdaten!$C$2:$C$1117,"Sprint_5m",Versuchsdaten!$E$2:$E$1117,$E553,Versuchsdaten!$J$2:$J$1117,1)=1,SUMIFS(Versuchsdaten!$F$2:$F$1117,Versuchsdaten!$A$2:$A$1117,$A553,Versuchsdaten!$B$2:$B$1117,$B553,Versuchsdaten!$C$2:$C$1117,"Sprint_5m",Versuchsdaten!$E$2:$E$1117,$E553,Versuchsdaten!$J$2:$J$1117,1),""))</f>
        <v/>
      </c>
      <c r="L553" s="22">
        <f>IF(LEFT(C553,7)&lt;&gt;"Sprint_","",IF(COUNTIFS(Versuchsdaten!$A$2:$A$1117,$A553,Versuchsdaten!$B$2:$B$1117,$B553,Versuchsdaten!$C$2:$C$1117,"Sprint_10m",Versuchsdaten!$E$2:$E$1117,$E553,Versuchsdaten!$J$2:$J$1117,1)=1,SUMIFS(Versuchsdaten!$F$2:$F$1117,Versuchsdaten!$A$2:$A$1117,$A553,Versuchsdaten!$B$2:$B$1117,$B553,Versuchsdaten!$C$2:$C$1117,"Sprint_10m",Versuchsdaten!$E$2:$E$1117,$E553,Versuchsdaten!$J$2:$J$1117,1),""))</f>
        <v/>
      </c>
      <c r="M553" s="22">
        <f>IF(LEFT(C553,7)&lt;&gt;"Sprint_","",IF(COUNTIFS(Versuchsdaten!$A$2:$A$1117,$A553,Versuchsdaten!$B$2:$B$1117,$B553,Versuchsdaten!$C$2:$C$1117,"Sprint_30m",Versuchsdaten!$E$2:$E$1117,$E553,Versuchsdaten!$J$2:$J$1117,1)=1,SUMIFS(Versuchsdaten!$F$2:$F$1117,Versuchsdaten!$A$2:$A$1117,$A553,Versuchsdaten!$B$2:$B$1117,$B553,Versuchsdaten!$C$2:$C$1117,"Sprint_30m",Versuchsdaten!$E$2:$E$1117,$E553,Versuchsdaten!$J$2:$J$1117,1),""))</f>
        <v/>
      </c>
      <c r="N553" s="22">
        <f>IF(LEFT(C553,7)&lt;&gt;"Sprint_",0,IF(IF(ISNUMBER(K553),IF(K553&lt;=0,1,IF(5/K553&gt;10,1,0)),0)+IF(ISNUMBER(L553),IF(ISNUMBER(K553),IF(L553-K553&lt;=0,1,IF(5/(L553-K553)&gt;10,1,0)),IF(L553&lt;=0,1,IF(10/L553&gt;10,1,0))),0)+IF(ISNUMBER(M553),IF(ISNUMBER(L553),IF(M553-L553&lt;=0,1,IF(20/(M553-L553)&gt;10,1,0)),IF(ISNUMBER(K553),IF(M553-K553&lt;=0,1,IF(25/(M553-K553)&gt;10,1,0)),IF(M553&lt;=0,1,IF(30/M553&gt;10,1,0)))),0)&gt;0,1,0))</f>
        <v/>
      </c>
      <c r="O553" s="22">
        <f>IF(AND(J553=1,N553=0),1,0)</f>
        <v/>
      </c>
      <c r="P553" s="22">
        <f>INDEX(Personendaten!$J$2:$J$32,MATCH(A553,Personendaten!$A$2:$A$32,0))</f>
        <v/>
      </c>
      <c r="Q553" s="22">
        <f>IF(O553=1,"",IF(AND(B553="post",P553="nicht angetreten"),"NANG",IF(N553=1,"AUSL",IFERROR(VLOOKUP(H553,Vokabular!$A$2:$B$8,2,FALSE),"UNBEKANNT"))))</f>
        <v/>
      </c>
    </row>
    <row r="554">
      <c r="A554" s="5" t="inlineStr">
        <is>
          <t>VS-18</t>
        </is>
      </c>
      <c r="B554" s="5" t="inlineStr">
        <is>
          <t>prä</t>
        </is>
      </c>
      <c r="C554" s="5" t="inlineStr">
        <is>
          <t>COD_505</t>
        </is>
      </c>
      <c r="D554" s="5" t="inlineStr">
        <is>
          <t>L</t>
        </is>
      </c>
      <c r="E554" s="5" t="n">
        <v>1</v>
      </c>
      <c r="F554" s="5" t="n">
        <v>2.61</v>
      </c>
      <c r="G554" s="5" t="n"/>
      <c r="H554" s="5" t="n"/>
      <c r="I554" s="22">
        <f>INDEX(Personendaten!$C$2:$C$32,MATCH(A554,Personendaten!$A$2:$A$32,0))</f>
        <v/>
      </c>
      <c r="J554" s="22">
        <f>IF(AND(F554&lt;&gt;"",G554=""),1,0)</f>
        <v/>
      </c>
      <c r="K554" s="22">
        <f>IF(LEFT(C554,7)&lt;&gt;"Sprint_","",IF(COUNTIFS(Versuchsdaten!$A$2:$A$1117,$A554,Versuchsdaten!$B$2:$B$1117,$B554,Versuchsdaten!$C$2:$C$1117,"Sprint_5m",Versuchsdaten!$E$2:$E$1117,$E554,Versuchsdaten!$J$2:$J$1117,1)=1,SUMIFS(Versuchsdaten!$F$2:$F$1117,Versuchsdaten!$A$2:$A$1117,$A554,Versuchsdaten!$B$2:$B$1117,$B554,Versuchsdaten!$C$2:$C$1117,"Sprint_5m",Versuchsdaten!$E$2:$E$1117,$E554,Versuchsdaten!$J$2:$J$1117,1),""))</f>
        <v/>
      </c>
      <c r="L554" s="22">
        <f>IF(LEFT(C554,7)&lt;&gt;"Sprint_","",IF(COUNTIFS(Versuchsdaten!$A$2:$A$1117,$A554,Versuchsdaten!$B$2:$B$1117,$B554,Versuchsdaten!$C$2:$C$1117,"Sprint_10m",Versuchsdaten!$E$2:$E$1117,$E554,Versuchsdaten!$J$2:$J$1117,1)=1,SUMIFS(Versuchsdaten!$F$2:$F$1117,Versuchsdaten!$A$2:$A$1117,$A554,Versuchsdaten!$B$2:$B$1117,$B554,Versuchsdaten!$C$2:$C$1117,"Sprint_10m",Versuchsdaten!$E$2:$E$1117,$E554,Versuchsdaten!$J$2:$J$1117,1),""))</f>
        <v/>
      </c>
      <c r="M554" s="22">
        <f>IF(LEFT(C554,7)&lt;&gt;"Sprint_","",IF(COUNTIFS(Versuchsdaten!$A$2:$A$1117,$A554,Versuchsdaten!$B$2:$B$1117,$B554,Versuchsdaten!$C$2:$C$1117,"Sprint_30m",Versuchsdaten!$E$2:$E$1117,$E554,Versuchsdaten!$J$2:$J$1117,1)=1,SUMIFS(Versuchsdaten!$F$2:$F$1117,Versuchsdaten!$A$2:$A$1117,$A554,Versuchsdaten!$B$2:$B$1117,$B554,Versuchsdaten!$C$2:$C$1117,"Sprint_30m",Versuchsdaten!$E$2:$E$1117,$E554,Versuchsdaten!$J$2:$J$1117,1),""))</f>
        <v/>
      </c>
      <c r="N554" s="22">
        <f>IF(LEFT(C554,7)&lt;&gt;"Sprint_",0,IF(IF(ISNUMBER(K554),IF(K554&lt;=0,1,IF(5/K554&gt;10,1,0)),0)+IF(ISNUMBER(L554),IF(ISNUMBER(K554),IF(L554-K554&lt;=0,1,IF(5/(L554-K554)&gt;10,1,0)),IF(L554&lt;=0,1,IF(10/L554&gt;10,1,0))),0)+IF(ISNUMBER(M554),IF(ISNUMBER(L554),IF(M554-L554&lt;=0,1,IF(20/(M554-L554)&gt;10,1,0)),IF(ISNUMBER(K554),IF(M554-K554&lt;=0,1,IF(25/(M554-K554)&gt;10,1,0)),IF(M554&lt;=0,1,IF(30/M554&gt;10,1,0)))),0)&gt;0,1,0))</f>
        <v/>
      </c>
      <c r="O554" s="22">
        <f>IF(AND(J554=1,N554=0),1,0)</f>
        <v/>
      </c>
      <c r="P554" s="22">
        <f>INDEX(Personendaten!$J$2:$J$32,MATCH(A554,Personendaten!$A$2:$A$32,0))</f>
        <v/>
      </c>
      <c r="Q554" s="22">
        <f>IF(O554=1,"",IF(AND(B554="post",P554="nicht angetreten"),"NANG",IF(N554=1,"AUSL",IFERROR(VLOOKUP(H554,Vokabular!$A$2:$B$8,2,FALSE),"UNBEKANNT"))))</f>
        <v/>
      </c>
    </row>
    <row r="555">
      <c r="A555" s="5" t="inlineStr">
        <is>
          <t>VS-18</t>
        </is>
      </c>
      <c r="B555" s="5" t="inlineStr">
        <is>
          <t>prä</t>
        </is>
      </c>
      <c r="C555" s="5" t="inlineStr">
        <is>
          <t>COD_505</t>
        </is>
      </c>
      <c r="D555" s="5" t="inlineStr">
        <is>
          <t>L</t>
        </is>
      </c>
      <c r="E555" s="5" t="n">
        <v>2</v>
      </c>
      <c r="F555" s="5" t="n"/>
      <c r="G555" s="5" t="n"/>
      <c r="H555" s="5" t="inlineStr">
        <is>
          <t>System nicht aufgenommen</t>
        </is>
      </c>
      <c r="I555" s="22">
        <f>INDEX(Personendaten!$C$2:$C$32,MATCH(A555,Personendaten!$A$2:$A$32,0))</f>
        <v/>
      </c>
      <c r="J555" s="22">
        <f>IF(AND(F555&lt;&gt;"",G555=""),1,0)</f>
        <v/>
      </c>
      <c r="K555" s="22">
        <f>IF(LEFT(C555,7)&lt;&gt;"Sprint_","",IF(COUNTIFS(Versuchsdaten!$A$2:$A$1117,$A555,Versuchsdaten!$B$2:$B$1117,$B555,Versuchsdaten!$C$2:$C$1117,"Sprint_5m",Versuchsdaten!$E$2:$E$1117,$E555,Versuchsdaten!$J$2:$J$1117,1)=1,SUMIFS(Versuchsdaten!$F$2:$F$1117,Versuchsdaten!$A$2:$A$1117,$A555,Versuchsdaten!$B$2:$B$1117,$B555,Versuchsdaten!$C$2:$C$1117,"Sprint_5m",Versuchsdaten!$E$2:$E$1117,$E555,Versuchsdaten!$J$2:$J$1117,1),""))</f>
        <v/>
      </c>
      <c r="L555" s="22">
        <f>IF(LEFT(C555,7)&lt;&gt;"Sprint_","",IF(COUNTIFS(Versuchsdaten!$A$2:$A$1117,$A555,Versuchsdaten!$B$2:$B$1117,$B555,Versuchsdaten!$C$2:$C$1117,"Sprint_10m",Versuchsdaten!$E$2:$E$1117,$E555,Versuchsdaten!$J$2:$J$1117,1)=1,SUMIFS(Versuchsdaten!$F$2:$F$1117,Versuchsdaten!$A$2:$A$1117,$A555,Versuchsdaten!$B$2:$B$1117,$B555,Versuchsdaten!$C$2:$C$1117,"Sprint_10m",Versuchsdaten!$E$2:$E$1117,$E555,Versuchsdaten!$J$2:$J$1117,1),""))</f>
        <v/>
      </c>
      <c r="M555" s="22">
        <f>IF(LEFT(C555,7)&lt;&gt;"Sprint_","",IF(COUNTIFS(Versuchsdaten!$A$2:$A$1117,$A555,Versuchsdaten!$B$2:$B$1117,$B555,Versuchsdaten!$C$2:$C$1117,"Sprint_30m",Versuchsdaten!$E$2:$E$1117,$E555,Versuchsdaten!$J$2:$J$1117,1)=1,SUMIFS(Versuchsdaten!$F$2:$F$1117,Versuchsdaten!$A$2:$A$1117,$A555,Versuchsdaten!$B$2:$B$1117,$B555,Versuchsdaten!$C$2:$C$1117,"Sprint_30m",Versuchsdaten!$E$2:$E$1117,$E555,Versuchsdaten!$J$2:$J$1117,1),""))</f>
        <v/>
      </c>
      <c r="N555" s="22">
        <f>IF(LEFT(C555,7)&lt;&gt;"Sprint_",0,IF(IF(ISNUMBER(K555),IF(K555&lt;=0,1,IF(5/K555&gt;10,1,0)),0)+IF(ISNUMBER(L555),IF(ISNUMBER(K555),IF(L555-K555&lt;=0,1,IF(5/(L555-K555)&gt;10,1,0)),IF(L555&lt;=0,1,IF(10/L555&gt;10,1,0))),0)+IF(ISNUMBER(M555),IF(ISNUMBER(L555),IF(M555-L555&lt;=0,1,IF(20/(M555-L555)&gt;10,1,0)),IF(ISNUMBER(K555),IF(M555-K555&lt;=0,1,IF(25/(M555-K555)&gt;10,1,0)),IF(M555&lt;=0,1,IF(30/M555&gt;10,1,0)))),0)&gt;0,1,0))</f>
        <v/>
      </c>
      <c r="O555" s="22">
        <f>IF(AND(J555=1,N555=0),1,0)</f>
        <v/>
      </c>
      <c r="P555" s="22">
        <f>INDEX(Personendaten!$J$2:$J$32,MATCH(A555,Personendaten!$A$2:$A$32,0))</f>
        <v/>
      </c>
      <c r="Q555" s="22">
        <f>IF(O555=1,"",IF(AND(B555="post",P555="nicht angetreten"),"NANG",IF(N555=1,"AUSL",IFERROR(VLOOKUP(H555,Vokabular!$A$2:$B$8,2,FALSE),"UNBEKANNT"))))</f>
        <v/>
      </c>
    </row>
    <row r="556">
      <c r="A556" s="5" t="inlineStr">
        <is>
          <t>VS-18</t>
        </is>
      </c>
      <c r="B556" s="5" t="inlineStr">
        <is>
          <t>prä</t>
        </is>
      </c>
      <c r="C556" s="5" t="inlineStr">
        <is>
          <t>COD_505</t>
        </is>
      </c>
      <c r="D556" s="5" t="inlineStr">
        <is>
          <t>L</t>
        </is>
      </c>
      <c r="E556" s="5" t="n">
        <v>3</v>
      </c>
      <c r="F556" s="5" t="n"/>
      <c r="G556" s="5" t="n"/>
      <c r="H556" s="5" t="inlineStr">
        <is>
          <t>Nur 2 Versuche aus Zeitmangel</t>
        </is>
      </c>
      <c r="I556" s="22">
        <f>INDEX(Personendaten!$C$2:$C$32,MATCH(A556,Personendaten!$A$2:$A$32,0))</f>
        <v/>
      </c>
      <c r="J556" s="22">
        <f>IF(AND(F556&lt;&gt;"",G556=""),1,0)</f>
        <v/>
      </c>
      <c r="K556" s="22">
        <f>IF(LEFT(C556,7)&lt;&gt;"Sprint_","",IF(COUNTIFS(Versuchsdaten!$A$2:$A$1117,$A556,Versuchsdaten!$B$2:$B$1117,$B556,Versuchsdaten!$C$2:$C$1117,"Sprint_5m",Versuchsdaten!$E$2:$E$1117,$E556,Versuchsdaten!$J$2:$J$1117,1)=1,SUMIFS(Versuchsdaten!$F$2:$F$1117,Versuchsdaten!$A$2:$A$1117,$A556,Versuchsdaten!$B$2:$B$1117,$B556,Versuchsdaten!$C$2:$C$1117,"Sprint_5m",Versuchsdaten!$E$2:$E$1117,$E556,Versuchsdaten!$J$2:$J$1117,1),""))</f>
        <v/>
      </c>
      <c r="L556" s="22">
        <f>IF(LEFT(C556,7)&lt;&gt;"Sprint_","",IF(COUNTIFS(Versuchsdaten!$A$2:$A$1117,$A556,Versuchsdaten!$B$2:$B$1117,$B556,Versuchsdaten!$C$2:$C$1117,"Sprint_10m",Versuchsdaten!$E$2:$E$1117,$E556,Versuchsdaten!$J$2:$J$1117,1)=1,SUMIFS(Versuchsdaten!$F$2:$F$1117,Versuchsdaten!$A$2:$A$1117,$A556,Versuchsdaten!$B$2:$B$1117,$B556,Versuchsdaten!$C$2:$C$1117,"Sprint_10m",Versuchsdaten!$E$2:$E$1117,$E556,Versuchsdaten!$J$2:$J$1117,1),""))</f>
        <v/>
      </c>
      <c r="M556" s="22">
        <f>IF(LEFT(C556,7)&lt;&gt;"Sprint_","",IF(COUNTIFS(Versuchsdaten!$A$2:$A$1117,$A556,Versuchsdaten!$B$2:$B$1117,$B556,Versuchsdaten!$C$2:$C$1117,"Sprint_30m",Versuchsdaten!$E$2:$E$1117,$E556,Versuchsdaten!$J$2:$J$1117,1)=1,SUMIFS(Versuchsdaten!$F$2:$F$1117,Versuchsdaten!$A$2:$A$1117,$A556,Versuchsdaten!$B$2:$B$1117,$B556,Versuchsdaten!$C$2:$C$1117,"Sprint_30m",Versuchsdaten!$E$2:$E$1117,$E556,Versuchsdaten!$J$2:$J$1117,1),""))</f>
        <v/>
      </c>
      <c r="N556" s="22">
        <f>IF(LEFT(C556,7)&lt;&gt;"Sprint_",0,IF(IF(ISNUMBER(K556),IF(K556&lt;=0,1,IF(5/K556&gt;10,1,0)),0)+IF(ISNUMBER(L556),IF(ISNUMBER(K556),IF(L556-K556&lt;=0,1,IF(5/(L556-K556)&gt;10,1,0)),IF(L556&lt;=0,1,IF(10/L556&gt;10,1,0))),0)+IF(ISNUMBER(M556),IF(ISNUMBER(L556),IF(M556-L556&lt;=0,1,IF(20/(M556-L556)&gt;10,1,0)),IF(ISNUMBER(K556),IF(M556-K556&lt;=0,1,IF(25/(M556-K556)&gt;10,1,0)),IF(M556&lt;=0,1,IF(30/M556&gt;10,1,0)))),0)&gt;0,1,0))</f>
        <v/>
      </c>
      <c r="O556" s="22">
        <f>IF(AND(J556=1,N556=0),1,0)</f>
        <v/>
      </c>
      <c r="P556" s="22">
        <f>INDEX(Personendaten!$J$2:$J$32,MATCH(A556,Personendaten!$A$2:$A$32,0))</f>
        <v/>
      </c>
      <c r="Q556" s="22">
        <f>IF(O556=1,"",IF(AND(B556="post",P556="nicht angetreten"),"NANG",IF(N556=1,"AUSL",IFERROR(VLOOKUP(H556,Vokabular!$A$2:$B$8,2,FALSE),"UNBEKANNT"))))</f>
        <v/>
      </c>
    </row>
    <row r="557">
      <c r="A557" s="5" t="inlineStr">
        <is>
          <t>VS-18</t>
        </is>
      </c>
      <c r="B557" s="5" t="inlineStr">
        <is>
          <t>prä</t>
        </is>
      </c>
      <c r="C557" s="5" t="inlineStr">
        <is>
          <t>COD_505</t>
        </is>
      </c>
      <c r="D557" s="5" t="inlineStr">
        <is>
          <t>R</t>
        </is>
      </c>
      <c r="E557" s="5" t="n">
        <v>1</v>
      </c>
      <c r="F557" s="5" t="n"/>
      <c r="G557" s="5" t="n"/>
      <c r="H557" s="5" t="inlineStr">
        <is>
          <t>System nicht aufgenommen</t>
        </is>
      </c>
      <c r="I557" s="22">
        <f>INDEX(Personendaten!$C$2:$C$32,MATCH(A557,Personendaten!$A$2:$A$32,0))</f>
        <v/>
      </c>
      <c r="J557" s="22">
        <f>IF(AND(F557&lt;&gt;"",G557=""),1,0)</f>
        <v/>
      </c>
      <c r="K557" s="22">
        <f>IF(LEFT(C557,7)&lt;&gt;"Sprint_","",IF(COUNTIFS(Versuchsdaten!$A$2:$A$1117,$A557,Versuchsdaten!$B$2:$B$1117,$B557,Versuchsdaten!$C$2:$C$1117,"Sprint_5m",Versuchsdaten!$E$2:$E$1117,$E557,Versuchsdaten!$J$2:$J$1117,1)=1,SUMIFS(Versuchsdaten!$F$2:$F$1117,Versuchsdaten!$A$2:$A$1117,$A557,Versuchsdaten!$B$2:$B$1117,$B557,Versuchsdaten!$C$2:$C$1117,"Sprint_5m",Versuchsdaten!$E$2:$E$1117,$E557,Versuchsdaten!$J$2:$J$1117,1),""))</f>
        <v/>
      </c>
      <c r="L557" s="22">
        <f>IF(LEFT(C557,7)&lt;&gt;"Sprint_","",IF(COUNTIFS(Versuchsdaten!$A$2:$A$1117,$A557,Versuchsdaten!$B$2:$B$1117,$B557,Versuchsdaten!$C$2:$C$1117,"Sprint_10m",Versuchsdaten!$E$2:$E$1117,$E557,Versuchsdaten!$J$2:$J$1117,1)=1,SUMIFS(Versuchsdaten!$F$2:$F$1117,Versuchsdaten!$A$2:$A$1117,$A557,Versuchsdaten!$B$2:$B$1117,$B557,Versuchsdaten!$C$2:$C$1117,"Sprint_10m",Versuchsdaten!$E$2:$E$1117,$E557,Versuchsdaten!$J$2:$J$1117,1),""))</f>
        <v/>
      </c>
      <c r="M557" s="22">
        <f>IF(LEFT(C557,7)&lt;&gt;"Sprint_","",IF(COUNTIFS(Versuchsdaten!$A$2:$A$1117,$A557,Versuchsdaten!$B$2:$B$1117,$B557,Versuchsdaten!$C$2:$C$1117,"Sprint_30m",Versuchsdaten!$E$2:$E$1117,$E557,Versuchsdaten!$J$2:$J$1117,1)=1,SUMIFS(Versuchsdaten!$F$2:$F$1117,Versuchsdaten!$A$2:$A$1117,$A557,Versuchsdaten!$B$2:$B$1117,$B557,Versuchsdaten!$C$2:$C$1117,"Sprint_30m",Versuchsdaten!$E$2:$E$1117,$E557,Versuchsdaten!$J$2:$J$1117,1),""))</f>
        <v/>
      </c>
      <c r="N557" s="22">
        <f>IF(LEFT(C557,7)&lt;&gt;"Sprint_",0,IF(IF(ISNUMBER(K557),IF(K557&lt;=0,1,IF(5/K557&gt;10,1,0)),0)+IF(ISNUMBER(L557),IF(ISNUMBER(K557),IF(L557-K557&lt;=0,1,IF(5/(L557-K557)&gt;10,1,0)),IF(L557&lt;=0,1,IF(10/L557&gt;10,1,0))),0)+IF(ISNUMBER(M557),IF(ISNUMBER(L557),IF(M557-L557&lt;=0,1,IF(20/(M557-L557)&gt;10,1,0)),IF(ISNUMBER(K557),IF(M557-K557&lt;=0,1,IF(25/(M557-K557)&gt;10,1,0)),IF(M557&lt;=0,1,IF(30/M557&gt;10,1,0)))),0)&gt;0,1,0))</f>
        <v/>
      </c>
      <c r="O557" s="22">
        <f>IF(AND(J557=1,N557=0),1,0)</f>
        <v/>
      </c>
      <c r="P557" s="22">
        <f>INDEX(Personendaten!$J$2:$J$32,MATCH(A557,Personendaten!$A$2:$A$32,0))</f>
        <v/>
      </c>
      <c r="Q557" s="22">
        <f>IF(O557=1,"",IF(AND(B557="post",P557="nicht angetreten"),"NANG",IF(N557=1,"AUSL",IFERROR(VLOOKUP(H557,Vokabular!$A$2:$B$8,2,FALSE),"UNBEKANNT"))))</f>
        <v/>
      </c>
    </row>
    <row r="558">
      <c r="A558" s="5" t="inlineStr">
        <is>
          <t>VS-18</t>
        </is>
      </c>
      <c r="B558" s="5" t="inlineStr">
        <is>
          <t>prä</t>
        </is>
      </c>
      <c r="C558" s="5" t="inlineStr">
        <is>
          <t>COD_505</t>
        </is>
      </c>
      <c r="D558" s="5" t="inlineStr">
        <is>
          <t>R</t>
        </is>
      </c>
      <c r="E558" s="5" t="n">
        <v>2</v>
      </c>
      <c r="F558" s="5" t="n"/>
      <c r="G558" s="5" t="n"/>
      <c r="H558" s="5" t="inlineStr">
        <is>
          <t>System nicht aufgenommen</t>
        </is>
      </c>
      <c r="I558" s="22">
        <f>INDEX(Personendaten!$C$2:$C$32,MATCH(A558,Personendaten!$A$2:$A$32,0))</f>
        <v/>
      </c>
      <c r="J558" s="22">
        <f>IF(AND(F558&lt;&gt;"",G558=""),1,0)</f>
        <v/>
      </c>
      <c r="K558" s="22">
        <f>IF(LEFT(C558,7)&lt;&gt;"Sprint_","",IF(COUNTIFS(Versuchsdaten!$A$2:$A$1117,$A558,Versuchsdaten!$B$2:$B$1117,$B558,Versuchsdaten!$C$2:$C$1117,"Sprint_5m",Versuchsdaten!$E$2:$E$1117,$E558,Versuchsdaten!$J$2:$J$1117,1)=1,SUMIFS(Versuchsdaten!$F$2:$F$1117,Versuchsdaten!$A$2:$A$1117,$A558,Versuchsdaten!$B$2:$B$1117,$B558,Versuchsdaten!$C$2:$C$1117,"Sprint_5m",Versuchsdaten!$E$2:$E$1117,$E558,Versuchsdaten!$J$2:$J$1117,1),""))</f>
        <v/>
      </c>
      <c r="L558" s="22">
        <f>IF(LEFT(C558,7)&lt;&gt;"Sprint_","",IF(COUNTIFS(Versuchsdaten!$A$2:$A$1117,$A558,Versuchsdaten!$B$2:$B$1117,$B558,Versuchsdaten!$C$2:$C$1117,"Sprint_10m",Versuchsdaten!$E$2:$E$1117,$E558,Versuchsdaten!$J$2:$J$1117,1)=1,SUMIFS(Versuchsdaten!$F$2:$F$1117,Versuchsdaten!$A$2:$A$1117,$A558,Versuchsdaten!$B$2:$B$1117,$B558,Versuchsdaten!$C$2:$C$1117,"Sprint_10m",Versuchsdaten!$E$2:$E$1117,$E558,Versuchsdaten!$J$2:$J$1117,1),""))</f>
        <v/>
      </c>
      <c r="M558" s="22">
        <f>IF(LEFT(C558,7)&lt;&gt;"Sprint_","",IF(COUNTIFS(Versuchsdaten!$A$2:$A$1117,$A558,Versuchsdaten!$B$2:$B$1117,$B558,Versuchsdaten!$C$2:$C$1117,"Sprint_30m",Versuchsdaten!$E$2:$E$1117,$E558,Versuchsdaten!$J$2:$J$1117,1)=1,SUMIFS(Versuchsdaten!$F$2:$F$1117,Versuchsdaten!$A$2:$A$1117,$A558,Versuchsdaten!$B$2:$B$1117,$B558,Versuchsdaten!$C$2:$C$1117,"Sprint_30m",Versuchsdaten!$E$2:$E$1117,$E558,Versuchsdaten!$J$2:$J$1117,1),""))</f>
        <v/>
      </c>
      <c r="N558" s="22">
        <f>IF(LEFT(C558,7)&lt;&gt;"Sprint_",0,IF(IF(ISNUMBER(K558),IF(K558&lt;=0,1,IF(5/K558&gt;10,1,0)),0)+IF(ISNUMBER(L558),IF(ISNUMBER(K558),IF(L558-K558&lt;=0,1,IF(5/(L558-K558)&gt;10,1,0)),IF(L558&lt;=0,1,IF(10/L558&gt;10,1,0))),0)+IF(ISNUMBER(M558),IF(ISNUMBER(L558),IF(M558-L558&lt;=0,1,IF(20/(M558-L558)&gt;10,1,0)),IF(ISNUMBER(K558),IF(M558-K558&lt;=0,1,IF(25/(M558-K558)&gt;10,1,0)),IF(M558&lt;=0,1,IF(30/M558&gt;10,1,0)))),0)&gt;0,1,0))</f>
        <v/>
      </c>
      <c r="O558" s="22">
        <f>IF(AND(J558=1,N558=0),1,0)</f>
        <v/>
      </c>
      <c r="P558" s="22">
        <f>INDEX(Personendaten!$J$2:$J$32,MATCH(A558,Personendaten!$A$2:$A$32,0))</f>
        <v/>
      </c>
      <c r="Q558" s="22">
        <f>IF(O558=1,"",IF(AND(B558="post",P558="nicht angetreten"),"NANG",IF(N558=1,"AUSL",IFERROR(VLOOKUP(H558,Vokabular!$A$2:$B$8,2,FALSE),"UNBEKANNT"))))</f>
        <v/>
      </c>
    </row>
    <row r="559">
      <c r="A559" s="5" t="inlineStr">
        <is>
          <t>VS-18</t>
        </is>
      </c>
      <c r="B559" s="5" t="inlineStr">
        <is>
          <t>prä</t>
        </is>
      </c>
      <c r="C559" s="5" t="inlineStr">
        <is>
          <t>COD_505</t>
        </is>
      </c>
      <c r="D559" s="5" t="inlineStr">
        <is>
          <t>R</t>
        </is>
      </c>
      <c r="E559" s="5" t="n">
        <v>3</v>
      </c>
      <c r="F559" s="5" t="n"/>
      <c r="G559" s="5" t="n"/>
      <c r="H559" s="5" t="inlineStr">
        <is>
          <t>Nur 2 Versuche aus Zeitmangel</t>
        </is>
      </c>
      <c r="I559" s="22">
        <f>INDEX(Personendaten!$C$2:$C$32,MATCH(A559,Personendaten!$A$2:$A$32,0))</f>
        <v/>
      </c>
      <c r="J559" s="22">
        <f>IF(AND(F559&lt;&gt;"",G559=""),1,0)</f>
        <v/>
      </c>
      <c r="K559" s="22">
        <f>IF(LEFT(C559,7)&lt;&gt;"Sprint_","",IF(COUNTIFS(Versuchsdaten!$A$2:$A$1117,$A559,Versuchsdaten!$B$2:$B$1117,$B559,Versuchsdaten!$C$2:$C$1117,"Sprint_5m",Versuchsdaten!$E$2:$E$1117,$E559,Versuchsdaten!$J$2:$J$1117,1)=1,SUMIFS(Versuchsdaten!$F$2:$F$1117,Versuchsdaten!$A$2:$A$1117,$A559,Versuchsdaten!$B$2:$B$1117,$B559,Versuchsdaten!$C$2:$C$1117,"Sprint_5m",Versuchsdaten!$E$2:$E$1117,$E559,Versuchsdaten!$J$2:$J$1117,1),""))</f>
        <v/>
      </c>
      <c r="L559" s="22">
        <f>IF(LEFT(C559,7)&lt;&gt;"Sprint_","",IF(COUNTIFS(Versuchsdaten!$A$2:$A$1117,$A559,Versuchsdaten!$B$2:$B$1117,$B559,Versuchsdaten!$C$2:$C$1117,"Sprint_10m",Versuchsdaten!$E$2:$E$1117,$E559,Versuchsdaten!$J$2:$J$1117,1)=1,SUMIFS(Versuchsdaten!$F$2:$F$1117,Versuchsdaten!$A$2:$A$1117,$A559,Versuchsdaten!$B$2:$B$1117,$B559,Versuchsdaten!$C$2:$C$1117,"Sprint_10m",Versuchsdaten!$E$2:$E$1117,$E559,Versuchsdaten!$J$2:$J$1117,1),""))</f>
        <v/>
      </c>
      <c r="M559" s="22">
        <f>IF(LEFT(C559,7)&lt;&gt;"Sprint_","",IF(COUNTIFS(Versuchsdaten!$A$2:$A$1117,$A559,Versuchsdaten!$B$2:$B$1117,$B559,Versuchsdaten!$C$2:$C$1117,"Sprint_30m",Versuchsdaten!$E$2:$E$1117,$E559,Versuchsdaten!$J$2:$J$1117,1)=1,SUMIFS(Versuchsdaten!$F$2:$F$1117,Versuchsdaten!$A$2:$A$1117,$A559,Versuchsdaten!$B$2:$B$1117,$B559,Versuchsdaten!$C$2:$C$1117,"Sprint_30m",Versuchsdaten!$E$2:$E$1117,$E559,Versuchsdaten!$J$2:$J$1117,1),""))</f>
        <v/>
      </c>
      <c r="N559" s="22">
        <f>IF(LEFT(C559,7)&lt;&gt;"Sprint_",0,IF(IF(ISNUMBER(K559),IF(K559&lt;=0,1,IF(5/K559&gt;10,1,0)),0)+IF(ISNUMBER(L559),IF(ISNUMBER(K559),IF(L559-K559&lt;=0,1,IF(5/(L559-K559)&gt;10,1,0)),IF(L559&lt;=0,1,IF(10/L559&gt;10,1,0))),0)+IF(ISNUMBER(M559),IF(ISNUMBER(L559),IF(M559-L559&lt;=0,1,IF(20/(M559-L559)&gt;10,1,0)),IF(ISNUMBER(K559),IF(M559-K559&lt;=0,1,IF(25/(M559-K559)&gt;10,1,0)),IF(M559&lt;=0,1,IF(30/M559&gt;10,1,0)))),0)&gt;0,1,0))</f>
        <v/>
      </c>
      <c r="O559" s="22">
        <f>IF(AND(J559=1,N559=0),1,0)</f>
        <v/>
      </c>
      <c r="P559" s="22">
        <f>INDEX(Personendaten!$J$2:$J$32,MATCH(A559,Personendaten!$A$2:$A$32,0))</f>
        <v/>
      </c>
      <c r="Q559" s="22">
        <f>IF(O559=1,"",IF(AND(B559="post",P559="nicht angetreten"),"NANG",IF(N559=1,"AUSL",IFERROR(VLOOKUP(H559,Vokabular!$A$2:$B$8,2,FALSE),"UNBEKANNT"))))</f>
        <v/>
      </c>
    </row>
    <row r="560">
      <c r="A560" s="5" t="inlineStr">
        <is>
          <t>BW-01</t>
        </is>
      </c>
      <c r="B560" s="5" t="inlineStr">
        <is>
          <t>post</t>
        </is>
      </c>
      <c r="C560" s="5" t="inlineStr">
        <is>
          <t>Sprint_5m</t>
        </is>
      </c>
      <c r="D560" s="5" t="inlineStr">
        <is>
          <t>–</t>
        </is>
      </c>
      <c r="E560" s="5" t="n">
        <v>1</v>
      </c>
      <c r="F560" s="5" t="n">
        <v>1.12</v>
      </c>
      <c r="G560" s="5" t="n"/>
      <c r="H560" s="5" t="n"/>
      <c r="I560" s="22">
        <f>INDEX(Personendaten!$C$2:$C$32,MATCH(A560,Personendaten!$A$2:$A$32,0))</f>
        <v/>
      </c>
      <c r="J560" s="22">
        <f>IF(AND(F560&lt;&gt;"",G560=""),1,0)</f>
        <v/>
      </c>
      <c r="K560" s="22">
        <f>IF(LEFT(C560,7)&lt;&gt;"Sprint_","",IF(COUNTIFS(Versuchsdaten!$A$2:$A$1117,$A560,Versuchsdaten!$B$2:$B$1117,$B560,Versuchsdaten!$C$2:$C$1117,"Sprint_5m",Versuchsdaten!$E$2:$E$1117,$E560,Versuchsdaten!$J$2:$J$1117,1)=1,SUMIFS(Versuchsdaten!$F$2:$F$1117,Versuchsdaten!$A$2:$A$1117,$A560,Versuchsdaten!$B$2:$B$1117,$B560,Versuchsdaten!$C$2:$C$1117,"Sprint_5m",Versuchsdaten!$E$2:$E$1117,$E560,Versuchsdaten!$J$2:$J$1117,1),""))</f>
        <v/>
      </c>
      <c r="L560" s="22">
        <f>IF(LEFT(C560,7)&lt;&gt;"Sprint_","",IF(COUNTIFS(Versuchsdaten!$A$2:$A$1117,$A560,Versuchsdaten!$B$2:$B$1117,$B560,Versuchsdaten!$C$2:$C$1117,"Sprint_10m",Versuchsdaten!$E$2:$E$1117,$E560,Versuchsdaten!$J$2:$J$1117,1)=1,SUMIFS(Versuchsdaten!$F$2:$F$1117,Versuchsdaten!$A$2:$A$1117,$A560,Versuchsdaten!$B$2:$B$1117,$B560,Versuchsdaten!$C$2:$C$1117,"Sprint_10m",Versuchsdaten!$E$2:$E$1117,$E560,Versuchsdaten!$J$2:$J$1117,1),""))</f>
        <v/>
      </c>
      <c r="M560" s="22">
        <f>IF(LEFT(C560,7)&lt;&gt;"Sprint_","",IF(COUNTIFS(Versuchsdaten!$A$2:$A$1117,$A560,Versuchsdaten!$B$2:$B$1117,$B560,Versuchsdaten!$C$2:$C$1117,"Sprint_30m",Versuchsdaten!$E$2:$E$1117,$E560,Versuchsdaten!$J$2:$J$1117,1)=1,SUMIFS(Versuchsdaten!$F$2:$F$1117,Versuchsdaten!$A$2:$A$1117,$A560,Versuchsdaten!$B$2:$B$1117,$B560,Versuchsdaten!$C$2:$C$1117,"Sprint_30m",Versuchsdaten!$E$2:$E$1117,$E560,Versuchsdaten!$J$2:$J$1117,1),""))</f>
        <v/>
      </c>
      <c r="N560" s="22">
        <f>IF(LEFT(C560,7)&lt;&gt;"Sprint_",0,IF(IF(ISNUMBER(K560),IF(K560&lt;=0,1,IF(5/K560&gt;10,1,0)),0)+IF(ISNUMBER(L560),IF(ISNUMBER(K560),IF(L560-K560&lt;=0,1,IF(5/(L560-K560)&gt;10,1,0)),IF(L560&lt;=0,1,IF(10/L560&gt;10,1,0))),0)+IF(ISNUMBER(M560),IF(ISNUMBER(L560),IF(M560-L560&lt;=0,1,IF(20/(M560-L560)&gt;10,1,0)),IF(ISNUMBER(K560),IF(M560-K560&lt;=0,1,IF(25/(M560-K560)&gt;10,1,0)),IF(M560&lt;=0,1,IF(30/M560&gt;10,1,0)))),0)&gt;0,1,0))</f>
        <v/>
      </c>
      <c r="O560" s="22">
        <f>IF(AND(J560=1,N560=0),1,0)</f>
        <v/>
      </c>
      <c r="P560" s="22">
        <f>INDEX(Personendaten!$J$2:$J$32,MATCH(A560,Personendaten!$A$2:$A$32,0))</f>
        <v/>
      </c>
      <c r="Q560" s="22">
        <f>IF(O560=1,"",IF(AND(B560="post",P560="nicht angetreten"),"NANG",IF(N560=1,"AUSL",IFERROR(VLOOKUP(H560,Vokabular!$A$2:$B$8,2,FALSE),"UNBEKANNT"))))</f>
        <v/>
      </c>
    </row>
    <row r="561">
      <c r="A561" s="5" t="inlineStr">
        <is>
          <t>BW-01</t>
        </is>
      </c>
      <c r="B561" s="5" t="inlineStr">
        <is>
          <t>post</t>
        </is>
      </c>
      <c r="C561" s="5" t="inlineStr">
        <is>
          <t>Sprint_5m</t>
        </is>
      </c>
      <c r="D561" s="5" t="inlineStr">
        <is>
          <t>–</t>
        </is>
      </c>
      <c r="E561" s="5" t="n">
        <v>2</v>
      </c>
      <c r="F561" s="5" t="n">
        <v>1.08</v>
      </c>
      <c r="G561" s="5" t="n"/>
      <c r="H561" s="5" t="n"/>
      <c r="I561" s="22">
        <f>INDEX(Personendaten!$C$2:$C$32,MATCH(A561,Personendaten!$A$2:$A$32,0))</f>
        <v/>
      </c>
      <c r="J561" s="22">
        <f>IF(AND(F561&lt;&gt;"",G561=""),1,0)</f>
        <v/>
      </c>
      <c r="K561" s="22">
        <f>IF(LEFT(C561,7)&lt;&gt;"Sprint_","",IF(COUNTIFS(Versuchsdaten!$A$2:$A$1117,$A561,Versuchsdaten!$B$2:$B$1117,$B561,Versuchsdaten!$C$2:$C$1117,"Sprint_5m",Versuchsdaten!$E$2:$E$1117,$E561,Versuchsdaten!$J$2:$J$1117,1)=1,SUMIFS(Versuchsdaten!$F$2:$F$1117,Versuchsdaten!$A$2:$A$1117,$A561,Versuchsdaten!$B$2:$B$1117,$B561,Versuchsdaten!$C$2:$C$1117,"Sprint_5m",Versuchsdaten!$E$2:$E$1117,$E561,Versuchsdaten!$J$2:$J$1117,1),""))</f>
        <v/>
      </c>
      <c r="L561" s="22">
        <f>IF(LEFT(C561,7)&lt;&gt;"Sprint_","",IF(COUNTIFS(Versuchsdaten!$A$2:$A$1117,$A561,Versuchsdaten!$B$2:$B$1117,$B561,Versuchsdaten!$C$2:$C$1117,"Sprint_10m",Versuchsdaten!$E$2:$E$1117,$E561,Versuchsdaten!$J$2:$J$1117,1)=1,SUMIFS(Versuchsdaten!$F$2:$F$1117,Versuchsdaten!$A$2:$A$1117,$A561,Versuchsdaten!$B$2:$B$1117,$B561,Versuchsdaten!$C$2:$C$1117,"Sprint_10m",Versuchsdaten!$E$2:$E$1117,$E561,Versuchsdaten!$J$2:$J$1117,1),""))</f>
        <v/>
      </c>
      <c r="M561" s="22">
        <f>IF(LEFT(C561,7)&lt;&gt;"Sprint_","",IF(COUNTIFS(Versuchsdaten!$A$2:$A$1117,$A561,Versuchsdaten!$B$2:$B$1117,$B561,Versuchsdaten!$C$2:$C$1117,"Sprint_30m",Versuchsdaten!$E$2:$E$1117,$E561,Versuchsdaten!$J$2:$J$1117,1)=1,SUMIFS(Versuchsdaten!$F$2:$F$1117,Versuchsdaten!$A$2:$A$1117,$A561,Versuchsdaten!$B$2:$B$1117,$B561,Versuchsdaten!$C$2:$C$1117,"Sprint_30m",Versuchsdaten!$E$2:$E$1117,$E561,Versuchsdaten!$J$2:$J$1117,1),""))</f>
        <v/>
      </c>
      <c r="N561" s="22">
        <f>IF(LEFT(C561,7)&lt;&gt;"Sprint_",0,IF(IF(ISNUMBER(K561),IF(K561&lt;=0,1,IF(5/K561&gt;10,1,0)),0)+IF(ISNUMBER(L561),IF(ISNUMBER(K561),IF(L561-K561&lt;=0,1,IF(5/(L561-K561)&gt;10,1,0)),IF(L561&lt;=0,1,IF(10/L561&gt;10,1,0))),0)+IF(ISNUMBER(M561),IF(ISNUMBER(L561),IF(M561-L561&lt;=0,1,IF(20/(M561-L561)&gt;10,1,0)),IF(ISNUMBER(K561),IF(M561-K561&lt;=0,1,IF(25/(M561-K561)&gt;10,1,0)),IF(M561&lt;=0,1,IF(30/M561&gt;10,1,0)))),0)&gt;0,1,0))</f>
        <v/>
      </c>
      <c r="O561" s="22">
        <f>IF(AND(J561=1,N561=0),1,0)</f>
        <v/>
      </c>
      <c r="P561" s="22">
        <f>INDEX(Personendaten!$J$2:$J$32,MATCH(A561,Personendaten!$A$2:$A$32,0))</f>
        <v/>
      </c>
      <c r="Q561" s="22">
        <f>IF(O561=1,"",IF(AND(B561="post",P561="nicht angetreten"),"NANG",IF(N561=1,"AUSL",IFERROR(VLOOKUP(H561,Vokabular!$A$2:$B$8,2,FALSE),"UNBEKANNT"))))</f>
        <v/>
      </c>
    </row>
    <row r="562">
      <c r="A562" s="5" t="inlineStr">
        <is>
          <t>BW-01</t>
        </is>
      </c>
      <c r="B562" s="5" t="inlineStr">
        <is>
          <t>post</t>
        </is>
      </c>
      <c r="C562" s="5" t="inlineStr">
        <is>
          <t>Sprint_5m</t>
        </is>
      </c>
      <c r="D562" s="5" t="inlineStr">
        <is>
          <t>–</t>
        </is>
      </c>
      <c r="E562" s="5" t="n">
        <v>3</v>
      </c>
      <c r="F562" s="5" t="n">
        <v>1.09</v>
      </c>
      <c r="G562" s="5" t="n"/>
      <c r="H562" s="5" t="n"/>
      <c r="I562" s="22">
        <f>INDEX(Personendaten!$C$2:$C$32,MATCH(A562,Personendaten!$A$2:$A$32,0))</f>
        <v/>
      </c>
      <c r="J562" s="22">
        <f>IF(AND(F562&lt;&gt;"",G562=""),1,0)</f>
        <v/>
      </c>
      <c r="K562" s="22">
        <f>IF(LEFT(C562,7)&lt;&gt;"Sprint_","",IF(COUNTIFS(Versuchsdaten!$A$2:$A$1117,$A562,Versuchsdaten!$B$2:$B$1117,$B562,Versuchsdaten!$C$2:$C$1117,"Sprint_5m",Versuchsdaten!$E$2:$E$1117,$E562,Versuchsdaten!$J$2:$J$1117,1)=1,SUMIFS(Versuchsdaten!$F$2:$F$1117,Versuchsdaten!$A$2:$A$1117,$A562,Versuchsdaten!$B$2:$B$1117,$B562,Versuchsdaten!$C$2:$C$1117,"Sprint_5m",Versuchsdaten!$E$2:$E$1117,$E562,Versuchsdaten!$J$2:$J$1117,1),""))</f>
        <v/>
      </c>
      <c r="L562" s="22">
        <f>IF(LEFT(C562,7)&lt;&gt;"Sprint_","",IF(COUNTIFS(Versuchsdaten!$A$2:$A$1117,$A562,Versuchsdaten!$B$2:$B$1117,$B562,Versuchsdaten!$C$2:$C$1117,"Sprint_10m",Versuchsdaten!$E$2:$E$1117,$E562,Versuchsdaten!$J$2:$J$1117,1)=1,SUMIFS(Versuchsdaten!$F$2:$F$1117,Versuchsdaten!$A$2:$A$1117,$A562,Versuchsdaten!$B$2:$B$1117,$B562,Versuchsdaten!$C$2:$C$1117,"Sprint_10m",Versuchsdaten!$E$2:$E$1117,$E562,Versuchsdaten!$J$2:$J$1117,1),""))</f>
        <v/>
      </c>
      <c r="M562" s="22">
        <f>IF(LEFT(C562,7)&lt;&gt;"Sprint_","",IF(COUNTIFS(Versuchsdaten!$A$2:$A$1117,$A562,Versuchsdaten!$B$2:$B$1117,$B562,Versuchsdaten!$C$2:$C$1117,"Sprint_30m",Versuchsdaten!$E$2:$E$1117,$E562,Versuchsdaten!$J$2:$J$1117,1)=1,SUMIFS(Versuchsdaten!$F$2:$F$1117,Versuchsdaten!$A$2:$A$1117,$A562,Versuchsdaten!$B$2:$B$1117,$B562,Versuchsdaten!$C$2:$C$1117,"Sprint_30m",Versuchsdaten!$E$2:$E$1117,$E562,Versuchsdaten!$J$2:$J$1117,1),""))</f>
        <v/>
      </c>
      <c r="N562" s="22">
        <f>IF(LEFT(C562,7)&lt;&gt;"Sprint_",0,IF(IF(ISNUMBER(K562),IF(K562&lt;=0,1,IF(5/K562&gt;10,1,0)),0)+IF(ISNUMBER(L562),IF(ISNUMBER(K562),IF(L562-K562&lt;=0,1,IF(5/(L562-K562)&gt;10,1,0)),IF(L562&lt;=0,1,IF(10/L562&gt;10,1,0))),0)+IF(ISNUMBER(M562),IF(ISNUMBER(L562),IF(M562-L562&lt;=0,1,IF(20/(M562-L562)&gt;10,1,0)),IF(ISNUMBER(K562),IF(M562-K562&lt;=0,1,IF(25/(M562-K562)&gt;10,1,0)),IF(M562&lt;=0,1,IF(30/M562&gt;10,1,0)))),0)&gt;0,1,0))</f>
        <v/>
      </c>
      <c r="O562" s="22">
        <f>IF(AND(J562=1,N562=0),1,0)</f>
        <v/>
      </c>
      <c r="P562" s="22">
        <f>INDEX(Personendaten!$J$2:$J$32,MATCH(A562,Personendaten!$A$2:$A$32,0))</f>
        <v/>
      </c>
      <c r="Q562" s="22">
        <f>IF(O562=1,"",IF(AND(B562="post",P562="nicht angetreten"),"NANG",IF(N562=1,"AUSL",IFERROR(VLOOKUP(H562,Vokabular!$A$2:$B$8,2,FALSE),"UNBEKANNT"))))</f>
        <v/>
      </c>
    </row>
    <row r="563">
      <c r="A563" s="5" t="inlineStr">
        <is>
          <t>BW-01</t>
        </is>
      </c>
      <c r="B563" s="5" t="inlineStr">
        <is>
          <t>post</t>
        </is>
      </c>
      <c r="C563" s="5" t="inlineStr">
        <is>
          <t>Sprint_10m</t>
        </is>
      </c>
      <c r="D563" s="5" t="inlineStr">
        <is>
          <t>–</t>
        </is>
      </c>
      <c r="E563" s="5" t="n">
        <v>1</v>
      </c>
      <c r="F563" s="5" t="n"/>
      <c r="G563" s="5" t="n"/>
      <c r="H563" s="5" t="inlineStr">
        <is>
          <t>System falsch aufgenommen</t>
        </is>
      </c>
      <c r="I563" s="22">
        <f>INDEX(Personendaten!$C$2:$C$32,MATCH(A563,Personendaten!$A$2:$A$32,0))</f>
        <v/>
      </c>
      <c r="J563" s="22">
        <f>IF(AND(F563&lt;&gt;"",G563=""),1,0)</f>
        <v/>
      </c>
      <c r="K563" s="22">
        <f>IF(LEFT(C563,7)&lt;&gt;"Sprint_","",IF(COUNTIFS(Versuchsdaten!$A$2:$A$1117,$A563,Versuchsdaten!$B$2:$B$1117,$B563,Versuchsdaten!$C$2:$C$1117,"Sprint_5m",Versuchsdaten!$E$2:$E$1117,$E563,Versuchsdaten!$J$2:$J$1117,1)=1,SUMIFS(Versuchsdaten!$F$2:$F$1117,Versuchsdaten!$A$2:$A$1117,$A563,Versuchsdaten!$B$2:$B$1117,$B563,Versuchsdaten!$C$2:$C$1117,"Sprint_5m",Versuchsdaten!$E$2:$E$1117,$E563,Versuchsdaten!$J$2:$J$1117,1),""))</f>
        <v/>
      </c>
      <c r="L563" s="22">
        <f>IF(LEFT(C563,7)&lt;&gt;"Sprint_","",IF(COUNTIFS(Versuchsdaten!$A$2:$A$1117,$A563,Versuchsdaten!$B$2:$B$1117,$B563,Versuchsdaten!$C$2:$C$1117,"Sprint_10m",Versuchsdaten!$E$2:$E$1117,$E563,Versuchsdaten!$J$2:$J$1117,1)=1,SUMIFS(Versuchsdaten!$F$2:$F$1117,Versuchsdaten!$A$2:$A$1117,$A563,Versuchsdaten!$B$2:$B$1117,$B563,Versuchsdaten!$C$2:$C$1117,"Sprint_10m",Versuchsdaten!$E$2:$E$1117,$E563,Versuchsdaten!$J$2:$J$1117,1),""))</f>
        <v/>
      </c>
      <c r="M563" s="22">
        <f>IF(LEFT(C563,7)&lt;&gt;"Sprint_","",IF(COUNTIFS(Versuchsdaten!$A$2:$A$1117,$A563,Versuchsdaten!$B$2:$B$1117,$B563,Versuchsdaten!$C$2:$C$1117,"Sprint_30m",Versuchsdaten!$E$2:$E$1117,$E563,Versuchsdaten!$J$2:$J$1117,1)=1,SUMIFS(Versuchsdaten!$F$2:$F$1117,Versuchsdaten!$A$2:$A$1117,$A563,Versuchsdaten!$B$2:$B$1117,$B563,Versuchsdaten!$C$2:$C$1117,"Sprint_30m",Versuchsdaten!$E$2:$E$1117,$E563,Versuchsdaten!$J$2:$J$1117,1),""))</f>
        <v/>
      </c>
      <c r="N563" s="22">
        <f>IF(LEFT(C563,7)&lt;&gt;"Sprint_",0,IF(IF(ISNUMBER(K563),IF(K563&lt;=0,1,IF(5/K563&gt;10,1,0)),0)+IF(ISNUMBER(L563),IF(ISNUMBER(K563),IF(L563-K563&lt;=0,1,IF(5/(L563-K563)&gt;10,1,0)),IF(L563&lt;=0,1,IF(10/L563&gt;10,1,0))),0)+IF(ISNUMBER(M563),IF(ISNUMBER(L563),IF(M563-L563&lt;=0,1,IF(20/(M563-L563)&gt;10,1,0)),IF(ISNUMBER(K563),IF(M563-K563&lt;=0,1,IF(25/(M563-K563)&gt;10,1,0)),IF(M563&lt;=0,1,IF(30/M563&gt;10,1,0)))),0)&gt;0,1,0))</f>
        <v/>
      </c>
      <c r="O563" s="22">
        <f>IF(AND(J563=1,N563=0),1,0)</f>
        <v/>
      </c>
      <c r="P563" s="22">
        <f>INDEX(Personendaten!$J$2:$J$32,MATCH(A563,Personendaten!$A$2:$A$32,0))</f>
        <v/>
      </c>
      <c r="Q563" s="22">
        <f>IF(O563=1,"",IF(AND(B563="post",P563="nicht angetreten"),"NANG",IF(N563=1,"AUSL",IFERROR(VLOOKUP(H563,Vokabular!$A$2:$B$8,2,FALSE),"UNBEKANNT"))))</f>
        <v/>
      </c>
    </row>
    <row r="564">
      <c r="A564" s="5" t="inlineStr">
        <is>
          <t>BW-01</t>
        </is>
      </c>
      <c r="B564" s="5" t="inlineStr">
        <is>
          <t>post</t>
        </is>
      </c>
      <c r="C564" s="5" t="inlineStr">
        <is>
          <t>Sprint_10m</t>
        </is>
      </c>
      <c r="D564" s="5" t="inlineStr">
        <is>
          <t>–</t>
        </is>
      </c>
      <c r="E564" s="5" t="n">
        <v>2</v>
      </c>
      <c r="F564" s="5" t="n"/>
      <c r="G564" s="5" t="n"/>
      <c r="H564" s="5" t="inlineStr">
        <is>
          <t>System falsch aufgenommen</t>
        </is>
      </c>
      <c r="I564" s="22">
        <f>INDEX(Personendaten!$C$2:$C$32,MATCH(A564,Personendaten!$A$2:$A$32,0))</f>
        <v/>
      </c>
      <c r="J564" s="22">
        <f>IF(AND(F564&lt;&gt;"",G564=""),1,0)</f>
        <v/>
      </c>
      <c r="K564" s="22">
        <f>IF(LEFT(C564,7)&lt;&gt;"Sprint_","",IF(COUNTIFS(Versuchsdaten!$A$2:$A$1117,$A564,Versuchsdaten!$B$2:$B$1117,$B564,Versuchsdaten!$C$2:$C$1117,"Sprint_5m",Versuchsdaten!$E$2:$E$1117,$E564,Versuchsdaten!$J$2:$J$1117,1)=1,SUMIFS(Versuchsdaten!$F$2:$F$1117,Versuchsdaten!$A$2:$A$1117,$A564,Versuchsdaten!$B$2:$B$1117,$B564,Versuchsdaten!$C$2:$C$1117,"Sprint_5m",Versuchsdaten!$E$2:$E$1117,$E564,Versuchsdaten!$J$2:$J$1117,1),""))</f>
        <v/>
      </c>
      <c r="L564" s="22">
        <f>IF(LEFT(C564,7)&lt;&gt;"Sprint_","",IF(COUNTIFS(Versuchsdaten!$A$2:$A$1117,$A564,Versuchsdaten!$B$2:$B$1117,$B564,Versuchsdaten!$C$2:$C$1117,"Sprint_10m",Versuchsdaten!$E$2:$E$1117,$E564,Versuchsdaten!$J$2:$J$1117,1)=1,SUMIFS(Versuchsdaten!$F$2:$F$1117,Versuchsdaten!$A$2:$A$1117,$A564,Versuchsdaten!$B$2:$B$1117,$B564,Versuchsdaten!$C$2:$C$1117,"Sprint_10m",Versuchsdaten!$E$2:$E$1117,$E564,Versuchsdaten!$J$2:$J$1117,1),""))</f>
        <v/>
      </c>
      <c r="M564" s="22">
        <f>IF(LEFT(C564,7)&lt;&gt;"Sprint_","",IF(COUNTIFS(Versuchsdaten!$A$2:$A$1117,$A564,Versuchsdaten!$B$2:$B$1117,$B564,Versuchsdaten!$C$2:$C$1117,"Sprint_30m",Versuchsdaten!$E$2:$E$1117,$E564,Versuchsdaten!$J$2:$J$1117,1)=1,SUMIFS(Versuchsdaten!$F$2:$F$1117,Versuchsdaten!$A$2:$A$1117,$A564,Versuchsdaten!$B$2:$B$1117,$B564,Versuchsdaten!$C$2:$C$1117,"Sprint_30m",Versuchsdaten!$E$2:$E$1117,$E564,Versuchsdaten!$J$2:$J$1117,1),""))</f>
        <v/>
      </c>
      <c r="N564" s="22">
        <f>IF(LEFT(C564,7)&lt;&gt;"Sprint_",0,IF(IF(ISNUMBER(K564),IF(K564&lt;=0,1,IF(5/K564&gt;10,1,0)),0)+IF(ISNUMBER(L564),IF(ISNUMBER(K564),IF(L564-K564&lt;=0,1,IF(5/(L564-K564)&gt;10,1,0)),IF(L564&lt;=0,1,IF(10/L564&gt;10,1,0))),0)+IF(ISNUMBER(M564),IF(ISNUMBER(L564),IF(M564-L564&lt;=0,1,IF(20/(M564-L564)&gt;10,1,0)),IF(ISNUMBER(K564),IF(M564-K564&lt;=0,1,IF(25/(M564-K564)&gt;10,1,0)),IF(M564&lt;=0,1,IF(30/M564&gt;10,1,0)))),0)&gt;0,1,0))</f>
        <v/>
      </c>
      <c r="O564" s="22">
        <f>IF(AND(J564=1,N564=0),1,0)</f>
        <v/>
      </c>
      <c r="P564" s="22">
        <f>INDEX(Personendaten!$J$2:$J$32,MATCH(A564,Personendaten!$A$2:$A$32,0))</f>
        <v/>
      </c>
      <c r="Q564" s="22">
        <f>IF(O564=1,"",IF(AND(B564="post",P564="nicht angetreten"),"NANG",IF(N564=1,"AUSL",IFERROR(VLOOKUP(H564,Vokabular!$A$2:$B$8,2,FALSE),"UNBEKANNT"))))</f>
        <v/>
      </c>
    </row>
    <row r="565">
      <c r="A565" s="5" t="inlineStr">
        <is>
          <t>BW-01</t>
        </is>
      </c>
      <c r="B565" s="5" t="inlineStr">
        <is>
          <t>post</t>
        </is>
      </c>
      <c r="C565" s="5" t="inlineStr">
        <is>
          <t>Sprint_10m</t>
        </is>
      </c>
      <c r="D565" s="5" t="inlineStr">
        <is>
          <t>–</t>
        </is>
      </c>
      <c r="E565" s="5" t="n">
        <v>3</v>
      </c>
      <c r="F565" s="5" t="n"/>
      <c r="G565" s="5" t="n"/>
      <c r="H565" s="5" t="inlineStr">
        <is>
          <t>System falsch aufgenommen</t>
        </is>
      </c>
      <c r="I565" s="22">
        <f>INDEX(Personendaten!$C$2:$C$32,MATCH(A565,Personendaten!$A$2:$A$32,0))</f>
        <v/>
      </c>
      <c r="J565" s="22">
        <f>IF(AND(F565&lt;&gt;"",G565=""),1,0)</f>
        <v/>
      </c>
      <c r="K565" s="22">
        <f>IF(LEFT(C565,7)&lt;&gt;"Sprint_","",IF(COUNTIFS(Versuchsdaten!$A$2:$A$1117,$A565,Versuchsdaten!$B$2:$B$1117,$B565,Versuchsdaten!$C$2:$C$1117,"Sprint_5m",Versuchsdaten!$E$2:$E$1117,$E565,Versuchsdaten!$J$2:$J$1117,1)=1,SUMIFS(Versuchsdaten!$F$2:$F$1117,Versuchsdaten!$A$2:$A$1117,$A565,Versuchsdaten!$B$2:$B$1117,$B565,Versuchsdaten!$C$2:$C$1117,"Sprint_5m",Versuchsdaten!$E$2:$E$1117,$E565,Versuchsdaten!$J$2:$J$1117,1),""))</f>
        <v/>
      </c>
      <c r="L565" s="22">
        <f>IF(LEFT(C565,7)&lt;&gt;"Sprint_","",IF(COUNTIFS(Versuchsdaten!$A$2:$A$1117,$A565,Versuchsdaten!$B$2:$B$1117,$B565,Versuchsdaten!$C$2:$C$1117,"Sprint_10m",Versuchsdaten!$E$2:$E$1117,$E565,Versuchsdaten!$J$2:$J$1117,1)=1,SUMIFS(Versuchsdaten!$F$2:$F$1117,Versuchsdaten!$A$2:$A$1117,$A565,Versuchsdaten!$B$2:$B$1117,$B565,Versuchsdaten!$C$2:$C$1117,"Sprint_10m",Versuchsdaten!$E$2:$E$1117,$E565,Versuchsdaten!$J$2:$J$1117,1),""))</f>
        <v/>
      </c>
      <c r="M565" s="22">
        <f>IF(LEFT(C565,7)&lt;&gt;"Sprint_","",IF(COUNTIFS(Versuchsdaten!$A$2:$A$1117,$A565,Versuchsdaten!$B$2:$B$1117,$B565,Versuchsdaten!$C$2:$C$1117,"Sprint_30m",Versuchsdaten!$E$2:$E$1117,$E565,Versuchsdaten!$J$2:$J$1117,1)=1,SUMIFS(Versuchsdaten!$F$2:$F$1117,Versuchsdaten!$A$2:$A$1117,$A565,Versuchsdaten!$B$2:$B$1117,$B565,Versuchsdaten!$C$2:$C$1117,"Sprint_30m",Versuchsdaten!$E$2:$E$1117,$E565,Versuchsdaten!$J$2:$J$1117,1),""))</f>
        <v/>
      </c>
      <c r="N565" s="22">
        <f>IF(LEFT(C565,7)&lt;&gt;"Sprint_",0,IF(IF(ISNUMBER(K565),IF(K565&lt;=0,1,IF(5/K565&gt;10,1,0)),0)+IF(ISNUMBER(L565),IF(ISNUMBER(K565),IF(L565-K565&lt;=0,1,IF(5/(L565-K565)&gt;10,1,0)),IF(L565&lt;=0,1,IF(10/L565&gt;10,1,0))),0)+IF(ISNUMBER(M565),IF(ISNUMBER(L565),IF(M565-L565&lt;=0,1,IF(20/(M565-L565)&gt;10,1,0)),IF(ISNUMBER(K565),IF(M565-K565&lt;=0,1,IF(25/(M565-K565)&gt;10,1,0)),IF(M565&lt;=0,1,IF(30/M565&gt;10,1,0)))),0)&gt;0,1,0))</f>
        <v/>
      </c>
      <c r="O565" s="22">
        <f>IF(AND(J565=1,N565=0),1,0)</f>
        <v/>
      </c>
      <c r="P565" s="22">
        <f>INDEX(Personendaten!$J$2:$J$32,MATCH(A565,Personendaten!$A$2:$A$32,0))</f>
        <v/>
      </c>
      <c r="Q565" s="22">
        <f>IF(O565=1,"",IF(AND(B565="post",P565="nicht angetreten"),"NANG",IF(N565=1,"AUSL",IFERROR(VLOOKUP(H565,Vokabular!$A$2:$B$8,2,FALSE),"UNBEKANNT"))))</f>
        <v/>
      </c>
    </row>
    <row r="566">
      <c r="A566" s="5" t="inlineStr">
        <is>
          <t>BW-01</t>
        </is>
      </c>
      <c r="B566" s="5" t="inlineStr">
        <is>
          <t>post</t>
        </is>
      </c>
      <c r="C566" s="5" t="inlineStr">
        <is>
          <t>Sprint_30m</t>
        </is>
      </c>
      <c r="D566" s="5" t="inlineStr">
        <is>
          <t>–</t>
        </is>
      </c>
      <c r="E566" s="5" t="n">
        <v>1</v>
      </c>
      <c r="F566" s="5" t="n">
        <v>4.62</v>
      </c>
      <c r="G566" s="5" t="n"/>
      <c r="H566" s="5" t="n"/>
      <c r="I566" s="22">
        <f>INDEX(Personendaten!$C$2:$C$32,MATCH(A566,Personendaten!$A$2:$A$32,0))</f>
        <v/>
      </c>
      <c r="J566" s="22">
        <f>IF(AND(F566&lt;&gt;"",G566=""),1,0)</f>
        <v/>
      </c>
      <c r="K566" s="22">
        <f>IF(LEFT(C566,7)&lt;&gt;"Sprint_","",IF(COUNTIFS(Versuchsdaten!$A$2:$A$1117,$A566,Versuchsdaten!$B$2:$B$1117,$B566,Versuchsdaten!$C$2:$C$1117,"Sprint_5m",Versuchsdaten!$E$2:$E$1117,$E566,Versuchsdaten!$J$2:$J$1117,1)=1,SUMIFS(Versuchsdaten!$F$2:$F$1117,Versuchsdaten!$A$2:$A$1117,$A566,Versuchsdaten!$B$2:$B$1117,$B566,Versuchsdaten!$C$2:$C$1117,"Sprint_5m",Versuchsdaten!$E$2:$E$1117,$E566,Versuchsdaten!$J$2:$J$1117,1),""))</f>
        <v/>
      </c>
      <c r="L566" s="22">
        <f>IF(LEFT(C566,7)&lt;&gt;"Sprint_","",IF(COUNTIFS(Versuchsdaten!$A$2:$A$1117,$A566,Versuchsdaten!$B$2:$B$1117,$B566,Versuchsdaten!$C$2:$C$1117,"Sprint_10m",Versuchsdaten!$E$2:$E$1117,$E566,Versuchsdaten!$J$2:$J$1117,1)=1,SUMIFS(Versuchsdaten!$F$2:$F$1117,Versuchsdaten!$A$2:$A$1117,$A566,Versuchsdaten!$B$2:$B$1117,$B566,Versuchsdaten!$C$2:$C$1117,"Sprint_10m",Versuchsdaten!$E$2:$E$1117,$E566,Versuchsdaten!$J$2:$J$1117,1),""))</f>
        <v/>
      </c>
      <c r="M566" s="22">
        <f>IF(LEFT(C566,7)&lt;&gt;"Sprint_","",IF(COUNTIFS(Versuchsdaten!$A$2:$A$1117,$A566,Versuchsdaten!$B$2:$B$1117,$B566,Versuchsdaten!$C$2:$C$1117,"Sprint_30m",Versuchsdaten!$E$2:$E$1117,$E566,Versuchsdaten!$J$2:$J$1117,1)=1,SUMIFS(Versuchsdaten!$F$2:$F$1117,Versuchsdaten!$A$2:$A$1117,$A566,Versuchsdaten!$B$2:$B$1117,$B566,Versuchsdaten!$C$2:$C$1117,"Sprint_30m",Versuchsdaten!$E$2:$E$1117,$E566,Versuchsdaten!$J$2:$J$1117,1),""))</f>
        <v/>
      </c>
      <c r="N566" s="22">
        <f>IF(LEFT(C566,7)&lt;&gt;"Sprint_",0,IF(IF(ISNUMBER(K566),IF(K566&lt;=0,1,IF(5/K566&gt;10,1,0)),0)+IF(ISNUMBER(L566),IF(ISNUMBER(K566),IF(L566-K566&lt;=0,1,IF(5/(L566-K566)&gt;10,1,0)),IF(L566&lt;=0,1,IF(10/L566&gt;10,1,0))),0)+IF(ISNUMBER(M566),IF(ISNUMBER(L566),IF(M566-L566&lt;=0,1,IF(20/(M566-L566)&gt;10,1,0)),IF(ISNUMBER(K566),IF(M566-K566&lt;=0,1,IF(25/(M566-K566)&gt;10,1,0)),IF(M566&lt;=0,1,IF(30/M566&gt;10,1,0)))),0)&gt;0,1,0))</f>
        <v/>
      </c>
      <c r="O566" s="22">
        <f>IF(AND(J566=1,N566=0),1,0)</f>
        <v/>
      </c>
      <c r="P566" s="22">
        <f>INDEX(Personendaten!$J$2:$J$32,MATCH(A566,Personendaten!$A$2:$A$32,0))</f>
        <v/>
      </c>
      <c r="Q566" s="22">
        <f>IF(O566=1,"",IF(AND(B566="post",P566="nicht angetreten"),"NANG",IF(N566=1,"AUSL",IFERROR(VLOOKUP(H566,Vokabular!$A$2:$B$8,2,FALSE),"UNBEKANNT"))))</f>
        <v/>
      </c>
    </row>
    <row r="567">
      <c r="A567" s="5" t="inlineStr">
        <is>
          <t>BW-01</t>
        </is>
      </c>
      <c r="B567" s="5" t="inlineStr">
        <is>
          <t>post</t>
        </is>
      </c>
      <c r="C567" s="5" t="inlineStr">
        <is>
          <t>Sprint_30m</t>
        </is>
      </c>
      <c r="D567" s="5" t="inlineStr">
        <is>
          <t>–</t>
        </is>
      </c>
      <c r="E567" s="5" t="n">
        <v>2</v>
      </c>
      <c r="F567" s="5" t="n">
        <v>4.54</v>
      </c>
      <c r="G567" s="5" t="n"/>
      <c r="H567" s="5" t="n"/>
      <c r="I567" s="22">
        <f>INDEX(Personendaten!$C$2:$C$32,MATCH(A567,Personendaten!$A$2:$A$32,0))</f>
        <v/>
      </c>
      <c r="J567" s="22">
        <f>IF(AND(F567&lt;&gt;"",G567=""),1,0)</f>
        <v/>
      </c>
      <c r="K567" s="22">
        <f>IF(LEFT(C567,7)&lt;&gt;"Sprint_","",IF(COUNTIFS(Versuchsdaten!$A$2:$A$1117,$A567,Versuchsdaten!$B$2:$B$1117,$B567,Versuchsdaten!$C$2:$C$1117,"Sprint_5m",Versuchsdaten!$E$2:$E$1117,$E567,Versuchsdaten!$J$2:$J$1117,1)=1,SUMIFS(Versuchsdaten!$F$2:$F$1117,Versuchsdaten!$A$2:$A$1117,$A567,Versuchsdaten!$B$2:$B$1117,$B567,Versuchsdaten!$C$2:$C$1117,"Sprint_5m",Versuchsdaten!$E$2:$E$1117,$E567,Versuchsdaten!$J$2:$J$1117,1),""))</f>
        <v/>
      </c>
      <c r="L567" s="22">
        <f>IF(LEFT(C567,7)&lt;&gt;"Sprint_","",IF(COUNTIFS(Versuchsdaten!$A$2:$A$1117,$A567,Versuchsdaten!$B$2:$B$1117,$B567,Versuchsdaten!$C$2:$C$1117,"Sprint_10m",Versuchsdaten!$E$2:$E$1117,$E567,Versuchsdaten!$J$2:$J$1117,1)=1,SUMIFS(Versuchsdaten!$F$2:$F$1117,Versuchsdaten!$A$2:$A$1117,$A567,Versuchsdaten!$B$2:$B$1117,$B567,Versuchsdaten!$C$2:$C$1117,"Sprint_10m",Versuchsdaten!$E$2:$E$1117,$E567,Versuchsdaten!$J$2:$J$1117,1),""))</f>
        <v/>
      </c>
      <c r="M567" s="22">
        <f>IF(LEFT(C567,7)&lt;&gt;"Sprint_","",IF(COUNTIFS(Versuchsdaten!$A$2:$A$1117,$A567,Versuchsdaten!$B$2:$B$1117,$B567,Versuchsdaten!$C$2:$C$1117,"Sprint_30m",Versuchsdaten!$E$2:$E$1117,$E567,Versuchsdaten!$J$2:$J$1117,1)=1,SUMIFS(Versuchsdaten!$F$2:$F$1117,Versuchsdaten!$A$2:$A$1117,$A567,Versuchsdaten!$B$2:$B$1117,$B567,Versuchsdaten!$C$2:$C$1117,"Sprint_30m",Versuchsdaten!$E$2:$E$1117,$E567,Versuchsdaten!$J$2:$J$1117,1),""))</f>
        <v/>
      </c>
      <c r="N567" s="22">
        <f>IF(LEFT(C567,7)&lt;&gt;"Sprint_",0,IF(IF(ISNUMBER(K567),IF(K567&lt;=0,1,IF(5/K567&gt;10,1,0)),0)+IF(ISNUMBER(L567),IF(ISNUMBER(K567),IF(L567-K567&lt;=0,1,IF(5/(L567-K567)&gt;10,1,0)),IF(L567&lt;=0,1,IF(10/L567&gt;10,1,0))),0)+IF(ISNUMBER(M567),IF(ISNUMBER(L567),IF(M567-L567&lt;=0,1,IF(20/(M567-L567)&gt;10,1,0)),IF(ISNUMBER(K567),IF(M567-K567&lt;=0,1,IF(25/(M567-K567)&gt;10,1,0)),IF(M567&lt;=0,1,IF(30/M567&gt;10,1,0)))),0)&gt;0,1,0))</f>
        <v/>
      </c>
      <c r="O567" s="22">
        <f>IF(AND(J567=1,N567=0),1,0)</f>
        <v/>
      </c>
      <c r="P567" s="22">
        <f>INDEX(Personendaten!$J$2:$J$32,MATCH(A567,Personendaten!$A$2:$A$32,0))</f>
        <v/>
      </c>
      <c r="Q567" s="22">
        <f>IF(O567=1,"",IF(AND(B567="post",P567="nicht angetreten"),"NANG",IF(N567=1,"AUSL",IFERROR(VLOOKUP(H567,Vokabular!$A$2:$B$8,2,FALSE),"UNBEKANNT"))))</f>
        <v/>
      </c>
    </row>
    <row r="568">
      <c r="A568" s="5" t="inlineStr">
        <is>
          <t>BW-01</t>
        </is>
      </c>
      <c r="B568" s="5" t="inlineStr">
        <is>
          <t>post</t>
        </is>
      </c>
      <c r="C568" s="5" t="inlineStr">
        <is>
          <t>Sprint_30m</t>
        </is>
      </c>
      <c r="D568" s="5" t="inlineStr">
        <is>
          <t>–</t>
        </is>
      </c>
      <c r="E568" s="5" t="n">
        <v>3</v>
      </c>
      <c r="F568" s="5" t="n">
        <v>4.55</v>
      </c>
      <c r="G568" s="5" t="n"/>
      <c r="H568" s="5" t="n"/>
      <c r="I568" s="22">
        <f>INDEX(Personendaten!$C$2:$C$32,MATCH(A568,Personendaten!$A$2:$A$32,0))</f>
        <v/>
      </c>
      <c r="J568" s="22">
        <f>IF(AND(F568&lt;&gt;"",G568=""),1,0)</f>
        <v/>
      </c>
      <c r="K568" s="22">
        <f>IF(LEFT(C568,7)&lt;&gt;"Sprint_","",IF(COUNTIFS(Versuchsdaten!$A$2:$A$1117,$A568,Versuchsdaten!$B$2:$B$1117,$B568,Versuchsdaten!$C$2:$C$1117,"Sprint_5m",Versuchsdaten!$E$2:$E$1117,$E568,Versuchsdaten!$J$2:$J$1117,1)=1,SUMIFS(Versuchsdaten!$F$2:$F$1117,Versuchsdaten!$A$2:$A$1117,$A568,Versuchsdaten!$B$2:$B$1117,$B568,Versuchsdaten!$C$2:$C$1117,"Sprint_5m",Versuchsdaten!$E$2:$E$1117,$E568,Versuchsdaten!$J$2:$J$1117,1),""))</f>
        <v/>
      </c>
      <c r="L568" s="22">
        <f>IF(LEFT(C568,7)&lt;&gt;"Sprint_","",IF(COUNTIFS(Versuchsdaten!$A$2:$A$1117,$A568,Versuchsdaten!$B$2:$B$1117,$B568,Versuchsdaten!$C$2:$C$1117,"Sprint_10m",Versuchsdaten!$E$2:$E$1117,$E568,Versuchsdaten!$J$2:$J$1117,1)=1,SUMIFS(Versuchsdaten!$F$2:$F$1117,Versuchsdaten!$A$2:$A$1117,$A568,Versuchsdaten!$B$2:$B$1117,$B568,Versuchsdaten!$C$2:$C$1117,"Sprint_10m",Versuchsdaten!$E$2:$E$1117,$E568,Versuchsdaten!$J$2:$J$1117,1),""))</f>
        <v/>
      </c>
      <c r="M568" s="22">
        <f>IF(LEFT(C568,7)&lt;&gt;"Sprint_","",IF(COUNTIFS(Versuchsdaten!$A$2:$A$1117,$A568,Versuchsdaten!$B$2:$B$1117,$B568,Versuchsdaten!$C$2:$C$1117,"Sprint_30m",Versuchsdaten!$E$2:$E$1117,$E568,Versuchsdaten!$J$2:$J$1117,1)=1,SUMIFS(Versuchsdaten!$F$2:$F$1117,Versuchsdaten!$A$2:$A$1117,$A568,Versuchsdaten!$B$2:$B$1117,$B568,Versuchsdaten!$C$2:$C$1117,"Sprint_30m",Versuchsdaten!$E$2:$E$1117,$E568,Versuchsdaten!$J$2:$J$1117,1),""))</f>
        <v/>
      </c>
      <c r="N568" s="22">
        <f>IF(LEFT(C568,7)&lt;&gt;"Sprint_",0,IF(IF(ISNUMBER(K568),IF(K568&lt;=0,1,IF(5/K568&gt;10,1,0)),0)+IF(ISNUMBER(L568),IF(ISNUMBER(K568),IF(L568-K568&lt;=0,1,IF(5/(L568-K568)&gt;10,1,0)),IF(L568&lt;=0,1,IF(10/L568&gt;10,1,0))),0)+IF(ISNUMBER(M568),IF(ISNUMBER(L568),IF(M568-L568&lt;=0,1,IF(20/(M568-L568)&gt;10,1,0)),IF(ISNUMBER(K568),IF(M568-K568&lt;=0,1,IF(25/(M568-K568)&gt;10,1,0)),IF(M568&lt;=0,1,IF(30/M568&gt;10,1,0)))),0)&gt;0,1,0))</f>
        <v/>
      </c>
      <c r="O568" s="22">
        <f>IF(AND(J568=1,N568=0),1,0)</f>
        <v/>
      </c>
      <c r="P568" s="22">
        <f>INDEX(Personendaten!$J$2:$J$32,MATCH(A568,Personendaten!$A$2:$A$32,0))</f>
        <v/>
      </c>
      <c r="Q568" s="22">
        <f>IF(O568=1,"",IF(AND(B568="post",P568="nicht angetreten"),"NANG",IF(N568=1,"AUSL",IFERROR(VLOOKUP(H568,Vokabular!$A$2:$B$8,2,FALSE),"UNBEKANNT"))))</f>
        <v/>
      </c>
    </row>
    <row r="569">
      <c r="A569" s="5" t="inlineStr">
        <is>
          <t>BW-01</t>
        </is>
      </c>
      <c r="B569" s="5" t="inlineStr">
        <is>
          <t>post</t>
        </is>
      </c>
      <c r="C569" s="5" t="inlineStr">
        <is>
          <t>Standweitsprung</t>
        </is>
      </c>
      <c r="D569" s="5" t="inlineStr">
        <is>
          <t>–</t>
        </is>
      </c>
      <c r="E569" s="5" t="n">
        <v>1</v>
      </c>
      <c r="F569" s="5" t="n">
        <v>218</v>
      </c>
      <c r="G569" s="5" t="n"/>
      <c r="H569" s="5" t="n"/>
      <c r="I569" s="22">
        <f>INDEX(Personendaten!$C$2:$C$32,MATCH(A569,Personendaten!$A$2:$A$32,0))</f>
        <v/>
      </c>
      <c r="J569" s="22">
        <f>IF(AND(F569&lt;&gt;"",G569=""),1,0)</f>
        <v/>
      </c>
      <c r="K569" s="22">
        <f>IF(LEFT(C569,7)&lt;&gt;"Sprint_","",IF(COUNTIFS(Versuchsdaten!$A$2:$A$1117,$A569,Versuchsdaten!$B$2:$B$1117,$B569,Versuchsdaten!$C$2:$C$1117,"Sprint_5m",Versuchsdaten!$E$2:$E$1117,$E569,Versuchsdaten!$J$2:$J$1117,1)=1,SUMIFS(Versuchsdaten!$F$2:$F$1117,Versuchsdaten!$A$2:$A$1117,$A569,Versuchsdaten!$B$2:$B$1117,$B569,Versuchsdaten!$C$2:$C$1117,"Sprint_5m",Versuchsdaten!$E$2:$E$1117,$E569,Versuchsdaten!$J$2:$J$1117,1),""))</f>
        <v/>
      </c>
      <c r="L569" s="22">
        <f>IF(LEFT(C569,7)&lt;&gt;"Sprint_","",IF(COUNTIFS(Versuchsdaten!$A$2:$A$1117,$A569,Versuchsdaten!$B$2:$B$1117,$B569,Versuchsdaten!$C$2:$C$1117,"Sprint_10m",Versuchsdaten!$E$2:$E$1117,$E569,Versuchsdaten!$J$2:$J$1117,1)=1,SUMIFS(Versuchsdaten!$F$2:$F$1117,Versuchsdaten!$A$2:$A$1117,$A569,Versuchsdaten!$B$2:$B$1117,$B569,Versuchsdaten!$C$2:$C$1117,"Sprint_10m",Versuchsdaten!$E$2:$E$1117,$E569,Versuchsdaten!$J$2:$J$1117,1),""))</f>
        <v/>
      </c>
      <c r="M569" s="22">
        <f>IF(LEFT(C569,7)&lt;&gt;"Sprint_","",IF(COUNTIFS(Versuchsdaten!$A$2:$A$1117,$A569,Versuchsdaten!$B$2:$B$1117,$B569,Versuchsdaten!$C$2:$C$1117,"Sprint_30m",Versuchsdaten!$E$2:$E$1117,$E569,Versuchsdaten!$J$2:$J$1117,1)=1,SUMIFS(Versuchsdaten!$F$2:$F$1117,Versuchsdaten!$A$2:$A$1117,$A569,Versuchsdaten!$B$2:$B$1117,$B569,Versuchsdaten!$C$2:$C$1117,"Sprint_30m",Versuchsdaten!$E$2:$E$1117,$E569,Versuchsdaten!$J$2:$J$1117,1),""))</f>
        <v/>
      </c>
      <c r="N569" s="22">
        <f>IF(LEFT(C569,7)&lt;&gt;"Sprint_",0,IF(IF(ISNUMBER(K569),IF(K569&lt;=0,1,IF(5/K569&gt;10,1,0)),0)+IF(ISNUMBER(L569),IF(ISNUMBER(K569),IF(L569-K569&lt;=0,1,IF(5/(L569-K569)&gt;10,1,0)),IF(L569&lt;=0,1,IF(10/L569&gt;10,1,0))),0)+IF(ISNUMBER(M569),IF(ISNUMBER(L569),IF(M569-L569&lt;=0,1,IF(20/(M569-L569)&gt;10,1,0)),IF(ISNUMBER(K569),IF(M569-K569&lt;=0,1,IF(25/(M569-K569)&gt;10,1,0)),IF(M569&lt;=0,1,IF(30/M569&gt;10,1,0)))),0)&gt;0,1,0))</f>
        <v/>
      </c>
      <c r="O569" s="22">
        <f>IF(AND(J569=1,N569=0),1,0)</f>
        <v/>
      </c>
      <c r="P569" s="22">
        <f>INDEX(Personendaten!$J$2:$J$32,MATCH(A569,Personendaten!$A$2:$A$32,0))</f>
        <v/>
      </c>
      <c r="Q569" s="22">
        <f>IF(O569=1,"",IF(AND(B569="post",P569="nicht angetreten"),"NANG",IF(N569=1,"AUSL",IFERROR(VLOOKUP(H569,Vokabular!$A$2:$B$8,2,FALSE),"UNBEKANNT"))))</f>
        <v/>
      </c>
    </row>
    <row r="570">
      <c r="A570" s="5" t="inlineStr">
        <is>
          <t>BW-01</t>
        </is>
      </c>
      <c r="B570" s="5" t="inlineStr">
        <is>
          <t>post</t>
        </is>
      </c>
      <c r="C570" s="5" t="inlineStr">
        <is>
          <t>Standweitsprung</t>
        </is>
      </c>
      <c r="D570" s="5" t="inlineStr">
        <is>
          <t>–</t>
        </is>
      </c>
      <c r="E570" s="5" t="n">
        <v>2</v>
      </c>
      <c r="F570" s="5" t="n"/>
      <c r="G570" s="5" t="inlineStr">
        <is>
          <t>x</t>
        </is>
      </c>
      <c r="H570" s="5" t="inlineStr">
        <is>
          <t>Fehlversuch</t>
        </is>
      </c>
      <c r="I570" s="22">
        <f>INDEX(Personendaten!$C$2:$C$32,MATCH(A570,Personendaten!$A$2:$A$32,0))</f>
        <v/>
      </c>
      <c r="J570" s="22">
        <f>IF(AND(F570&lt;&gt;"",G570=""),1,0)</f>
        <v/>
      </c>
      <c r="K570" s="22">
        <f>IF(LEFT(C570,7)&lt;&gt;"Sprint_","",IF(COUNTIFS(Versuchsdaten!$A$2:$A$1117,$A570,Versuchsdaten!$B$2:$B$1117,$B570,Versuchsdaten!$C$2:$C$1117,"Sprint_5m",Versuchsdaten!$E$2:$E$1117,$E570,Versuchsdaten!$J$2:$J$1117,1)=1,SUMIFS(Versuchsdaten!$F$2:$F$1117,Versuchsdaten!$A$2:$A$1117,$A570,Versuchsdaten!$B$2:$B$1117,$B570,Versuchsdaten!$C$2:$C$1117,"Sprint_5m",Versuchsdaten!$E$2:$E$1117,$E570,Versuchsdaten!$J$2:$J$1117,1),""))</f>
        <v/>
      </c>
      <c r="L570" s="22">
        <f>IF(LEFT(C570,7)&lt;&gt;"Sprint_","",IF(COUNTIFS(Versuchsdaten!$A$2:$A$1117,$A570,Versuchsdaten!$B$2:$B$1117,$B570,Versuchsdaten!$C$2:$C$1117,"Sprint_10m",Versuchsdaten!$E$2:$E$1117,$E570,Versuchsdaten!$J$2:$J$1117,1)=1,SUMIFS(Versuchsdaten!$F$2:$F$1117,Versuchsdaten!$A$2:$A$1117,$A570,Versuchsdaten!$B$2:$B$1117,$B570,Versuchsdaten!$C$2:$C$1117,"Sprint_10m",Versuchsdaten!$E$2:$E$1117,$E570,Versuchsdaten!$J$2:$J$1117,1),""))</f>
        <v/>
      </c>
      <c r="M570" s="22">
        <f>IF(LEFT(C570,7)&lt;&gt;"Sprint_","",IF(COUNTIFS(Versuchsdaten!$A$2:$A$1117,$A570,Versuchsdaten!$B$2:$B$1117,$B570,Versuchsdaten!$C$2:$C$1117,"Sprint_30m",Versuchsdaten!$E$2:$E$1117,$E570,Versuchsdaten!$J$2:$J$1117,1)=1,SUMIFS(Versuchsdaten!$F$2:$F$1117,Versuchsdaten!$A$2:$A$1117,$A570,Versuchsdaten!$B$2:$B$1117,$B570,Versuchsdaten!$C$2:$C$1117,"Sprint_30m",Versuchsdaten!$E$2:$E$1117,$E570,Versuchsdaten!$J$2:$J$1117,1),""))</f>
        <v/>
      </c>
      <c r="N570" s="22">
        <f>IF(LEFT(C570,7)&lt;&gt;"Sprint_",0,IF(IF(ISNUMBER(K570),IF(K570&lt;=0,1,IF(5/K570&gt;10,1,0)),0)+IF(ISNUMBER(L570),IF(ISNUMBER(K570),IF(L570-K570&lt;=0,1,IF(5/(L570-K570)&gt;10,1,0)),IF(L570&lt;=0,1,IF(10/L570&gt;10,1,0))),0)+IF(ISNUMBER(M570),IF(ISNUMBER(L570),IF(M570-L570&lt;=0,1,IF(20/(M570-L570)&gt;10,1,0)),IF(ISNUMBER(K570),IF(M570-K570&lt;=0,1,IF(25/(M570-K570)&gt;10,1,0)),IF(M570&lt;=0,1,IF(30/M570&gt;10,1,0)))),0)&gt;0,1,0))</f>
        <v/>
      </c>
      <c r="O570" s="22">
        <f>IF(AND(J570=1,N570=0),1,0)</f>
        <v/>
      </c>
      <c r="P570" s="22">
        <f>INDEX(Personendaten!$J$2:$J$32,MATCH(A570,Personendaten!$A$2:$A$32,0))</f>
        <v/>
      </c>
      <c r="Q570" s="22">
        <f>IF(O570=1,"",IF(AND(B570="post",P570="nicht angetreten"),"NANG",IF(N570=1,"AUSL",IFERROR(VLOOKUP(H570,Vokabular!$A$2:$B$8,2,FALSE),"UNBEKANNT"))))</f>
        <v/>
      </c>
    </row>
    <row r="571">
      <c r="A571" s="5" t="inlineStr">
        <is>
          <t>BW-01</t>
        </is>
      </c>
      <c r="B571" s="5" t="inlineStr">
        <is>
          <t>post</t>
        </is>
      </c>
      <c r="C571" s="5" t="inlineStr">
        <is>
          <t>Standweitsprung</t>
        </is>
      </c>
      <c r="D571" s="5" t="inlineStr">
        <is>
          <t>–</t>
        </is>
      </c>
      <c r="E571" s="5" t="n">
        <v>3</v>
      </c>
      <c r="F571" s="5" t="n">
        <v>214</v>
      </c>
      <c r="G571" s="5" t="n"/>
      <c r="H571" s="5" t="n"/>
      <c r="I571" s="22">
        <f>INDEX(Personendaten!$C$2:$C$32,MATCH(A571,Personendaten!$A$2:$A$32,0))</f>
        <v/>
      </c>
      <c r="J571" s="22">
        <f>IF(AND(F571&lt;&gt;"",G571=""),1,0)</f>
        <v/>
      </c>
      <c r="K571" s="22">
        <f>IF(LEFT(C571,7)&lt;&gt;"Sprint_","",IF(COUNTIFS(Versuchsdaten!$A$2:$A$1117,$A571,Versuchsdaten!$B$2:$B$1117,$B571,Versuchsdaten!$C$2:$C$1117,"Sprint_5m",Versuchsdaten!$E$2:$E$1117,$E571,Versuchsdaten!$J$2:$J$1117,1)=1,SUMIFS(Versuchsdaten!$F$2:$F$1117,Versuchsdaten!$A$2:$A$1117,$A571,Versuchsdaten!$B$2:$B$1117,$B571,Versuchsdaten!$C$2:$C$1117,"Sprint_5m",Versuchsdaten!$E$2:$E$1117,$E571,Versuchsdaten!$J$2:$J$1117,1),""))</f>
        <v/>
      </c>
      <c r="L571" s="22">
        <f>IF(LEFT(C571,7)&lt;&gt;"Sprint_","",IF(COUNTIFS(Versuchsdaten!$A$2:$A$1117,$A571,Versuchsdaten!$B$2:$B$1117,$B571,Versuchsdaten!$C$2:$C$1117,"Sprint_10m",Versuchsdaten!$E$2:$E$1117,$E571,Versuchsdaten!$J$2:$J$1117,1)=1,SUMIFS(Versuchsdaten!$F$2:$F$1117,Versuchsdaten!$A$2:$A$1117,$A571,Versuchsdaten!$B$2:$B$1117,$B571,Versuchsdaten!$C$2:$C$1117,"Sprint_10m",Versuchsdaten!$E$2:$E$1117,$E571,Versuchsdaten!$J$2:$J$1117,1),""))</f>
        <v/>
      </c>
      <c r="M571" s="22">
        <f>IF(LEFT(C571,7)&lt;&gt;"Sprint_","",IF(COUNTIFS(Versuchsdaten!$A$2:$A$1117,$A571,Versuchsdaten!$B$2:$B$1117,$B571,Versuchsdaten!$C$2:$C$1117,"Sprint_30m",Versuchsdaten!$E$2:$E$1117,$E571,Versuchsdaten!$J$2:$J$1117,1)=1,SUMIFS(Versuchsdaten!$F$2:$F$1117,Versuchsdaten!$A$2:$A$1117,$A571,Versuchsdaten!$B$2:$B$1117,$B571,Versuchsdaten!$C$2:$C$1117,"Sprint_30m",Versuchsdaten!$E$2:$E$1117,$E571,Versuchsdaten!$J$2:$J$1117,1),""))</f>
        <v/>
      </c>
      <c r="N571" s="22">
        <f>IF(LEFT(C571,7)&lt;&gt;"Sprint_",0,IF(IF(ISNUMBER(K571),IF(K571&lt;=0,1,IF(5/K571&gt;10,1,0)),0)+IF(ISNUMBER(L571),IF(ISNUMBER(K571),IF(L571-K571&lt;=0,1,IF(5/(L571-K571)&gt;10,1,0)),IF(L571&lt;=0,1,IF(10/L571&gt;10,1,0))),0)+IF(ISNUMBER(M571),IF(ISNUMBER(L571),IF(M571-L571&lt;=0,1,IF(20/(M571-L571)&gt;10,1,0)),IF(ISNUMBER(K571),IF(M571-K571&lt;=0,1,IF(25/(M571-K571)&gt;10,1,0)),IF(M571&lt;=0,1,IF(30/M571&gt;10,1,0)))),0)&gt;0,1,0))</f>
        <v/>
      </c>
      <c r="O571" s="22">
        <f>IF(AND(J571=1,N571=0),1,0)</f>
        <v/>
      </c>
      <c r="P571" s="22">
        <f>INDEX(Personendaten!$J$2:$J$32,MATCH(A571,Personendaten!$A$2:$A$32,0))</f>
        <v/>
      </c>
      <c r="Q571" s="22">
        <f>IF(O571=1,"",IF(AND(B571="post",P571="nicht angetreten"),"NANG",IF(N571=1,"AUSL",IFERROR(VLOOKUP(H571,Vokabular!$A$2:$B$8,2,FALSE),"UNBEKANNT"))))</f>
        <v/>
      </c>
    </row>
    <row r="572">
      <c r="A572" s="5" t="inlineStr">
        <is>
          <t>BW-01</t>
        </is>
      </c>
      <c r="B572" s="5" t="inlineStr">
        <is>
          <t>post</t>
        </is>
      </c>
      <c r="C572" s="5" t="inlineStr">
        <is>
          <t>COD_505</t>
        </is>
      </c>
      <c r="D572" s="5" t="inlineStr">
        <is>
          <t>L</t>
        </is>
      </c>
      <c r="E572" s="5" t="n">
        <v>1</v>
      </c>
      <c r="F572" s="5" t="n">
        <v>2.57</v>
      </c>
      <c r="G572" s="5" t="n"/>
      <c r="H572" s="5" t="n"/>
      <c r="I572" s="22">
        <f>INDEX(Personendaten!$C$2:$C$32,MATCH(A572,Personendaten!$A$2:$A$32,0))</f>
        <v/>
      </c>
      <c r="J572" s="22">
        <f>IF(AND(F572&lt;&gt;"",G572=""),1,0)</f>
        <v/>
      </c>
      <c r="K572" s="22">
        <f>IF(LEFT(C572,7)&lt;&gt;"Sprint_","",IF(COUNTIFS(Versuchsdaten!$A$2:$A$1117,$A572,Versuchsdaten!$B$2:$B$1117,$B572,Versuchsdaten!$C$2:$C$1117,"Sprint_5m",Versuchsdaten!$E$2:$E$1117,$E572,Versuchsdaten!$J$2:$J$1117,1)=1,SUMIFS(Versuchsdaten!$F$2:$F$1117,Versuchsdaten!$A$2:$A$1117,$A572,Versuchsdaten!$B$2:$B$1117,$B572,Versuchsdaten!$C$2:$C$1117,"Sprint_5m",Versuchsdaten!$E$2:$E$1117,$E572,Versuchsdaten!$J$2:$J$1117,1),""))</f>
        <v/>
      </c>
      <c r="L572" s="22">
        <f>IF(LEFT(C572,7)&lt;&gt;"Sprint_","",IF(COUNTIFS(Versuchsdaten!$A$2:$A$1117,$A572,Versuchsdaten!$B$2:$B$1117,$B572,Versuchsdaten!$C$2:$C$1117,"Sprint_10m",Versuchsdaten!$E$2:$E$1117,$E572,Versuchsdaten!$J$2:$J$1117,1)=1,SUMIFS(Versuchsdaten!$F$2:$F$1117,Versuchsdaten!$A$2:$A$1117,$A572,Versuchsdaten!$B$2:$B$1117,$B572,Versuchsdaten!$C$2:$C$1117,"Sprint_10m",Versuchsdaten!$E$2:$E$1117,$E572,Versuchsdaten!$J$2:$J$1117,1),""))</f>
        <v/>
      </c>
      <c r="M572" s="22">
        <f>IF(LEFT(C572,7)&lt;&gt;"Sprint_","",IF(COUNTIFS(Versuchsdaten!$A$2:$A$1117,$A572,Versuchsdaten!$B$2:$B$1117,$B572,Versuchsdaten!$C$2:$C$1117,"Sprint_30m",Versuchsdaten!$E$2:$E$1117,$E572,Versuchsdaten!$J$2:$J$1117,1)=1,SUMIFS(Versuchsdaten!$F$2:$F$1117,Versuchsdaten!$A$2:$A$1117,$A572,Versuchsdaten!$B$2:$B$1117,$B572,Versuchsdaten!$C$2:$C$1117,"Sprint_30m",Versuchsdaten!$E$2:$E$1117,$E572,Versuchsdaten!$J$2:$J$1117,1),""))</f>
        <v/>
      </c>
      <c r="N572" s="22">
        <f>IF(LEFT(C572,7)&lt;&gt;"Sprint_",0,IF(IF(ISNUMBER(K572),IF(K572&lt;=0,1,IF(5/K572&gt;10,1,0)),0)+IF(ISNUMBER(L572),IF(ISNUMBER(K572),IF(L572-K572&lt;=0,1,IF(5/(L572-K572)&gt;10,1,0)),IF(L572&lt;=0,1,IF(10/L572&gt;10,1,0))),0)+IF(ISNUMBER(M572),IF(ISNUMBER(L572),IF(M572-L572&lt;=0,1,IF(20/(M572-L572)&gt;10,1,0)),IF(ISNUMBER(K572),IF(M572-K572&lt;=0,1,IF(25/(M572-K572)&gt;10,1,0)),IF(M572&lt;=0,1,IF(30/M572&gt;10,1,0)))),0)&gt;0,1,0))</f>
        <v/>
      </c>
      <c r="O572" s="22">
        <f>IF(AND(J572=1,N572=0),1,0)</f>
        <v/>
      </c>
      <c r="P572" s="22">
        <f>INDEX(Personendaten!$J$2:$J$32,MATCH(A572,Personendaten!$A$2:$A$32,0))</f>
        <v/>
      </c>
      <c r="Q572" s="22">
        <f>IF(O572=1,"",IF(AND(B572="post",P572="nicht angetreten"),"NANG",IF(N572=1,"AUSL",IFERROR(VLOOKUP(H572,Vokabular!$A$2:$B$8,2,FALSE),"UNBEKANNT"))))</f>
        <v/>
      </c>
    </row>
    <row r="573">
      <c r="A573" s="5" t="inlineStr">
        <is>
          <t>BW-01</t>
        </is>
      </c>
      <c r="B573" s="5" t="inlineStr">
        <is>
          <t>post</t>
        </is>
      </c>
      <c r="C573" s="5" t="inlineStr">
        <is>
          <t>COD_505</t>
        </is>
      </c>
      <c r="D573" s="5" t="inlineStr">
        <is>
          <t>L</t>
        </is>
      </c>
      <c r="E573" s="5" t="n">
        <v>2</v>
      </c>
      <c r="F573" s="5" t="n">
        <v>2.41</v>
      </c>
      <c r="G573" s="5" t="n"/>
      <c r="H573" s="5" t="n"/>
      <c r="I573" s="22">
        <f>INDEX(Personendaten!$C$2:$C$32,MATCH(A573,Personendaten!$A$2:$A$32,0))</f>
        <v/>
      </c>
      <c r="J573" s="22">
        <f>IF(AND(F573&lt;&gt;"",G573=""),1,0)</f>
        <v/>
      </c>
      <c r="K573" s="22">
        <f>IF(LEFT(C573,7)&lt;&gt;"Sprint_","",IF(COUNTIFS(Versuchsdaten!$A$2:$A$1117,$A573,Versuchsdaten!$B$2:$B$1117,$B573,Versuchsdaten!$C$2:$C$1117,"Sprint_5m",Versuchsdaten!$E$2:$E$1117,$E573,Versuchsdaten!$J$2:$J$1117,1)=1,SUMIFS(Versuchsdaten!$F$2:$F$1117,Versuchsdaten!$A$2:$A$1117,$A573,Versuchsdaten!$B$2:$B$1117,$B573,Versuchsdaten!$C$2:$C$1117,"Sprint_5m",Versuchsdaten!$E$2:$E$1117,$E573,Versuchsdaten!$J$2:$J$1117,1),""))</f>
        <v/>
      </c>
      <c r="L573" s="22">
        <f>IF(LEFT(C573,7)&lt;&gt;"Sprint_","",IF(COUNTIFS(Versuchsdaten!$A$2:$A$1117,$A573,Versuchsdaten!$B$2:$B$1117,$B573,Versuchsdaten!$C$2:$C$1117,"Sprint_10m",Versuchsdaten!$E$2:$E$1117,$E573,Versuchsdaten!$J$2:$J$1117,1)=1,SUMIFS(Versuchsdaten!$F$2:$F$1117,Versuchsdaten!$A$2:$A$1117,$A573,Versuchsdaten!$B$2:$B$1117,$B573,Versuchsdaten!$C$2:$C$1117,"Sprint_10m",Versuchsdaten!$E$2:$E$1117,$E573,Versuchsdaten!$J$2:$J$1117,1),""))</f>
        <v/>
      </c>
      <c r="M573" s="22">
        <f>IF(LEFT(C573,7)&lt;&gt;"Sprint_","",IF(COUNTIFS(Versuchsdaten!$A$2:$A$1117,$A573,Versuchsdaten!$B$2:$B$1117,$B573,Versuchsdaten!$C$2:$C$1117,"Sprint_30m",Versuchsdaten!$E$2:$E$1117,$E573,Versuchsdaten!$J$2:$J$1117,1)=1,SUMIFS(Versuchsdaten!$F$2:$F$1117,Versuchsdaten!$A$2:$A$1117,$A573,Versuchsdaten!$B$2:$B$1117,$B573,Versuchsdaten!$C$2:$C$1117,"Sprint_30m",Versuchsdaten!$E$2:$E$1117,$E573,Versuchsdaten!$J$2:$J$1117,1),""))</f>
        <v/>
      </c>
      <c r="N573" s="22">
        <f>IF(LEFT(C573,7)&lt;&gt;"Sprint_",0,IF(IF(ISNUMBER(K573),IF(K573&lt;=0,1,IF(5/K573&gt;10,1,0)),0)+IF(ISNUMBER(L573),IF(ISNUMBER(K573),IF(L573-K573&lt;=0,1,IF(5/(L573-K573)&gt;10,1,0)),IF(L573&lt;=0,1,IF(10/L573&gt;10,1,0))),0)+IF(ISNUMBER(M573),IF(ISNUMBER(L573),IF(M573-L573&lt;=0,1,IF(20/(M573-L573)&gt;10,1,0)),IF(ISNUMBER(K573),IF(M573-K573&lt;=0,1,IF(25/(M573-K573)&gt;10,1,0)),IF(M573&lt;=0,1,IF(30/M573&gt;10,1,0)))),0)&gt;0,1,0))</f>
        <v/>
      </c>
      <c r="O573" s="22">
        <f>IF(AND(J573=1,N573=0),1,0)</f>
        <v/>
      </c>
      <c r="P573" s="22">
        <f>INDEX(Personendaten!$J$2:$J$32,MATCH(A573,Personendaten!$A$2:$A$32,0))</f>
        <v/>
      </c>
      <c r="Q573" s="22">
        <f>IF(O573=1,"",IF(AND(B573="post",P573="nicht angetreten"),"NANG",IF(N573=1,"AUSL",IFERROR(VLOOKUP(H573,Vokabular!$A$2:$B$8,2,FALSE),"UNBEKANNT"))))</f>
        <v/>
      </c>
    </row>
    <row r="574">
      <c r="A574" s="5" t="inlineStr">
        <is>
          <t>BW-01</t>
        </is>
      </c>
      <c r="B574" s="5" t="inlineStr">
        <is>
          <t>post</t>
        </is>
      </c>
      <c r="C574" s="5" t="inlineStr">
        <is>
          <t>COD_505</t>
        </is>
      </c>
      <c r="D574" s="5" t="inlineStr">
        <is>
          <t>L</t>
        </is>
      </c>
      <c r="E574" s="5" t="n">
        <v>3</v>
      </c>
      <c r="F574" s="5" t="n"/>
      <c r="G574" s="5" t="n"/>
      <c r="H574" s="5" t="inlineStr">
        <is>
          <t>Nur 2 Versuche aus Zeitmangel</t>
        </is>
      </c>
      <c r="I574" s="22">
        <f>INDEX(Personendaten!$C$2:$C$32,MATCH(A574,Personendaten!$A$2:$A$32,0))</f>
        <v/>
      </c>
      <c r="J574" s="22">
        <f>IF(AND(F574&lt;&gt;"",G574=""),1,0)</f>
        <v/>
      </c>
      <c r="K574" s="22">
        <f>IF(LEFT(C574,7)&lt;&gt;"Sprint_","",IF(COUNTIFS(Versuchsdaten!$A$2:$A$1117,$A574,Versuchsdaten!$B$2:$B$1117,$B574,Versuchsdaten!$C$2:$C$1117,"Sprint_5m",Versuchsdaten!$E$2:$E$1117,$E574,Versuchsdaten!$J$2:$J$1117,1)=1,SUMIFS(Versuchsdaten!$F$2:$F$1117,Versuchsdaten!$A$2:$A$1117,$A574,Versuchsdaten!$B$2:$B$1117,$B574,Versuchsdaten!$C$2:$C$1117,"Sprint_5m",Versuchsdaten!$E$2:$E$1117,$E574,Versuchsdaten!$J$2:$J$1117,1),""))</f>
        <v/>
      </c>
      <c r="L574" s="22">
        <f>IF(LEFT(C574,7)&lt;&gt;"Sprint_","",IF(COUNTIFS(Versuchsdaten!$A$2:$A$1117,$A574,Versuchsdaten!$B$2:$B$1117,$B574,Versuchsdaten!$C$2:$C$1117,"Sprint_10m",Versuchsdaten!$E$2:$E$1117,$E574,Versuchsdaten!$J$2:$J$1117,1)=1,SUMIFS(Versuchsdaten!$F$2:$F$1117,Versuchsdaten!$A$2:$A$1117,$A574,Versuchsdaten!$B$2:$B$1117,$B574,Versuchsdaten!$C$2:$C$1117,"Sprint_10m",Versuchsdaten!$E$2:$E$1117,$E574,Versuchsdaten!$J$2:$J$1117,1),""))</f>
        <v/>
      </c>
      <c r="M574" s="22">
        <f>IF(LEFT(C574,7)&lt;&gt;"Sprint_","",IF(COUNTIFS(Versuchsdaten!$A$2:$A$1117,$A574,Versuchsdaten!$B$2:$B$1117,$B574,Versuchsdaten!$C$2:$C$1117,"Sprint_30m",Versuchsdaten!$E$2:$E$1117,$E574,Versuchsdaten!$J$2:$J$1117,1)=1,SUMIFS(Versuchsdaten!$F$2:$F$1117,Versuchsdaten!$A$2:$A$1117,$A574,Versuchsdaten!$B$2:$B$1117,$B574,Versuchsdaten!$C$2:$C$1117,"Sprint_30m",Versuchsdaten!$E$2:$E$1117,$E574,Versuchsdaten!$J$2:$J$1117,1),""))</f>
        <v/>
      </c>
      <c r="N574" s="22">
        <f>IF(LEFT(C574,7)&lt;&gt;"Sprint_",0,IF(IF(ISNUMBER(K574),IF(K574&lt;=0,1,IF(5/K574&gt;10,1,0)),0)+IF(ISNUMBER(L574),IF(ISNUMBER(K574),IF(L574-K574&lt;=0,1,IF(5/(L574-K574)&gt;10,1,0)),IF(L574&lt;=0,1,IF(10/L574&gt;10,1,0))),0)+IF(ISNUMBER(M574),IF(ISNUMBER(L574),IF(M574-L574&lt;=0,1,IF(20/(M574-L574)&gt;10,1,0)),IF(ISNUMBER(K574),IF(M574-K574&lt;=0,1,IF(25/(M574-K574)&gt;10,1,0)),IF(M574&lt;=0,1,IF(30/M574&gt;10,1,0)))),0)&gt;0,1,0))</f>
        <v/>
      </c>
      <c r="O574" s="22">
        <f>IF(AND(J574=1,N574=0),1,0)</f>
        <v/>
      </c>
      <c r="P574" s="22">
        <f>INDEX(Personendaten!$J$2:$J$32,MATCH(A574,Personendaten!$A$2:$A$32,0))</f>
        <v/>
      </c>
      <c r="Q574" s="22">
        <f>IF(O574=1,"",IF(AND(B574="post",P574="nicht angetreten"),"NANG",IF(N574=1,"AUSL",IFERROR(VLOOKUP(H574,Vokabular!$A$2:$B$8,2,FALSE),"UNBEKANNT"))))</f>
        <v/>
      </c>
    </row>
    <row r="575">
      <c r="A575" s="5" t="inlineStr">
        <is>
          <t>BW-01</t>
        </is>
      </c>
      <c r="B575" s="5" t="inlineStr">
        <is>
          <t>post</t>
        </is>
      </c>
      <c r="C575" s="5" t="inlineStr">
        <is>
          <t>COD_505</t>
        </is>
      </c>
      <c r="D575" s="5" t="inlineStr">
        <is>
          <t>R</t>
        </is>
      </c>
      <c r="E575" s="5" t="n">
        <v>1</v>
      </c>
      <c r="F575" s="5" t="n">
        <v>2.68</v>
      </c>
      <c r="G575" s="5" t="n"/>
      <c r="H575" s="5" t="n"/>
      <c r="I575" s="22">
        <f>INDEX(Personendaten!$C$2:$C$32,MATCH(A575,Personendaten!$A$2:$A$32,0))</f>
        <v/>
      </c>
      <c r="J575" s="22">
        <f>IF(AND(F575&lt;&gt;"",G575=""),1,0)</f>
        <v/>
      </c>
      <c r="K575" s="22">
        <f>IF(LEFT(C575,7)&lt;&gt;"Sprint_","",IF(COUNTIFS(Versuchsdaten!$A$2:$A$1117,$A575,Versuchsdaten!$B$2:$B$1117,$B575,Versuchsdaten!$C$2:$C$1117,"Sprint_5m",Versuchsdaten!$E$2:$E$1117,$E575,Versuchsdaten!$J$2:$J$1117,1)=1,SUMIFS(Versuchsdaten!$F$2:$F$1117,Versuchsdaten!$A$2:$A$1117,$A575,Versuchsdaten!$B$2:$B$1117,$B575,Versuchsdaten!$C$2:$C$1117,"Sprint_5m",Versuchsdaten!$E$2:$E$1117,$E575,Versuchsdaten!$J$2:$J$1117,1),""))</f>
        <v/>
      </c>
      <c r="L575" s="22">
        <f>IF(LEFT(C575,7)&lt;&gt;"Sprint_","",IF(COUNTIFS(Versuchsdaten!$A$2:$A$1117,$A575,Versuchsdaten!$B$2:$B$1117,$B575,Versuchsdaten!$C$2:$C$1117,"Sprint_10m",Versuchsdaten!$E$2:$E$1117,$E575,Versuchsdaten!$J$2:$J$1117,1)=1,SUMIFS(Versuchsdaten!$F$2:$F$1117,Versuchsdaten!$A$2:$A$1117,$A575,Versuchsdaten!$B$2:$B$1117,$B575,Versuchsdaten!$C$2:$C$1117,"Sprint_10m",Versuchsdaten!$E$2:$E$1117,$E575,Versuchsdaten!$J$2:$J$1117,1),""))</f>
        <v/>
      </c>
      <c r="M575" s="22">
        <f>IF(LEFT(C575,7)&lt;&gt;"Sprint_","",IF(COUNTIFS(Versuchsdaten!$A$2:$A$1117,$A575,Versuchsdaten!$B$2:$B$1117,$B575,Versuchsdaten!$C$2:$C$1117,"Sprint_30m",Versuchsdaten!$E$2:$E$1117,$E575,Versuchsdaten!$J$2:$J$1117,1)=1,SUMIFS(Versuchsdaten!$F$2:$F$1117,Versuchsdaten!$A$2:$A$1117,$A575,Versuchsdaten!$B$2:$B$1117,$B575,Versuchsdaten!$C$2:$C$1117,"Sprint_30m",Versuchsdaten!$E$2:$E$1117,$E575,Versuchsdaten!$J$2:$J$1117,1),""))</f>
        <v/>
      </c>
      <c r="N575" s="22">
        <f>IF(LEFT(C575,7)&lt;&gt;"Sprint_",0,IF(IF(ISNUMBER(K575),IF(K575&lt;=0,1,IF(5/K575&gt;10,1,0)),0)+IF(ISNUMBER(L575),IF(ISNUMBER(K575),IF(L575-K575&lt;=0,1,IF(5/(L575-K575)&gt;10,1,0)),IF(L575&lt;=0,1,IF(10/L575&gt;10,1,0))),0)+IF(ISNUMBER(M575),IF(ISNUMBER(L575),IF(M575-L575&lt;=0,1,IF(20/(M575-L575)&gt;10,1,0)),IF(ISNUMBER(K575),IF(M575-K575&lt;=0,1,IF(25/(M575-K575)&gt;10,1,0)),IF(M575&lt;=0,1,IF(30/M575&gt;10,1,0)))),0)&gt;0,1,0))</f>
        <v/>
      </c>
      <c r="O575" s="22">
        <f>IF(AND(J575=1,N575=0),1,0)</f>
        <v/>
      </c>
      <c r="P575" s="22">
        <f>INDEX(Personendaten!$J$2:$J$32,MATCH(A575,Personendaten!$A$2:$A$32,0))</f>
        <v/>
      </c>
      <c r="Q575" s="22">
        <f>IF(O575=1,"",IF(AND(B575="post",P575="nicht angetreten"),"NANG",IF(N575=1,"AUSL",IFERROR(VLOOKUP(H575,Vokabular!$A$2:$B$8,2,FALSE),"UNBEKANNT"))))</f>
        <v/>
      </c>
    </row>
    <row r="576">
      <c r="A576" s="5" t="inlineStr">
        <is>
          <t>BW-01</t>
        </is>
      </c>
      <c r="B576" s="5" t="inlineStr">
        <is>
          <t>post</t>
        </is>
      </c>
      <c r="C576" s="5" t="inlineStr">
        <is>
          <t>COD_505</t>
        </is>
      </c>
      <c r="D576" s="5" t="inlineStr">
        <is>
          <t>R</t>
        </is>
      </c>
      <c r="E576" s="5" t="n">
        <v>2</v>
      </c>
      <c r="F576" s="5" t="n">
        <v>2.74</v>
      </c>
      <c r="G576" s="5" t="n"/>
      <c r="H576" s="5" t="n"/>
      <c r="I576" s="22">
        <f>INDEX(Personendaten!$C$2:$C$32,MATCH(A576,Personendaten!$A$2:$A$32,0))</f>
        <v/>
      </c>
      <c r="J576" s="22">
        <f>IF(AND(F576&lt;&gt;"",G576=""),1,0)</f>
        <v/>
      </c>
      <c r="K576" s="22">
        <f>IF(LEFT(C576,7)&lt;&gt;"Sprint_","",IF(COUNTIFS(Versuchsdaten!$A$2:$A$1117,$A576,Versuchsdaten!$B$2:$B$1117,$B576,Versuchsdaten!$C$2:$C$1117,"Sprint_5m",Versuchsdaten!$E$2:$E$1117,$E576,Versuchsdaten!$J$2:$J$1117,1)=1,SUMIFS(Versuchsdaten!$F$2:$F$1117,Versuchsdaten!$A$2:$A$1117,$A576,Versuchsdaten!$B$2:$B$1117,$B576,Versuchsdaten!$C$2:$C$1117,"Sprint_5m",Versuchsdaten!$E$2:$E$1117,$E576,Versuchsdaten!$J$2:$J$1117,1),""))</f>
        <v/>
      </c>
      <c r="L576" s="22">
        <f>IF(LEFT(C576,7)&lt;&gt;"Sprint_","",IF(COUNTIFS(Versuchsdaten!$A$2:$A$1117,$A576,Versuchsdaten!$B$2:$B$1117,$B576,Versuchsdaten!$C$2:$C$1117,"Sprint_10m",Versuchsdaten!$E$2:$E$1117,$E576,Versuchsdaten!$J$2:$J$1117,1)=1,SUMIFS(Versuchsdaten!$F$2:$F$1117,Versuchsdaten!$A$2:$A$1117,$A576,Versuchsdaten!$B$2:$B$1117,$B576,Versuchsdaten!$C$2:$C$1117,"Sprint_10m",Versuchsdaten!$E$2:$E$1117,$E576,Versuchsdaten!$J$2:$J$1117,1),""))</f>
        <v/>
      </c>
      <c r="M576" s="22">
        <f>IF(LEFT(C576,7)&lt;&gt;"Sprint_","",IF(COUNTIFS(Versuchsdaten!$A$2:$A$1117,$A576,Versuchsdaten!$B$2:$B$1117,$B576,Versuchsdaten!$C$2:$C$1117,"Sprint_30m",Versuchsdaten!$E$2:$E$1117,$E576,Versuchsdaten!$J$2:$J$1117,1)=1,SUMIFS(Versuchsdaten!$F$2:$F$1117,Versuchsdaten!$A$2:$A$1117,$A576,Versuchsdaten!$B$2:$B$1117,$B576,Versuchsdaten!$C$2:$C$1117,"Sprint_30m",Versuchsdaten!$E$2:$E$1117,$E576,Versuchsdaten!$J$2:$J$1117,1),""))</f>
        <v/>
      </c>
      <c r="N576" s="22">
        <f>IF(LEFT(C576,7)&lt;&gt;"Sprint_",0,IF(IF(ISNUMBER(K576),IF(K576&lt;=0,1,IF(5/K576&gt;10,1,0)),0)+IF(ISNUMBER(L576),IF(ISNUMBER(K576),IF(L576-K576&lt;=0,1,IF(5/(L576-K576)&gt;10,1,0)),IF(L576&lt;=0,1,IF(10/L576&gt;10,1,0))),0)+IF(ISNUMBER(M576),IF(ISNUMBER(L576),IF(M576-L576&lt;=0,1,IF(20/(M576-L576)&gt;10,1,0)),IF(ISNUMBER(K576),IF(M576-K576&lt;=0,1,IF(25/(M576-K576)&gt;10,1,0)),IF(M576&lt;=0,1,IF(30/M576&gt;10,1,0)))),0)&gt;0,1,0))</f>
        <v/>
      </c>
      <c r="O576" s="22">
        <f>IF(AND(J576=1,N576=0),1,0)</f>
        <v/>
      </c>
      <c r="P576" s="22">
        <f>INDEX(Personendaten!$J$2:$J$32,MATCH(A576,Personendaten!$A$2:$A$32,0))</f>
        <v/>
      </c>
      <c r="Q576" s="22">
        <f>IF(O576=1,"",IF(AND(B576="post",P576="nicht angetreten"),"NANG",IF(N576=1,"AUSL",IFERROR(VLOOKUP(H576,Vokabular!$A$2:$B$8,2,FALSE),"UNBEKANNT"))))</f>
        <v/>
      </c>
    </row>
    <row r="577">
      <c r="A577" s="5" t="inlineStr">
        <is>
          <t>BW-01</t>
        </is>
      </c>
      <c r="B577" s="5" t="inlineStr">
        <is>
          <t>post</t>
        </is>
      </c>
      <c r="C577" s="5" t="inlineStr">
        <is>
          <t>COD_505</t>
        </is>
      </c>
      <c r="D577" s="5" t="inlineStr">
        <is>
          <t>R</t>
        </is>
      </c>
      <c r="E577" s="5" t="n">
        <v>3</v>
      </c>
      <c r="F577" s="5" t="n"/>
      <c r="G577" s="5" t="n"/>
      <c r="H577" s="5" t="inlineStr">
        <is>
          <t>Nur 2 Versuche aus Zeitmangel</t>
        </is>
      </c>
      <c r="I577" s="22">
        <f>INDEX(Personendaten!$C$2:$C$32,MATCH(A577,Personendaten!$A$2:$A$32,0))</f>
        <v/>
      </c>
      <c r="J577" s="22">
        <f>IF(AND(F577&lt;&gt;"",G577=""),1,0)</f>
        <v/>
      </c>
      <c r="K577" s="22">
        <f>IF(LEFT(C577,7)&lt;&gt;"Sprint_","",IF(COUNTIFS(Versuchsdaten!$A$2:$A$1117,$A577,Versuchsdaten!$B$2:$B$1117,$B577,Versuchsdaten!$C$2:$C$1117,"Sprint_5m",Versuchsdaten!$E$2:$E$1117,$E577,Versuchsdaten!$J$2:$J$1117,1)=1,SUMIFS(Versuchsdaten!$F$2:$F$1117,Versuchsdaten!$A$2:$A$1117,$A577,Versuchsdaten!$B$2:$B$1117,$B577,Versuchsdaten!$C$2:$C$1117,"Sprint_5m",Versuchsdaten!$E$2:$E$1117,$E577,Versuchsdaten!$J$2:$J$1117,1),""))</f>
        <v/>
      </c>
      <c r="L577" s="22">
        <f>IF(LEFT(C577,7)&lt;&gt;"Sprint_","",IF(COUNTIFS(Versuchsdaten!$A$2:$A$1117,$A577,Versuchsdaten!$B$2:$B$1117,$B577,Versuchsdaten!$C$2:$C$1117,"Sprint_10m",Versuchsdaten!$E$2:$E$1117,$E577,Versuchsdaten!$J$2:$J$1117,1)=1,SUMIFS(Versuchsdaten!$F$2:$F$1117,Versuchsdaten!$A$2:$A$1117,$A577,Versuchsdaten!$B$2:$B$1117,$B577,Versuchsdaten!$C$2:$C$1117,"Sprint_10m",Versuchsdaten!$E$2:$E$1117,$E577,Versuchsdaten!$J$2:$J$1117,1),""))</f>
        <v/>
      </c>
      <c r="M577" s="22">
        <f>IF(LEFT(C577,7)&lt;&gt;"Sprint_","",IF(COUNTIFS(Versuchsdaten!$A$2:$A$1117,$A577,Versuchsdaten!$B$2:$B$1117,$B577,Versuchsdaten!$C$2:$C$1117,"Sprint_30m",Versuchsdaten!$E$2:$E$1117,$E577,Versuchsdaten!$J$2:$J$1117,1)=1,SUMIFS(Versuchsdaten!$F$2:$F$1117,Versuchsdaten!$A$2:$A$1117,$A577,Versuchsdaten!$B$2:$B$1117,$B577,Versuchsdaten!$C$2:$C$1117,"Sprint_30m",Versuchsdaten!$E$2:$E$1117,$E577,Versuchsdaten!$J$2:$J$1117,1),""))</f>
        <v/>
      </c>
      <c r="N577" s="22">
        <f>IF(LEFT(C577,7)&lt;&gt;"Sprint_",0,IF(IF(ISNUMBER(K577),IF(K577&lt;=0,1,IF(5/K577&gt;10,1,0)),0)+IF(ISNUMBER(L577),IF(ISNUMBER(K577),IF(L577-K577&lt;=0,1,IF(5/(L577-K577)&gt;10,1,0)),IF(L577&lt;=0,1,IF(10/L577&gt;10,1,0))),0)+IF(ISNUMBER(M577),IF(ISNUMBER(L577),IF(M577-L577&lt;=0,1,IF(20/(M577-L577)&gt;10,1,0)),IF(ISNUMBER(K577),IF(M577-K577&lt;=0,1,IF(25/(M577-K577)&gt;10,1,0)),IF(M577&lt;=0,1,IF(30/M577&gt;10,1,0)))),0)&gt;0,1,0))</f>
        <v/>
      </c>
      <c r="O577" s="22">
        <f>IF(AND(J577=1,N577=0),1,0)</f>
        <v/>
      </c>
      <c r="P577" s="22">
        <f>INDEX(Personendaten!$J$2:$J$32,MATCH(A577,Personendaten!$A$2:$A$32,0))</f>
        <v/>
      </c>
      <c r="Q577" s="22">
        <f>IF(O577=1,"",IF(AND(B577="post",P577="nicht angetreten"),"NANG",IF(N577=1,"AUSL",IFERROR(VLOOKUP(H577,Vokabular!$A$2:$B$8,2,FALSE),"UNBEKANNT"))))</f>
        <v/>
      </c>
    </row>
    <row r="578">
      <c r="A578" s="5" t="inlineStr">
        <is>
          <t>BW-02</t>
        </is>
      </c>
      <c r="B578" s="5" t="inlineStr">
        <is>
          <t>post</t>
        </is>
      </c>
      <c r="C578" s="5" t="inlineStr">
        <is>
          <t>Sprint_5m</t>
        </is>
      </c>
      <c r="D578" s="5" t="inlineStr">
        <is>
          <t>–</t>
        </is>
      </c>
      <c r="E578" s="5" t="n">
        <v>1</v>
      </c>
      <c r="F578" s="5" t="n">
        <v>1.09</v>
      </c>
      <c r="G578" s="5" t="n"/>
      <c r="H578" s="5" t="n"/>
      <c r="I578" s="22">
        <f>INDEX(Personendaten!$C$2:$C$32,MATCH(A578,Personendaten!$A$2:$A$32,0))</f>
        <v/>
      </c>
      <c r="J578" s="22">
        <f>IF(AND(F578&lt;&gt;"",G578=""),1,0)</f>
        <v/>
      </c>
      <c r="K578" s="22">
        <f>IF(LEFT(C578,7)&lt;&gt;"Sprint_","",IF(COUNTIFS(Versuchsdaten!$A$2:$A$1117,$A578,Versuchsdaten!$B$2:$B$1117,$B578,Versuchsdaten!$C$2:$C$1117,"Sprint_5m",Versuchsdaten!$E$2:$E$1117,$E578,Versuchsdaten!$J$2:$J$1117,1)=1,SUMIFS(Versuchsdaten!$F$2:$F$1117,Versuchsdaten!$A$2:$A$1117,$A578,Versuchsdaten!$B$2:$B$1117,$B578,Versuchsdaten!$C$2:$C$1117,"Sprint_5m",Versuchsdaten!$E$2:$E$1117,$E578,Versuchsdaten!$J$2:$J$1117,1),""))</f>
        <v/>
      </c>
      <c r="L578" s="22">
        <f>IF(LEFT(C578,7)&lt;&gt;"Sprint_","",IF(COUNTIFS(Versuchsdaten!$A$2:$A$1117,$A578,Versuchsdaten!$B$2:$B$1117,$B578,Versuchsdaten!$C$2:$C$1117,"Sprint_10m",Versuchsdaten!$E$2:$E$1117,$E578,Versuchsdaten!$J$2:$J$1117,1)=1,SUMIFS(Versuchsdaten!$F$2:$F$1117,Versuchsdaten!$A$2:$A$1117,$A578,Versuchsdaten!$B$2:$B$1117,$B578,Versuchsdaten!$C$2:$C$1117,"Sprint_10m",Versuchsdaten!$E$2:$E$1117,$E578,Versuchsdaten!$J$2:$J$1117,1),""))</f>
        <v/>
      </c>
      <c r="M578" s="22">
        <f>IF(LEFT(C578,7)&lt;&gt;"Sprint_","",IF(COUNTIFS(Versuchsdaten!$A$2:$A$1117,$A578,Versuchsdaten!$B$2:$B$1117,$B578,Versuchsdaten!$C$2:$C$1117,"Sprint_30m",Versuchsdaten!$E$2:$E$1117,$E578,Versuchsdaten!$J$2:$J$1117,1)=1,SUMIFS(Versuchsdaten!$F$2:$F$1117,Versuchsdaten!$A$2:$A$1117,$A578,Versuchsdaten!$B$2:$B$1117,$B578,Versuchsdaten!$C$2:$C$1117,"Sprint_30m",Versuchsdaten!$E$2:$E$1117,$E578,Versuchsdaten!$J$2:$J$1117,1),""))</f>
        <v/>
      </c>
      <c r="N578" s="22">
        <f>IF(LEFT(C578,7)&lt;&gt;"Sprint_",0,IF(IF(ISNUMBER(K578),IF(K578&lt;=0,1,IF(5/K578&gt;10,1,0)),0)+IF(ISNUMBER(L578),IF(ISNUMBER(K578),IF(L578-K578&lt;=0,1,IF(5/(L578-K578)&gt;10,1,0)),IF(L578&lt;=0,1,IF(10/L578&gt;10,1,0))),0)+IF(ISNUMBER(M578),IF(ISNUMBER(L578),IF(M578-L578&lt;=0,1,IF(20/(M578-L578)&gt;10,1,0)),IF(ISNUMBER(K578),IF(M578-K578&lt;=0,1,IF(25/(M578-K578)&gt;10,1,0)),IF(M578&lt;=0,1,IF(30/M578&gt;10,1,0)))),0)&gt;0,1,0))</f>
        <v/>
      </c>
      <c r="O578" s="22">
        <f>IF(AND(J578=1,N578=0),1,0)</f>
        <v/>
      </c>
      <c r="P578" s="22">
        <f>INDEX(Personendaten!$J$2:$J$32,MATCH(A578,Personendaten!$A$2:$A$32,0))</f>
        <v/>
      </c>
      <c r="Q578" s="22">
        <f>IF(O578=1,"",IF(AND(B578="post",P578="nicht angetreten"),"NANG",IF(N578=1,"AUSL",IFERROR(VLOOKUP(H578,Vokabular!$A$2:$B$8,2,FALSE),"UNBEKANNT"))))</f>
        <v/>
      </c>
    </row>
    <row r="579">
      <c r="A579" s="5" t="inlineStr">
        <is>
          <t>BW-02</t>
        </is>
      </c>
      <c r="B579" s="5" t="inlineStr">
        <is>
          <t>post</t>
        </is>
      </c>
      <c r="C579" s="5" t="inlineStr">
        <is>
          <t>Sprint_5m</t>
        </is>
      </c>
      <c r="D579" s="5" t="inlineStr">
        <is>
          <t>–</t>
        </is>
      </c>
      <c r="E579" s="5" t="n">
        <v>2</v>
      </c>
      <c r="F579" s="5" t="n">
        <v>1.08</v>
      </c>
      <c r="G579" s="5" t="n"/>
      <c r="H579" s="5" t="n"/>
      <c r="I579" s="22">
        <f>INDEX(Personendaten!$C$2:$C$32,MATCH(A579,Personendaten!$A$2:$A$32,0))</f>
        <v/>
      </c>
      <c r="J579" s="22">
        <f>IF(AND(F579&lt;&gt;"",G579=""),1,0)</f>
        <v/>
      </c>
      <c r="K579" s="22">
        <f>IF(LEFT(C579,7)&lt;&gt;"Sprint_","",IF(COUNTIFS(Versuchsdaten!$A$2:$A$1117,$A579,Versuchsdaten!$B$2:$B$1117,$B579,Versuchsdaten!$C$2:$C$1117,"Sprint_5m",Versuchsdaten!$E$2:$E$1117,$E579,Versuchsdaten!$J$2:$J$1117,1)=1,SUMIFS(Versuchsdaten!$F$2:$F$1117,Versuchsdaten!$A$2:$A$1117,$A579,Versuchsdaten!$B$2:$B$1117,$B579,Versuchsdaten!$C$2:$C$1117,"Sprint_5m",Versuchsdaten!$E$2:$E$1117,$E579,Versuchsdaten!$J$2:$J$1117,1),""))</f>
        <v/>
      </c>
      <c r="L579" s="22">
        <f>IF(LEFT(C579,7)&lt;&gt;"Sprint_","",IF(COUNTIFS(Versuchsdaten!$A$2:$A$1117,$A579,Versuchsdaten!$B$2:$B$1117,$B579,Versuchsdaten!$C$2:$C$1117,"Sprint_10m",Versuchsdaten!$E$2:$E$1117,$E579,Versuchsdaten!$J$2:$J$1117,1)=1,SUMIFS(Versuchsdaten!$F$2:$F$1117,Versuchsdaten!$A$2:$A$1117,$A579,Versuchsdaten!$B$2:$B$1117,$B579,Versuchsdaten!$C$2:$C$1117,"Sprint_10m",Versuchsdaten!$E$2:$E$1117,$E579,Versuchsdaten!$J$2:$J$1117,1),""))</f>
        <v/>
      </c>
      <c r="M579" s="22">
        <f>IF(LEFT(C579,7)&lt;&gt;"Sprint_","",IF(COUNTIFS(Versuchsdaten!$A$2:$A$1117,$A579,Versuchsdaten!$B$2:$B$1117,$B579,Versuchsdaten!$C$2:$C$1117,"Sprint_30m",Versuchsdaten!$E$2:$E$1117,$E579,Versuchsdaten!$J$2:$J$1117,1)=1,SUMIFS(Versuchsdaten!$F$2:$F$1117,Versuchsdaten!$A$2:$A$1117,$A579,Versuchsdaten!$B$2:$B$1117,$B579,Versuchsdaten!$C$2:$C$1117,"Sprint_30m",Versuchsdaten!$E$2:$E$1117,$E579,Versuchsdaten!$J$2:$J$1117,1),""))</f>
        <v/>
      </c>
      <c r="N579" s="22">
        <f>IF(LEFT(C579,7)&lt;&gt;"Sprint_",0,IF(IF(ISNUMBER(K579),IF(K579&lt;=0,1,IF(5/K579&gt;10,1,0)),0)+IF(ISNUMBER(L579),IF(ISNUMBER(K579),IF(L579-K579&lt;=0,1,IF(5/(L579-K579)&gt;10,1,0)),IF(L579&lt;=0,1,IF(10/L579&gt;10,1,0))),0)+IF(ISNUMBER(M579),IF(ISNUMBER(L579),IF(M579-L579&lt;=0,1,IF(20/(M579-L579)&gt;10,1,0)),IF(ISNUMBER(K579),IF(M579-K579&lt;=0,1,IF(25/(M579-K579)&gt;10,1,0)),IF(M579&lt;=0,1,IF(30/M579&gt;10,1,0)))),0)&gt;0,1,0))</f>
        <v/>
      </c>
      <c r="O579" s="22">
        <f>IF(AND(J579=1,N579=0),1,0)</f>
        <v/>
      </c>
      <c r="P579" s="22">
        <f>INDEX(Personendaten!$J$2:$J$32,MATCH(A579,Personendaten!$A$2:$A$32,0))</f>
        <v/>
      </c>
      <c r="Q579" s="22">
        <f>IF(O579=1,"",IF(AND(B579="post",P579="nicht angetreten"),"NANG",IF(N579=1,"AUSL",IFERROR(VLOOKUP(H579,Vokabular!$A$2:$B$8,2,FALSE),"UNBEKANNT"))))</f>
        <v/>
      </c>
    </row>
    <row r="580">
      <c r="A580" s="5" t="inlineStr">
        <is>
          <t>BW-02</t>
        </is>
      </c>
      <c r="B580" s="5" t="inlineStr">
        <is>
          <t>post</t>
        </is>
      </c>
      <c r="C580" s="5" t="inlineStr">
        <is>
          <t>Sprint_5m</t>
        </is>
      </c>
      <c r="D580" s="5" t="inlineStr">
        <is>
          <t>–</t>
        </is>
      </c>
      <c r="E580" s="5" t="n">
        <v>3</v>
      </c>
      <c r="F580" s="5" t="n">
        <v>1.09</v>
      </c>
      <c r="G580" s="5" t="n"/>
      <c r="H580" s="5" t="n"/>
      <c r="I580" s="22">
        <f>INDEX(Personendaten!$C$2:$C$32,MATCH(A580,Personendaten!$A$2:$A$32,0))</f>
        <v/>
      </c>
      <c r="J580" s="22">
        <f>IF(AND(F580&lt;&gt;"",G580=""),1,0)</f>
        <v/>
      </c>
      <c r="K580" s="22">
        <f>IF(LEFT(C580,7)&lt;&gt;"Sprint_","",IF(COUNTIFS(Versuchsdaten!$A$2:$A$1117,$A580,Versuchsdaten!$B$2:$B$1117,$B580,Versuchsdaten!$C$2:$C$1117,"Sprint_5m",Versuchsdaten!$E$2:$E$1117,$E580,Versuchsdaten!$J$2:$J$1117,1)=1,SUMIFS(Versuchsdaten!$F$2:$F$1117,Versuchsdaten!$A$2:$A$1117,$A580,Versuchsdaten!$B$2:$B$1117,$B580,Versuchsdaten!$C$2:$C$1117,"Sprint_5m",Versuchsdaten!$E$2:$E$1117,$E580,Versuchsdaten!$J$2:$J$1117,1),""))</f>
        <v/>
      </c>
      <c r="L580" s="22">
        <f>IF(LEFT(C580,7)&lt;&gt;"Sprint_","",IF(COUNTIFS(Versuchsdaten!$A$2:$A$1117,$A580,Versuchsdaten!$B$2:$B$1117,$B580,Versuchsdaten!$C$2:$C$1117,"Sprint_10m",Versuchsdaten!$E$2:$E$1117,$E580,Versuchsdaten!$J$2:$J$1117,1)=1,SUMIFS(Versuchsdaten!$F$2:$F$1117,Versuchsdaten!$A$2:$A$1117,$A580,Versuchsdaten!$B$2:$B$1117,$B580,Versuchsdaten!$C$2:$C$1117,"Sprint_10m",Versuchsdaten!$E$2:$E$1117,$E580,Versuchsdaten!$J$2:$J$1117,1),""))</f>
        <v/>
      </c>
      <c r="M580" s="22">
        <f>IF(LEFT(C580,7)&lt;&gt;"Sprint_","",IF(COUNTIFS(Versuchsdaten!$A$2:$A$1117,$A580,Versuchsdaten!$B$2:$B$1117,$B580,Versuchsdaten!$C$2:$C$1117,"Sprint_30m",Versuchsdaten!$E$2:$E$1117,$E580,Versuchsdaten!$J$2:$J$1117,1)=1,SUMIFS(Versuchsdaten!$F$2:$F$1117,Versuchsdaten!$A$2:$A$1117,$A580,Versuchsdaten!$B$2:$B$1117,$B580,Versuchsdaten!$C$2:$C$1117,"Sprint_30m",Versuchsdaten!$E$2:$E$1117,$E580,Versuchsdaten!$J$2:$J$1117,1),""))</f>
        <v/>
      </c>
      <c r="N580" s="22">
        <f>IF(LEFT(C580,7)&lt;&gt;"Sprint_",0,IF(IF(ISNUMBER(K580),IF(K580&lt;=0,1,IF(5/K580&gt;10,1,0)),0)+IF(ISNUMBER(L580),IF(ISNUMBER(K580),IF(L580-K580&lt;=0,1,IF(5/(L580-K580)&gt;10,1,0)),IF(L580&lt;=0,1,IF(10/L580&gt;10,1,0))),0)+IF(ISNUMBER(M580),IF(ISNUMBER(L580),IF(M580-L580&lt;=0,1,IF(20/(M580-L580)&gt;10,1,0)),IF(ISNUMBER(K580),IF(M580-K580&lt;=0,1,IF(25/(M580-K580)&gt;10,1,0)),IF(M580&lt;=0,1,IF(30/M580&gt;10,1,0)))),0)&gt;0,1,0))</f>
        <v/>
      </c>
      <c r="O580" s="22">
        <f>IF(AND(J580=1,N580=0),1,0)</f>
        <v/>
      </c>
      <c r="P580" s="22">
        <f>INDEX(Personendaten!$J$2:$J$32,MATCH(A580,Personendaten!$A$2:$A$32,0))</f>
        <v/>
      </c>
      <c r="Q580" s="22">
        <f>IF(O580=1,"",IF(AND(B580="post",P580="nicht angetreten"),"NANG",IF(N580=1,"AUSL",IFERROR(VLOOKUP(H580,Vokabular!$A$2:$B$8,2,FALSE),"UNBEKANNT"))))</f>
        <v/>
      </c>
    </row>
    <row r="581">
      <c r="A581" s="5" t="inlineStr">
        <is>
          <t>BW-02</t>
        </is>
      </c>
      <c r="B581" s="5" t="inlineStr">
        <is>
          <t>post</t>
        </is>
      </c>
      <c r="C581" s="5" t="inlineStr">
        <is>
          <t>Sprint_10m</t>
        </is>
      </c>
      <c r="D581" s="5" t="inlineStr">
        <is>
          <t>–</t>
        </is>
      </c>
      <c r="E581" s="5" t="n">
        <v>1</v>
      </c>
      <c r="F581" s="5" t="n"/>
      <c r="G581" s="5" t="n"/>
      <c r="H581" s="5" t="inlineStr">
        <is>
          <t>System falsch aufgenommen</t>
        </is>
      </c>
      <c r="I581" s="22">
        <f>INDEX(Personendaten!$C$2:$C$32,MATCH(A581,Personendaten!$A$2:$A$32,0))</f>
        <v/>
      </c>
      <c r="J581" s="22">
        <f>IF(AND(F581&lt;&gt;"",G581=""),1,0)</f>
        <v/>
      </c>
      <c r="K581" s="22">
        <f>IF(LEFT(C581,7)&lt;&gt;"Sprint_","",IF(COUNTIFS(Versuchsdaten!$A$2:$A$1117,$A581,Versuchsdaten!$B$2:$B$1117,$B581,Versuchsdaten!$C$2:$C$1117,"Sprint_5m",Versuchsdaten!$E$2:$E$1117,$E581,Versuchsdaten!$J$2:$J$1117,1)=1,SUMIFS(Versuchsdaten!$F$2:$F$1117,Versuchsdaten!$A$2:$A$1117,$A581,Versuchsdaten!$B$2:$B$1117,$B581,Versuchsdaten!$C$2:$C$1117,"Sprint_5m",Versuchsdaten!$E$2:$E$1117,$E581,Versuchsdaten!$J$2:$J$1117,1),""))</f>
        <v/>
      </c>
      <c r="L581" s="22">
        <f>IF(LEFT(C581,7)&lt;&gt;"Sprint_","",IF(COUNTIFS(Versuchsdaten!$A$2:$A$1117,$A581,Versuchsdaten!$B$2:$B$1117,$B581,Versuchsdaten!$C$2:$C$1117,"Sprint_10m",Versuchsdaten!$E$2:$E$1117,$E581,Versuchsdaten!$J$2:$J$1117,1)=1,SUMIFS(Versuchsdaten!$F$2:$F$1117,Versuchsdaten!$A$2:$A$1117,$A581,Versuchsdaten!$B$2:$B$1117,$B581,Versuchsdaten!$C$2:$C$1117,"Sprint_10m",Versuchsdaten!$E$2:$E$1117,$E581,Versuchsdaten!$J$2:$J$1117,1),""))</f>
        <v/>
      </c>
      <c r="M581" s="22">
        <f>IF(LEFT(C581,7)&lt;&gt;"Sprint_","",IF(COUNTIFS(Versuchsdaten!$A$2:$A$1117,$A581,Versuchsdaten!$B$2:$B$1117,$B581,Versuchsdaten!$C$2:$C$1117,"Sprint_30m",Versuchsdaten!$E$2:$E$1117,$E581,Versuchsdaten!$J$2:$J$1117,1)=1,SUMIFS(Versuchsdaten!$F$2:$F$1117,Versuchsdaten!$A$2:$A$1117,$A581,Versuchsdaten!$B$2:$B$1117,$B581,Versuchsdaten!$C$2:$C$1117,"Sprint_30m",Versuchsdaten!$E$2:$E$1117,$E581,Versuchsdaten!$J$2:$J$1117,1),""))</f>
        <v/>
      </c>
      <c r="N581" s="22">
        <f>IF(LEFT(C581,7)&lt;&gt;"Sprint_",0,IF(IF(ISNUMBER(K581),IF(K581&lt;=0,1,IF(5/K581&gt;10,1,0)),0)+IF(ISNUMBER(L581),IF(ISNUMBER(K581),IF(L581-K581&lt;=0,1,IF(5/(L581-K581)&gt;10,1,0)),IF(L581&lt;=0,1,IF(10/L581&gt;10,1,0))),0)+IF(ISNUMBER(M581),IF(ISNUMBER(L581),IF(M581-L581&lt;=0,1,IF(20/(M581-L581)&gt;10,1,0)),IF(ISNUMBER(K581),IF(M581-K581&lt;=0,1,IF(25/(M581-K581)&gt;10,1,0)),IF(M581&lt;=0,1,IF(30/M581&gt;10,1,0)))),0)&gt;0,1,0))</f>
        <v/>
      </c>
      <c r="O581" s="22">
        <f>IF(AND(J581=1,N581=0),1,0)</f>
        <v/>
      </c>
      <c r="P581" s="22">
        <f>INDEX(Personendaten!$J$2:$J$32,MATCH(A581,Personendaten!$A$2:$A$32,0))</f>
        <v/>
      </c>
      <c r="Q581" s="22">
        <f>IF(O581=1,"",IF(AND(B581="post",P581="nicht angetreten"),"NANG",IF(N581=1,"AUSL",IFERROR(VLOOKUP(H581,Vokabular!$A$2:$B$8,2,FALSE),"UNBEKANNT"))))</f>
        <v/>
      </c>
    </row>
    <row r="582">
      <c r="A582" s="5" t="inlineStr">
        <is>
          <t>BW-02</t>
        </is>
      </c>
      <c r="B582" s="5" t="inlineStr">
        <is>
          <t>post</t>
        </is>
      </c>
      <c r="C582" s="5" t="inlineStr">
        <is>
          <t>Sprint_10m</t>
        </is>
      </c>
      <c r="D582" s="5" t="inlineStr">
        <is>
          <t>–</t>
        </is>
      </c>
      <c r="E582" s="5" t="n">
        <v>2</v>
      </c>
      <c r="F582" s="5" t="n"/>
      <c r="G582" s="5" t="n"/>
      <c r="H582" s="5" t="inlineStr">
        <is>
          <t>System falsch aufgenommen</t>
        </is>
      </c>
      <c r="I582" s="22">
        <f>INDEX(Personendaten!$C$2:$C$32,MATCH(A582,Personendaten!$A$2:$A$32,0))</f>
        <v/>
      </c>
      <c r="J582" s="22">
        <f>IF(AND(F582&lt;&gt;"",G582=""),1,0)</f>
        <v/>
      </c>
      <c r="K582" s="22">
        <f>IF(LEFT(C582,7)&lt;&gt;"Sprint_","",IF(COUNTIFS(Versuchsdaten!$A$2:$A$1117,$A582,Versuchsdaten!$B$2:$B$1117,$B582,Versuchsdaten!$C$2:$C$1117,"Sprint_5m",Versuchsdaten!$E$2:$E$1117,$E582,Versuchsdaten!$J$2:$J$1117,1)=1,SUMIFS(Versuchsdaten!$F$2:$F$1117,Versuchsdaten!$A$2:$A$1117,$A582,Versuchsdaten!$B$2:$B$1117,$B582,Versuchsdaten!$C$2:$C$1117,"Sprint_5m",Versuchsdaten!$E$2:$E$1117,$E582,Versuchsdaten!$J$2:$J$1117,1),""))</f>
        <v/>
      </c>
      <c r="L582" s="22">
        <f>IF(LEFT(C582,7)&lt;&gt;"Sprint_","",IF(COUNTIFS(Versuchsdaten!$A$2:$A$1117,$A582,Versuchsdaten!$B$2:$B$1117,$B582,Versuchsdaten!$C$2:$C$1117,"Sprint_10m",Versuchsdaten!$E$2:$E$1117,$E582,Versuchsdaten!$J$2:$J$1117,1)=1,SUMIFS(Versuchsdaten!$F$2:$F$1117,Versuchsdaten!$A$2:$A$1117,$A582,Versuchsdaten!$B$2:$B$1117,$B582,Versuchsdaten!$C$2:$C$1117,"Sprint_10m",Versuchsdaten!$E$2:$E$1117,$E582,Versuchsdaten!$J$2:$J$1117,1),""))</f>
        <v/>
      </c>
      <c r="M582" s="22">
        <f>IF(LEFT(C582,7)&lt;&gt;"Sprint_","",IF(COUNTIFS(Versuchsdaten!$A$2:$A$1117,$A582,Versuchsdaten!$B$2:$B$1117,$B582,Versuchsdaten!$C$2:$C$1117,"Sprint_30m",Versuchsdaten!$E$2:$E$1117,$E582,Versuchsdaten!$J$2:$J$1117,1)=1,SUMIFS(Versuchsdaten!$F$2:$F$1117,Versuchsdaten!$A$2:$A$1117,$A582,Versuchsdaten!$B$2:$B$1117,$B582,Versuchsdaten!$C$2:$C$1117,"Sprint_30m",Versuchsdaten!$E$2:$E$1117,$E582,Versuchsdaten!$J$2:$J$1117,1),""))</f>
        <v/>
      </c>
      <c r="N582" s="22">
        <f>IF(LEFT(C582,7)&lt;&gt;"Sprint_",0,IF(IF(ISNUMBER(K582),IF(K582&lt;=0,1,IF(5/K582&gt;10,1,0)),0)+IF(ISNUMBER(L582),IF(ISNUMBER(K582),IF(L582-K582&lt;=0,1,IF(5/(L582-K582)&gt;10,1,0)),IF(L582&lt;=0,1,IF(10/L582&gt;10,1,0))),0)+IF(ISNUMBER(M582),IF(ISNUMBER(L582),IF(M582-L582&lt;=0,1,IF(20/(M582-L582)&gt;10,1,0)),IF(ISNUMBER(K582),IF(M582-K582&lt;=0,1,IF(25/(M582-K582)&gt;10,1,0)),IF(M582&lt;=0,1,IF(30/M582&gt;10,1,0)))),0)&gt;0,1,0))</f>
        <v/>
      </c>
      <c r="O582" s="22">
        <f>IF(AND(J582=1,N582=0),1,0)</f>
        <v/>
      </c>
      <c r="P582" s="22">
        <f>INDEX(Personendaten!$J$2:$J$32,MATCH(A582,Personendaten!$A$2:$A$32,0))</f>
        <v/>
      </c>
      <c r="Q582" s="22">
        <f>IF(O582=1,"",IF(AND(B582="post",P582="nicht angetreten"),"NANG",IF(N582=1,"AUSL",IFERROR(VLOOKUP(H582,Vokabular!$A$2:$B$8,2,FALSE),"UNBEKANNT"))))</f>
        <v/>
      </c>
    </row>
    <row r="583">
      <c r="A583" s="5" t="inlineStr">
        <is>
          <t>BW-02</t>
        </is>
      </c>
      <c r="B583" s="5" t="inlineStr">
        <is>
          <t>post</t>
        </is>
      </c>
      <c r="C583" s="5" t="inlineStr">
        <is>
          <t>Sprint_10m</t>
        </is>
      </c>
      <c r="D583" s="5" t="inlineStr">
        <is>
          <t>–</t>
        </is>
      </c>
      <c r="E583" s="5" t="n">
        <v>3</v>
      </c>
      <c r="F583" s="5" t="n"/>
      <c r="G583" s="5" t="n"/>
      <c r="H583" s="5" t="inlineStr">
        <is>
          <t>System falsch aufgenommen</t>
        </is>
      </c>
      <c r="I583" s="22">
        <f>INDEX(Personendaten!$C$2:$C$32,MATCH(A583,Personendaten!$A$2:$A$32,0))</f>
        <v/>
      </c>
      <c r="J583" s="22">
        <f>IF(AND(F583&lt;&gt;"",G583=""),1,0)</f>
        <v/>
      </c>
      <c r="K583" s="22">
        <f>IF(LEFT(C583,7)&lt;&gt;"Sprint_","",IF(COUNTIFS(Versuchsdaten!$A$2:$A$1117,$A583,Versuchsdaten!$B$2:$B$1117,$B583,Versuchsdaten!$C$2:$C$1117,"Sprint_5m",Versuchsdaten!$E$2:$E$1117,$E583,Versuchsdaten!$J$2:$J$1117,1)=1,SUMIFS(Versuchsdaten!$F$2:$F$1117,Versuchsdaten!$A$2:$A$1117,$A583,Versuchsdaten!$B$2:$B$1117,$B583,Versuchsdaten!$C$2:$C$1117,"Sprint_5m",Versuchsdaten!$E$2:$E$1117,$E583,Versuchsdaten!$J$2:$J$1117,1),""))</f>
        <v/>
      </c>
      <c r="L583" s="22">
        <f>IF(LEFT(C583,7)&lt;&gt;"Sprint_","",IF(COUNTIFS(Versuchsdaten!$A$2:$A$1117,$A583,Versuchsdaten!$B$2:$B$1117,$B583,Versuchsdaten!$C$2:$C$1117,"Sprint_10m",Versuchsdaten!$E$2:$E$1117,$E583,Versuchsdaten!$J$2:$J$1117,1)=1,SUMIFS(Versuchsdaten!$F$2:$F$1117,Versuchsdaten!$A$2:$A$1117,$A583,Versuchsdaten!$B$2:$B$1117,$B583,Versuchsdaten!$C$2:$C$1117,"Sprint_10m",Versuchsdaten!$E$2:$E$1117,$E583,Versuchsdaten!$J$2:$J$1117,1),""))</f>
        <v/>
      </c>
      <c r="M583" s="22">
        <f>IF(LEFT(C583,7)&lt;&gt;"Sprint_","",IF(COUNTIFS(Versuchsdaten!$A$2:$A$1117,$A583,Versuchsdaten!$B$2:$B$1117,$B583,Versuchsdaten!$C$2:$C$1117,"Sprint_30m",Versuchsdaten!$E$2:$E$1117,$E583,Versuchsdaten!$J$2:$J$1117,1)=1,SUMIFS(Versuchsdaten!$F$2:$F$1117,Versuchsdaten!$A$2:$A$1117,$A583,Versuchsdaten!$B$2:$B$1117,$B583,Versuchsdaten!$C$2:$C$1117,"Sprint_30m",Versuchsdaten!$E$2:$E$1117,$E583,Versuchsdaten!$J$2:$J$1117,1),""))</f>
        <v/>
      </c>
      <c r="N583" s="22">
        <f>IF(LEFT(C583,7)&lt;&gt;"Sprint_",0,IF(IF(ISNUMBER(K583),IF(K583&lt;=0,1,IF(5/K583&gt;10,1,0)),0)+IF(ISNUMBER(L583),IF(ISNUMBER(K583),IF(L583-K583&lt;=0,1,IF(5/(L583-K583)&gt;10,1,0)),IF(L583&lt;=0,1,IF(10/L583&gt;10,1,0))),0)+IF(ISNUMBER(M583),IF(ISNUMBER(L583),IF(M583-L583&lt;=0,1,IF(20/(M583-L583)&gt;10,1,0)),IF(ISNUMBER(K583),IF(M583-K583&lt;=0,1,IF(25/(M583-K583)&gt;10,1,0)),IF(M583&lt;=0,1,IF(30/M583&gt;10,1,0)))),0)&gt;0,1,0))</f>
        <v/>
      </c>
      <c r="O583" s="22">
        <f>IF(AND(J583=1,N583=0),1,0)</f>
        <v/>
      </c>
      <c r="P583" s="22">
        <f>INDEX(Personendaten!$J$2:$J$32,MATCH(A583,Personendaten!$A$2:$A$32,0))</f>
        <v/>
      </c>
      <c r="Q583" s="22">
        <f>IF(O583=1,"",IF(AND(B583="post",P583="nicht angetreten"),"NANG",IF(N583=1,"AUSL",IFERROR(VLOOKUP(H583,Vokabular!$A$2:$B$8,2,FALSE),"UNBEKANNT"))))</f>
        <v/>
      </c>
    </row>
    <row r="584">
      <c r="A584" s="5" t="inlineStr">
        <is>
          <t>BW-02</t>
        </is>
      </c>
      <c r="B584" s="5" t="inlineStr">
        <is>
          <t>post</t>
        </is>
      </c>
      <c r="C584" s="5" t="inlineStr">
        <is>
          <t>Sprint_30m</t>
        </is>
      </c>
      <c r="D584" s="5" t="inlineStr">
        <is>
          <t>–</t>
        </is>
      </c>
      <c r="E584" s="5" t="n">
        <v>1</v>
      </c>
      <c r="F584" s="5" t="n">
        <v>4.76</v>
      </c>
      <c r="G584" s="5" t="n"/>
      <c r="H584" s="5" t="n"/>
      <c r="I584" s="22">
        <f>INDEX(Personendaten!$C$2:$C$32,MATCH(A584,Personendaten!$A$2:$A$32,0))</f>
        <v/>
      </c>
      <c r="J584" s="22">
        <f>IF(AND(F584&lt;&gt;"",G584=""),1,0)</f>
        <v/>
      </c>
      <c r="K584" s="22">
        <f>IF(LEFT(C584,7)&lt;&gt;"Sprint_","",IF(COUNTIFS(Versuchsdaten!$A$2:$A$1117,$A584,Versuchsdaten!$B$2:$B$1117,$B584,Versuchsdaten!$C$2:$C$1117,"Sprint_5m",Versuchsdaten!$E$2:$E$1117,$E584,Versuchsdaten!$J$2:$J$1117,1)=1,SUMIFS(Versuchsdaten!$F$2:$F$1117,Versuchsdaten!$A$2:$A$1117,$A584,Versuchsdaten!$B$2:$B$1117,$B584,Versuchsdaten!$C$2:$C$1117,"Sprint_5m",Versuchsdaten!$E$2:$E$1117,$E584,Versuchsdaten!$J$2:$J$1117,1),""))</f>
        <v/>
      </c>
      <c r="L584" s="22">
        <f>IF(LEFT(C584,7)&lt;&gt;"Sprint_","",IF(COUNTIFS(Versuchsdaten!$A$2:$A$1117,$A584,Versuchsdaten!$B$2:$B$1117,$B584,Versuchsdaten!$C$2:$C$1117,"Sprint_10m",Versuchsdaten!$E$2:$E$1117,$E584,Versuchsdaten!$J$2:$J$1117,1)=1,SUMIFS(Versuchsdaten!$F$2:$F$1117,Versuchsdaten!$A$2:$A$1117,$A584,Versuchsdaten!$B$2:$B$1117,$B584,Versuchsdaten!$C$2:$C$1117,"Sprint_10m",Versuchsdaten!$E$2:$E$1117,$E584,Versuchsdaten!$J$2:$J$1117,1),""))</f>
        <v/>
      </c>
      <c r="M584" s="22">
        <f>IF(LEFT(C584,7)&lt;&gt;"Sprint_","",IF(COUNTIFS(Versuchsdaten!$A$2:$A$1117,$A584,Versuchsdaten!$B$2:$B$1117,$B584,Versuchsdaten!$C$2:$C$1117,"Sprint_30m",Versuchsdaten!$E$2:$E$1117,$E584,Versuchsdaten!$J$2:$J$1117,1)=1,SUMIFS(Versuchsdaten!$F$2:$F$1117,Versuchsdaten!$A$2:$A$1117,$A584,Versuchsdaten!$B$2:$B$1117,$B584,Versuchsdaten!$C$2:$C$1117,"Sprint_30m",Versuchsdaten!$E$2:$E$1117,$E584,Versuchsdaten!$J$2:$J$1117,1),""))</f>
        <v/>
      </c>
      <c r="N584" s="22">
        <f>IF(LEFT(C584,7)&lt;&gt;"Sprint_",0,IF(IF(ISNUMBER(K584),IF(K584&lt;=0,1,IF(5/K584&gt;10,1,0)),0)+IF(ISNUMBER(L584),IF(ISNUMBER(K584),IF(L584-K584&lt;=0,1,IF(5/(L584-K584)&gt;10,1,0)),IF(L584&lt;=0,1,IF(10/L584&gt;10,1,0))),0)+IF(ISNUMBER(M584),IF(ISNUMBER(L584),IF(M584-L584&lt;=0,1,IF(20/(M584-L584)&gt;10,1,0)),IF(ISNUMBER(K584),IF(M584-K584&lt;=0,1,IF(25/(M584-K584)&gt;10,1,0)),IF(M584&lt;=0,1,IF(30/M584&gt;10,1,0)))),0)&gt;0,1,0))</f>
        <v/>
      </c>
      <c r="O584" s="22">
        <f>IF(AND(J584=1,N584=0),1,0)</f>
        <v/>
      </c>
      <c r="P584" s="22">
        <f>INDEX(Personendaten!$J$2:$J$32,MATCH(A584,Personendaten!$A$2:$A$32,0))</f>
        <v/>
      </c>
      <c r="Q584" s="22">
        <f>IF(O584=1,"",IF(AND(B584="post",P584="nicht angetreten"),"NANG",IF(N584=1,"AUSL",IFERROR(VLOOKUP(H584,Vokabular!$A$2:$B$8,2,FALSE),"UNBEKANNT"))))</f>
        <v/>
      </c>
    </row>
    <row r="585">
      <c r="A585" s="5" t="inlineStr">
        <is>
          <t>BW-02</t>
        </is>
      </c>
      <c r="B585" s="5" t="inlineStr">
        <is>
          <t>post</t>
        </is>
      </c>
      <c r="C585" s="5" t="inlineStr">
        <is>
          <t>Sprint_30m</t>
        </is>
      </c>
      <c r="D585" s="5" t="inlineStr">
        <is>
          <t>–</t>
        </is>
      </c>
      <c r="E585" s="5" t="n">
        <v>2</v>
      </c>
      <c r="F585" s="5" t="n">
        <v>4.7</v>
      </c>
      <c r="G585" s="5" t="n"/>
      <c r="H585" s="5" t="n"/>
      <c r="I585" s="22">
        <f>INDEX(Personendaten!$C$2:$C$32,MATCH(A585,Personendaten!$A$2:$A$32,0))</f>
        <v/>
      </c>
      <c r="J585" s="22">
        <f>IF(AND(F585&lt;&gt;"",G585=""),1,0)</f>
        <v/>
      </c>
      <c r="K585" s="22">
        <f>IF(LEFT(C585,7)&lt;&gt;"Sprint_","",IF(COUNTIFS(Versuchsdaten!$A$2:$A$1117,$A585,Versuchsdaten!$B$2:$B$1117,$B585,Versuchsdaten!$C$2:$C$1117,"Sprint_5m",Versuchsdaten!$E$2:$E$1117,$E585,Versuchsdaten!$J$2:$J$1117,1)=1,SUMIFS(Versuchsdaten!$F$2:$F$1117,Versuchsdaten!$A$2:$A$1117,$A585,Versuchsdaten!$B$2:$B$1117,$B585,Versuchsdaten!$C$2:$C$1117,"Sprint_5m",Versuchsdaten!$E$2:$E$1117,$E585,Versuchsdaten!$J$2:$J$1117,1),""))</f>
        <v/>
      </c>
      <c r="L585" s="22">
        <f>IF(LEFT(C585,7)&lt;&gt;"Sprint_","",IF(COUNTIFS(Versuchsdaten!$A$2:$A$1117,$A585,Versuchsdaten!$B$2:$B$1117,$B585,Versuchsdaten!$C$2:$C$1117,"Sprint_10m",Versuchsdaten!$E$2:$E$1117,$E585,Versuchsdaten!$J$2:$J$1117,1)=1,SUMIFS(Versuchsdaten!$F$2:$F$1117,Versuchsdaten!$A$2:$A$1117,$A585,Versuchsdaten!$B$2:$B$1117,$B585,Versuchsdaten!$C$2:$C$1117,"Sprint_10m",Versuchsdaten!$E$2:$E$1117,$E585,Versuchsdaten!$J$2:$J$1117,1),""))</f>
        <v/>
      </c>
      <c r="M585" s="22">
        <f>IF(LEFT(C585,7)&lt;&gt;"Sprint_","",IF(COUNTIFS(Versuchsdaten!$A$2:$A$1117,$A585,Versuchsdaten!$B$2:$B$1117,$B585,Versuchsdaten!$C$2:$C$1117,"Sprint_30m",Versuchsdaten!$E$2:$E$1117,$E585,Versuchsdaten!$J$2:$J$1117,1)=1,SUMIFS(Versuchsdaten!$F$2:$F$1117,Versuchsdaten!$A$2:$A$1117,$A585,Versuchsdaten!$B$2:$B$1117,$B585,Versuchsdaten!$C$2:$C$1117,"Sprint_30m",Versuchsdaten!$E$2:$E$1117,$E585,Versuchsdaten!$J$2:$J$1117,1),""))</f>
        <v/>
      </c>
      <c r="N585" s="22">
        <f>IF(LEFT(C585,7)&lt;&gt;"Sprint_",0,IF(IF(ISNUMBER(K585),IF(K585&lt;=0,1,IF(5/K585&gt;10,1,0)),0)+IF(ISNUMBER(L585),IF(ISNUMBER(K585),IF(L585-K585&lt;=0,1,IF(5/(L585-K585)&gt;10,1,0)),IF(L585&lt;=0,1,IF(10/L585&gt;10,1,0))),0)+IF(ISNUMBER(M585),IF(ISNUMBER(L585),IF(M585-L585&lt;=0,1,IF(20/(M585-L585)&gt;10,1,0)),IF(ISNUMBER(K585),IF(M585-K585&lt;=0,1,IF(25/(M585-K585)&gt;10,1,0)),IF(M585&lt;=0,1,IF(30/M585&gt;10,1,0)))),0)&gt;0,1,0))</f>
        <v/>
      </c>
      <c r="O585" s="22">
        <f>IF(AND(J585=1,N585=0),1,0)</f>
        <v/>
      </c>
      <c r="P585" s="22">
        <f>INDEX(Personendaten!$J$2:$J$32,MATCH(A585,Personendaten!$A$2:$A$32,0))</f>
        <v/>
      </c>
      <c r="Q585" s="22">
        <f>IF(O585=1,"",IF(AND(B585="post",P585="nicht angetreten"),"NANG",IF(N585=1,"AUSL",IFERROR(VLOOKUP(H585,Vokabular!$A$2:$B$8,2,FALSE),"UNBEKANNT"))))</f>
        <v/>
      </c>
    </row>
    <row r="586">
      <c r="A586" s="5" t="inlineStr">
        <is>
          <t>BW-02</t>
        </is>
      </c>
      <c r="B586" s="5" t="inlineStr">
        <is>
          <t>post</t>
        </is>
      </c>
      <c r="C586" s="5" t="inlineStr">
        <is>
          <t>Sprint_30m</t>
        </is>
      </c>
      <c r="D586" s="5" t="inlineStr">
        <is>
          <t>–</t>
        </is>
      </c>
      <c r="E586" s="5" t="n">
        <v>3</v>
      </c>
      <c r="F586" s="5" t="n">
        <v>4.72</v>
      </c>
      <c r="G586" s="5" t="n"/>
      <c r="H586" s="5" t="n"/>
      <c r="I586" s="22">
        <f>INDEX(Personendaten!$C$2:$C$32,MATCH(A586,Personendaten!$A$2:$A$32,0))</f>
        <v/>
      </c>
      <c r="J586" s="22">
        <f>IF(AND(F586&lt;&gt;"",G586=""),1,0)</f>
        <v/>
      </c>
      <c r="K586" s="22">
        <f>IF(LEFT(C586,7)&lt;&gt;"Sprint_","",IF(COUNTIFS(Versuchsdaten!$A$2:$A$1117,$A586,Versuchsdaten!$B$2:$B$1117,$B586,Versuchsdaten!$C$2:$C$1117,"Sprint_5m",Versuchsdaten!$E$2:$E$1117,$E586,Versuchsdaten!$J$2:$J$1117,1)=1,SUMIFS(Versuchsdaten!$F$2:$F$1117,Versuchsdaten!$A$2:$A$1117,$A586,Versuchsdaten!$B$2:$B$1117,$B586,Versuchsdaten!$C$2:$C$1117,"Sprint_5m",Versuchsdaten!$E$2:$E$1117,$E586,Versuchsdaten!$J$2:$J$1117,1),""))</f>
        <v/>
      </c>
      <c r="L586" s="22">
        <f>IF(LEFT(C586,7)&lt;&gt;"Sprint_","",IF(COUNTIFS(Versuchsdaten!$A$2:$A$1117,$A586,Versuchsdaten!$B$2:$B$1117,$B586,Versuchsdaten!$C$2:$C$1117,"Sprint_10m",Versuchsdaten!$E$2:$E$1117,$E586,Versuchsdaten!$J$2:$J$1117,1)=1,SUMIFS(Versuchsdaten!$F$2:$F$1117,Versuchsdaten!$A$2:$A$1117,$A586,Versuchsdaten!$B$2:$B$1117,$B586,Versuchsdaten!$C$2:$C$1117,"Sprint_10m",Versuchsdaten!$E$2:$E$1117,$E586,Versuchsdaten!$J$2:$J$1117,1),""))</f>
        <v/>
      </c>
      <c r="M586" s="22">
        <f>IF(LEFT(C586,7)&lt;&gt;"Sprint_","",IF(COUNTIFS(Versuchsdaten!$A$2:$A$1117,$A586,Versuchsdaten!$B$2:$B$1117,$B586,Versuchsdaten!$C$2:$C$1117,"Sprint_30m",Versuchsdaten!$E$2:$E$1117,$E586,Versuchsdaten!$J$2:$J$1117,1)=1,SUMIFS(Versuchsdaten!$F$2:$F$1117,Versuchsdaten!$A$2:$A$1117,$A586,Versuchsdaten!$B$2:$B$1117,$B586,Versuchsdaten!$C$2:$C$1117,"Sprint_30m",Versuchsdaten!$E$2:$E$1117,$E586,Versuchsdaten!$J$2:$J$1117,1),""))</f>
        <v/>
      </c>
      <c r="N586" s="22">
        <f>IF(LEFT(C586,7)&lt;&gt;"Sprint_",0,IF(IF(ISNUMBER(K586),IF(K586&lt;=0,1,IF(5/K586&gt;10,1,0)),0)+IF(ISNUMBER(L586),IF(ISNUMBER(K586),IF(L586-K586&lt;=0,1,IF(5/(L586-K586)&gt;10,1,0)),IF(L586&lt;=0,1,IF(10/L586&gt;10,1,0))),0)+IF(ISNUMBER(M586),IF(ISNUMBER(L586),IF(M586-L586&lt;=0,1,IF(20/(M586-L586)&gt;10,1,0)),IF(ISNUMBER(K586),IF(M586-K586&lt;=0,1,IF(25/(M586-K586)&gt;10,1,0)),IF(M586&lt;=0,1,IF(30/M586&gt;10,1,0)))),0)&gt;0,1,0))</f>
        <v/>
      </c>
      <c r="O586" s="22">
        <f>IF(AND(J586=1,N586=0),1,0)</f>
        <v/>
      </c>
      <c r="P586" s="22">
        <f>INDEX(Personendaten!$J$2:$J$32,MATCH(A586,Personendaten!$A$2:$A$32,0))</f>
        <v/>
      </c>
      <c r="Q586" s="22">
        <f>IF(O586=1,"",IF(AND(B586="post",P586="nicht angetreten"),"NANG",IF(N586=1,"AUSL",IFERROR(VLOOKUP(H586,Vokabular!$A$2:$B$8,2,FALSE),"UNBEKANNT"))))</f>
        <v/>
      </c>
    </row>
    <row r="587">
      <c r="A587" s="5" t="inlineStr">
        <is>
          <t>BW-02</t>
        </is>
      </c>
      <c r="B587" s="5" t="inlineStr">
        <is>
          <t>post</t>
        </is>
      </c>
      <c r="C587" s="5" t="inlineStr">
        <is>
          <t>Standweitsprung</t>
        </is>
      </c>
      <c r="D587" s="5" t="inlineStr">
        <is>
          <t>–</t>
        </is>
      </c>
      <c r="E587" s="5" t="n">
        <v>1</v>
      </c>
      <c r="F587" s="5" t="n">
        <v>232</v>
      </c>
      <c r="G587" s="5" t="n"/>
      <c r="H587" s="5" t="n"/>
      <c r="I587" s="22">
        <f>INDEX(Personendaten!$C$2:$C$32,MATCH(A587,Personendaten!$A$2:$A$32,0))</f>
        <v/>
      </c>
      <c r="J587" s="22">
        <f>IF(AND(F587&lt;&gt;"",G587=""),1,0)</f>
        <v/>
      </c>
      <c r="K587" s="22">
        <f>IF(LEFT(C587,7)&lt;&gt;"Sprint_","",IF(COUNTIFS(Versuchsdaten!$A$2:$A$1117,$A587,Versuchsdaten!$B$2:$B$1117,$B587,Versuchsdaten!$C$2:$C$1117,"Sprint_5m",Versuchsdaten!$E$2:$E$1117,$E587,Versuchsdaten!$J$2:$J$1117,1)=1,SUMIFS(Versuchsdaten!$F$2:$F$1117,Versuchsdaten!$A$2:$A$1117,$A587,Versuchsdaten!$B$2:$B$1117,$B587,Versuchsdaten!$C$2:$C$1117,"Sprint_5m",Versuchsdaten!$E$2:$E$1117,$E587,Versuchsdaten!$J$2:$J$1117,1),""))</f>
        <v/>
      </c>
      <c r="L587" s="22">
        <f>IF(LEFT(C587,7)&lt;&gt;"Sprint_","",IF(COUNTIFS(Versuchsdaten!$A$2:$A$1117,$A587,Versuchsdaten!$B$2:$B$1117,$B587,Versuchsdaten!$C$2:$C$1117,"Sprint_10m",Versuchsdaten!$E$2:$E$1117,$E587,Versuchsdaten!$J$2:$J$1117,1)=1,SUMIFS(Versuchsdaten!$F$2:$F$1117,Versuchsdaten!$A$2:$A$1117,$A587,Versuchsdaten!$B$2:$B$1117,$B587,Versuchsdaten!$C$2:$C$1117,"Sprint_10m",Versuchsdaten!$E$2:$E$1117,$E587,Versuchsdaten!$J$2:$J$1117,1),""))</f>
        <v/>
      </c>
      <c r="M587" s="22">
        <f>IF(LEFT(C587,7)&lt;&gt;"Sprint_","",IF(COUNTIFS(Versuchsdaten!$A$2:$A$1117,$A587,Versuchsdaten!$B$2:$B$1117,$B587,Versuchsdaten!$C$2:$C$1117,"Sprint_30m",Versuchsdaten!$E$2:$E$1117,$E587,Versuchsdaten!$J$2:$J$1117,1)=1,SUMIFS(Versuchsdaten!$F$2:$F$1117,Versuchsdaten!$A$2:$A$1117,$A587,Versuchsdaten!$B$2:$B$1117,$B587,Versuchsdaten!$C$2:$C$1117,"Sprint_30m",Versuchsdaten!$E$2:$E$1117,$E587,Versuchsdaten!$J$2:$J$1117,1),""))</f>
        <v/>
      </c>
      <c r="N587" s="22">
        <f>IF(LEFT(C587,7)&lt;&gt;"Sprint_",0,IF(IF(ISNUMBER(K587),IF(K587&lt;=0,1,IF(5/K587&gt;10,1,0)),0)+IF(ISNUMBER(L587),IF(ISNUMBER(K587),IF(L587-K587&lt;=0,1,IF(5/(L587-K587)&gt;10,1,0)),IF(L587&lt;=0,1,IF(10/L587&gt;10,1,0))),0)+IF(ISNUMBER(M587),IF(ISNUMBER(L587),IF(M587-L587&lt;=0,1,IF(20/(M587-L587)&gt;10,1,0)),IF(ISNUMBER(K587),IF(M587-K587&lt;=0,1,IF(25/(M587-K587)&gt;10,1,0)),IF(M587&lt;=0,1,IF(30/M587&gt;10,1,0)))),0)&gt;0,1,0))</f>
        <v/>
      </c>
      <c r="O587" s="22">
        <f>IF(AND(J587=1,N587=0),1,0)</f>
        <v/>
      </c>
      <c r="P587" s="22">
        <f>INDEX(Personendaten!$J$2:$J$32,MATCH(A587,Personendaten!$A$2:$A$32,0))</f>
        <v/>
      </c>
      <c r="Q587" s="22">
        <f>IF(O587=1,"",IF(AND(B587="post",P587="nicht angetreten"),"NANG",IF(N587=1,"AUSL",IFERROR(VLOOKUP(H587,Vokabular!$A$2:$B$8,2,FALSE),"UNBEKANNT"))))</f>
        <v/>
      </c>
    </row>
    <row r="588">
      <c r="A588" s="5" t="inlineStr">
        <is>
          <t>BW-02</t>
        </is>
      </c>
      <c r="B588" s="5" t="inlineStr">
        <is>
          <t>post</t>
        </is>
      </c>
      <c r="C588" s="5" t="inlineStr">
        <is>
          <t>Standweitsprung</t>
        </is>
      </c>
      <c r="D588" s="5" t="inlineStr">
        <is>
          <t>–</t>
        </is>
      </c>
      <c r="E588" s="5" t="n">
        <v>2</v>
      </c>
      <c r="F588" s="5" t="n">
        <v>234</v>
      </c>
      <c r="G588" s="5" t="n"/>
      <c r="H588" s="5" t="n"/>
      <c r="I588" s="22">
        <f>INDEX(Personendaten!$C$2:$C$32,MATCH(A588,Personendaten!$A$2:$A$32,0))</f>
        <v/>
      </c>
      <c r="J588" s="22">
        <f>IF(AND(F588&lt;&gt;"",G588=""),1,0)</f>
        <v/>
      </c>
      <c r="K588" s="22">
        <f>IF(LEFT(C588,7)&lt;&gt;"Sprint_","",IF(COUNTIFS(Versuchsdaten!$A$2:$A$1117,$A588,Versuchsdaten!$B$2:$B$1117,$B588,Versuchsdaten!$C$2:$C$1117,"Sprint_5m",Versuchsdaten!$E$2:$E$1117,$E588,Versuchsdaten!$J$2:$J$1117,1)=1,SUMIFS(Versuchsdaten!$F$2:$F$1117,Versuchsdaten!$A$2:$A$1117,$A588,Versuchsdaten!$B$2:$B$1117,$B588,Versuchsdaten!$C$2:$C$1117,"Sprint_5m",Versuchsdaten!$E$2:$E$1117,$E588,Versuchsdaten!$J$2:$J$1117,1),""))</f>
        <v/>
      </c>
      <c r="L588" s="22">
        <f>IF(LEFT(C588,7)&lt;&gt;"Sprint_","",IF(COUNTIFS(Versuchsdaten!$A$2:$A$1117,$A588,Versuchsdaten!$B$2:$B$1117,$B588,Versuchsdaten!$C$2:$C$1117,"Sprint_10m",Versuchsdaten!$E$2:$E$1117,$E588,Versuchsdaten!$J$2:$J$1117,1)=1,SUMIFS(Versuchsdaten!$F$2:$F$1117,Versuchsdaten!$A$2:$A$1117,$A588,Versuchsdaten!$B$2:$B$1117,$B588,Versuchsdaten!$C$2:$C$1117,"Sprint_10m",Versuchsdaten!$E$2:$E$1117,$E588,Versuchsdaten!$J$2:$J$1117,1),""))</f>
        <v/>
      </c>
      <c r="M588" s="22">
        <f>IF(LEFT(C588,7)&lt;&gt;"Sprint_","",IF(COUNTIFS(Versuchsdaten!$A$2:$A$1117,$A588,Versuchsdaten!$B$2:$B$1117,$B588,Versuchsdaten!$C$2:$C$1117,"Sprint_30m",Versuchsdaten!$E$2:$E$1117,$E588,Versuchsdaten!$J$2:$J$1117,1)=1,SUMIFS(Versuchsdaten!$F$2:$F$1117,Versuchsdaten!$A$2:$A$1117,$A588,Versuchsdaten!$B$2:$B$1117,$B588,Versuchsdaten!$C$2:$C$1117,"Sprint_30m",Versuchsdaten!$E$2:$E$1117,$E588,Versuchsdaten!$J$2:$J$1117,1),""))</f>
        <v/>
      </c>
      <c r="N588" s="22">
        <f>IF(LEFT(C588,7)&lt;&gt;"Sprint_",0,IF(IF(ISNUMBER(K588),IF(K588&lt;=0,1,IF(5/K588&gt;10,1,0)),0)+IF(ISNUMBER(L588),IF(ISNUMBER(K588),IF(L588-K588&lt;=0,1,IF(5/(L588-K588)&gt;10,1,0)),IF(L588&lt;=0,1,IF(10/L588&gt;10,1,0))),0)+IF(ISNUMBER(M588),IF(ISNUMBER(L588),IF(M588-L588&lt;=0,1,IF(20/(M588-L588)&gt;10,1,0)),IF(ISNUMBER(K588),IF(M588-K588&lt;=0,1,IF(25/(M588-K588)&gt;10,1,0)),IF(M588&lt;=0,1,IF(30/M588&gt;10,1,0)))),0)&gt;0,1,0))</f>
        <v/>
      </c>
      <c r="O588" s="22">
        <f>IF(AND(J588=1,N588=0),1,0)</f>
        <v/>
      </c>
      <c r="P588" s="22">
        <f>INDEX(Personendaten!$J$2:$J$32,MATCH(A588,Personendaten!$A$2:$A$32,0))</f>
        <v/>
      </c>
      <c r="Q588" s="22">
        <f>IF(O588=1,"",IF(AND(B588="post",P588="nicht angetreten"),"NANG",IF(N588=1,"AUSL",IFERROR(VLOOKUP(H588,Vokabular!$A$2:$B$8,2,FALSE),"UNBEKANNT"))))</f>
        <v/>
      </c>
    </row>
    <row r="589">
      <c r="A589" s="5" t="inlineStr">
        <is>
          <t>BW-02</t>
        </is>
      </c>
      <c r="B589" s="5" t="inlineStr">
        <is>
          <t>post</t>
        </is>
      </c>
      <c r="C589" s="5" t="inlineStr">
        <is>
          <t>Standweitsprung</t>
        </is>
      </c>
      <c r="D589" s="5" t="inlineStr">
        <is>
          <t>–</t>
        </is>
      </c>
      <c r="E589" s="5" t="n">
        <v>3</v>
      </c>
      <c r="F589" s="5" t="n">
        <v>235</v>
      </c>
      <c r="G589" s="5" t="n"/>
      <c r="H589" s="5" t="n"/>
      <c r="I589" s="22">
        <f>INDEX(Personendaten!$C$2:$C$32,MATCH(A589,Personendaten!$A$2:$A$32,0))</f>
        <v/>
      </c>
      <c r="J589" s="22">
        <f>IF(AND(F589&lt;&gt;"",G589=""),1,0)</f>
        <v/>
      </c>
      <c r="K589" s="22">
        <f>IF(LEFT(C589,7)&lt;&gt;"Sprint_","",IF(COUNTIFS(Versuchsdaten!$A$2:$A$1117,$A589,Versuchsdaten!$B$2:$B$1117,$B589,Versuchsdaten!$C$2:$C$1117,"Sprint_5m",Versuchsdaten!$E$2:$E$1117,$E589,Versuchsdaten!$J$2:$J$1117,1)=1,SUMIFS(Versuchsdaten!$F$2:$F$1117,Versuchsdaten!$A$2:$A$1117,$A589,Versuchsdaten!$B$2:$B$1117,$B589,Versuchsdaten!$C$2:$C$1117,"Sprint_5m",Versuchsdaten!$E$2:$E$1117,$E589,Versuchsdaten!$J$2:$J$1117,1),""))</f>
        <v/>
      </c>
      <c r="L589" s="22">
        <f>IF(LEFT(C589,7)&lt;&gt;"Sprint_","",IF(COUNTIFS(Versuchsdaten!$A$2:$A$1117,$A589,Versuchsdaten!$B$2:$B$1117,$B589,Versuchsdaten!$C$2:$C$1117,"Sprint_10m",Versuchsdaten!$E$2:$E$1117,$E589,Versuchsdaten!$J$2:$J$1117,1)=1,SUMIFS(Versuchsdaten!$F$2:$F$1117,Versuchsdaten!$A$2:$A$1117,$A589,Versuchsdaten!$B$2:$B$1117,$B589,Versuchsdaten!$C$2:$C$1117,"Sprint_10m",Versuchsdaten!$E$2:$E$1117,$E589,Versuchsdaten!$J$2:$J$1117,1),""))</f>
        <v/>
      </c>
      <c r="M589" s="22">
        <f>IF(LEFT(C589,7)&lt;&gt;"Sprint_","",IF(COUNTIFS(Versuchsdaten!$A$2:$A$1117,$A589,Versuchsdaten!$B$2:$B$1117,$B589,Versuchsdaten!$C$2:$C$1117,"Sprint_30m",Versuchsdaten!$E$2:$E$1117,$E589,Versuchsdaten!$J$2:$J$1117,1)=1,SUMIFS(Versuchsdaten!$F$2:$F$1117,Versuchsdaten!$A$2:$A$1117,$A589,Versuchsdaten!$B$2:$B$1117,$B589,Versuchsdaten!$C$2:$C$1117,"Sprint_30m",Versuchsdaten!$E$2:$E$1117,$E589,Versuchsdaten!$J$2:$J$1117,1),""))</f>
        <v/>
      </c>
      <c r="N589" s="22">
        <f>IF(LEFT(C589,7)&lt;&gt;"Sprint_",0,IF(IF(ISNUMBER(K589),IF(K589&lt;=0,1,IF(5/K589&gt;10,1,0)),0)+IF(ISNUMBER(L589),IF(ISNUMBER(K589),IF(L589-K589&lt;=0,1,IF(5/(L589-K589)&gt;10,1,0)),IF(L589&lt;=0,1,IF(10/L589&gt;10,1,0))),0)+IF(ISNUMBER(M589),IF(ISNUMBER(L589),IF(M589-L589&lt;=0,1,IF(20/(M589-L589)&gt;10,1,0)),IF(ISNUMBER(K589),IF(M589-K589&lt;=0,1,IF(25/(M589-K589)&gt;10,1,0)),IF(M589&lt;=0,1,IF(30/M589&gt;10,1,0)))),0)&gt;0,1,0))</f>
        <v/>
      </c>
      <c r="O589" s="22">
        <f>IF(AND(J589=1,N589=0),1,0)</f>
        <v/>
      </c>
      <c r="P589" s="22">
        <f>INDEX(Personendaten!$J$2:$J$32,MATCH(A589,Personendaten!$A$2:$A$32,0))</f>
        <v/>
      </c>
      <c r="Q589" s="22">
        <f>IF(O589=1,"",IF(AND(B589="post",P589="nicht angetreten"),"NANG",IF(N589=1,"AUSL",IFERROR(VLOOKUP(H589,Vokabular!$A$2:$B$8,2,FALSE),"UNBEKANNT"))))</f>
        <v/>
      </c>
    </row>
    <row r="590">
      <c r="A590" s="5" t="inlineStr">
        <is>
          <t>BW-02</t>
        </is>
      </c>
      <c r="B590" s="5" t="inlineStr">
        <is>
          <t>post</t>
        </is>
      </c>
      <c r="C590" s="5" t="inlineStr">
        <is>
          <t>COD_505</t>
        </is>
      </c>
      <c r="D590" s="5" t="inlineStr">
        <is>
          <t>L</t>
        </is>
      </c>
      <c r="E590" s="5" t="n">
        <v>1</v>
      </c>
      <c r="F590" s="5" t="n">
        <v>2.4</v>
      </c>
      <c r="G590" s="5" t="n"/>
      <c r="H590" s="5" t="n"/>
      <c r="I590" s="22">
        <f>INDEX(Personendaten!$C$2:$C$32,MATCH(A590,Personendaten!$A$2:$A$32,0))</f>
        <v/>
      </c>
      <c r="J590" s="22">
        <f>IF(AND(F590&lt;&gt;"",G590=""),1,0)</f>
        <v/>
      </c>
      <c r="K590" s="22">
        <f>IF(LEFT(C590,7)&lt;&gt;"Sprint_","",IF(COUNTIFS(Versuchsdaten!$A$2:$A$1117,$A590,Versuchsdaten!$B$2:$B$1117,$B590,Versuchsdaten!$C$2:$C$1117,"Sprint_5m",Versuchsdaten!$E$2:$E$1117,$E590,Versuchsdaten!$J$2:$J$1117,1)=1,SUMIFS(Versuchsdaten!$F$2:$F$1117,Versuchsdaten!$A$2:$A$1117,$A590,Versuchsdaten!$B$2:$B$1117,$B590,Versuchsdaten!$C$2:$C$1117,"Sprint_5m",Versuchsdaten!$E$2:$E$1117,$E590,Versuchsdaten!$J$2:$J$1117,1),""))</f>
        <v/>
      </c>
      <c r="L590" s="22">
        <f>IF(LEFT(C590,7)&lt;&gt;"Sprint_","",IF(COUNTIFS(Versuchsdaten!$A$2:$A$1117,$A590,Versuchsdaten!$B$2:$B$1117,$B590,Versuchsdaten!$C$2:$C$1117,"Sprint_10m",Versuchsdaten!$E$2:$E$1117,$E590,Versuchsdaten!$J$2:$J$1117,1)=1,SUMIFS(Versuchsdaten!$F$2:$F$1117,Versuchsdaten!$A$2:$A$1117,$A590,Versuchsdaten!$B$2:$B$1117,$B590,Versuchsdaten!$C$2:$C$1117,"Sprint_10m",Versuchsdaten!$E$2:$E$1117,$E590,Versuchsdaten!$J$2:$J$1117,1),""))</f>
        <v/>
      </c>
      <c r="M590" s="22">
        <f>IF(LEFT(C590,7)&lt;&gt;"Sprint_","",IF(COUNTIFS(Versuchsdaten!$A$2:$A$1117,$A590,Versuchsdaten!$B$2:$B$1117,$B590,Versuchsdaten!$C$2:$C$1117,"Sprint_30m",Versuchsdaten!$E$2:$E$1117,$E590,Versuchsdaten!$J$2:$J$1117,1)=1,SUMIFS(Versuchsdaten!$F$2:$F$1117,Versuchsdaten!$A$2:$A$1117,$A590,Versuchsdaten!$B$2:$B$1117,$B590,Versuchsdaten!$C$2:$C$1117,"Sprint_30m",Versuchsdaten!$E$2:$E$1117,$E590,Versuchsdaten!$J$2:$J$1117,1),""))</f>
        <v/>
      </c>
      <c r="N590" s="22">
        <f>IF(LEFT(C590,7)&lt;&gt;"Sprint_",0,IF(IF(ISNUMBER(K590),IF(K590&lt;=0,1,IF(5/K590&gt;10,1,0)),0)+IF(ISNUMBER(L590),IF(ISNUMBER(K590),IF(L590-K590&lt;=0,1,IF(5/(L590-K590)&gt;10,1,0)),IF(L590&lt;=0,1,IF(10/L590&gt;10,1,0))),0)+IF(ISNUMBER(M590),IF(ISNUMBER(L590),IF(M590-L590&lt;=0,1,IF(20/(M590-L590)&gt;10,1,0)),IF(ISNUMBER(K590),IF(M590-K590&lt;=0,1,IF(25/(M590-K590)&gt;10,1,0)),IF(M590&lt;=0,1,IF(30/M590&gt;10,1,0)))),0)&gt;0,1,0))</f>
        <v/>
      </c>
      <c r="O590" s="22">
        <f>IF(AND(J590=1,N590=0),1,0)</f>
        <v/>
      </c>
      <c r="P590" s="22">
        <f>INDEX(Personendaten!$J$2:$J$32,MATCH(A590,Personendaten!$A$2:$A$32,0))</f>
        <v/>
      </c>
      <c r="Q590" s="22">
        <f>IF(O590=1,"",IF(AND(B590="post",P590="nicht angetreten"),"NANG",IF(N590=1,"AUSL",IFERROR(VLOOKUP(H590,Vokabular!$A$2:$B$8,2,FALSE),"UNBEKANNT"))))</f>
        <v/>
      </c>
    </row>
    <row r="591">
      <c r="A591" s="5" t="inlineStr">
        <is>
          <t>BW-02</t>
        </is>
      </c>
      <c r="B591" s="5" t="inlineStr">
        <is>
          <t>post</t>
        </is>
      </c>
      <c r="C591" s="5" t="inlineStr">
        <is>
          <t>COD_505</t>
        </is>
      </c>
      <c r="D591" s="5" t="inlineStr">
        <is>
          <t>L</t>
        </is>
      </c>
      <c r="E591" s="5" t="n">
        <v>2</v>
      </c>
      <c r="F591" s="5" t="n">
        <v>2.45</v>
      </c>
      <c r="G591" s="5" t="n"/>
      <c r="H591" s="5" t="n"/>
      <c r="I591" s="22">
        <f>INDEX(Personendaten!$C$2:$C$32,MATCH(A591,Personendaten!$A$2:$A$32,0))</f>
        <v/>
      </c>
      <c r="J591" s="22">
        <f>IF(AND(F591&lt;&gt;"",G591=""),1,0)</f>
        <v/>
      </c>
      <c r="K591" s="22">
        <f>IF(LEFT(C591,7)&lt;&gt;"Sprint_","",IF(COUNTIFS(Versuchsdaten!$A$2:$A$1117,$A591,Versuchsdaten!$B$2:$B$1117,$B591,Versuchsdaten!$C$2:$C$1117,"Sprint_5m",Versuchsdaten!$E$2:$E$1117,$E591,Versuchsdaten!$J$2:$J$1117,1)=1,SUMIFS(Versuchsdaten!$F$2:$F$1117,Versuchsdaten!$A$2:$A$1117,$A591,Versuchsdaten!$B$2:$B$1117,$B591,Versuchsdaten!$C$2:$C$1117,"Sprint_5m",Versuchsdaten!$E$2:$E$1117,$E591,Versuchsdaten!$J$2:$J$1117,1),""))</f>
        <v/>
      </c>
      <c r="L591" s="22">
        <f>IF(LEFT(C591,7)&lt;&gt;"Sprint_","",IF(COUNTIFS(Versuchsdaten!$A$2:$A$1117,$A591,Versuchsdaten!$B$2:$B$1117,$B591,Versuchsdaten!$C$2:$C$1117,"Sprint_10m",Versuchsdaten!$E$2:$E$1117,$E591,Versuchsdaten!$J$2:$J$1117,1)=1,SUMIFS(Versuchsdaten!$F$2:$F$1117,Versuchsdaten!$A$2:$A$1117,$A591,Versuchsdaten!$B$2:$B$1117,$B591,Versuchsdaten!$C$2:$C$1117,"Sprint_10m",Versuchsdaten!$E$2:$E$1117,$E591,Versuchsdaten!$J$2:$J$1117,1),""))</f>
        <v/>
      </c>
      <c r="M591" s="22">
        <f>IF(LEFT(C591,7)&lt;&gt;"Sprint_","",IF(COUNTIFS(Versuchsdaten!$A$2:$A$1117,$A591,Versuchsdaten!$B$2:$B$1117,$B591,Versuchsdaten!$C$2:$C$1117,"Sprint_30m",Versuchsdaten!$E$2:$E$1117,$E591,Versuchsdaten!$J$2:$J$1117,1)=1,SUMIFS(Versuchsdaten!$F$2:$F$1117,Versuchsdaten!$A$2:$A$1117,$A591,Versuchsdaten!$B$2:$B$1117,$B591,Versuchsdaten!$C$2:$C$1117,"Sprint_30m",Versuchsdaten!$E$2:$E$1117,$E591,Versuchsdaten!$J$2:$J$1117,1),""))</f>
        <v/>
      </c>
      <c r="N591" s="22">
        <f>IF(LEFT(C591,7)&lt;&gt;"Sprint_",0,IF(IF(ISNUMBER(K591),IF(K591&lt;=0,1,IF(5/K591&gt;10,1,0)),0)+IF(ISNUMBER(L591),IF(ISNUMBER(K591),IF(L591-K591&lt;=0,1,IF(5/(L591-K591)&gt;10,1,0)),IF(L591&lt;=0,1,IF(10/L591&gt;10,1,0))),0)+IF(ISNUMBER(M591),IF(ISNUMBER(L591),IF(M591-L591&lt;=0,1,IF(20/(M591-L591)&gt;10,1,0)),IF(ISNUMBER(K591),IF(M591-K591&lt;=0,1,IF(25/(M591-K591)&gt;10,1,0)),IF(M591&lt;=0,1,IF(30/M591&gt;10,1,0)))),0)&gt;0,1,0))</f>
        <v/>
      </c>
      <c r="O591" s="22">
        <f>IF(AND(J591=1,N591=0),1,0)</f>
        <v/>
      </c>
      <c r="P591" s="22">
        <f>INDEX(Personendaten!$J$2:$J$32,MATCH(A591,Personendaten!$A$2:$A$32,0))</f>
        <v/>
      </c>
      <c r="Q591" s="22">
        <f>IF(O591=1,"",IF(AND(B591="post",P591="nicht angetreten"),"NANG",IF(N591=1,"AUSL",IFERROR(VLOOKUP(H591,Vokabular!$A$2:$B$8,2,FALSE),"UNBEKANNT"))))</f>
        <v/>
      </c>
    </row>
    <row r="592">
      <c r="A592" s="5" t="inlineStr">
        <is>
          <t>BW-02</t>
        </is>
      </c>
      <c r="B592" s="5" t="inlineStr">
        <is>
          <t>post</t>
        </is>
      </c>
      <c r="C592" s="5" t="inlineStr">
        <is>
          <t>COD_505</t>
        </is>
      </c>
      <c r="D592" s="5" t="inlineStr">
        <is>
          <t>L</t>
        </is>
      </c>
      <c r="E592" s="5" t="n">
        <v>3</v>
      </c>
      <c r="F592" s="5" t="n"/>
      <c r="G592" s="5" t="n"/>
      <c r="H592" s="5" t="inlineStr">
        <is>
          <t>Nur 2 Versuche aus Zeitmangel</t>
        </is>
      </c>
      <c r="I592" s="22">
        <f>INDEX(Personendaten!$C$2:$C$32,MATCH(A592,Personendaten!$A$2:$A$32,0))</f>
        <v/>
      </c>
      <c r="J592" s="22">
        <f>IF(AND(F592&lt;&gt;"",G592=""),1,0)</f>
        <v/>
      </c>
      <c r="K592" s="22">
        <f>IF(LEFT(C592,7)&lt;&gt;"Sprint_","",IF(COUNTIFS(Versuchsdaten!$A$2:$A$1117,$A592,Versuchsdaten!$B$2:$B$1117,$B592,Versuchsdaten!$C$2:$C$1117,"Sprint_5m",Versuchsdaten!$E$2:$E$1117,$E592,Versuchsdaten!$J$2:$J$1117,1)=1,SUMIFS(Versuchsdaten!$F$2:$F$1117,Versuchsdaten!$A$2:$A$1117,$A592,Versuchsdaten!$B$2:$B$1117,$B592,Versuchsdaten!$C$2:$C$1117,"Sprint_5m",Versuchsdaten!$E$2:$E$1117,$E592,Versuchsdaten!$J$2:$J$1117,1),""))</f>
        <v/>
      </c>
      <c r="L592" s="22">
        <f>IF(LEFT(C592,7)&lt;&gt;"Sprint_","",IF(COUNTIFS(Versuchsdaten!$A$2:$A$1117,$A592,Versuchsdaten!$B$2:$B$1117,$B592,Versuchsdaten!$C$2:$C$1117,"Sprint_10m",Versuchsdaten!$E$2:$E$1117,$E592,Versuchsdaten!$J$2:$J$1117,1)=1,SUMIFS(Versuchsdaten!$F$2:$F$1117,Versuchsdaten!$A$2:$A$1117,$A592,Versuchsdaten!$B$2:$B$1117,$B592,Versuchsdaten!$C$2:$C$1117,"Sprint_10m",Versuchsdaten!$E$2:$E$1117,$E592,Versuchsdaten!$J$2:$J$1117,1),""))</f>
        <v/>
      </c>
      <c r="M592" s="22">
        <f>IF(LEFT(C592,7)&lt;&gt;"Sprint_","",IF(COUNTIFS(Versuchsdaten!$A$2:$A$1117,$A592,Versuchsdaten!$B$2:$B$1117,$B592,Versuchsdaten!$C$2:$C$1117,"Sprint_30m",Versuchsdaten!$E$2:$E$1117,$E592,Versuchsdaten!$J$2:$J$1117,1)=1,SUMIFS(Versuchsdaten!$F$2:$F$1117,Versuchsdaten!$A$2:$A$1117,$A592,Versuchsdaten!$B$2:$B$1117,$B592,Versuchsdaten!$C$2:$C$1117,"Sprint_30m",Versuchsdaten!$E$2:$E$1117,$E592,Versuchsdaten!$J$2:$J$1117,1),""))</f>
        <v/>
      </c>
      <c r="N592" s="22">
        <f>IF(LEFT(C592,7)&lt;&gt;"Sprint_",0,IF(IF(ISNUMBER(K592),IF(K592&lt;=0,1,IF(5/K592&gt;10,1,0)),0)+IF(ISNUMBER(L592),IF(ISNUMBER(K592),IF(L592-K592&lt;=0,1,IF(5/(L592-K592)&gt;10,1,0)),IF(L592&lt;=0,1,IF(10/L592&gt;10,1,0))),0)+IF(ISNUMBER(M592),IF(ISNUMBER(L592),IF(M592-L592&lt;=0,1,IF(20/(M592-L592)&gt;10,1,0)),IF(ISNUMBER(K592),IF(M592-K592&lt;=0,1,IF(25/(M592-K592)&gt;10,1,0)),IF(M592&lt;=0,1,IF(30/M592&gt;10,1,0)))),0)&gt;0,1,0))</f>
        <v/>
      </c>
      <c r="O592" s="22">
        <f>IF(AND(J592=1,N592=0),1,0)</f>
        <v/>
      </c>
      <c r="P592" s="22">
        <f>INDEX(Personendaten!$J$2:$J$32,MATCH(A592,Personendaten!$A$2:$A$32,0))</f>
        <v/>
      </c>
      <c r="Q592" s="22">
        <f>IF(O592=1,"",IF(AND(B592="post",P592="nicht angetreten"),"NANG",IF(N592=1,"AUSL",IFERROR(VLOOKUP(H592,Vokabular!$A$2:$B$8,2,FALSE),"UNBEKANNT"))))</f>
        <v/>
      </c>
    </row>
    <row r="593">
      <c r="A593" s="5" t="inlineStr">
        <is>
          <t>BW-02</t>
        </is>
      </c>
      <c r="B593" s="5" t="inlineStr">
        <is>
          <t>post</t>
        </is>
      </c>
      <c r="C593" s="5" t="inlineStr">
        <is>
          <t>COD_505</t>
        </is>
      </c>
      <c r="D593" s="5" t="inlineStr">
        <is>
          <t>R</t>
        </is>
      </c>
      <c r="E593" s="5" t="n">
        <v>1</v>
      </c>
      <c r="F593" s="5" t="n"/>
      <c r="G593" s="5" t="inlineStr">
        <is>
          <t>x</t>
        </is>
      </c>
      <c r="H593" s="5" t="inlineStr">
        <is>
          <t>Fehlversuch</t>
        </is>
      </c>
      <c r="I593" s="22">
        <f>INDEX(Personendaten!$C$2:$C$32,MATCH(A593,Personendaten!$A$2:$A$32,0))</f>
        <v/>
      </c>
      <c r="J593" s="22">
        <f>IF(AND(F593&lt;&gt;"",G593=""),1,0)</f>
        <v/>
      </c>
      <c r="K593" s="22">
        <f>IF(LEFT(C593,7)&lt;&gt;"Sprint_","",IF(COUNTIFS(Versuchsdaten!$A$2:$A$1117,$A593,Versuchsdaten!$B$2:$B$1117,$B593,Versuchsdaten!$C$2:$C$1117,"Sprint_5m",Versuchsdaten!$E$2:$E$1117,$E593,Versuchsdaten!$J$2:$J$1117,1)=1,SUMIFS(Versuchsdaten!$F$2:$F$1117,Versuchsdaten!$A$2:$A$1117,$A593,Versuchsdaten!$B$2:$B$1117,$B593,Versuchsdaten!$C$2:$C$1117,"Sprint_5m",Versuchsdaten!$E$2:$E$1117,$E593,Versuchsdaten!$J$2:$J$1117,1),""))</f>
        <v/>
      </c>
      <c r="L593" s="22">
        <f>IF(LEFT(C593,7)&lt;&gt;"Sprint_","",IF(COUNTIFS(Versuchsdaten!$A$2:$A$1117,$A593,Versuchsdaten!$B$2:$B$1117,$B593,Versuchsdaten!$C$2:$C$1117,"Sprint_10m",Versuchsdaten!$E$2:$E$1117,$E593,Versuchsdaten!$J$2:$J$1117,1)=1,SUMIFS(Versuchsdaten!$F$2:$F$1117,Versuchsdaten!$A$2:$A$1117,$A593,Versuchsdaten!$B$2:$B$1117,$B593,Versuchsdaten!$C$2:$C$1117,"Sprint_10m",Versuchsdaten!$E$2:$E$1117,$E593,Versuchsdaten!$J$2:$J$1117,1),""))</f>
        <v/>
      </c>
      <c r="M593" s="22">
        <f>IF(LEFT(C593,7)&lt;&gt;"Sprint_","",IF(COUNTIFS(Versuchsdaten!$A$2:$A$1117,$A593,Versuchsdaten!$B$2:$B$1117,$B593,Versuchsdaten!$C$2:$C$1117,"Sprint_30m",Versuchsdaten!$E$2:$E$1117,$E593,Versuchsdaten!$J$2:$J$1117,1)=1,SUMIFS(Versuchsdaten!$F$2:$F$1117,Versuchsdaten!$A$2:$A$1117,$A593,Versuchsdaten!$B$2:$B$1117,$B593,Versuchsdaten!$C$2:$C$1117,"Sprint_30m",Versuchsdaten!$E$2:$E$1117,$E593,Versuchsdaten!$J$2:$J$1117,1),""))</f>
        <v/>
      </c>
      <c r="N593" s="22">
        <f>IF(LEFT(C593,7)&lt;&gt;"Sprint_",0,IF(IF(ISNUMBER(K593),IF(K593&lt;=0,1,IF(5/K593&gt;10,1,0)),0)+IF(ISNUMBER(L593),IF(ISNUMBER(K593),IF(L593-K593&lt;=0,1,IF(5/(L593-K593)&gt;10,1,0)),IF(L593&lt;=0,1,IF(10/L593&gt;10,1,0))),0)+IF(ISNUMBER(M593),IF(ISNUMBER(L593),IF(M593-L593&lt;=0,1,IF(20/(M593-L593)&gt;10,1,0)),IF(ISNUMBER(K593),IF(M593-K593&lt;=0,1,IF(25/(M593-K593)&gt;10,1,0)),IF(M593&lt;=0,1,IF(30/M593&gt;10,1,0)))),0)&gt;0,1,0))</f>
        <v/>
      </c>
      <c r="O593" s="22">
        <f>IF(AND(J593=1,N593=0),1,0)</f>
        <v/>
      </c>
      <c r="P593" s="22">
        <f>INDEX(Personendaten!$J$2:$J$32,MATCH(A593,Personendaten!$A$2:$A$32,0))</f>
        <v/>
      </c>
      <c r="Q593" s="22">
        <f>IF(O593=1,"",IF(AND(B593="post",P593="nicht angetreten"),"NANG",IF(N593=1,"AUSL",IFERROR(VLOOKUP(H593,Vokabular!$A$2:$B$8,2,FALSE),"UNBEKANNT"))))</f>
        <v/>
      </c>
    </row>
    <row r="594">
      <c r="A594" s="5" t="inlineStr">
        <is>
          <t>BW-02</t>
        </is>
      </c>
      <c r="B594" s="5" t="inlineStr">
        <is>
          <t>post</t>
        </is>
      </c>
      <c r="C594" s="5" t="inlineStr">
        <is>
          <t>COD_505</t>
        </is>
      </c>
      <c r="D594" s="5" t="inlineStr">
        <is>
          <t>R</t>
        </is>
      </c>
      <c r="E594" s="5" t="n">
        <v>2</v>
      </c>
      <c r="F594" s="5" t="n">
        <v>2.44</v>
      </c>
      <c r="G594" s="5" t="n"/>
      <c r="H594" s="5" t="n"/>
      <c r="I594" s="22">
        <f>INDEX(Personendaten!$C$2:$C$32,MATCH(A594,Personendaten!$A$2:$A$32,0))</f>
        <v/>
      </c>
      <c r="J594" s="22">
        <f>IF(AND(F594&lt;&gt;"",G594=""),1,0)</f>
        <v/>
      </c>
      <c r="K594" s="22">
        <f>IF(LEFT(C594,7)&lt;&gt;"Sprint_","",IF(COUNTIFS(Versuchsdaten!$A$2:$A$1117,$A594,Versuchsdaten!$B$2:$B$1117,$B594,Versuchsdaten!$C$2:$C$1117,"Sprint_5m",Versuchsdaten!$E$2:$E$1117,$E594,Versuchsdaten!$J$2:$J$1117,1)=1,SUMIFS(Versuchsdaten!$F$2:$F$1117,Versuchsdaten!$A$2:$A$1117,$A594,Versuchsdaten!$B$2:$B$1117,$B594,Versuchsdaten!$C$2:$C$1117,"Sprint_5m",Versuchsdaten!$E$2:$E$1117,$E594,Versuchsdaten!$J$2:$J$1117,1),""))</f>
        <v/>
      </c>
      <c r="L594" s="22">
        <f>IF(LEFT(C594,7)&lt;&gt;"Sprint_","",IF(COUNTIFS(Versuchsdaten!$A$2:$A$1117,$A594,Versuchsdaten!$B$2:$B$1117,$B594,Versuchsdaten!$C$2:$C$1117,"Sprint_10m",Versuchsdaten!$E$2:$E$1117,$E594,Versuchsdaten!$J$2:$J$1117,1)=1,SUMIFS(Versuchsdaten!$F$2:$F$1117,Versuchsdaten!$A$2:$A$1117,$A594,Versuchsdaten!$B$2:$B$1117,$B594,Versuchsdaten!$C$2:$C$1117,"Sprint_10m",Versuchsdaten!$E$2:$E$1117,$E594,Versuchsdaten!$J$2:$J$1117,1),""))</f>
        <v/>
      </c>
      <c r="M594" s="22">
        <f>IF(LEFT(C594,7)&lt;&gt;"Sprint_","",IF(COUNTIFS(Versuchsdaten!$A$2:$A$1117,$A594,Versuchsdaten!$B$2:$B$1117,$B594,Versuchsdaten!$C$2:$C$1117,"Sprint_30m",Versuchsdaten!$E$2:$E$1117,$E594,Versuchsdaten!$J$2:$J$1117,1)=1,SUMIFS(Versuchsdaten!$F$2:$F$1117,Versuchsdaten!$A$2:$A$1117,$A594,Versuchsdaten!$B$2:$B$1117,$B594,Versuchsdaten!$C$2:$C$1117,"Sprint_30m",Versuchsdaten!$E$2:$E$1117,$E594,Versuchsdaten!$J$2:$J$1117,1),""))</f>
        <v/>
      </c>
      <c r="N594" s="22">
        <f>IF(LEFT(C594,7)&lt;&gt;"Sprint_",0,IF(IF(ISNUMBER(K594),IF(K594&lt;=0,1,IF(5/K594&gt;10,1,0)),0)+IF(ISNUMBER(L594),IF(ISNUMBER(K594),IF(L594-K594&lt;=0,1,IF(5/(L594-K594)&gt;10,1,0)),IF(L594&lt;=0,1,IF(10/L594&gt;10,1,0))),0)+IF(ISNUMBER(M594),IF(ISNUMBER(L594),IF(M594-L594&lt;=0,1,IF(20/(M594-L594)&gt;10,1,0)),IF(ISNUMBER(K594),IF(M594-K594&lt;=0,1,IF(25/(M594-K594)&gt;10,1,0)),IF(M594&lt;=0,1,IF(30/M594&gt;10,1,0)))),0)&gt;0,1,0))</f>
        <v/>
      </c>
      <c r="O594" s="22">
        <f>IF(AND(J594=1,N594=0),1,0)</f>
        <v/>
      </c>
      <c r="P594" s="22">
        <f>INDEX(Personendaten!$J$2:$J$32,MATCH(A594,Personendaten!$A$2:$A$32,0))</f>
        <v/>
      </c>
      <c r="Q594" s="22">
        <f>IF(O594=1,"",IF(AND(B594="post",P594="nicht angetreten"),"NANG",IF(N594=1,"AUSL",IFERROR(VLOOKUP(H594,Vokabular!$A$2:$B$8,2,FALSE),"UNBEKANNT"))))</f>
        <v/>
      </c>
    </row>
    <row r="595">
      <c r="A595" s="5" t="inlineStr">
        <is>
          <t>BW-02</t>
        </is>
      </c>
      <c r="B595" s="5" t="inlineStr">
        <is>
          <t>post</t>
        </is>
      </c>
      <c r="C595" s="5" t="inlineStr">
        <is>
          <t>COD_505</t>
        </is>
      </c>
      <c r="D595" s="5" t="inlineStr">
        <is>
          <t>R</t>
        </is>
      </c>
      <c r="E595" s="5" t="n">
        <v>3</v>
      </c>
      <c r="F595" s="5" t="n"/>
      <c r="G595" s="5" t="n"/>
      <c r="H595" s="5" t="inlineStr">
        <is>
          <t>Nur 2 Versuche aus Zeitmangel</t>
        </is>
      </c>
      <c r="I595" s="22">
        <f>INDEX(Personendaten!$C$2:$C$32,MATCH(A595,Personendaten!$A$2:$A$32,0))</f>
        <v/>
      </c>
      <c r="J595" s="22">
        <f>IF(AND(F595&lt;&gt;"",G595=""),1,0)</f>
        <v/>
      </c>
      <c r="K595" s="22">
        <f>IF(LEFT(C595,7)&lt;&gt;"Sprint_","",IF(COUNTIFS(Versuchsdaten!$A$2:$A$1117,$A595,Versuchsdaten!$B$2:$B$1117,$B595,Versuchsdaten!$C$2:$C$1117,"Sprint_5m",Versuchsdaten!$E$2:$E$1117,$E595,Versuchsdaten!$J$2:$J$1117,1)=1,SUMIFS(Versuchsdaten!$F$2:$F$1117,Versuchsdaten!$A$2:$A$1117,$A595,Versuchsdaten!$B$2:$B$1117,$B595,Versuchsdaten!$C$2:$C$1117,"Sprint_5m",Versuchsdaten!$E$2:$E$1117,$E595,Versuchsdaten!$J$2:$J$1117,1),""))</f>
        <v/>
      </c>
      <c r="L595" s="22">
        <f>IF(LEFT(C595,7)&lt;&gt;"Sprint_","",IF(COUNTIFS(Versuchsdaten!$A$2:$A$1117,$A595,Versuchsdaten!$B$2:$B$1117,$B595,Versuchsdaten!$C$2:$C$1117,"Sprint_10m",Versuchsdaten!$E$2:$E$1117,$E595,Versuchsdaten!$J$2:$J$1117,1)=1,SUMIFS(Versuchsdaten!$F$2:$F$1117,Versuchsdaten!$A$2:$A$1117,$A595,Versuchsdaten!$B$2:$B$1117,$B595,Versuchsdaten!$C$2:$C$1117,"Sprint_10m",Versuchsdaten!$E$2:$E$1117,$E595,Versuchsdaten!$J$2:$J$1117,1),""))</f>
        <v/>
      </c>
      <c r="M595" s="22">
        <f>IF(LEFT(C595,7)&lt;&gt;"Sprint_","",IF(COUNTIFS(Versuchsdaten!$A$2:$A$1117,$A595,Versuchsdaten!$B$2:$B$1117,$B595,Versuchsdaten!$C$2:$C$1117,"Sprint_30m",Versuchsdaten!$E$2:$E$1117,$E595,Versuchsdaten!$J$2:$J$1117,1)=1,SUMIFS(Versuchsdaten!$F$2:$F$1117,Versuchsdaten!$A$2:$A$1117,$A595,Versuchsdaten!$B$2:$B$1117,$B595,Versuchsdaten!$C$2:$C$1117,"Sprint_30m",Versuchsdaten!$E$2:$E$1117,$E595,Versuchsdaten!$J$2:$J$1117,1),""))</f>
        <v/>
      </c>
      <c r="N595" s="22">
        <f>IF(LEFT(C595,7)&lt;&gt;"Sprint_",0,IF(IF(ISNUMBER(K595),IF(K595&lt;=0,1,IF(5/K595&gt;10,1,0)),0)+IF(ISNUMBER(L595),IF(ISNUMBER(K595),IF(L595-K595&lt;=0,1,IF(5/(L595-K595)&gt;10,1,0)),IF(L595&lt;=0,1,IF(10/L595&gt;10,1,0))),0)+IF(ISNUMBER(M595),IF(ISNUMBER(L595),IF(M595-L595&lt;=0,1,IF(20/(M595-L595)&gt;10,1,0)),IF(ISNUMBER(K595),IF(M595-K595&lt;=0,1,IF(25/(M595-K595)&gt;10,1,0)),IF(M595&lt;=0,1,IF(30/M595&gt;10,1,0)))),0)&gt;0,1,0))</f>
        <v/>
      </c>
      <c r="O595" s="22">
        <f>IF(AND(J595=1,N595=0),1,0)</f>
        <v/>
      </c>
      <c r="P595" s="22">
        <f>INDEX(Personendaten!$J$2:$J$32,MATCH(A595,Personendaten!$A$2:$A$32,0))</f>
        <v/>
      </c>
      <c r="Q595" s="22">
        <f>IF(O595=1,"",IF(AND(B595="post",P595="nicht angetreten"),"NANG",IF(N595=1,"AUSL",IFERROR(VLOOKUP(H595,Vokabular!$A$2:$B$8,2,FALSE),"UNBEKANNT"))))</f>
        <v/>
      </c>
    </row>
    <row r="596">
      <c r="A596" s="5" t="inlineStr">
        <is>
          <t>BW-04</t>
        </is>
      </c>
      <c r="B596" s="5" t="inlineStr">
        <is>
          <t>post</t>
        </is>
      </c>
      <c r="C596" s="5" t="inlineStr">
        <is>
          <t>Sprint_5m</t>
        </is>
      </c>
      <c r="D596" s="5" t="inlineStr">
        <is>
          <t>–</t>
        </is>
      </c>
      <c r="E596" s="5" t="n">
        <v>1</v>
      </c>
      <c r="F596" s="5" t="n">
        <v>1.16</v>
      </c>
      <c r="G596" s="5" t="n"/>
      <c r="H596" s="5" t="n"/>
      <c r="I596" s="22">
        <f>INDEX(Personendaten!$C$2:$C$32,MATCH(A596,Personendaten!$A$2:$A$32,0))</f>
        <v/>
      </c>
      <c r="J596" s="22">
        <f>IF(AND(F596&lt;&gt;"",G596=""),1,0)</f>
        <v/>
      </c>
      <c r="K596" s="22">
        <f>IF(LEFT(C596,7)&lt;&gt;"Sprint_","",IF(COUNTIFS(Versuchsdaten!$A$2:$A$1117,$A596,Versuchsdaten!$B$2:$B$1117,$B596,Versuchsdaten!$C$2:$C$1117,"Sprint_5m",Versuchsdaten!$E$2:$E$1117,$E596,Versuchsdaten!$J$2:$J$1117,1)=1,SUMIFS(Versuchsdaten!$F$2:$F$1117,Versuchsdaten!$A$2:$A$1117,$A596,Versuchsdaten!$B$2:$B$1117,$B596,Versuchsdaten!$C$2:$C$1117,"Sprint_5m",Versuchsdaten!$E$2:$E$1117,$E596,Versuchsdaten!$J$2:$J$1117,1),""))</f>
        <v/>
      </c>
      <c r="L596" s="22">
        <f>IF(LEFT(C596,7)&lt;&gt;"Sprint_","",IF(COUNTIFS(Versuchsdaten!$A$2:$A$1117,$A596,Versuchsdaten!$B$2:$B$1117,$B596,Versuchsdaten!$C$2:$C$1117,"Sprint_10m",Versuchsdaten!$E$2:$E$1117,$E596,Versuchsdaten!$J$2:$J$1117,1)=1,SUMIFS(Versuchsdaten!$F$2:$F$1117,Versuchsdaten!$A$2:$A$1117,$A596,Versuchsdaten!$B$2:$B$1117,$B596,Versuchsdaten!$C$2:$C$1117,"Sprint_10m",Versuchsdaten!$E$2:$E$1117,$E596,Versuchsdaten!$J$2:$J$1117,1),""))</f>
        <v/>
      </c>
      <c r="M596" s="22">
        <f>IF(LEFT(C596,7)&lt;&gt;"Sprint_","",IF(COUNTIFS(Versuchsdaten!$A$2:$A$1117,$A596,Versuchsdaten!$B$2:$B$1117,$B596,Versuchsdaten!$C$2:$C$1117,"Sprint_30m",Versuchsdaten!$E$2:$E$1117,$E596,Versuchsdaten!$J$2:$J$1117,1)=1,SUMIFS(Versuchsdaten!$F$2:$F$1117,Versuchsdaten!$A$2:$A$1117,$A596,Versuchsdaten!$B$2:$B$1117,$B596,Versuchsdaten!$C$2:$C$1117,"Sprint_30m",Versuchsdaten!$E$2:$E$1117,$E596,Versuchsdaten!$J$2:$J$1117,1),""))</f>
        <v/>
      </c>
      <c r="N596" s="22">
        <f>IF(LEFT(C596,7)&lt;&gt;"Sprint_",0,IF(IF(ISNUMBER(K596),IF(K596&lt;=0,1,IF(5/K596&gt;10,1,0)),0)+IF(ISNUMBER(L596),IF(ISNUMBER(K596),IF(L596-K596&lt;=0,1,IF(5/(L596-K596)&gt;10,1,0)),IF(L596&lt;=0,1,IF(10/L596&gt;10,1,0))),0)+IF(ISNUMBER(M596),IF(ISNUMBER(L596),IF(M596-L596&lt;=0,1,IF(20/(M596-L596)&gt;10,1,0)),IF(ISNUMBER(K596),IF(M596-K596&lt;=0,1,IF(25/(M596-K596)&gt;10,1,0)),IF(M596&lt;=0,1,IF(30/M596&gt;10,1,0)))),0)&gt;0,1,0))</f>
        <v/>
      </c>
      <c r="O596" s="22">
        <f>IF(AND(J596=1,N596=0),1,0)</f>
        <v/>
      </c>
      <c r="P596" s="22">
        <f>INDEX(Personendaten!$J$2:$J$32,MATCH(A596,Personendaten!$A$2:$A$32,0))</f>
        <v/>
      </c>
      <c r="Q596" s="22">
        <f>IF(O596=1,"",IF(AND(B596="post",P596="nicht angetreten"),"NANG",IF(N596=1,"AUSL",IFERROR(VLOOKUP(H596,Vokabular!$A$2:$B$8,2,FALSE),"UNBEKANNT"))))</f>
        <v/>
      </c>
    </row>
    <row r="597">
      <c r="A597" s="5" t="inlineStr">
        <is>
          <t>BW-04</t>
        </is>
      </c>
      <c r="B597" s="5" t="inlineStr">
        <is>
          <t>post</t>
        </is>
      </c>
      <c r="C597" s="5" t="inlineStr">
        <is>
          <t>Sprint_5m</t>
        </is>
      </c>
      <c r="D597" s="5" t="inlineStr">
        <is>
          <t>–</t>
        </is>
      </c>
      <c r="E597" s="5" t="n">
        <v>2</v>
      </c>
      <c r="F597" s="5" t="n">
        <v>1.14</v>
      </c>
      <c r="G597" s="5" t="n"/>
      <c r="H597" s="5" t="n"/>
      <c r="I597" s="22">
        <f>INDEX(Personendaten!$C$2:$C$32,MATCH(A597,Personendaten!$A$2:$A$32,0))</f>
        <v/>
      </c>
      <c r="J597" s="22">
        <f>IF(AND(F597&lt;&gt;"",G597=""),1,0)</f>
        <v/>
      </c>
      <c r="K597" s="22">
        <f>IF(LEFT(C597,7)&lt;&gt;"Sprint_","",IF(COUNTIFS(Versuchsdaten!$A$2:$A$1117,$A597,Versuchsdaten!$B$2:$B$1117,$B597,Versuchsdaten!$C$2:$C$1117,"Sprint_5m",Versuchsdaten!$E$2:$E$1117,$E597,Versuchsdaten!$J$2:$J$1117,1)=1,SUMIFS(Versuchsdaten!$F$2:$F$1117,Versuchsdaten!$A$2:$A$1117,$A597,Versuchsdaten!$B$2:$B$1117,$B597,Versuchsdaten!$C$2:$C$1117,"Sprint_5m",Versuchsdaten!$E$2:$E$1117,$E597,Versuchsdaten!$J$2:$J$1117,1),""))</f>
        <v/>
      </c>
      <c r="L597" s="22">
        <f>IF(LEFT(C597,7)&lt;&gt;"Sprint_","",IF(COUNTIFS(Versuchsdaten!$A$2:$A$1117,$A597,Versuchsdaten!$B$2:$B$1117,$B597,Versuchsdaten!$C$2:$C$1117,"Sprint_10m",Versuchsdaten!$E$2:$E$1117,$E597,Versuchsdaten!$J$2:$J$1117,1)=1,SUMIFS(Versuchsdaten!$F$2:$F$1117,Versuchsdaten!$A$2:$A$1117,$A597,Versuchsdaten!$B$2:$B$1117,$B597,Versuchsdaten!$C$2:$C$1117,"Sprint_10m",Versuchsdaten!$E$2:$E$1117,$E597,Versuchsdaten!$J$2:$J$1117,1),""))</f>
        <v/>
      </c>
      <c r="M597" s="22">
        <f>IF(LEFT(C597,7)&lt;&gt;"Sprint_","",IF(COUNTIFS(Versuchsdaten!$A$2:$A$1117,$A597,Versuchsdaten!$B$2:$B$1117,$B597,Versuchsdaten!$C$2:$C$1117,"Sprint_30m",Versuchsdaten!$E$2:$E$1117,$E597,Versuchsdaten!$J$2:$J$1117,1)=1,SUMIFS(Versuchsdaten!$F$2:$F$1117,Versuchsdaten!$A$2:$A$1117,$A597,Versuchsdaten!$B$2:$B$1117,$B597,Versuchsdaten!$C$2:$C$1117,"Sprint_30m",Versuchsdaten!$E$2:$E$1117,$E597,Versuchsdaten!$J$2:$J$1117,1),""))</f>
        <v/>
      </c>
      <c r="N597" s="22">
        <f>IF(LEFT(C597,7)&lt;&gt;"Sprint_",0,IF(IF(ISNUMBER(K597),IF(K597&lt;=0,1,IF(5/K597&gt;10,1,0)),0)+IF(ISNUMBER(L597),IF(ISNUMBER(K597),IF(L597-K597&lt;=0,1,IF(5/(L597-K597)&gt;10,1,0)),IF(L597&lt;=0,1,IF(10/L597&gt;10,1,0))),0)+IF(ISNUMBER(M597),IF(ISNUMBER(L597),IF(M597-L597&lt;=0,1,IF(20/(M597-L597)&gt;10,1,0)),IF(ISNUMBER(K597),IF(M597-K597&lt;=0,1,IF(25/(M597-K597)&gt;10,1,0)),IF(M597&lt;=0,1,IF(30/M597&gt;10,1,0)))),0)&gt;0,1,0))</f>
        <v/>
      </c>
      <c r="O597" s="22">
        <f>IF(AND(J597=1,N597=0),1,0)</f>
        <v/>
      </c>
      <c r="P597" s="22">
        <f>INDEX(Personendaten!$J$2:$J$32,MATCH(A597,Personendaten!$A$2:$A$32,0))</f>
        <v/>
      </c>
      <c r="Q597" s="22">
        <f>IF(O597=1,"",IF(AND(B597="post",P597="nicht angetreten"),"NANG",IF(N597=1,"AUSL",IFERROR(VLOOKUP(H597,Vokabular!$A$2:$B$8,2,FALSE),"UNBEKANNT"))))</f>
        <v/>
      </c>
    </row>
    <row r="598">
      <c r="A598" s="5" t="inlineStr">
        <is>
          <t>BW-04</t>
        </is>
      </c>
      <c r="B598" s="5" t="inlineStr">
        <is>
          <t>post</t>
        </is>
      </c>
      <c r="C598" s="5" t="inlineStr">
        <is>
          <t>Sprint_5m</t>
        </is>
      </c>
      <c r="D598" s="5" t="inlineStr">
        <is>
          <t>–</t>
        </is>
      </c>
      <c r="E598" s="5" t="n">
        <v>3</v>
      </c>
      <c r="F598" s="5" t="n">
        <v>1.13</v>
      </c>
      <c r="G598" s="5" t="n"/>
      <c r="H598" s="5" t="n"/>
      <c r="I598" s="22">
        <f>INDEX(Personendaten!$C$2:$C$32,MATCH(A598,Personendaten!$A$2:$A$32,0))</f>
        <v/>
      </c>
      <c r="J598" s="22">
        <f>IF(AND(F598&lt;&gt;"",G598=""),1,0)</f>
        <v/>
      </c>
      <c r="K598" s="22">
        <f>IF(LEFT(C598,7)&lt;&gt;"Sprint_","",IF(COUNTIFS(Versuchsdaten!$A$2:$A$1117,$A598,Versuchsdaten!$B$2:$B$1117,$B598,Versuchsdaten!$C$2:$C$1117,"Sprint_5m",Versuchsdaten!$E$2:$E$1117,$E598,Versuchsdaten!$J$2:$J$1117,1)=1,SUMIFS(Versuchsdaten!$F$2:$F$1117,Versuchsdaten!$A$2:$A$1117,$A598,Versuchsdaten!$B$2:$B$1117,$B598,Versuchsdaten!$C$2:$C$1117,"Sprint_5m",Versuchsdaten!$E$2:$E$1117,$E598,Versuchsdaten!$J$2:$J$1117,1),""))</f>
        <v/>
      </c>
      <c r="L598" s="22">
        <f>IF(LEFT(C598,7)&lt;&gt;"Sprint_","",IF(COUNTIFS(Versuchsdaten!$A$2:$A$1117,$A598,Versuchsdaten!$B$2:$B$1117,$B598,Versuchsdaten!$C$2:$C$1117,"Sprint_10m",Versuchsdaten!$E$2:$E$1117,$E598,Versuchsdaten!$J$2:$J$1117,1)=1,SUMIFS(Versuchsdaten!$F$2:$F$1117,Versuchsdaten!$A$2:$A$1117,$A598,Versuchsdaten!$B$2:$B$1117,$B598,Versuchsdaten!$C$2:$C$1117,"Sprint_10m",Versuchsdaten!$E$2:$E$1117,$E598,Versuchsdaten!$J$2:$J$1117,1),""))</f>
        <v/>
      </c>
      <c r="M598" s="22">
        <f>IF(LEFT(C598,7)&lt;&gt;"Sprint_","",IF(COUNTIFS(Versuchsdaten!$A$2:$A$1117,$A598,Versuchsdaten!$B$2:$B$1117,$B598,Versuchsdaten!$C$2:$C$1117,"Sprint_30m",Versuchsdaten!$E$2:$E$1117,$E598,Versuchsdaten!$J$2:$J$1117,1)=1,SUMIFS(Versuchsdaten!$F$2:$F$1117,Versuchsdaten!$A$2:$A$1117,$A598,Versuchsdaten!$B$2:$B$1117,$B598,Versuchsdaten!$C$2:$C$1117,"Sprint_30m",Versuchsdaten!$E$2:$E$1117,$E598,Versuchsdaten!$J$2:$J$1117,1),""))</f>
        <v/>
      </c>
      <c r="N598" s="22">
        <f>IF(LEFT(C598,7)&lt;&gt;"Sprint_",0,IF(IF(ISNUMBER(K598),IF(K598&lt;=0,1,IF(5/K598&gt;10,1,0)),0)+IF(ISNUMBER(L598),IF(ISNUMBER(K598),IF(L598-K598&lt;=0,1,IF(5/(L598-K598)&gt;10,1,0)),IF(L598&lt;=0,1,IF(10/L598&gt;10,1,0))),0)+IF(ISNUMBER(M598),IF(ISNUMBER(L598),IF(M598-L598&lt;=0,1,IF(20/(M598-L598)&gt;10,1,0)),IF(ISNUMBER(K598),IF(M598-K598&lt;=0,1,IF(25/(M598-K598)&gt;10,1,0)),IF(M598&lt;=0,1,IF(30/M598&gt;10,1,0)))),0)&gt;0,1,0))</f>
        <v/>
      </c>
      <c r="O598" s="22">
        <f>IF(AND(J598=1,N598=0),1,0)</f>
        <v/>
      </c>
      <c r="P598" s="22">
        <f>INDEX(Personendaten!$J$2:$J$32,MATCH(A598,Personendaten!$A$2:$A$32,0))</f>
        <v/>
      </c>
      <c r="Q598" s="22">
        <f>IF(O598=1,"",IF(AND(B598="post",P598="nicht angetreten"),"NANG",IF(N598=1,"AUSL",IFERROR(VLOOKUP(H598,Vokabular!$A$2:$B$8,2,FALSE),"UNBEKANNT"))))</f>
        <v/>
      </c>
    </row>
    <row r="599">
      <c r="A599" s="5" t="inlineStr">
        <is>
          <t>BW-04</t>
        </is>
      </c>
      <c r="B599" s="5" t="inlineStr">
        <is>
          <t>post</t>
        </is>
      </c>
      <c r="C599" s="5" t="inlineStr">
        <is>
          <t>Sprint_10m</t>
        </is>
      </c>
      <c r="D599" s="5" t="inlineStr">
        <is>
          <t>–</t>
        </is>
      </c>
      <c r="E599" s="5" t="n">
        <v>1</v>
      </c>
      <c r="F599" s="5" t="n"/>
      <c r="G599" s="5" t="n"/>
      <c r="H599" s="5" t="inlineStr">
        <is>
          <t>System falsch aufgenommen</t>
        </is>
      </c>
      <c r="I599" s="22">
        <f>INDEX(Personendaten!$C$2:$C$32,MATCH(A599,Personendaten!$A$2:$A$32,0))</f>
        <v/>
      </c>
      <c r="J599" s="22">
        <f>IF(AND(F599&lt;&gt;"",G599=""),1,0)</f>
        <v/>
      </c>
      <c r="K599" s="22">
        <f>IF(LEFT(C599,7)&lt;&gt;"Sprint_","",IF(COUNTIFS(Versuchsdaten!$A$2:$A$1117,$A599,Versuchsdaten!$B$2:$B$1117,$B599,Versuchsdaten!$C$2:$C$1117,"Sprint_5m",Versuchsdaten!$E$2:$E$1117,$E599,Versuchsdaten!$J$2:$J$1117,1)=1,SUMIFS(Versuchsdaten!$F$2:$F$1117,Versuchsdaten!$A$2:$A$1117,$A599,Versuchsdaten!$B$2:$B$1117,$B599,Versuchsdaten!$C$2:$C$1117,"Sprint_5m",Versuchsdaten!$E$2:$E$1117,$E599,Versuchsdaten!$J$2:$J$1117,1),""))</f>
        <v/>
      </c>
      <c r="L599" s="22">
        <f>IF(LEFT(C599,7)&lt;&gt;"Sprint_","",IF(COUNTIFS(Versuchsdaten!$A$2:$A$1117,$A599,Versuchsdaten!$B$2:$B$1117,$B599,Versuchsdaten!$C$2:$C$1117,"Sprint_10m",Versuchsdaten!$E$2:$E$1117,$E599,Versuchsdaten!$J$2:$J$1117,1)=1,SUMIFS(Versuchsdaten!$F$2:$F$1117,Versuchsdaten!$A$2:$A$1117,$A599,Versuchsdaten!$B$2:$B$1117,$B599,Versuchsdaten!$C$2:$C$1117,"Sprint_10m",Versuchsdaten!$E$2:$E$1117,$E599,Versuchsdaten!$J$2:$J$1117,1),""))</f>
        <v/>
      </c>
      <c r="M599" s="22">
        <f>IF(LEFT(C599,7)&lt;&gt;"Sprint_","",IF(COUNTIFS(Versuchsdaten!$A$2:$A$1117,$A599,Versuchsdaten!$B$2:$B$1117,$B599,Versuchsdaten!$C$2:$C$1117,"Sprint_30m",Versuchsdaten!$E$2:$E$1117,$E599,Versuchsdaten!$J$2:$J$1117,1)=1,SUMIFS(Versuchsdaten!$F$2:$F$1117,Versuchsdaten!$A$2:$A$1117,$A599,Versuchsdaten!$B$2:$B$1117,$B599,Versuchsdaten!$C$2:$C$1117,"Sprint_30m",Versuchsdaten!$E$2:$E$1117,$E599,Versuchsdaten!$J$2:$J$1117,1),""))</f>
        <v/>
      </c>
      <c r="N599" s="22">
        <f>IF(LEFT(C599,7)&lt;&gt;"Sprint_",0,IF(IF(ISNUMBER(K599),IF(K599&lt;=0,1,IF(5/K599&gt;10,1,0)),0)+IF(ISNUMBER(L599),IF(ISNUMBER(K599),IF(L599-K599&lt;=0,1,IF(5/(L599-K599)&gt;10,1,0)),IF(L599&lt;=0,1,IF(10/L599&gt;10,1,0))),0)+IF(ISNUMBER(M599),IF(ISNUMBER(L599),IF(M599-L599&lt;=0,1,IF(20/(M599-L599)&gt;10,1,0)),IF(ISNUMBER(K599),IF(M599-K599&lt;=0,1,IF(25/(M599-K599)&gt;10,1,0)),IF(M599&lt;=0,1,IF(30/M599&gt;10,1,0)))),0)&gt;0,1,0))</f>
        <v/>
      </c>
      <c r="O599" s="22">
        <f>IF(AND(J599=1,N599=0),1,0)</f>
        <v/>
      </c>
      <c r="P599" s="22">
        <f>INDEX(Personendaten!$J$2:$J$32,MATCH(A599,Personendaten!$A$2:$A$32,0))</f>
        <v/>
      </c>
      <c r="Q599" s="22">
        <f>IF(O599=1,"",IF(AND(B599="post",P599="nicht angetreten"),"NANG",IF(N599=1,"AUSL",IFERROR(VLOOKUP(H599,Vokabular!$A$2:$B$8,2,FALSE),"UNBEKANNT"))))</f>
        <v/>
      </c>
    </row>
    <row r="600">
      <c r="A600" s="5" t="inlineStr">
        <is>
          <t>BW-04</t>
        </is>
      </c>
      <c r="B600" s="5" t="inlineStr">
        <is>
          <t>post</t>
        </is>
      </c>
      <c r="C600" s="5" t="inlineStr">
        <is>
          <t>Sprint_10m</t>
        </is>
      </c>
      <c r="D600" s="5" t="inlineStr">
        <is>
          <t>–</t>
        </is>
      </c>
      <c r="E600" s="5" t="n">
        <v>2</v>
      </c>
      <c r="F600" s="5" t="n"/>
      <c r="G600" s="5" t="n"/>
      <c r="H600" s="5" t="inlineStr">
        <is>
          <t>System falsch aufgenommen</t>
        </is>
      </c>
      <c r="I600" s="22">
        <f>INDEX(Personendaten!$C$2:$C$32,MATCH(A600,Personendaten!$A$2:$A$32,0))</f>
        <v/>
      </c>
      <c r="J600" s="22">
        <f>IF(AND(F600&lt;&gt;"",G600=""),1,0)</f>
        <v/>
      </c>
      <c r="K600" s="22">
        <f>IF(LEFT(C600,7)&lt;&gt;"Sprint_","",IF(COUNTIFS(Versuchsdaten!$A$2:$A$1117,$A600,Versuchsdaten!$B$2:$B$1117,$B600,Versuchsdaten!$C$2:$C$1117,"Sprint_5m",Versuchsdaten!$E$2:$E$1117,$E600,Versuchsdaten!$J$2:$J$1117,1)=1,SUMIFS(Versuchsdaten!$F$2:$F$1117,Versuchsdaten!$A$2:$A$1117,$A600,Versuchsdaten!$B$2:$B$1117,$B600,Versuchsdaten!$C$2:$C$1117,"Sprint_5m",Versuchsdaten!$E$2:$E$1117,$E600,Versuchsdaten!$J$2:$J$1117,1),""))</f>
        <v/>
      </c>
      <c r="L600" s="22">
        <f>IF(LEFT(C600,7)&lt;&gt;"Sprint_","",IF(COUNTIFS(Versuchsdaten!$A$2:$A$1117,$A600,Versuchsdaten!$B$2:$B$1117,$B600,Versuchsdaten!$C$2:$C$1117,"Sprint_10m",Versuchsdaten!$E$2:$E$1117,$E600,Versuchsdaten!$J$2:$J$1117,1)=1,SUMIFS(Versuchsdaten!$F$2:$F$1117,Versuchsdaten!$A$2:$A$1117,$A600,Versuchsdaten!$B$2:$B$1117,$B600,Versuchsdaten!$C$2:$C$1117,"Sprint_10m",Versuchsdaten!$E$2:$E$1117,$E600,Versuchsdaten!$J$2:$J$1117,1),""))</f>
        <v/>
      </c>
      <c r="M600" s="22">
        <f>IF(LEFT(C600,7)&lt;&gt;"Sprint_","",IF(COUNTIFS(Versuchsdaten!$A$2:$A$1117,$A600,Versuchsdaten!$B$2:$B$1117,$B600,Versuchsdaten!$C$2:$C$1117,"Sprint_30m",Versuchsdaten!$E$2:$E$1117,$E600,Versuchsdaten!$J$2:$J$1117,1)=1,SUMIFS(Versuchsdaten!$F$2:$F$1117,Versuchsdaten!$A$2:$A$1117,$A600,Versuchsdaten!$B$2:$B$1117,$B600,Versuchsdaten!$C$2:$C$1117,"Sprint_30m",Versuchsdaten!$E$2:$E$1117,$E600,Versuchsdaten!$J$2:$J$1117,1),""))</f>
        <v/>
      </c>
      <c r="N600" s="22">
        <f>IF(LEFT(C600,7)&lt;&gt;"Sprint_",0,IF(IF(ISNUMBER(K600),IF(K600&lt;=0,1,IF(5/K600&gt;10,1,0)),0)+IF(ISNUMBER(L600),IF(ISNUMBER(K600),IF(L600-K600&lt;=0,1,IF(5/(L600-K600)&gt;10,1,0)),IF(L600&lt;=0,1,IF(10/L600&gt;10,1,0))),0)+IF(ISNUMBER(M600),IF(ISNUMBER(L600),IF(M600-L600&lt;=0,1,IF(20/(M600-L600)&gt;10,1,0)),IF(ISNUMBER(K600),IF(M600-K600&lt;=0,1,IF(25/(M600-K600)&gt;10,1,0)),IF(M600&lt;=0,1,IF(30/M600&gt;10,1,0)))),0)&gt;0,1,0))</f>
        <v/>
      </c>
      <c r="O600" s="22">
        <f>IF(AND(J600=1,N600=0),1,0)</f>
        <v/>
      </c>
      <c r="P600" s="22">
        <f>INDEX(Personendaten!$J$2:$J$32,MATCH(A600,Personendaten!$A$2:$A$32,0))</f>
        <v/>
      </c>
      <c r="Q600" s="22">
        <f>IF(O600=1,"",IF(AND(B600="post",P600="nicht angetreten"),"NANG",IF(N600=1,"AUSL",IFERROR(VLOOKUP(H600,Vokabular!$A$2:$B$8,2,FALSE),"UNBEKANNT"))))</f>
        <v/>
      </c>
    </row>
    <row r="601">
      <c r="A601" s="5" t="inlineStr">
        <is>
          <t>BW-04</t>
        </is>
      </c>
      <c r="B601" s="5" t="inlineStr">
        <is>
          <t>post</t>
        </is>
      </c>
      <c r="C601" s="5" t="inlineStr">
        <is>
          <t>Sprint_10m</t>
        </is>
      </c>
      <c r="D601" s="5" t="inlineStr">
        <is>
          <t>–</t>
        </is>
      </c>
      <c r="E601" s="5" t="n">
        <v>3</v>
      </c>
      <c r="F601" s="5" t="n"/>
      <c r="G601" s="5" t="n"/>
      <c r="H601" s="5" t="inlineStr">
        <is>
          <t>System falsch aufgenommen</t>
        </is>
      </c>
      <c r="I601" s="22">
        <f>INDEX(Personendaten!$C$2:$C$32,MATCH(A601,Personendaten!$A$2:$A$32,0))</f>
        <v/>
      </c>
      <c r="J601" s="22">
        <f>IF(AND(F601&lt;&gt;"",G601=""),1,0)</f>
        <v/>
      </c>
      <c r="K601" s="22">
        <f>IF(LEFT(C601,7)&lt;&gt;"Sprint_","",IF(COUNTIFS(Versuchsdaten!$A$2:$A$1117,$A601,Versuchsdaten!$B$2:$B$1117,$B601,Versuchsdaten!$C$2:$C$1117,"Sprint_5m",Versuchsdaten!$E$2:$E$1117,$E601,Versuchsdaten!$J$2:$J$1117,1)=1,SUMIFS(Versuchsdaten!$F$2:$F$1117,Versuchsdaten!$A$2:$A$1117,$A601,Versuchsdaten!$B$2:$B$1117,$B601,Versuchsdaten!$C$2:$C$1117,"Sprint_5m",Versuchsdaten!$E$2:$E$1117,$E601,Versuchsdaten!$J$2:$J$1117,1),""))</f>
        <v/>
      </c>
      <c r="L601" s="22">
        <f>IF(LEFT(C601,7)&lt;&gt;"Sprint_","",IF(COUNTIFS(Versuchsdaten!$A$2:$A$1117,$A601,Versuchsdaten!$B$2:$B$1117,$B601,Versuchsdaten!$C$2:$C$1117,"Sprint_10m",Versuchsdaten!$E$2:$E$1117,$E601,Versuchsdaten!$J$2:$J$1117,1)=1,SUMIFS(Versuchsdaten!$F$2:$F$1117,Versuchsdaten!$A$2:$A$1117,$A601,Versuchsdaten!$B$2:$B$1117,$B601,Versuchsdaten!$C$2:$C$1117,"Sprint_10m",Versuchsdaten!$E$2:$E$1117,$E601,Versuchsdaten!$J$2:$J$1117,1),""))</f>
        <v/>
      </c>
      <c r="M601" s="22">
        <f>IF(LEFT(C601,7)&lt;&gt;"Sprint_","",IF(COUNTIFS(Versuchsdaten!$A$2:$A$1117,$A601,Versuchsdaten!$B$2:$B$1117,$B601,Versuchsdaten!$C$2:$C$1117,"Sprint_30m",Versuchsdaten!$E$2:$E$1117,$E601,Versuchsdaten!$J$2:$J$1117,1)=1,SUMIFS(Versuchsdaten!$F$2:$F$1117,Versuchsdaten!$A$2:$A$1117,$A601,Versuchsdaten!$B$2:$B$1117,$B601,Versuchsdaten!$C$2:$C$1117,"Sprint_30m",Versuchsdaten!$E$2:$E$1117,$E601,Versuchsdaten!$J$2:$J$1117,1),""))</f>
        <v/>
      </c>
      <c r="N601" s="22">
        <f>IF(LEFT(C601,7)&lt;&gt;"Sprint_",0,IF(IF(ISNUMBER(K601),IF(K601&lt;=0,1,IF(5/K601&gt;10,1,0)),0)+IF(ISNUMBER(L601),IF(ISNUMBER(K601),IF(L601-K601&lt;=0,1,IF(5/(L601-K601)&gt;10,1,0)),IF(L601&lt;=0,1,IF(10/L601&gt;10,1,0))),0)+IF(ISNUMBER(M601),IF(ISNUMBER(L601),IF(M601-L601&lt;=0,1,IF(20/(M601-L601)&gt;10,1,0)),IF(ISNUMBER(K601),IF(M601-K601&lt;=0,1,IF(25/(M601-K601)&gt;10,1,0)),IF(M601&lt;=0,1,IF(30/M601&gt;10,1,0)))),0)&gt;0,1,0))</f>
        <v/>
      </c>
      <c r="O601" s="22">
        <f>IF(AND(J601=1,N601=0),1,0)</f>
        <v/>
      </c>
      <c r="P601" s="22">
        <f>INDEX(Personendaten!$J$2:$J$32,MATCH(A601,Personendaten!$A$2:$A$32,0))</f>
        <v/>
      </c>
      <c r="Q601" s="22">
        <f>IF(O601=1,"",IF(AND(B601="post",P601="nicht angetreten"),"NANG",IF(N601=1,"AUSL",IFERROR(VLOOKUP(H601,Vokabular!$A$2:$B$8,2,FALSE),"UNBEKANNT"))))</f>
        <v/>
      </c>
    </row>
    <row r="602">
      <c r="A602" s="5" t="inlineStr">
        <is>
          <t>BW-04</t>
        </is>
      </c>
      <c r="B602" s="5" t="inlineStr">
        <is>
          <t>post</t>
        </is>
      </c>
      <c r="C602" s="5" t="inlineStr">
        <is>
          <t>Sprint_30m</t>
        </is>
      </c>
      <c r="D602" s="5" t="inlineStr">
        <is>
          <t>–</t>
        </is>
      </c>
      <c r="E602" s="5" t="n">
        <v>1</v>
      </c>
      <c r="F602" s="5" t="n">
        <v>4.72</v>
      </c>
      <c r="G602" s="5" t="n"/>
      <c r="H602" s="5" t="n"/>
      <c r="I602" s="22">
        <f>INDEX(Personendaten!$C$2:$C$32,MATCH(A602,Personendaten!$A$2:$A$32,0))</f>
        <v/>
      </c>
      <c r="J602" s="22">
        <f>IF(AND(F602&lt;&gt;"",G602=""),1,0)</f>
        <v/>
      </c>
      <c r="K602" s="22">
        <f>IF(LEFT(C602,7)&lt;&gt;"Sprint_","",IF(COUNTIFS(Versuchsdaten!$A$2:$A$1117,$A602,Versuchsdaten!$B$2:$B$1117,$B602,Versuchsdaten!$C$2:$C$1117,"Sprint_5m",Versuchsdaten!$E$2:$E$1117,$E602,Versuchsdaten!$J$2:$J$1117,1)=1,SUMIFS(Versuchsdaten!$F$2:$F$1117,Versuchsdaten!$A$2:$A$1117,$A602,Versuchsdaten!$B$2:$B$1117,$B602,Versuchsdaten!$C$2:$C$1117,"Sprint_5m",Versuchsdaten!$E$2:$E$1117,$E602,Versuchsdaten!$J$2:$J$1117,1),""))</f>
        <v/>
      </c>
      <c r="L602" s="22">
        <f>IF(LEFT(C602,7)&lt;&gt;"Sprint_","",IF(COUNTIFS(Versuchsdaten!$A$2:$A$1117,$A602,Versuchsdaten!$B$2:$B$1117,$B602,Versuchsdaten!$C$2:$C$1117,"Sprint_10m",Versuchsdaten!$E$2:$E$1117,$E602,Versuchsdaten!$J$2:$J$1117,1)=1,SUMIFS(Versuchsdaten!$F$2:$F$1117,Versuchsdaten!$A$2:$A$1117,$A602,Versuchsdaten!$B$2:$B$1117,$B602,Versuchsdaten!$C$2:$C$1117,"Sprint_10m",Versuchsdaten!$E$2:$E$1117,$E602,Versuchsdaten!$J$2:$J$1117,1),""))</f>
        <v/>
      </c>
      <c r="M602" s="22">
        <f>IF(LEFT(C602,7)&lt;&gt;"Sprint_","",IF(COUNTIFS(Versuchsdaten!$A$2:$A$1117,$A602,Versuchsdaten!$B$2:$B$1117,$B602,Versuchsdaten!$C$2:$C$1117,"Sprint_30m",Versuchsdaten!$E$2:$E$1117,$E602,Versuchsdaten!$J$2:$J$1117,1)=1,SUMIFS(Versuchsdaten!$F$2:$F$1117,Versuchsdaten!$A$2:$A$1117,$A602,Versuchsdaten!$B$2:$B$1117,$B602,Versuchsdaten!$C$2:$C$1117,"Sprint_30m",Versuchsdaten!$E$2:$E$1117,$E602,Versuchsdaten!$J$2:$J$1117,1),""))</f>
        <v/>
      </c>
      <c r="N602" s="22">
        <f>IF(LEFT(C602,7)&lt;&gt;"Sprint_",0,IF(IF(ISNUMBER(K602),IF(K602&lt;=0,1,IF(5/K602&gt;10,1,0)),0)+IF(ISNUMBER(L602),IF(ISNUMBER(K602),IF(L602-K602&lt;=0,1,IF(5/(L602-K602)&gt;10,1,0)),IF(L602&lt;=0,1,IF(10/L602&gt;10,1,0))),0)+IF(ISNUMBER(M602),IF(ISNUMBER(L602),IF(M602-L602&lt;=0,1,IF(20/(M602-L602)&gt;10,1,0)),IF(ISNUMBER(K602),IF(M602-K602&lt;=0,1,IF(25/(M602-K602)&gt;10,1,0)),IF(M602&lt;=0,1,IF(30/M602&gt;10,1,0)))),0)&gt;0,1,0))</f>
        <v/>
      </c>
      <c r="O602" s="22">
        <f>IF(AND(J602=1,N602=0),1,0)</f>
        <v/>
      </c>
      <c r="P602" s="22">
        <f>INDEX(Personendaten!$J$2:$J$32,MATCH(A602,Personendaten!$A$2:$A$32,0))</f>
        <v/>
      </c>
      <c r="Q602" s="22">
        <f>IF(O602=1,"",IF(AND(B602="post",P602="nicht angetreten"),"NANG",IF(N602=1,"AUSL",IFERROR(VLOOKUP(H602,Vokabular!$A$2:$B$8,2,FALSE),"UNBEKANNT"))))</f>
        <v/>
      </c>
    </row>
    <row r="603">
      <c r="A603" s="5" t="inlineStr">
        <is>
          <t>BW-04</t>
        </is>
      </c>
      <c r="B603" s="5" t="inlineStr">
        <is>
          <t>post</t>
        </is>
      </c>
      <c r="C603" s="5" t="inlineStr">
        <is>
          <t>Sprint_30m</t>
        </is>
      </c>
      <c r="D603" s="5" t="inlineStr">
        <is>
          <t>–</t>
        </is>
      </c>
      <c r="E603" s="5" t="n">
        <v>2</v>
      </c>
      <c r="F603" s="5" t="n">
        <v>4.73</v>
      </c>
      <c r="G603" s="5" t="n"/>
      <c r="H603" s="5" t="n"/>
      <c r="I603" s="22">
        <f>INDEX(Personendaten!$C$2:$C$32,MATCH(A603,Personendaten!$A$2:$A$32,0))</f>
        <v/>
      </c>
      <c r="J603" s="22">
        <f>IF(AND(F603&lt;&gt;"",G603=""),1,0)</f>
        <v/>
      </c>
      <c r="K603" s="22">
        <f>IF(LEFT(C603,7)&lt;&gt;"Sprint_","",IF(COUNTIFS(Versuchsdaten!$A$2:$A$1117,$A603,Versuchsdaten!$B$2:$B$1117,$B603,Versuchsdaten!$C$2:$C$1117,"Sprint_5m",Versuchsdaten!$E$2:$E$1117,$E603,Versuchsdaten!$J$2:$J$1117,1)=1,SUMIFS(Versuchsdaten!$F$2:$F$1117,Versuchsdaten!$A$2:$A$1117,$A603,Versuchsdaten!$B$2:$B$1117,$B603,Versuchsdaten!$C$2:$C$1117,"Sprint_5m",Versuchsdaten!$E$2:$E$1117,$E603,Versuchsdaten!$J$2:$J$1117,1),""))</f>
        <v/>
      </c>
      <c r="L603" s="22">
        <f>IF(LEFT(C603,7)&lt;&gt;"Sprint_","",IF(COUNTIFS(Versuchsdaten!$A$2:$A$1117,$A603,Versuchsdaten!$B$2:$B$1117,$B603,Versuchsdaten!$C$2:$C$1117,"Sprint_10m",Versuchsdaten!$E$2:$E$1117,$E603,Versuchsdaten!$J$2:$J$1117,1)=1,SUMIFS(Versuchsdaten!$F$2:$F$1117,Versuchsdaten!$A$2:$A$1117,$A603,Versuchsdaten!$B$2:$B$1117,$B603,Versuchsdaten!$C$2:$C$1117,"Sprint_10m",Versuchsdaten!$E$2:$E$1117,$E603,Versuchsdaten!$J$2:$J$1117,1),""))</f>
        <v/>
      </c>
      <c r="M603" s="22">
        <f>IF(LEFT(C603,7)&lt;&gt;"Sprint_","",IF(COUNTIFS(Versuchsdaten!$A$2:$A$1117,$A603,Versuchsdaten!$B$2:$B$1117,$B603,Versuchsdaten!$C$2:$C$1117,"Sprint_30m",Versuchsdaten!$E$2:$E$1117,$E603,Versuchsdaten!$J$2:$J$1117,1)=1,SUMIFS(Versuchsdaten!$F$2:$F$1117,Versuchsdaten!$A$2:$A$1117,$A603,Versuchsdaten!$B$2:$B$1117,$B603,Versuchsdaten!$C$2:$C$1117,"Sprint_30m",Versuchsdaten!$E$2:$E$1117,$E603,Versuchsdaten!$J$2:$J$1117,1),""))</f>
        <v/>
      </c>
      <c r="N603" s="22">
        <f>IF(LEFT(C603,7)&lt;&gt;"Sprint_",0,IF(IF(ISNUMBER(K603),IF(K603&lt;=0,1,IF(5/K603&gt;10,1,0)),0)+IF(ISNUMBER(L603),IF(ISNUMBER(K603),IF(L603-K603&lt;=0,1,IF(5/(L603-K603)&gt;10,1,0)),IF(L603&lt;=0,1,IF(10/L603&gt;10,1,0))),0)+IF(ISNUMBER(M603),IF(ISNUMBER(L603),IF(M603-L603&lt;=0,1,IF(20/(M603-L603)&gt;10,1,0)),IF(ISNUMBER(K603),IF(M603-K603&lt;=0,1,IF(25/(M603-K603)&gt;10,1,0)),IF(M603&lt;=0,1,IF(30/M603&gt;10,1,0)))),0)&gt;0,1,0))</f>
        <v/>
      </c>
      <c r="O603" s="22">
        <f>IF(AND(J603=1,N603=0),1,0)</f>
        <v/>
      </c>
      <c r="P603" s="22">
        <f>INDEX(Personendaten!$J$2:$J$32,MATCH(A603,Personendaten!$A$2:$A$32,0))</f>
        <v/>
      </c>
      <c r="Q603" s="22">
        <f>IF(O603=1,"",IF(AND(B603="post",P603="nicht angetreten"),"NANG",IF(N603=1,"AUSL",IFERROR(VLOOKUP(H603,Vokabular!$A$2:$B$8,2,FALSE),"UNBEKANNT"))))</f>
        <v/>
      </c>
    </row>
    <row r="604">
      <c r="A604" s="5" t="inlineStr">
        <is>
          <t>BW-04</t>
        </is>
      </c>
      <c r="B604" s="5" t="inlineStr">
        <is>
          <t>post</t>
        </is>
      </c>
      <c r="C604" s="5" t="inlineStr">
        <is>
          <t>Sprint_30m</t>
        </is>
      </c>
      <c r="D604" s="5" t="inlineStr">
        <is>
          <t>–</t>
        </is>
      </c>
      <c r="E604" s="5" t="n">
        <v>3</v>
      </c>
      <c r="F604" s="5" t="n">
        <v>4.68</v>
      </c>
      <c r="G604" s="5" t="n"/>
      <c r="H604" s="5" t="n"/>
      <c r="I604" s="22">
        <f>INDEX(Personendaten!$C$2:$C$32,MATCH(A604,Personendaten!$A$2:$A$32,0))</f>
        <v/>
      </c>
      <c r="J604" s="22">
        <f>IF(AND(F604&lt;&gt;"",G604=""),1,0)</f>
        <v/>
      </c>
      <c r="K604" s="22">
        <f>IF(LEFT(C604,7)&lt;&gt;"Sprint_","",IF(COUNTIFS(Versuchsdaten!$A$2:$A$1117,$A604,Versuchsdaten!$B$2:$B$1117,$B604,Versuchsdaten!$C$2:$C$1117,"Sprint_5m",Versuchsdaten!$E$2:$E$1117,$E604,Versuchsdaten!$J$2:$J$1117,1)=1,SUMIFS(Versuchsdaten!$F$2:$F$1117,Versuchsdaten!$A$2:$A$1117,$A604,Versuchsdaten!$B$2:$B$1117,$B604,Versuchsdaten!$C$2:$C$1117,"Sprint_5m",Versuchsdaten!$E$2:$E$1117,$E604,Versuchsdaten!$J$2:$J$1117,1),""))</f>
        <v/>
      </c>
      <c r="L604" s="22">
        <f>IF(LEFT(C604,7)&lt;&gt;"Sprint_","",IF(COUNTIFS(Versuchsdaten!$A$2:$A$1117,$A604,Versuchsdaten!$B$2:$B$1117,$B604,Versuchsdaten!$C$2:$C$1117,"Sprint_10m",Versuchsdaten!$E$2:$E$1117,$E604,Versuchsdaten!$J$2:$J$1117,1)=1,SUMIFS(Versuchsdaten!$F$2:$F$1117,Versuchsdaten!$A$2:$A$1117,$A604,Versuchsdaten!$B$2:$B$1117,$B604,Versuchsdaten!$C$2:$C$1117,"Sprint_10m",Versuchsdaten!$E$2:$E$1117,$E604,Versuchsdaten!$J$2:$J$1117,1),""))</f>
        <v/>
      </c>
      <c r="M604" s="22">
        <f>IF(LEFT(C604,7)&lt;&gt;"Sprint_","",IF(COUNTIFS(Versuchsdaten!$A$2:$A$1117,$A604,Versuchsdaten!$B$2:$B$1117,$B604,Versuchsdaten!$C$2:$C$1117,"Sprint_30m",Versuchsdaten!$E$2:$E$1117,$E604,Versuchsdaten!$J$2:$J$1117,1)=1,SUMIFS(Versuchsdaten!$F$2:$F$1117,Versuchsdaten!$A$2:$A$1117,$A604,Versuchsdaten!$B$2:$B$1117,$B604,Versuchsdaten!$C$2:$C$1117,"Sprint_30m",Versuchsdaten!$E$2:$E$1117,$E604,Versuchsdaten!$J$2:$J$1117,1),""))</f>
        <v/>
      </c>
      <c r="N604" s="22">
        <f>IF(LEFT(C604,7)&lt;&gt;"Sprint_",0,IF(IF(ISNUMBER(K604),IF(K604&lt;=0,1,IF(5/K604&gt;10,1,0)),0)+IF(ISNUMBER(L604),IF(ISNUMBER(K604),IF(L604-K604&lt;=0,1,IF(5/(L604-K604)&gt;10,1,0)),IF(L604&lt;=0,1,IF(10/L604&gt;10,1,0))),0)+IF(ISNUMBER(M604),IF(ISNUMBER(L604),IF(M604-L604&lt;=0,1,IF(20/(M604-L604)&gt;10,1,0)),IF(ISNUMBER(K604),IF(M604-K604&lt;=0,1,IF(25/(M604-K604)&gt;10,1,0)),IF(M604&lt;=0,1,IF(30/M604&gt;10,1,0)))),0)&gt;0,1,0))</f>
        <v/>
      </c>
      <c r="O604" s="22">
        <f>IF(AND(J604=1,N604=0),1,0)</f>
        <v/>
      </c>
      <c r="P604" s="22">
        <f>INDEX(Personendaten!$J$2:$J$32,MATCH(A604,Personendaten!$A$2:$A$32,0))</f>
        <v/>
      </c>
      <c r="Q604" s="22">
        <f>IF(O604=1,"",IF(AND(B604="post",P604="nicht angetreten"),"NANG",IF(N604=1,"AUSL",IFERROR(VLOOKUP(H604,Vokabular!$A$2:$B$8,2,FALSE),"UNBEKANNT"))))</f>
        <v/>
      </c>
    </row>
    <row r="605">
      <c r="A605" s="5" t="inlineStr">
        <is>
          <t>BW-04</t>
        </is>
      </c>
      <c r="B605" s="5" t="inlineStr">
        <is>
          <t>post</t>
        </is>
      </c>
      <c r="C605" s="5" t="inlineStr">
        <is>
          <t>Standweitsprung</t>
        </is>
      </c>
      <c r="D605" s="5" t="inlineStr">
        <is>
          <t>–</t>
        </is>
      </c>
      <c r="E605" s="5" t="n">
        <v>1</v>
      </c>
      <c r="F605" s="5" t="n"/>
      <c r="G605" s="5" t="inlineStr">
        <is>
          <t>x</t>
        </is>
      </c>
      <c r="H605" s="5" t="inlineStr">
        <is>
          <t>Fehlversuch</t>
        </is>
      </c>
      <c r="I605" s="22">
        <f>INDEX(Personendaten!$C$2:$C$32,MATCH(A605,Personendaten!$A$2:$A$32,0))</f>
        <v/>
      </c>
      <c r="J605" s="22">
        <f>IF(AND(F605&lt;&gt;"",G605=""),1,0)</f>
        <v/>
      </c>
      <c r="K605" s="22">
        <f>IF(LEFT(C605,7)&lt;&gt;"Sprint_","",IF(COUNTIFS(Versuchsdaten!$A$2:$A$1117,$A605,Versuchsdaten!$B$2:$B$1117,$B605,Versuchsdaten!$C$2:$C$1117,"Sprint_5m",Versuchsdaten!$E$2:$E$1117,$E605,Versuchsdaten!$J$2:$J$1117,1)=1,SUMIFS(Versuchsdaten!$F$2:$F$1117,Versuchsdaten!$A$2:$A$1117,$A605,Versuchsdaten!$B$2:$B$1117,$B605,Versuchsdaten!$C$2:$C$1117,"Sprint_5m",Versuchsdaten!$E$2:$E$1117,$E605,Versuchsdaten!$J$2:$J$1117,1),""))</f>
        <v/>
      </c>
      <c r="L605" s="22">
        <f>IF(LEFT(C605,7)&lt;&gt;"Sprint_","",IF(COUNTIFS(Versuchsdaten!$A$2:$A$1117,$A605,Versuchsdaten!$B$2:$B$1117,$B605,Versuchsdaten!$C$2:$C$1117,"Sprint_10m",Versuchsdaten!$E$2:$E$1117,$E605,Versuchsdaten!$J$2:$J$1117,1)=1,SUMIFS(Versuchsdaten!$F$2:$F$1117,Versuchsdaten!$A$2:$A$1117,$A605,Versuchsdaten!$B$2:$B$1117,$B605,Versuchsdaten!$C$2:$C$1117,"Sprint_10m",Versuchsdaten!$E$2:$E$1117,$E605,Versuchsdaten!$J$2:$J$1117,1),""))</f>
        <v/>
      </c>
      <c r="M605" s="22">
        <f>IF(LEFT(C605,7)&lt;&gt;"Sprint_","",IF(COUNTIFS(Versuchsdaten!$A$2:$A$1117,$A605,Versuchsdaten!$B$2:$B$1117,$B605,Versuchsdaten!$C$2:$C$1117,"Sprint_30m",Versuchsdaten!$E$2:$E$1117,$E605,Versuchsdaten!$J$2:$J$1117,1)=1,SUMIFS(Versuchsdaten!$F$2:$F$1117,Versuchsdaten!$A$2:$A$1117,$A605,Versuchsdaten!$B$2:$B$1117,$B605,Versuchsdaten!$C$2:$C$1117,"Sprint_30m",Versuchsdaten!$E$2:$E$1117,$E605,Versuchsdaten!$J$2:$J$1117,1),""))</f>
        <v/>
      </c>
      <c r="N605" s="22">
        <f>IF(LEFT(C605,7)&lt;&gt;"Sprint_",0,IF(IF(ISNUMBER(K605),IF(K605&lt;=0,1,IF(5/K605&gt;10,1,0)),0)+IF(ISNUMBER(L605),IF(ISNUMBER(K605),IF(L605-K605&lt;=0,1,IF(5/(L605-K605)&gt;10,1,0)),IF(L605&lt;=0,1,IF(10/L605&gt;10,1,0))),0)+IF(ISNUMBER(M605),IF(ISNUMBER(L605),IF(M605-L605&lt;=0,1,IF(20/(M605-L605)&gt;10,1,0)),IF(ISNUMBER(K605),IF(M605-K605&lt;=0,1,IF(25/(M605-K605)&gt;10,1,0)),IF(M605&lt;=0,1,IF(30/M605&gt;10,1,0)))),0)&gt;0,1,0))</f>
        <v/>
      </c>
      <c r="O605" s="22">
        <f>IF(AND(J605=1,N605=0),1,0)</f>
        <v/>
      </c>
      <c r="P605" s="22">
        <f>INDEX(Personendaten!$J$2:$J$32,MATCH(A605,Personendaten!$A$2:$A$32,0))</f>
        <v/>
      </c>
      <c r="Q605" s="22">
        <f>IF(O605=1,"",IF(AND(B605="post",P605="nicht angetreten"),"NANG",IF(N605=1,"AUSL",IFERROR(VLOOKUP(H605,Vokabular!$A$2:$B$8,2,FALSE),"UNBEKANNT"))))</f>
        <v/>
      </c>
    </row>
    <row r="606">
      <c r="A606" s="5" t="inlineStr">
        <is>
          <t>BW-04</t>
        </is>
      </c>
      <c r="B606" s="5" t="inlineStr">
        <is>
          <t>post</t>
        </is>
      </c>
      <c r="C606" s="5" t="inlineStr">
        <is>
          <t>Standweitsprung</t>
        </is>
      </c>
      <c r="D606" s="5" t="inlineStr">
        <is>
          <t>–</t>
        </is>
      </c>
      <c r="E606" s="5" t="n">
        <v>2</v>
      </c>
      <c r="F606" s="5" t="n">
        <v>239</v>
      </c>
      <c r="G606" s="5" t="n"/>
      <c r="H606" s="5" t="n"/>
      <c r="I606" s="22">
        <f>INDEX(Personendaten!$C$2:$C$32,MATCH(A606,Personendaten!$A$2:$A$32,0))</f>
        <v/>
      </c>
      <c r="J606" s="22">
        <f>IF(AND(F606&lt;&gt;"",G606=""),1,0)</f>
        <v/>
      </c>
      <c r="K606" s="22">
        <f>IF(LEFT(C606,7)&lt;&gt;"Sprint_","",IF(COUNTIFS(Versuchsdaten!$A$2:$A$1117,$A606,Versuchsdaten!$B$2:$B$1117,$B606,Versuchsdaten!$C$2:$C$1117,"Sprint_5m",Versuchsdaten!$E$2:$E$1117,$E606,Versuchsdaten!$J$2:$J$1117,1)=1,SUMIFS(Versuchsdaten!$F$2:$F$1117,Versuchsdaten!$A$2:$A$1117,$A606,Versuchsdaten!$B$2:$B$1117,$B606,Versuchsdaten!$C$2:$C$1117,"Sprint_5m",Versuchsdaten!$E$2:$E$1117,$E606,Versuchsdaten!$J$2:$J$1117,1),""))</f>
        <v/>
      </c>
      <c r="L606" s="22">
        <f>IF(LEFT(C606,7)&lt;&gt;"Sprint_","",IF(COUNTIFS(Versuchsdaten!$A$2:$A$1117,$A606,Versuchsdaten!$B$2:$B$1117,$B606,Versuchsdaten!$C$2:$C$1117,"Sprint_10m",Versuchsdaten!$E$2:$E$1117,$E606,Versuchsdaten!$J$2:$J$1117,1)=1,SUMIFS(Versuchsdaten!$F$2:$F$1117,Versuchsdaten!$A$2:$A$1117,$A606,Versuchsdaten!$B$2:$B$1117,$B606,Versuchsdaten!$C$2:$C$1117,"Sprint_10m",Versuchsdaten!$E$2:$E$1117,$E606,Versuchsdaten!$J$2:$J$1117,1),""))</f>
        <v/>
      </c>
      <c r="M606" s="22">
        <f>IF(LEFT(C606,7)&lt;&gt;"Sprint_","",IF(COUNTIFS(Versuchsdaten!$A$2:$A$1117,$A606,Versuchsdaten!$B$2:$B$1117,$B606,Versuchsdaten!$C$2:$C$1117,"Sprint_30m",Versuchsdaten!$E$2:$E$1117,$E606,Versuchsdaten!$J$2:$J$1117,1)=1,SUMIFS(Versuchsdaten!$F$2:$F$1117,Versuchsdaten!$A$2:$A$1117,$A606,Versuchsdaten!$B$2:$B$1117,$B606,Versuchsdaten!$C$2:$C$1117,"Sprint_30m",Versuchsdaten!$E$2:$E$1117,$E606,Versuchsdaten!$J$2:$J$1117,1),""))</f>
        <v/>
      </c>
      <c r="N606" s="22">
        <f>IF(LEFT(C606,7)&lt;&gt;"Sprint_",0,IF(IF(ISNUMBER(K606),IF(K606&lt;=0,1,IF(5/K606&gt;10,1,0)),0)+IF(ISNUMBER(L606),IF(ISNUMBER(K606),IF(L606-K606&lt;=0,1,IF(5/(L606-K606)&gt;10,1,0)),IF(L606&lt;=0,1,IF(10/L606&gt;10,1,0))),0)+IF(ISNUMBER(M606),IF(ISNUMBER(L606),IF(M606-L606&lt;=0,1,IF(20/(M606-L606)&gt;10,1,0)),IF(ISNUMBER(K606),IF(M606-K606&lt;=0,1,IF(25/(M606-K606)&gt;10,1,0)),IF(M606&lt;=0,1,IF(30/M606&gt;10,1,0)))),0)&gt;0,1,0))</f>
        <v/>
      </c>
      <c r="O606" s="22">
        <f>IF(AND(J606=1,N606=0),1,0)</f>
        <v/>
      </c>
      <c r="P606" s="22">
        <f>INDEX(Personendaten!$J$2:$J$32,MATCH(A606,Personendaten!$A$2:$A$32,0))</f>
        <v/>
      </c>
      <c r="Q606" s="22">
        <f>IF(O606=1,"",IF(AND(B606="post",P606="nicht angetreten"),"NANG",IF(N606=1,"AUSL",IFERROR(VLOOKUP(H606,Vokabular!$A$2:$B$8,2,FALSE),"UNBEKANNT"))))</f>
        <v/>
      </c>
    </row>
    <row r="607">
      <c r="A607" s="5" t="inlineStr">
        <is>
          <t>BW-04</t>
        </is>
      </c>
      <c r="B607" s="5" t="inlineStr">
        <is>
          <t>post</t>
        </is>
      </c>
      <c r="C607" s="5" t="inlineStr">
        <is>
          <t>Standweitsprung</t>
        </is>
      </c>
      <c r="D607" s="5" t="inlineStr">
        <is>
          <t>–</t>
        </is>
      </c>
      <c r="E607" s="5" t="n">
        <v>3</v>
      </c>
      <c r="F607" s="5" t="n">
        <v>250</v>
      </c>
      <c r="G607" s="5" t="n"/>
      <c r="H607" s="5" t="n"/>
      <c r="I607" s="22">
        <f>INDEX(Personendaten!$C$2:$C$32,MATCH(A607,Personendaten!$A$2:$A$32,0))</f>
        <v/>
      </c>
      <c r="J607" s="22">
        <f>IF(AND(F607&lt;&gt;"",G607=""),1,0)</f>
        <v/>
      </c>
      <c r="K607" s="22">
        <f>IF(LEFT(C607,7)&lt;&gt;"Sprint_","",IF(COUNTIFS(Versuchsdaten!$A$2:$A$1117,$A607,Versuchsdaten!$B$2:$B$1117,$B607,Versuchsdaten!$C$2:$C$1117,"Sprint_5m",Versuchsdaten!$E$2:$E$1117,$E607,Versuchsdaten!$J$2:$J$1117,1)=1,SUMIFS(Versuchsdaten!$F$2:$F$1117,Versuchsdaten!$A$2:$A$1117,$A607,Versuchsdaten!$B$2:$B$1117,$B607,Versuchsdaten!$C$2:$C$1117,"Sprint_5m",Versuchsdaten!$E$2:$E$1117,$E607,Versuchsdaten!$J$2:$J$1117,1),""))</f>
        <v/>
      </c>
      <c r="L607" s="22">
        <f>IF(LEFT(C607,7)&lt;&gt;"Sprint_","",IF(COUNTIFS(Versuchsdaten!$A$2:$A$1117,$A607,Versuchsdaten!$B$2:$B$1117,$B607,Versuchsdaten!$C$2:$C$1117,"Sprint_10m",Versuchsdaten!$E$2:$E$1117,$E607,Versuchsdaten!$J$2:$J$1117,1)=1,SUMIFS(Versuchsdaten!$F$2:$F$1117,Versuchsdaten!$A$2:$A$1117,$A607,Versuchsdaten!$B$2:$B$1117,$B607,Versuchsdaten!$C$2:$C$1117,"Sprint_10m",Versuchsdaten!$E$2:$E$1117,$E607,Versuchsdaten!$J$2:$J$1117,1),""))</f>
        <v/>
      </c>
      <c r="M607" s="22">
        <f>IF(LEFT(C607,7)&lt;&gt;"Sprint_","",IF(COUNTIFS(Versuchsdaten!$A$2:$A$1117,$A607,Versuchsdaten!$B$2:$B$1117,$B607,Versuchsdaten!$C$2:$C$1117,"Sprint_30m",Versuchsdaten!$E$2:$E$1117,$E607,Versuchsdaten!$J$2:$J$1117,1)=1,SUMIFS(Versuchsdaten!$F$2:$F$1117,Versuchsdaten!$A$2:$A$1117,$A607,Versuchsdaten!$B$2:$B$1117,$B607,Versuchsdaten!$C$2:$C$1117,"Sprint_30m",Versuchsdaten!$E$2:$E$1117,$E607,Versuchsdaten!$J$2:$J$1117,1),""))</f>
        <v/>
      </c>
      <c r="N607" s="22">
        <f>IF(LEFT(C607,7)&lt;&gt;"Sprint_",0,IF(IF(ISNUMBER(K607),IF(K607&lt;=0,1,IF(5/K607&gt;10,1,0)),0)+IF(ISNUMBER(L607),IF(ISNUMBER(K607),IF(L607-K607&lt;=0,1,IF(5/(L607-K607)&gt;10,1,0)),IF(L607&lt;=0,1,IF(10/L607&gt;10,1,0))),0)+IF(ISNUMBER(M607),IF(ISNUMBER(L607),IF(M607-L607&lt;=0,1,IF(20/(M607-L607)&gt;10,1,0)),IF(ISNUMBER(K607),IF(M607-K607&lt;=0,1,IF(25/(M607-K607)&gt;10,1,0)),IF(M607&lt;=0,1,IF(30/M607&gt;10,1,0)))),0)&gt;0,1,0))</f>
        <v/>
      </c>
      <c r="O607" s="22">
        <f>IF(AND(J607=1,N607=0),1,0)</f>
        <v/>
      </c>
      <c r="P607" s="22">
        <f>INDEX(Personendaten!$J$2:$J$32,MATCH(A607,Personendaten!$A$2:$A$32,0))</f>
        <v/>
      </c>
      <c r="Q607" s="22">
        <f>IF(O607=1,"",IF(AND(B607="post",P607="nicht angetreten"),"NANG",IF(N607=1,"AUSL",IFERROR(VLOOKUP(H607,Vokabular!$A$2:$B$8,2,FALSE),"UNBEKANNT"))))</f>
        <v/>
      </c>
    </row>
    <row r="608">
      <c r="A608" s="5" t="inlineStr">
        <is>
          <t>BW-04</t>
        </is>
      </c>
      <c r="B608" s="5" t="inlineStr">
        <is>
          <t>post</t>
        </is>
      </c>
      <c r="C608" s="5" t="inlineStr">
        <is>
          <t>COD_505</t>
        </is>
      </c>
      <c r="D608" s="5" t="inlineStr">
        <is>
          <t>L</t>
        </is>
      </c>
      <c r="E608" s="5" t="n">
        <v>1</v>
      </c>
      <c r="F608" s="5" t="n">
        <v>2.39</v>
      </c>
      <c r="G608" s="5" t="n"/>
      <c r="H608" s="5" t="n"/>
      <c r="I608" s="22">
        <f>INDEX(Personendaten!$C$2:$C$32,MATCH(A608,Personendaten!$A$2:$A$32,0))</f>
        <v/>
      </c>
      <c r="J608" s="22">
        <f>IF(AND(F608&lt;&gt;"",G608=""),1,0)</f>
        <v/>
      </c>
      <c r="K608" s="22">
        <f>IF(LEFT(C608,7)&lt;&gt;"Sprint_","",IF(COUNTIFS(Versuchsdaten!$A$2:$A$1117,$A608,Versuchsdaten!$B$2:$B$1117,$B608,Versuchsdaten!$C$2:$C$1117,"Sprint_5m",Versuchsdaten!$E$2:$E$1117,$E608,Versuchsdaten!$J$2:$J$1117,1)=1,SUMIFS(Versuchsdaten!$F$2:$F$1117,Versuchsdaten!$A$2:$A$1117,$A608,Versuchsdaten!$B$2:$B$1117,$B608,Versuchsdaten!$C$2:$C$1117,"Sprint_5m",Versuchsdaten!$E$2:$E$1117,$E608,Versuchsdaten!$J$2:$J$1117,1),""))</f>
        <v/>
      </c>
      <c r="L608" s="22">
        <f>IF(LEFT(C608,7)&lt;&gt;"Sprint_","",IF(COUNTIFS(Versuchsdaten!$A$2:$A$1117,$A608,Versuchsdaten!$B$2:$B$1117,$B608,Versuchsdaten!$C$2:$C$1117,"Sprint_10m",Versuchsdaten!$E$2:$E$1117,$E608,Versuchsdaten!$J$2:$J$1117,1)=1,SUMIFS(Versuchsdaten!$F$2:$F$1117,Versuchsdaten!$A$2:$A$1117,$A608,Versuchsdaten!$B$2:$B$1117,$B608,Versuchsdaten!$C$2:$C$1117,"Sprint_10m",Versuchsdaten!$E$2:$E$1117,$E608,Versuchsdaten!$J$2:$J$1117,1),""))</f>
        <v/>
      </c>
      <c r="M608" s="22">
        <f>IF(LEFT(C608,7)&lt;&gt;"Sprint_","",IF(COUNTIFS(Versuchsdaten!$A$2:$A$1117,$A608,Versuchsdaten!$B$2:$B$1117,$B608,Versuchsdaten!$C$2:$C$1117,"Sprint_30m",Versuchsdaten!$E$2:$E$1117,$E608,Versuchsdaten!$J$2:$J$1117,1)=1,SUMIFS(Versuchsdaten!$F$2:$F$1117,Versuchsdaten!$A$2:$A$1117,$A608,Versuchsdaten!$B$2:$B$1117,$B608,Versuchsdaten!$C$2:$C$1117,"Sprint_30m",Versuchsdaten!$E$2:$E$1117,$E608,Versuchsdaten!$J$2:$J$1117,1),""))</f>
        <v/>
      </c>
      <c r="N608" s="22">
        <f>IF(LEFT(C608,7)&lt;&gt;"Sprint_",0,IF(IF(ISNUMBER(K608),IF(K608&lt;=0,1,IF(5/K608&gt;10,1,0)),0)+IF(ISNUMBER(L608),IF(ISNUMBER(K608),IF(L608-K608&lt;=0,1,IF(5/(L608-K608)&gt;10,1,0)),IF(L608&lt;=0,1,IF(10/L608&gt;10,1,0))),0)+IF(ISNUMBER(M608),IF(ISNUMBER(L608),IF(M608-L608&lt;=0,1,IF(20/(M608-L608)&gt;10,1,0)),IF(ISNUMBER(K608),IF(M608-K608&lt;=0,1,IF(25/(M608-K608)&gt;10,1,0)),IF(M608&lt;=0,1,IF(30/M608&gt;10,1,0)))),0)&gt;0,1,0))</f>
        <v/>
      </c>
      <c r="O608" s="22">
        <f>IF(AND(J608=1,N608=0),1,0)</f>
        <v/>
      </c>
      <c r="P608" s="22">
        <f>INDEX(Personendaten!$J$2:$J$32,MATCH(A608,Personendaten!$A$2:$A$32,0))</f>
        <v/>
      </c>
      <c r="Q608" s="22">
        <f>IF(O608=1,"",IF(AND(B608="post",P608="nicht angetreten"),"NANG",IF(N608=1,"AUSL",IFERROR(VLOOKUP(H608,Vokabular!$A$2:$B$8,2,FALSE),"UNBEKANNT"))))</f>
        <v/>
      </c>
    </row>
    <row r="609">
      <c r="A609" s="5" t="inlineStr">
        <is>
          <t>BW-04</t>
        </is>
      </c>
      <c r="B609" s="5" t="inlineStr">
        <is>
          <t>post</t>
        </is>
      </c>
      <c r="C609" s="5" t="inlineStr">
        <is>
          <t>COD_505</t>
        </is>
      </c>
      <c r="D609" s="5" t="inlineStr">
        <is>
          <t>L</t>
        </is>
      </c>
      <c r="E609" s="5" t="n">
        <v>2</v>
      </c>
      <c r="F609" s="5" t="n">
        <v>2.46</v>
      </c>
      <c r="G609" s="5" t="n"/>
      <c r="H609" s="5" t="n"/>
      <c r="I609" s="22">
        <f>INDEX(Personendaten!$C$2:$C$32,MATCH(A609,Personendaten!$A$2:$A$32,0))</f>
        <v/>
      </c>
      <c r="J609" s="22">
        <f>IF(AND(F609&lt;&gt;"",G609=""),1,0)</f>
        <v/>
      </c>
      <c r="K609" s="22">
        <f>IF(LEFT(C609,7)&lt;&gt;"Sprint_","",IF(COUNTIFS(Versuchsdaten!$A$2:$A$1117,$A609,Versuchsdaten!$B$2:$B$1117,$B609,Versuchsdaten!$C$2:$C$1117,"Sprint_5m",Versuchsdaten!$E$2:$E$1117,$E609,Versuchsdaten!$J$2:$J$1117,1)=1,SUMIFS(Versuchsdaten!$F$2:$F$1117,Versuchsdaten!$A$2:$A$1117,$A609,Versuchsdaten!$B$2:$B$1117,$B609,Versuchsdaten!$C$2:$C$1117,"Sprint_5m",Versuchsdaten!$E$2:$E$1117,$E609,Versuchsdaten!$J$2:$J$1117,1),""))</f>
        <v/>
      </c>
      <c r="L609" s="22">
        <f>IF(LEFT(C609,7)&lt;&gt;"Sprint_","",IF(COUNTIFS(Versuchsdaten!$A$2:$A$1117,$A609,Versuchsdaten!$B$2:$B$1117,$B609,Versuchsdaten!$C$2:$C$1117,"Sprint_10m",Versuchsdaten!$E$2:$E$1117,$E609,Versuchsdaten!$J$2:$J$1117,1)=1,SUMIFS(Versuchsdaten!$F$2:$F$1117,Versuchsdaten!$A$2:$A$1117,$A609,Versuchsdaten!$B$2:$B$1117,$B609,Versuchsdaten!$C$2:$C$1117,"Sprint_10m",Versuchsdaten!$E$2:$E$1117,$E609,Versuchsdaten!$J$2:$J$1117,1),""))</f>
        <v/>
      </c>
      <c r="M609" s="22">
        <f>IF(LEFT(C609,7)&lt;&gt;"Sprint_","",IF(COUNTIFS(Versuchsdaten!$A$2:$A$1117,$A609,Versuchsdaten!$B$2:$B$1117,$B609,Versuchsdaten!$C$2:$C$1117,"Sprint_30m",Versuchsdaten!$E$2:$E$1117,$E609,Versuchsdaten!$J$2:$J$1117,1)=1,SUMIFS(Versuchsdaten!$F$2:$F$1117,Versuchsdaten!$A$2:$A$1117,$A609,Versuchsdaten!$B$2:$B$1117,$B609,Versuchsdaten!$C$2:$C$1117,"Sprint_30m",Versuchsdaten!$E$2:$E$1117,$E609,Versuchsdaten!$J$2:$J$1117,1),""))</f>
        <v/>
      </c>
      <c r="N609" s="22">
        <f>IF(LEFT(C609,7)&lt;&gt;"Sprint_",0,IF(IF(ISNUMBER(K609),IF(K609&lt;=0,1,IF(5/K609&gt;10,1,0)),0)+IF(ISNUMBER(L609),IF(ISNUMBER(K609),IF(L609-K609&lt;=0,1,IF(5/(L609-K609)&gt;10,1,0)),IF(L609&lt;=0,1,IF(10/L609&gt;10,1,0))),0)+IF(ISNUMBER(M609),IF(ISNUMBER(L609),IF(M609-L609&lt;=0,1,IF(20/(M609-L609)&gt;10,1,0)),IF(ISNUMBER(K609),IF(M609-K609&lt;=0,1,IF(25/(M609-K609)&gt;10,1,0)),IF(M609&lt;=0,1,IF(30/M609&gt;10,1,0)))),0)&gt;0,1,0))</f>
        <v/>
      </c>
      <c r="O609" s="22">
        <f>IF(AND(J609=1,N609=0),1,0)</f>
        <v/>
      </c>
      <c r="P609" s="22">
        <f>INDEX(Personendaten!$J$2:$J$32,MATCH(A609,Personendaten!$A$2:$A$32,0))</f>
        <v/>
      </c>
      <c r="Q609" s="22">
        <f>IF(O609=1,"",IF(AND(B609="post",P609="nicht angetreten"),"NANG",IF(N609=1,"AUSL",IFERROR(VLOOKUP(H609,Vokabular!$A$2:$B$8,2,FALSE),"UNBEKANNT"))))</f>
        <v/>
      </c>
    </row>
    <row r="610">
      <c r="A610" s="5" t="inlineStr">
        <is>
          <t>BW-04</t>
        </is>
      </c>
      <c r="B610" s="5" t="inlineStr">
        <is>
          <t>post</t>
        </is>
      </c>
      <c r="C610" s="5" t="inlineStr">
        <is>
          <t>COD_505</t>
        </is>
      </c>
      <c r="D610" s="5" t="inlineStr">
        <is>
          <t>L</t>
        </is>
      </c>
      <c r="E610" s="5" t="n">
        <v>3</v>
      </c>
      <c r="F610" s="5" t="n"/>
      <c r="G610" s="5" t="n"/>
      <c r="H610" s="5" t="inlineStr">
        <is>
          <t>Nur 2 Versuche aus Zeitmangel</t>
        </is>
      </c>
      <c r="I610" s="22">
        <f>INDEX(Personendaten!$C$2:$C$32,MATCH(A610,Personendaten!$A$2:$A$32,0))</f>
        <v/>
      </c>
      <c r="J610" s="22">
        <f>IF(AND(F610&lt;&gt;"",G610=""),1,0)</f>
        <v/>
      </c>
      <c r="K610" s="22">
        <f>IF(LEFT(C610,7)&lt;&gt;"Sprint_","",IF(COUNTIFS(Versuchsdaten!$A$2:$A$1117,$A610,Versuchsdaten!$B$2:$B$1117,$B610,Versuchsdaten!$C$2:$C$1117,"Sprint_5m",Versuchsdaten!$E$2:$E$1117,$E610,Versuchsdaten!$J$2:$J$1117,1)=1,SUMIFS(Versuchsdaten!$F$2:$F$1117,Versuchsdaten!$A$2:$A$1117,$A610,Versuchsdaten!$B$2:$B$1117,$B610,Versuchsdaten!$C$2:$C$1117,"Sprint_5m",Versuchsdaten!$E$2:$E$1117,$E610,Versuchsdaten!$J$2:$J$1117,1),""))</f>
        <v/>
      </c>
      <c r="L610" s="22">
        <f>IF(LEFT(C610,7)&lt;&gt;"Sprint_","",IF(COUNTIFS(Versuchsdaten!$A$2:$A$1117,$A610,Versuchsdaten!$B$2:$B$1117,$B610,Versuchsdaten!$C$2:$C$1117,"Sprint_10m",Versuchsdaten!$E$2:$E$1117,$E610,Versuchsdaten!$J$2:$J$1117,1)=1,SUMIFS(Versuchsdaten!$F$2:$F$1117,Versuchsdaten!$A$2:$A$1117,$A610,Versuchsdaten!$B$2:$B$1117,$B610,Versuchsdaten!$C$2:$C$1117,"Sprint_10m",Versuchsdaten!$E$2:$E$1117,$E610,Versuchsdaten!$J$2:$J$1117,1),""))</f>
        <v/>
      </c>
      <c r="M610" s="22">
        <f>IF(LEFT(C610,7)&lt;&gt;"Sprint_","",IF(COUNTIFS(Versuchsdaten!$A$2:$A$1117,$A610,Versuchsdaten!$B$2:$B$1117,$B610,Versuchsdaten!$C$2:$C$1117,"Sprint_30m",Versuchsdaten!$E$2:$E$1117,$E610,Versuchsdaten!$J$2:$J$1117,1)=1,SUMIFS(Versuchsdaten!$F$2:$F$1117,Versuchsdaten!$A$2:$A$1117,$A610,Versuchsdaten!$B$2:$B$1117,$B610,Versuchsdaten!$C$2:$C$1117,"Sprint_30m",Versuchsdaten!$E$2:$E$1117,$E610,Versuchsdaten!$J$2:$J$1117,1),""))</f>
        <v/>
      </c>
      <c r="N610" s="22">
        <f>IF(LEFT(C610,7)&lt;&gt;"Sprint_",0,IF(IF(ISNUMBER(K610),IF(K610&lt;=0,1,IF(5/K610&gt;10,1,0)),0)+IF(ISNUMBER(L610),IF(ISNUMBER(K610),IF(L610-K610&lt;=0,1,IF(5/(L610-K610)&gt;10,1,0)),IF(L610&lt;=0,1,IF(10/L610&gt;10,1,0))),0)+IF(ISNUMBER(M610),IF(ISNUMBER(L610),IF(M610-L610&lt;=0,1,IF(20/(M610-L610)&gt;10,1,0)),IF(ISNUMBER(K610),IF(M610-K610&lt;=0,1,IF(25/(M610-K610)&gt;10,1,0)),IF(M610&lt;=0,1,IF(30/M610&gt;10,1,0)))),0)&gt;0,1,0))</f>
        <v/>
      </c>
      <c r="O610" s="22">
        <f>IF(AND(J610=1,N610=0),1,0)</f>
        <v/>
      </c>
      <c r="P610" s="22">
        <f>INDEX(Personendaten!$J$2:$J$32,MATCH(A610,Personendaten!$A$2:$A$32,0))</f>
        <v/>
      </c>
      <c r="Q610" s="22">
        <f>IF(O610=1,"",IF(AND(B610="post",P610="nicht angetreten"),"NANG",IF(N610=1,"AUSL",IFERROR(VLOOKUP(H610,Vokabular!$A$2:$B$8,2,FALSE),"UNBEKANNT"))))</f>
        <v/>
      </c>
    </row>
    <row r="611">
      <c r="A611" s="5" t="inlineStr">
        <is>
          <t>BW-04</t>
        </is>
      </c>
      <c r="B611" s="5" t="inlineStr">
        <is>
          <t>post</t>
        </is>
      </c>
      <c r="C611" s="5" t="inlineStr">
        <is>
          <t>COD_505</t>
        </is>
      </c>
      <c r="D611" s="5" t="inlineStr">
        <is>
          <t>R</t>
        </is>
      </c>
      <c r="E611" s="5" t="n">
        <v>1</v>
      </c>
      <c r="F611" s="5" t="n">
        <v>2.64</v>
      </c>
      <c r="G611" s="5" t="n"/>
      <c r="H611" s="5" t="n"/>
      <c r="I611" s="22">
        <f>INDEX(Personendaten!$C$2:$C$32,MATCH(A611,Personendaten!$A$2:$A$32,0))</f>
        <v/>
      </c>
      <c r="J611" s="22">
        <f>IF(AND(F611&lt;&gt;"",G611=""),1,0)</f>
        <v/>
      </c>
      <c r="K611" s="22">
        <f>IF(LEFT(C611,7)&lt;&gt;"Sprint_","",IF(COUNTIFS(Versuchsdaten!$A$2:$A$1117,$A611,Versuchsdaten!$B$2:$B$1117,$B611,Versuchsdaten!$C$2:$C$1117,"Sprint_5m",Versuchsdaten!$E$2:$E$1117,$E611,Versuchsdaten!$J$2:$J$1117,1)=1,SUMIFS(Versuchsdaten!$F$2:$F$1117,Versuchsdaten!$A$2:$A$1117,$A611,Versuchsdaten!$B$2:$B$1117,$B611,Versuchsdaten!$C$2:$C$1117,"Sprint_5m",Versuchsdaten!$E$2:$E$1117,$E611,Versuchsdaten!$J$2:$J$1117,1),""))</f>
        <v/>
      </c>
      <c r="L611" s="22">
        <f>IF(LEFT(C611,7)&lt;&gt;"Sprint_","",IF(COUNTIFS(Versuchsdaten!$A$2:$A$1117,$A611,Versuchsdaten!$B$2:$B$1117,$B611,Versuchsdaten!$C$2:$C$1117,"Sprint_10m",Versuchsdaten!$E$2:$E$1117,$E611,Versuchsdaten!$J$2:$J$1117,1)=1,SUMIFS(Versuchsdaten!$F$2:$F$1117,Versuchsdaten!$A$2:$A$1117,$A611,Versuchsdaten!$B$2:$B$1117,$B611,Versuchsdaten!$C$2:$C$1117,"Sprint_10m",Versuchsdaten!$E$2:$E$1117,$E611,Versuchsdaten!$J$2:$J$1117,1),""))</f>
        <v/>
      </c>
      <c r="M611" s="22">
        <f>IF(LEFT(C611,7)&lt;&gt;"Sprint_","",IF(COUNTIFS(Versuchsdaten!$A$2:$A$1117,$A611,Versuchsdaten!$B$2:$B$1117,$B611,Versuchsdaten!$C$2:$C$1117,"Sprint_30m",Versuchsdaten!$E$2:$E$1117,$E611,Versuchsdaten!$J$2:$J$1117,1)=1,SUMIFS(Versuchsdaten!$F$2:$F$1117,Versuchsdaten!$A$2:$A$1117,$A611,Versuchsdaten!$B$2:$B$1117,$B611,Versuchsdaten!$C$2:$C$1117,"Sprint_30m",Versuchsdaten!$E$2:$E$1117,$E611,Versuchsdaten!$J$2:$J$1117,1),""))</f>
        <v/>
      </c>
      <c r="N611" s="22">
        <f>IF(LEFT(C611,7)&lt;&gt;"Sprint_",0,IF(IF(ISNUMBER(K611),IF(K611&lt;=0,1,IF(5/K611&gt;10,1,0)),0)+IF(ISNUMBER(L611),IF(ISNUMBER(K611),IF(L611-K611&lt;=0,1,IF(5/(L611-K611)&gt;10,1,0)),IF(L611&lt;=0,1,IF(10/L611&gt;10,1,0))),0)+IF(ISNUMBER(M611),IF(ISNUMBER(L611),IF(M611-L611&lt;=0,1,IF(20/(M611-L611)&gt;10,1,0)),IF(ISNUMBER(K611),IF(M611-K611&lt;=0,1,IF(25/(M611-K611)&gt;10,1,0)),IF(M611&lt;=0,1,IF(30/M611&gt;10,1,0)))),0)&gt;0,1,0))</f>
        <v/>
      </c>
      <c r="O611" s="22">
        <f>IF(AND(J611=1,N611=0),1,0)</f>
        <v/>
      </c>
      <c r="P611" s="22">
        <f>INDEX(Personendaten!$J$2:$J$32,MATCH(A611,Personendaten!$A$2:$A$32,0))</f>
        <v/>
      </c>
      <c r="Q611" s="22">
        <f>IF(O611=1,"",IF(AND(B611="post",P611="nicht angetreten"),"NANG",IF(N611=1,"AUSL",IFERROR(VLOOKUP(H611,Vokabular!$A$2:$B$8,2,FALSE),"UNBEKANNT"))))</f>
        <v/>
      </c>
    </row>
    <row r="612">
      <c r="A612" s="5" t="inlineStr">
        <is>
          <t>BW-04</t>
        </is>
      </c>
      <c r="B612" s="5" t="inlineStr">
        <is>
          <t>post</t>
        </is>
      </c>
      <c r="C612" s="5" t="inlineStr">
        <is>
          <t>COD_505</t>
        </is>
      </c>
      <c r="D612" s="5" t="inlineStr">
        <is>
          <t>R</t>
        </is>
      </c>
      <c r="E612" s="5" t="n">
        <v>2</v>
      </c>
      <c r="F612" s="5" t="n">
        <v>2.52</v>
      </c>
      <c r="G612" s="5" t="n"/>
      <c r="H612" s="5" t="n"/>
      <c r="I612" s="22">
        <f>INDEX(Personendaten!$C$2:$C$32,MATCH(A612,Personendaten!$A$2:$A$32,0))</f>
        <v/>
      </c>
      <c r="J612" s="22">
        <f>IF(AND(F612&lt;&gt;"",G612=""),1,0)</f>
        <v/>
      </c>
      <c r="K612" s="22">
        <f>IF(LEFT(C612,7)&lt;&gt;"Sprint_","",IF(COUNTIFS(Versuchsdaten!$A$2:$A$1117,$A612,Versuchsdaten!$B$2:$B$1117,$B612,Versuchsdaten!$C$2:$C$1117,"Sprint_5m",Versuchsdaten!$E$2:$E$1117,$E612,Versuchsdaten!$J$2:$J$1117,1)=1,SUMIFS(Versuchsdaten!$F$2:$F$1117,Versuchsdaten!$A$2:$A$1117,$A612,Versuchsdaten!$B$2:$B$1117,$B612,Versuchsdaten!$C$2:$C$1117,"Sprint_5m",Versuchsdaten!$E$2:$E$1117,$E612,Versuchsdaten!$J$2:$J$1117,1),""))</f>
        <v/>
      </c>
      <c r="L612" s="22">
        <f>IF(LEFT(C612,7)&lt;&gt;"Sprint_","",IF(COUNTIFS(Versuchsdaten!$A$2:$A$1117,$A612,Versuchsdaten!$B$2:$B$1117,$B612,Versuchsdaten!$C$2:$C$1117,"Sprint_10m",Versuchsdaten!$E$2:$E$1117,$E612,Versuchsdaten!$J$2:$J$1117,1)=1,SUMIFS(Versuchsdaten!$F$2:$F$1117,Versuchsdaten!$A$2:$A$1117,$A612,Versuchsdaten!$B$2:$B$1117,$B612,Versuchsdaten!$C$2:$C$1117,"Sprint_10m",Versuchsdaten!$E$2:$E$1117,$E612,Versuchsdaten!$J$2:$J$1117,1),""))</f>
        <v/>
      </c>
      <c r="M612" s="22">
        <f>IF(LEFT(C612,7)&lt;&gt;"Sprint_","",IF(COUNTIFS(Versuchsdaten!$A$2:$A$1117,$A612,Versuchsdaten!$B$2:$B$1117,$B612,Versuchsdaten!$C$2:$C$1117,"Sprint_30m",Versuchsdaten!$E$2:$E$1117,$E612,Versuchsdaten!$J$2:$J$1117,1)=1,SUMIFS(Versuchsdaten!$F$2:$F$1117,Versuchsdaten!$A$2:$A$1117,$A612,Versuchsdaten!$B$2:$B$1117,$B612,Versuchsdaten!$C$2:$C$1117,"Sprint_30m",Versuchsdaten!$E$2:$E$1117,$E612,Versuchsdaten!$J$2:$J$1117,1),""))</f>
        <v/>
      </c>
      <c r="N612" s="22">
        <f>IF(LEFT(C612,7)&lt;&gt;"Sprint_",0,IF(IF(ISNUMBER(K612),IF(K612&lt;=0,1,IF(5/K612&gt;10,1,0)),0)+IF(ISNUMBER(L612),IF(ISNUMBER(K612),IF(L612-K612&lt;=0,1,IF(5/(L612-K612)&gt;10,1,0)),IF(L612&lt;=0,1,IF(10/L612&gt;10,1,0))),0)+IF(ISNUMBER(M612),IF(ISNUMBER(L612),IF(M612-L612&lt;=0,1,IF(20/(M612-L612)&gt;10,1,0)),IF(ISNUMBER(K612),IF(M612-K612&lt;=0,1,IF(25/(M612-K612)&gt;10,1,0)),IF(M612&lt;=0,1,IF(30/M612&gt;10,1,0)))),0)&gt;0,1,0))</f>
        <v/>
      </c>
      <c r="O612" s="22">
        <f>IF(AND(J612=1,N612=0),1,0)</f>
        <v/>
      </c>
      <c r="P612" s="22">
        <f>INDEX(Personendaten!$J$2:$J$32,MATCH(A612,Personendaten!$A$2:$A$32,0))</f>
        <v/>
      </c>
      <c r="Q612" s="22">
        <f>IF(O612=1,"",IF(AND(B612="post",P612="nicht angetreten"),"NANG",IF(N612=1,"AUSL",IFERROR(VLOOKUP(H612,Vokabular!$A$2:$B$8,2,FALSE),"UNBEKANNT"))))</f>
        <v/>
      </c>
    </row>
    <row r="613">
      <c r="A613" s="5" t="inlineStr">
        <is>
          <t>BW-04</t>
        </is>
      </c>
      <c r="B613" s="5" t="inlineStr">
        <is>
          <t>post</t>
        </is>
      </c>
      <c r="C613" s="5" t="inlineStr">
        <is>
          <t>COD_505</t>
        </is>
      </c>
      <c r="D613" s="5" t="inlineStr">
        <is>
          <t>R</t>
        </is>
      </c>
      <c r="E613" s="5" t="n">
        <v>3</v>
      </c>
      <c r="F613" s="5" t="n"/>
      <c r="G613" s="5" t="n"/>
      <c r="H613" s="5" t="inlineStr">
        <is>
          <t>Nur 2 Versuche aus Zeitmangel</t>
        </is>
      </c>
      <c r="I613" s="22">
        <f>INDEX(Personendaten!$C$2:$C$32,MATCH(A613,Personendaten!$A$2:$A$32,0))</f>
        <v/>
      </c>
      <c r="J613" s="22">
        <f>IF(AND(F613&lt;&gt;"",G613=""),1,0)</f>
        <v/>
      </c>
      <c r="K613" s="22">
        <f>IF(LEFT(C613,7)&lt;&gt;"Sprint_","",IF(COUNTIFS(Versuchsdaten!$A$2:$A$1117,$A613,Versuchsdaten!$B$2:$B$1117,$B613,Versuchsdaten!$C$2:$C$1117,"Sprint_5m",Versuchsdaten!$E$2:$E$1117,$E613,Versuchsdaten!$J$2:$J$1117,1)=1,SUMIFS(Versuchsdaten!$F$2:$F$1117,Versuchsdaten!$A$2:$A$1117,$A613,Versuchsdaten!$B$2:$B$1117,$B613,Versuchsdaten!$C$2:$C$1117,"Sprint_5m",Versuchsdaten!$E$2:$E$1117,$E613,Versuchsdaten!$J$2:$J$1117,1),""))</f>
        <v/>
      </c>
      <c r="L613" s="22">
        <f>IF(LEFT(C613,7)&lt;&gt;"Sprint_","",IF(COUNTIFS(Versuchsdaten!$A$2:$A$1117,$A613,Versuchsdaten!$B$2:$B$1117,$B613,Versuchsdaten!$C$2:$C$1117,"Sprint_10m",Versuchsdaten!$E$2:$E$1117,$E613,Versuchsdaten!$J$2:$J$1117,1)=1,SUMIFS(Versuchsdaten!$F$2:$F$1117,Versuchsdaten!$A$2:$A$1117,$A613,Versuchsdaten!$B$2:$B$1117,$B613,Versuchsdaten!$C$2:$C$1117,"Sprint_10m",Versuchsdaten!$E$2:$E$1117,$E613,Versuchsdaten!$J$2:$J$1117,1),""))</f>
        <v/>
      </c>
      <c r="M613" s="22">
        <f>IF(LEFT(C613,7)&lt;&gt;"Sprint_","",IF(COUNTIFS(Versuchsdaten!$A$2:$A$1117,$A613,Versuchsdaten!$B$2:$B$1117,$B613,Versuchsdaten!$C$2:$C$1117,"Sprint_30m",Versuchsdaten!$E$2:$E$1117,$E613,Versuchsdaten!$J$2:$J$1117,1)=1,SUMIFS(Versuchsdaten!$F$2:$F$1117,Versuchsdaten!$A$2:$A$1117,$A613,Versuchsdaten!$B$2:$B$1117,$B613,Versuchsdaten!$C$2:$C$1117,"Sprint_30m",Versuchsdaten!$E$2:$E$1117,$E613,Versuchsdaten!$J$2:$J$1117,1),""))</f>
        <v/>
      </c>
      <c r="N613" s="22">
        <f>IF(LEFT(C613,7)&lt;&gt;"Sprint_",0,IF(IF(ISNUMBER(K613),IF(K613&lt;=0,1,IF(5/K613&gt;10,1,0)),0)+IF(ISNUMBER(L613),IF(ISNUMBER(K613),IF(L613-K613&lt;=0,1,IF(5/(L613-K613)&gt;10,1,0)),IF(L613&lt;=0,1,IF(10/L613&gt;10,1,0))),0)+IF(ISNUMBER(M613),IF(ISNUMBER(L613),IF(M613-L613&lt;=0,1,IF(20/(M613-L613)&gt;10,1,0)),IF(ISNUMBER(K613),IF(M613-K613&lt;=0,1,IF(25/(M613-K613)&gt;10,1,0)),IF(M613&lt;=0,1,IF(30/M613&gt;10,1,0)))),0)&gt;0,1,0))</f>
        <v/>
      </c>
      <c r="O613" s="22">
        <f>IF(AND(J613=1,N613=0),1,0)</f>
        <v/>
      </c>
      <c r="P613" s="22">
        <f>INDEX(Personendaten!$J$2:$J$32,MATCH(A613,Personendaten!$A$2:$A$32,0))</f>
        <v/>
      </c>
      <c r="Q613" s="22">
        <f>IF(O613=1,"",IF(AND(B613="post",P613="nicht angetreten"),"NANG",IF(N613=1,"AUSL",IFERROR(VLOOKUP(H613,Vokabular!$A$2:$B$8,2,FALSE),"UNBEKANNT"))))</f>
        <v/>
      </c>
    </row>
    <row r="614">
      <c r="A614" s="5" t="inlineStr">
        <is>
          <t>BW-05</t>
        </is>
      </c>
      <c r="B614" s="5" t="inlineStr">
        <is>
          <t>post</t>
        </is>
      </c>
      <c r="C614" s="5" t="inlineStr">
        <is>
          <t>Sprint_5m</t>
        </is>
      </c>
      <c r="D614" s="5" t="inlineStr">
        <is>
          <t>–</t>
        </is>
      </c>
      <c r="E614" s="5" t="n">
        <v>1</v>
      </c>
      <c r="F614" s="5" t="n">
        <v>1.13</v>
      </c>
      <c r="G614" s="5" t="n"/>
      <c r="H614" s="5" t="n"/>
      <c r="I614" s="22">
        <f>INDEX(Personendaten!$C$2:$C$32,MATCH(A614,Personendaten!$A$2:$A$32,0))</f>
        <v/>
      </c>
      <c r="J614" s="22">
        <f>IF(AND(F614&lt;&gt;"",G614=""),1,0)</f>
        <v/>
      </c>
      <c r="K614" s="22">
        <f>IF(LEFT(C614,7)&lt;&gt;"Sprint_","",IF(COUNTIFS(Versuchsdaten!$A$2:$A$1117,$A614,Versuchsdaten!$B$2:$B$1117,$B614,Versuchsdaten!$C$2:$C$1117,"Sprint_5m",Versuchsdaten!$E$2:$E$1117,$E614,Versuchsdaten!$J$2:$J$1117,1)=1,SUMIFS(Versuchsdaten!$F$2:$F$1117,Versuchsdaten!$A$2:$A$1117,$A614,Versuchsdaten!$B$2:$B$1117,$B614,Versuchsdaten!$C$2:$C$1117,"Sprint_5m",Versuchsdaten!$E$2:$E$1117,$E614,Versuchsdaten!$J$2:$J$1117,1),""))</f>
        <v/>
      </c>
      <c r="L614" s="22">
        <f>IF(LEFT(C614,7)&lt;&gt;"Sprint_","",IF(COUNTIFS(Versuchsdaten!$A$2:$A$1117,$A614,Versuchsdaten!$B$2:$B$1117,$B614,Versuchsdaten!$C$2:$C$1117,"Sprint_10m",Versuchsdaten!$E$2:$E$1117,$E614,Versuchsdaten!$J$2:$J$1117,1)=1,SUMIFS(Versuchsdaten!$F$2:$F$1117,Versuchsdaten!$A$2:$A$1117,$A614,Versuchsdaten!$B$2:$B$1117,$B614,Versuchsdaten!$C$2:$C$1117,"Sprint_10m",Versuchsdaten!$E$2:$E$1117,$E614,Versuchsdaten!$J$2:$J$1117,1),""))</f>
        <v/>
      </c>
      <c r="M614" s="22">
        <f>IF(LEFT(C614,7)&lt;&gt;"Sprint_","",IF(COUNTIFS(Versuchsdaten!$A$2:$A$1117,$A614,Versuchsdaten!$B$2:$B$1117,$B614,Versuchsdaten!$C$2:$C$1117,"Sprint_30m",Versuchsdaten!$E$2:$E$1117,$E614,Versuchsdaten!$J$2:$J$1117,1)=1,SUMIFS(Versuchsdaten!$F$2:$F$1117,Versuchsdaten!$A$2:$A$1117,$A614,Versuchsdaten!$B$2:$B$1117,$B614,Versuchsdaten!$C$2:$C$1117,"Sprint_30m",Versuchsdaten!$E$2:$E$1117,$E614,Versuchsdaten!$J$2:$J$1117,1),""))</f>
        <v/>
      </c>
      <c r="N614" s="22">
        <f>IF(LEFT(C614,7)&lt;&gt;"Sprint_",0,IF(IF(ISNUMBER(K614),IF(K614&lt;=0,1,IF(5/K614&gt;10,1,0)),0)+IF(ISNUMBER(L614),IF(ISNUMBER(K614),IF(L614-K614&lt;=0,1,IF(5/(L614-K614)&gt;10,1,0)),IF(L614&lt;=0,1,IF(10/L614&gt;10,1,0))),0)+IF(ISNUMBER(M614),IF(ISNUMBER(L614),IF(M614-L614&lt;=0,1,IF(20/(M614-L614)&gt;10,1,0)),IF(ISNUMBER(K614),IF(M614-K614&lt;=0,1,IF(25/(M614-K614)&gt;10,1,0)),IF(M614&lt;=0,1,IF(30/M614&gt;10,1,0)))),0)&gt;0,1,0))</f>
        <v/>
      </c>
      <c r="O614" s="22">
        <f>IF(AND(J614=1,N614=0),1,0)</f>
        <v/>
      </c>
      <c r="P614" s="22">
        <f>INDEX(Personendaten!$J$2:$J$32,MATCH(A614,Personendaten!$A$2:$A$32,0))</f>
        <v/>
      </c>
      <c r="Q614" s="22">
        <f>IF(O614=1,"",IF(AND(B614="post",P614="nicht angetreten"),"NANG",IF(N614=1,"AUSL",IFERROR(VLOOKUP(H614,Vokabular!$A$2:$B$8,2,FALSE),"UNBEKANNT"))))</f>
        <v/>
      </c>
    </row>
    <row r="615">
      <c r="A615" s="5" t="inlineStr">
        <is>
          <t>BW-05</t>
        </is>
      </c>
      <c r="B615" s="5" t="inlineStr">
        <is>
          <t>post</t>
        </is>
      </c>
      <c r="C615" s="5" t="inlineStr">
        <is>
          <t>Sprint_5m</t>
        </is>
      </c>
      <c r="D615" s="5" t="inlineStr">
        <is>
          <t>–</t>
        </is>
      </c>
      <c r="E615" s="5" t="n">
        <v>2</v>
      </c>
      <c r="F615" s="5" t="n">
        <v>1.11</v>
      </c>
      <c r="G615" s="5" t="n"/>
      <c r="H615" s="5" t="n"/>
      <c r="I615" s="22">
        <f>INDEX(Personendaten!$C$2:$C$32,MATCH(A615,Personendaten!$A$2:$A$32,0))</f>
        <v/>
      </c>
      <c r="J615" s="22">
        <f>IF(AND(F615&lt;&gt;"",G615=""),1,0)</f>
        <v/>
      </c>
      <c r="K615" s="22">
        <f>IF(LEFT(C615,7)&lt;&gt;"Sprint_","",IF(COUNTIFS(Versuchsdaten!$A$2:$A$1117,$A615,Versuchsdaten!$B$2:$B$1117,$B615,Versuchsdaten!$C$2:$C$1117,"Sprint_5m",Versuchsdaten!$E$2:$E$1117,$E615,Versuchsdaten!$J$2:$J$1117,1)=1,SUMIFS(Versuchsdaten!$F$2:$F$1117,Versuchsdaten!$A$2:$A$1117,$A615,Versuchsdaten!$B$2:$B$1117,$B615,Versuchsdaten!$C$2:$C$1117,"Sprint_5m",Versuchsdaten!$E$2:$E$1117,$E615,Versuchsdaten!$J$2:$J$1117,1),""))</f>
        <v/>
      </c>
      <c r="L615" s="22">
        <f>IF(LEFT(C615,7)&lt;&gt;"Sprint_","",IF(COUNTIFS(Versuchsdaten!$A$2:$A$1117,$A615,Versuchsdaten!$B$2:$B$1117,$B615,Versuchsdaten!$C$2:$C$1117,"Sprint_10m",Versuchsdaten!$E$2:$E$1117,$E615,Versuchsdaten!$J$2:$J$1117,1)=1,SUMIFS(Versuchsdaten!$F$2:$F$1117,Versuchsdaten!$A$2:$A$1117,$A615,Versuchsdaten!$B$2:$B$1117,$B615,Versuchsdaten!$C$2:$C$1117,"Sprint_10m",Versuchsdaten!$E$2:$E$1117,$E615,Versuchsdaten!$J$2:$J$1117,1),""))</f>
        <v/>
      </c>
      <c r="M615" s="22">
        <f>IF(LEFT(C615,7)&lt;&gt;"Sprint_","",IF(COUNTIFS(Versuchsdaten!$A$2:$A$1117,$A615,Versuchsdaten!$B$2:$B$1117,$B615,Versuchsdaten!$C$2:$C$1117,"Sprint_30m",Versuchsdaten!$E$2:$E$1117,$E615,Versuchsdaten!$J$2:$J$1117,1)=1,SUMIFS(Versuchsdaten!$F$2:$F$1117,Versuchsdaten!$A$2:$A$1117,$A615,Versuchsdaten!$B$2:$B$1117,$B615,Versuchsdaten!$C$2:$C$1117,"Sprint_30m",Versuchsdaten!$E$2:$E$1117,$E615,Versuchsdaten!$J$2:$J$1117,1),""))</f>
        <v/>
      </c>
      <c r="N615" s="22">
        <f>IF(LEFT(C615,7)&lt;&gt;"Sprint_",0,IF(IF(ISNUMBER(K615),IF(K615&lt;=0,1,IF(5/K615&gt;10,1,0)),0)+IF(ISNUMBER(L615),IF(ISNUMBER(K615),IF(L615-K615&lt;=0,1,IF(5/(L615-K615)&gt;10,1,0)),IF(L615&lt;=0,1,IF(10/L615&gt;10,1,0))),0)+IF(ISNUMBER(M615),IF(ISNUMBER(L615),IF(M615-L615&lt;=0,1,IF(20/(M615-L615)&gt;10,1,0)),IF(ISNUMBER(K615),IF(M615-K615&lt;=0,1,IF(25/(M615-K615)&gt;10,1,0)),IF(M615&lt;=0,1,IF(30/M615&gt;10,1,0)))),0)&gt;0,1,0))</f>
        <v/>
      </c>
      <c r="O615" s="22">
        <f>IF(AND(J615=1,N615=0),1,0)</f>
        <v/>
      </c>
      <c r="P615" s="22">
        <f>INDEX(Personendaten!$J$2:$J$32,MATCH(A615,Personendaten!$A$2:$A$32,0))</f>
        <v/>
      </c>
      <c r="Q615" s="22">
        <f>IF(O615=1,"",IF(AND(B615="post",P615="nicht angetreten"),"NANG",IF(N615=1,"AUSL",IFERROR(VLOOKUP(H615,Vokabular!$A$2:$B$8,2,FALSE),"UNBEKANNT"))))</f>
        <v/>
      </c>
    </row>
    <row r="616">
      <c r="A616" s="5" t="inlineStr">
        <is>
          <t>BW-05</t>
        </is>
      </c>
      <c r="B616" s="5" t="inlineStr">
        <is>
          <t>post</t>
        </is>
      </c>
      <c r="C616" s="5" t="inlineStr">
        <is>
          <t>Sprint_5m</t>
        </is>
      </c>
      <c r="D616" s="5" t="inlineStr">
        <is>
          <t>–</t>
        </is>
      </c>
      <c r="E616" s="5" t="n">
        <v>3</v>
      </c>
      <c r="F616" s="5" t="n">
        <v>1.1</v>
      </c>
      <c r="G616" s="5" t="n"/>
      <c r="H616" s="5" t="n"/>
      <c r="I616" s="22">
        <f>INDEX(Personendaten!$C$2:$C$32,MATCH(A616,Personendaten!$A$2:$A$32,0))</f>
        <v/>
      </c>
      <c r="J616" s="22">
        <f>IF(AND(F616&lt;&gt;"",G616=""),1,0)</f>
        <v/>
      </c>
      <c r="K616" s="22">
        <f>IF(LEFT(C616,7)&lt;&gt;"Sprint_","",IF(COUNTIFS(Versuchsdaten!$A$2:$A$1117,$A616,Versuchsdaten!$B$2:$B$1117,$B616,Versuchsdaten!$C$2:$C$1117,"Sprint_5m",Versuchsdaten!$E$2:$E$1117,$E616,Versuchsdaten!$J$2:$J$1117,1)=1,SUMIFS(Versuchsdaten!$F$2:$F$1117,Versuchsdaten!$A$2:$A$1117,$A616,Versuchsdaten!$B$2:$B$1117,$B616,Versuchsdaten!$C$2:$C$1117,"Sprint_5m",Versuchsdaten!$E$2:$E$1117,$E616,Versuchsdaten!$J$2:$J$1117,1),""))</f>
        <v/>
      </c>
      <c r="L616" s="22">
        <f>IF(LEFT(C616,7)&lt;&gt;"Sprint_","",IF(COUNTIFS(Versuchsdaten!$A$2:$A$1117,$A616,Versuchsdaten!$B$2:$B$1117,$B616,Versuchsdaten!$C$2:$C$1117,"Sprint_10m",Versuchsdaten!$E$2:$E$1117,$E616,Versuchsdaten!$J$2:$J$1117,1)=1,SUMIFS(Versuchsdaten!$F$2:$F$1117,Versuchsdaten!$A$2:$A$1117,$A616,Versuchsdaten!$B$2:$B$1117,$B616,Versuchsdaten!$C$2:$C$1117,"Sprint_10m",Versuchsdaten!$E$2:$E$1117,$E616,Versuchsdaten!$J$2:$J$1117,1),""))</f>
        <v/>
      </c>
      <c r="M616" s="22">
        <f>IF(LEFT(C616,7)&lt;&gt;"Sprint_","",IF(COUNTIFS(Versuchsdaten!$A$2:$A$1117,$A616,Versuchsdaten!$B$2:$B$1117,$B616,Versuchsdaten!$C$2:$C$1117,"Sprint_30m",Versuchsdaten!$E$2:$E$1117,$E616,Versuchsdaten!$J$2:$J$1117,1)=1,SUMIFS(Versuchsdaten!$F$2:$F$1117,Versuchsdaten!$A$2:$A$1117,$A616,Versuchsdaten!$B$2:$B$1117,$B616,Versuchsdaten!$C$2:$C$1117,"Sprint_30m",Versuchsdaten!$E$2:$E$1117,$E616,Versuchsdaten!$J$2:$J$1117,1),""))</f>
        <v/>
      </c>
      <c r="N616" s="22">
        <f>IF(LEFT(C616,7)&lt;&gt;"Sprint_",0,IF(IF(ISNUMBER(K616),IF(K616&lt;=0,1,IF(5/K616&gt;10,1,0)),0)+IF(ISNUMBER(L616),IF(ISNUMBER(K616),IF(L616-K616&lt;=0,1,IF(5/(L616-K616)&gt;10,1,0)),IF(L616&lt;=0,1,IF(10/L616&gt;10,1,0))),0)+IF(ISNUMBER(M616),IF(ISNUMBER(L616),IF(M616-L616&lt;=0,1,IF(20/(M616-L616)&gt;10,1,0)),IF(ISNUMBER(K616),IF(M616-K616&lt;=0,1,IF(25/(M616-K616)&gt;10,1,0)),IF(M616&lt;=0,1,IF(30/M616&gt;10,1,0)))),0)&gt;0,1,0))</f>
        <v/>
      </c>
      <c r="O616" s="22">
        <f>IF(AND(J616=1,N616=0),1,0)</f>
        <v/>
      </c>
      <c r="P616" s="22">
        <f>INDEX(Personendaten!$J$2:$J$32,MATCH(A616,Personendaten!$A$2:$A$32,0))</f>
        <v/>
      </c>
      <c r="Q616" s="22">
        <f>IF(O616=1,"",IF(AND(B616="post",P616="nicht angetreten"),"NANG",IF(N616=1,"AUSL",IFERROR(VLOOKUP(H616,Vokabular!$A$2:$B$8,2,FALSE),"UNBEKANNT"))))</f>
        <v/>
      </c>
    </row>
    <row r="617">
      <c r="A617" s="5" t="inlineStr">
        <is>
          <t>BW-05</t>
        </is>
      </c>
      <c r="B617" s="5" t="inlineStr">
        <is>
          <t>post</t>
        </is>
      </c>
      <c r="C617" s="5" t="inlineStr">
        <is>
          <t>Sprint_10m</t>
        </is>
      </c>
      <c r="D617" s="5" t="inlineStr">
        <is>
          <t>–</t>
        </is>
      </c>
      <c r="E617" s="5" t="n">
        <v>1</v>
      </c>
      <c r="F617" s="5" t="n"/>
      <c r="G617" s="5" t="n"/>
      <c r="H617" s="5" t="inlineStr">
        <is>
          <t>System falsch aufgenommen</t>
        </is>
      </c>
      <c r="I617" s="22">
        <f>INDEX(Personendaten!$C$2:$C$32,MATCH(A617,Personendaten!$A$2:$A$32,0))</f>
        <v/>
      </c>
      <c r="J617" s="22">
        <f>IF(AND(F617&lt;&gt;"",G617=""),1,0)</f>
        <v/>
      </c>
      <c r="K617" s="22">
        <f>IF(LEFT(C617,7)&lt;&gt;"Sprint_","",IF(COUNTIFS(Versuchsdaten!$A$2:$A$1117,$A617,Versuchsdaten!$B$2:$B$1117,$B617,Versuchsdaten!$C$2:$C$1117,"Sprint_5m",Versuchsdaten!$E$2:$E$1117,$E617,Versuchsdaten!$J$2:$J$1117,1)=1,SUMIFS(Versuchsdaten!$F$2:$F$1117,Versuchsdaten!$A$2:$A$1117,$A617,Versuchsdaten!$B$2:$B$1117,$B617,Versuchsdaten!$C$2:$C$1117,"Sprint_5m",Versuchsdaten!$E$2:$E$1117,$E617,Versuchsdaten!$J$2:$J$1117,1),""))</f>
        <v/>
      </c>
      <c r="L617" s="22">
        <f>IF(LEFT(C617,7)&lt;&gt;"Sprint_","",IF(COUNTIFS(Versuchsdaten!$A$2:$A$1117,$A617,Versuchsdaten!$B$2:$B$1117,$B617,Versuchsdaten!$C$2:$C$1117,"Sprint_10m",Versuchsdaten!$E$2:$E$1117,$E617,Versuchsdaten!$J$2:$J$1117,1)=1,SUMIFS(Versuchsdaten!$F$2:$F$1117,Versuchsdaten!$A$2:$A$1117,$A617,Versuchsdaten!$B$2:$B$1117,$B617,Versuchsdaten!$C$2:$C$1117,"Sprint_10m",Versuchsdaten!$E$2:$E$1117,$E617,Versuchsdaten!$J$2:$J$1117,1),""))</f>
        <v/>
      </c>
      <c r="M617" s="22">
        <f>IF(LEFT(C617,7)&lt;&gt;"Sprint_","",IF(COUNTIFS(Versuchsdaten!$A$2:$A$1117,$A617,Versuchsdaten!$B$2:$B$1117,$B617,Versuchsdaten!$C$2:$C$1117,"Sprint_30m",Versuchsdaten!$E$2:$E$1117,$E617,Versuchsdaten!$J$2:$J$1117,1)=1,SUMIFS(Versuchsdaten!$F$2:$F$1117,Versuchsdaten!$A$2:$A$1117,$A617,Versuchsdaten!$B$2:$B$1117,$B617,Versuchsdaten!$C$2:$C$1117,"Sprint_30m",Versuchsdaten!$E$2:$E$1117,$E617,Versuchsdaten!$J$2:$J$1117,1),""))</f>
        <v/>
      </c>
      <c r="N617" s="22">
        <f>IF(LEFT(C617,7)&lt;&gt;"Sprint_",0,IF(IF(ISNUMBER(K617),IF(K617&lt;=0,1,IF(5/K617&gt;10,1,0)),0)+IF(ISNUMBER(L617),IF(ISNUMBER(K617),IF(L617-K617&lt;=0,1,IF(5/(L617-K617)&gt;10,1,0)),IF(L617&lt;=0,1,IF(10/L617&gt;10,1,0))),0)+IF(ISNUMBER(M617),IF(ISNUMBER(L617),IF(M617-L617&lt;=0,1,IF(20/(M617-L617)&gt;10,1,0)),IF(ISNUMBER(K617),IF(M617-K617&lt;=0,1,IF(25/(M617-K617)&gt;10,1,0)),IF(M617&lt;=0,1,IF(30/M617&gt;10,1,0)))),0)&gt;0,1,0))</f>
        <v/>
      </c>
      <c r="O617" s="22">
        <f>IF(AND(J617=1,N617=0),1,0)</f>
        <v/>
      </c>
      <c r="P617" s="22">
        <f>INDEX(Personendaten!$J$2:$J$32,MATCH(A617,Personendaten!$A$2:$A$32,0))</f>
        <v/>
      </c>
      <c r="Q617" s="22">
        <f>IF(O617=1,"",IF(AND(B617="post",P617="nicht angetreten"),"NANG",IF(N617=1,"AUSL",IFERROR(VLOOKUP(H617,Vokabular!$A$2:$B$8,2,FALSE),"UNBEKANNT"))))</f>
        <v/>
      </c>
    </row>
    <row r="618">
      <c r="A618" s="5" t="inlineStr">
        <is>
          <t>BW-05</t>
        </is>
      </c>
      <c r="B618" s="5" t="inlineStr">
        <is>
          <t>post</t>
        </is>
      </c>
      <c r="C618" s="5" t="inlineStr">
        <is>
          <t>Sprint_10m</t>
        </is>
      </c>
      <c r="D618" s="5" t="inlineStr">
        <is>
          <t>–</t>
        </is>
      </c>
      <c r="E618" s="5" t="n">
        <v>2</v>
      </c>
      <c r="F618" s="5" t="n"/>
      <c r="G618" s="5" t="n"/>
      <c r="H618" s="5" t="inlineStr">
        <is>
          <t>System falsch aufgenommen</t>
        </is>
      </c>
      <c r="I618" s="22">
        <f>INDEX(Personendaten!$C$2:$C$32,MATCH(A618,Personendaten!$A$2:$A$32,0))</f>
        <v/>
      </c>
      <c r="J618" s="22">
        <f>IF(AND(F618&lt;&gt;"",G618=""),1,0)</f>
        <v/>
      </c>
      <c r="K618" s="22">
        <f>IF(LEFT(C618,7)&lt;&gt;"Sprint_","",IF(COUNTIFS(Versuchsdaten!$A$2:$A$1117,$A618,Versuchsdaten!$B$2:$B$1117,$B618,Versuchsdaten!$C$2:$C$1117,"Sprint_5m",Versuchsdaten!$E$2:$E$1117,$E618,Versuchsdaten!$J$2:$J$1117,1)=1,SUMIFS(Versuchsdaten!$F$2:$F$1117,Versuchsdaten!$A$2:$A$1117,$A618,Versuchsdaten!$B$2:$B$1117,$B618,Versuchsdaten!$C$2:$C$1117,"Sprint_5m",Versuchsdaten!$E$2:$E$1117,$E618,Versuchsdaten!$J$2:$J$1117,1),""))</f>
        <v/>
      </c>
      <c r="L618" s="22">
        <f>IF(LEFT(C618,7)&lt;&gt;"Sprint_","",IF(COUNTIFS(Versuchsdaten!$A$2:$A$1117,$A618,Versuchsdaten!$B$2:$B$1117,$B618,Versuchsdaten!$C$2:$C$1117,"Sprint_10m",Versuchsdaten!$E$2:$E$1117,$E618,Versuchsdaten!$J$2:$J$1117,1)=1,SUMIFS(Versuchsdaten!$F$2:$F$1117,Versuchsdaten!$A$2:$A$1117,$A618,Versuchsdaten!$B$2:$B$1117,$B618,Versuchsdaten!$C$2:$C$1117,"Sprint_10m",Versuchsdaten!$E$2:$E$1117,$E618,Versuchsdaten!$J$2:$J$1117,1),""))</f>
        <v/>
      </c>
      <c r="M618" s="22">
        <f>IF(LEFT(C618,7)&lt;&gt;"Sprint_","",IF(COUNTIFS(Versuchsdaten!$A$2:$A$1117,$A618,Versuchsdaten!$B$2:$B$1117,$B618,Versuchsdaten!$C$2:$C$1117,"Sprint_30m",Versuchsdaten!$E$2:$E$1117,$E618,Versuchsdaten!$J$2:$J$1117,1)=1,SUMIFS(Versuchsdaten!$F$2:$F$1117,Versuchsdaten!$A$2:$A$1117,$A618,Versuchsdaten!$B$2:$B$1117,$B618,Versuchsdaten!$C$2:$C$1117,"Sprint_30m",Versuchsdaten!$E$2:$E$1117,$E618,Versuchsdaten!$J$2:$J$1117,1),""))</f>
        <v/>
      </c>
      <c r="N618" s="22">
        <f>IF(LEFT(C618,7)&lt;&gt;"Sprint_",0,IF(IF(ISNUMBER(K618),IF(K618&lt;=0,1,IF(5/K618&gt;10,1,0)),0)+IF(ISNUMBER(L618),IF(ISNUMBER(K618),IF(L618-K618&lt;=0,1,IF(5/(L618-K618)&gt;10,1,0)),IF(L618&lt;=0,1,IF(10/L618&gt;10,1,0))),0)+IF(ISNUMBER(M618),IF(ISNUMBER(L618),IF(M618-L618&lt;=0,1,IF(20/(M618-L618)&gt;10,1,0)),IF(ISNUMBER(K618),IF(M618-K618&lt;=0,1,IF(25/(M618-K618)&gt;10,1,0)),IF(M618&lt;=0,1,IF(30/M618&gt;10,1,0)))),0)&gt;0,1,0))</f>
        <v/>
      </c>
      <c r="O618" s="22">
        <f>IF(AND(J618=1,N618=0),1,0)</f>
        <v/>
      </c>
      <c r="P618" s="22">
        <f>INDEX(Personendaten!$J$2:$J$32,MATCH(A618,Personendaten!$A$2:$A$32,0))</f>
        <v/>
      </c>
      <c r="Q618" s="22">
        <f>IF(O618=1,"",IF(AND(B618="post",P618="nicht angetreten"),"NANG",IF(N618=1,"AUSL",IFERROR(VLOOKUP(H618,Vokabular!$A$2:$B$8,2,FALSE),"UNBEKANNT"))))</f>
        <v/>
      </c>
    </row>
    <row r="619">
      <c r="A619" s="5" t="inlineStr">
        <is>
          <t>BW-05</t>
        </is>
      </c>
      <c r="B619" s="5" t="inlineStr">
        <is>
          <t>post</t>
        </is>
      </c>
      <c r="C619" s="5" t="inlineStr">
        <is>
          <t>Sprint_10m</t>
        </is>
      </c>
      <c r="D619" s="5" t="inlineStr">
        <is>
          <t>–</t>
        </is>
      </c>
      <c r="E619" s="5" t="n">
        <v>3</v>
      </c>
      <c r="F619" s="5" t="n"/>
      <c r="G619" s="5" t="n"/>
      <c r="H619" s="5" t="inlineStr">
        <is>
          <t>System falsch aufgenommen</t>
        </is>
      </c>
      <c r="I619" s="22">
        <f>INDEX(Personendaten!$C$2:$C$32,MATCH(A619,Personendaten!$A$2:$A$32,0))</f>
        <v/>
      </c>
      <c r="J619" s="22">
        <f>IF(AND(F619&lt;&gt;"",G619=""),1,0)</f>
        <v/>
      </c>
      <c r="K619" s="22">
        <f>IF(LEFT(C619,7)&lt;&gt;"Sprint_","",IF(COUNTIFS(Versuchsdaten!$A$2:$A$1117,$A619,Versuchsdaten!$B$2:$B$1117,$B619,Versuchsdaten!$C$2:$C$1117,"Sprint_5m",Versuchsdaten!$E$2:$E$1117,$E619,Versuchsdaten!$J$2:$J$1117,1)=1,SUMIFS(Versuchsdaten!$F$2:$F$1117,Versuchsdaten!$A$2:$A$1117,$A619,Versuchsdaten!$B$2:$B$1117,$B619,Versuchsdaten!$C$2:$C$1117,"Sprint_5m",Versuchsdaten!$E$2:$E$1117,$E619,Versuchsdaten!$J$2:$J$1117,1),""))</f>
        <v/>
      </c>
      <c r="L619" s="22">
        <f>IF(LEFT(C619,7)&lt;&gt;"Sprint_","",IF(COUNTIFS(Versuchsdaten!$A$2:$A$1117,$A619,Versuchsdaten!$B$2:$B$1117,$B619,Versuchsdaten!$C$2:$C$1117,"Sprint_10m",Versuchsdaten!$E$2:$E$1117,$E619,Versuchsdaten!$J$2:$J$1117,1)=1,SUMIFS(Versuchsdaten!$F$2:$F$1117,Versuchsdaten!$A$2:$A$1117,$A619,Versuchsdaten!$B$2:$B$1117,$B619,Versuchsdaten!$C$2:$C$1117,"Sprint_10m",Versuchsdaten!$E$2:$E$1117,$E619,Versuchsdaten!$J$2:$J$1117,1),""))</f>
        <v/>
      </c>
      <c r="M619" s="22">
        <f>IF(LEFT(C619,7)&lt;&gt;"Sprint_","",IF(COUNTIFS(Versuchsdaten!$A$2:$A$1117,$A619,Versuchsdaten!$B$2:$B$1117,$B619,Versuchsdaten!$C$2:$C$1117,"Sprint_30m",Versuchsdaten!$E$2:$E$1117,$E619,Versuchsdaten!$J$2:$J$1117,1)=1,SUMIFS(Versuchsdaten!$F$2:$F$1117,Versuchsdaten!$A$2:$A$1117,$A619,Versuchsdaten!$B$2:$B$1117,$B619,Versuchsdaten!$C$2:$C$1117,"Sprint_30m",Versuchsdaten!$E$2:$E$1117,$E619,Versuchsdaten!$J$2:$J$1117,1),""))</f>
        <v/>
      </c>
      <c r="N619" s="22">
        <f>IF(LEFT(C619,7)&lt;&gt;"Sprint_",0,IF(IF(ISNUMBER(K619),IF(K619&lt;=0,1,IF(5/K619&gt;10,1,0)),0)+IF(ISNUMBER(L619),IF(ISNUMBER(K619),IF(L619-K619&lt;=0,1,IF(5/(L619-K619)&gt;10,1,0)),IF(L619&lt;=0,1,IF(10/L619&gt;10,1,0))),0)+IF(ISNUMBER(M619),IF(ISNUMBER(L619),IF(M619-L619&lt;=0,1,IF(20/(M619-L619)&gt;10,1,0)),IF(ISNUMBER(K619),IF(M619-K619&lt;=0,1,IF(25/(M619-K619)&gt;10,1,0)),IF(M619&lt;=0,1,IF(30/M619&gt;10,1,0)))),0)&gt;0,1,0))</f>
        <v/>
      </c>
      <c r="O619" s="22">
        <f>IF(AND(J619=1,N619=0),1,0)</f>
        <v/>
      </c>
      <c r="P619" s="22">
        <f>INDEX(Personendaten!$J$2:$J$32,MATCH(A619,Personendaten!$A$2:$A$32,0))</f>
        <v/>
      </c>
      <c r="Q619" s="22">
        <f>IF(O619=1,"",IF(AND(B619="post",P619="nicht angetreten"),"NANG",IF(N619=1,"AUSL",IFERROR(VLOOKUP(H619,Vokabular!$A$2:$B$8,2,FALSE),"UNBEKANNT"))))</f>
        <v/>
      </c>
    </row>
    <row r="620">
      <c r="A620" s="5" t="inlineStr">
        <is>
          <t>BW-05</t>
        </is>
      </c>
      <c r="B620" s="5" t="inlineStr">
        <is>
          <t>post</t>
        </is>
      </c>
      <c r="C620" s="5" t="inlineStr">
        <is>
          <t>Sprint_30m</t>
        </is>
      </c>
      <c r="D620" s="5" t="inlineStr">
        <is>
          <t>–</t>
        </is>
      </c>
      <c r="E620" s="5" t="n">
        <v>1</v>
      </c>
      <c r="F620" s="5" t="n">
        <v>4.63</v>
      </c>
      <c r="G620" s="5" t="n"/>
      <c r="H620" s="5" t="n"/>
      <c r="I620" s="22">
        <f>INDEX(Personendaten!$C$2:$C$32,MATCH(A620,Personendaten!$A$2:$A$32,0))</f>
        <v/>
      </c>
      <c r="J620" s="22">
        <f>IF(AND(F620&lt;&gt;"",G620=""),1,0)</f>
        <v/>
      </c>
      <c r="K620" s="22">
        <f>IF(LEFT(C620,7)&lt;&gt;"Sprint_","",IF(COUNTIFS(Versuchsdaten!$A$2:$A$1117,$A620,Versuchsdaten!$B$2:$B$1117,$B620,Versuchsdaten!$C$2:$C$1117,"Sprint_5m",Versuchsdaten!$E$2:$E$1117,$E620,Versuchsdaten!$J$2:$J$1117,1)=1,SUMIFS(Versuchsdaten!$F$2:$F$1117,Versuchsdaten!$A$2:$A$1117,$A620,Versuchsdaten!$B$2:$B$1117,$B620,Versuchsdaten!$C$2:$C$1117,"Sprint_5m",Versuchsdaten!$E$2:$E$1117,$E620,Versuchsdaten!$J$2:$J$1117,1),""))</f>
        <v/>
      </c>
      <c r="L620" s="22">
        <f>IF(LEFT(C620,7)&lt;&gt;"Sprint_","",IF(COUNTIFS(Versuchsdaten!$A$2:$A$1117,$A620,Versuchsdaten!$B$2:$B$1117,$B620,Versuchsdaten!$C$2:$C$1117,"Sprint_10m",Versuchsdaten!$E$2:$E$1117,$E620,Versuchsdaten!$J$2:$J$1117,1)=1,SUMIFS(Versuchsdaten!$F$2:$F$1117,Versuchsdaten!$A$2:$A$1117,$A620,Versuchsdaten!$B$2:$B$1117,$B620,Versuchsdaten!$C$2:$C$1117,"Sprint_10m",Versuchsdaten!$E$2:$E$1117,$E620,Versuchsdaten!$J$2:$J$1117,1),""))</f>
        <v/>
      </c>
      <c r="M620" s="22">
        <f>IF(LEFT(C620,7)&lt;&gt;"Sprint_","",IF(COUNTIFS(Versuchsdaten!$A$2:$A$1117,$A620,Versuchsdaten!$B$2:$B$1117,$B620,Versuchsdaten!$C$2:$C$1117,"Sprint_30m",Versuchsdaten!$E$2:$E$1117,$E620,Versuchsdaten!$J$2:$J$1117,1)=1,SUMIFS(Versuchsdaten!$F$2:$F$1117,Versuchsdaten!$A$2:$A$1117,$A620,Versuchsdaten!$B$2:$B$1117,$B620,Versuchsdaten!$C$2:$C$1117,"Sprint_30m",Versuchsdaten!$E$2:$E$1117,$E620,Versuchsdaten!$J$2:$J$1117,1),""))</f>
        <v/>
      </c>
      <c r="N620" s="22">
        <f>IF(LEFT(C620,7)&lt;&gt;"Sprint_",0,IF(IF(ISNUMBER(K620),IF(K620&lt;=0,1,IF(5/K620&gt;10,1,0)),0)+IF(ISNUMBER(L620),IF(ISNUMBER(K620),IF(L620-K620&lt;=0,1,IF(5/(L620-K620)&gt;10,1,0)),IF(L620&lt;=0,1,IF(10/L620&gt;10,1,0))),0)+IF(ISNUMBER(M620),IF(ISNUMBER(L620),IF(M620-L620&lt;=0,1,IF(20/(M620-L620)&gt;10,1,0)),IF(ISNUMBER(K620),IF(M620-K620&lt;=0,1,IF(25/(M620-K620)&gt;10,1,0)),IF(M620&lt;=0,1,IF(30/M620&gt;10,1,0)))),0)&gt;0,1,0))</f>
        <v/>
      </c>
      <c r="O620" s="22">
        <f>IF(AND(J620=1,N620=0),1,0)</f>
        <v/>
      </c>
      <c r="P620" s="22">
        <f>INDEX(Personendaten!$J$2:$J$32,MATCH(A620,Personendaten!$A$2:$A$32,0))</f>
        <v/>
      </c>
      <c r="Q620" s="22">
        <f>IF(O620=1,"",IF(AND(B620="post",P620="nicht angetreten"),"NANG",IF(N620=1,"AUSL",IFERROR(VLOOKUP(H620,Vokabular!$A$2:$B$8,2,FALSE),"UNBEKANNT"))))</f>
        <v/>
      </c>
    </row>
    <row r="621">
      <c r="A621" s="5" t="inlineStr">
        <is>
          <t>BW-05</t>
        </is>
      </c>
      <c r="B621" s="5" t="inlineStr">
        <is>
          <t>post</t>
        </is>
      </c>
      <c r="C621" s="5" t="inlineStr">
        <is>
          <t>Sprint_30m</t>
        </is>
      </c>
      <c r="D621" s="5" t="inlineStr">
        <is>
          <t>–</t>
        </is>
      </c>
      <c r="E621" s="5" t="n">
        <v>2</v>
      </c>
      <c r="F621" s="5" t="n">
        <v>4.54</v>
      </c>
      <c r="G621" s="5" t="n"/>
      <c r="H621" s="5" t="n"/>
      <c r="I621" s="22">
        <f>INDEX(Personendaten!$C$2:$C$32,MATCH(A621,Personendaten!$A$2:$A$32,0))</f>
        <v/>
      </c>
      <c r="J621" s="22">
        <f>IF(AND(F621&lt;&gt;"",G621=""),1,0)</f>
        <v/>
      </c>
      <c r="K621" s="22">
        <f>IF(LEFT(C621,7)&lt;&gt;"Sprint_","",IF(COUNTIFS(Versuchsdaten!$A$2:$A$1117,$A621,Versuchsdaten!$B$2:$B$1117,$B621,Versuchsdaten!$C$2:$C$1117,"Sprint_5m",Versuchsdaten!$E$2:$E$1117,$E621,Versuchsdaten!$J$2:$J$1117,1)=1,SUMIFS(Versuchsdaten!$F$2:$F$1117,Versuchsdaten!$A$2:$A$1117,$A621,Versuchsdaten!$B$2:$B$1117,$B621,Versuchsdaten!$C$2:$C$1117,"Sprint_5m",Versuchsdaten!$E$2:$E$1117,$E621,Versuchsdaten!$J$2:$J$1117,1),""))</f>
        <v/>
      </c>
      <c r="L621" s="22">
        <f>IF(LEFT(C621,7)&lt;&gt;"Sprint_","",IF(COUNTIFS(Versuchsdaten!$A$2:$A$1117,$A621,Versuchsdaten!$B$2:$B$1117,$B621,Versuchsdaten!$C$2:$C$1117,"Sprint_10m",Versuchsdaten!$E$2:$E$1117,$E621,Versuchsdaten!$J$2:$J$1117,1)=1,SUMIFS(Versuchsdaten!$F$2:$F$1117,Versuchsdaten!$A$2:$A$1117,$A621,Versuchsdaten!$B$2:$B$1117,$B621,Versuchsdaten!$C$2:$C$1117,"Sprint_10m",Versuchsdaten!$E$2:$E$1117,$E621,Versuchsdaten!$J$2:$J$1117,1),""))</f>
        <v/>
      </c>
      <c r="M621" s="22">
        <f>IF(LEFT(C621,7)&lt;&gt;"Sprint_","",IF(COUNTIFS(Versuchsdaten!$A$2:$A$1117,$A621,Versuchsdaten!$B$2:$B$1117,$B621,Versuchsdaten!$C$2:$C$1117,"Sprint_30m",Versuchsdaten!$E$2:$E$1117,$E621,Versuchsdaten!$J$2:$J$1117,1)=1,SUMIFS(Versuchsdaten!$F$2:$F$1117,Versuchsdaten!$A$2:$A$1117,$A621,Versuchsdaten!$B$2:$B$1117,$B621,Versuchsdaten!$C$2:$C$1117,"Sprint_30m",Versuchsdaten!$E$2:$E$1117,$E621,Versuchsdaten!$J$2:$J$1117,1),""))</f>
        <v/>
      </c>
      <c r="N621" s="22">
        <f>IF(LEFT(C621,7)&lt;&gt;"Sprint_",0,IF(IF(ISNUMBER(K621),IF(K621&lt;=0,1,IF(5/K621&gt;10,1,0)),0)+IF(ISNUMBER(L621),IF(ISNUMBER(K621),IF(L621-K621&lt;=0,1,IF(5/(L621-K621)&gt;10,1,0)),IF(L621&lt;=0,1,IF(10/L621&gt;10,1,0))),0)+IF(ISNUMBER(M621),IF(ISNUMBER(L621),IF(M621-L621&lt;=0,1,IF(20/(M621-L621)&gt;10,1,0)),IF(ISNUMBER(K621),IF(M621-K621&lt;=0,1,IF(25/(M621-K621)&gt;10,1,0)),IF(M621&lt;=0,1,IF(30/M621&gt;10,1,0)))),0)&gt;0,1,0))</f>
        <v/>
      </c>
      <c r="O621" s="22">
        <f>IF(AND(J621=1,N621=0),1,0)</f>
        <v/>
      </c>
      <c r="P621" s="22">
        <f>INDEX(Personendaten!$J$2:$J$32,MATCH(A621,Personendaten!$A$2:$A$32,0))</f>
        <v/>
      </c>
      <c r="Q621" s="22">
        <f>IF(O621=1,"",IF(AND(B621="post",P621="nicht angetreten"),"NANG",IF(N621=1,"AUSL",IFERROR(VLOOKUP(H621,Vokabular!$A$2:$B$8,2,FALSE),"UNBEKANNT"))))</f>
        <v/>
      </c>
    </row>
    <row r="622">
      <c r="A622" s="5" t="inlineStr">
        <is>
          <t>BW-05</t>
        </is>
      </c>
      <c r="B622" s="5" t="inlineStr">
        <is>
          <t>post</t>
        </is>
      </c>
      <c r="C622" s="5" t="inlineStr">
        <is>
          <t>Sprint_30m</t>
        </is>
      </c>
      <c r="D622" s="5" t="inlineStr">
        <is>
          <t>–</t>
        </is>
      </c>
      <c r="E622" s="5" t="n">
        <v>3</v>
      </c>
      <c r="F622" s="5" t="n">
        <v>4.55</v>
      </c>
      <c r="G622" s="5" t="n"/>
      <c r="H622" s="5" t="n"/>
      <c r="I622" s="22">
        <f>INDEX(Personendaten!$C$2:$C$32,MATCH(A622,Personendaten!$A$2:$A$32,0))</f>
        <v/>
      </c>
      <c r="J622" s="22">
        <f>IF(AND(F622&lt;&gt;"",G622=""),1,0)</f>
        <v/>
      </c>
      <c r="K622" s="22">
        <f>IF(LEFT(C622,7)&lt;&gt;"Sprint_","",IF(COUNTIFS(Versuchsdaten!$A$2:$A$1117,$A622,Versuchsdaten!$B$2:$B$1117,$B622,Versuchsdaten!$C$2:$C$1117,"Sprint_5m",Versuchsdaten!$E$2:$E$1117,$E622,Versuchsdaten!$J$2:$J$1117,1)=1,SUMIFS(Versuchsdaten!$F$2:$F$1117,Versuchsdaten!$A$2:$A$1117,$A622,Versuchsdaten!$B$2:$B$1117,$B622,Versuchsdaten!$C$2:$C$1117,"Sprint_5m",Versuchsdaten!$E$2:$E$1117,$E622,Versuchsdaten!$J$2:$J$1117,1),""))</f>
        <v/>
      </c>
      <c r="L622" s="22">
        <f>IF(LEFT(C622,7)&lt;&gt;"Sprint_","",IF(COUNTIFS(Versuchsdaten!$A$2:$A$1117,$A622,Versuchsdaten!$B$2:$B$1117,$B622,Versuchsdaten!$C$2:$C$1117,"Sprint_10m",Versuchsdaten!$E$2:$E$1117,$E622,Versuchsdaten!$J$2:$J$1117,1)=1,SUMIFS(Versuchsdaten!$F$2:$F$1117,Versuchsdaten!$A$2:$A$1117,$A622,Versuchsdaten!$B$2:$B$1117,$B622,Versuchsdaten!$C$2:$C$1117,"Sprint_10m",Versuchsdaten!$E$2:$E$1117,$E622,Versuchsdaten!$J$2:$J$1117,1),""))</f>
        <v/>
      </c>
      <c r="M622" s="22">
        <f>IF(LEFT(C622,7)&lt;&gt;"Sprint_","",IF(COUNTIFS(Versuchsdaten!$A$2:$A$1117,$A622,Versuchsdaten!$B$2:$B$1117,$B622,Versuchsdaten!$C$2:$C$1117,"Sprint_30m",Versuchsdaten!$E$2:$E$1117,$E622,Versuchsdaten!$J$2:$J$1117,1)=1,SUMIFS(Versuchsdaten!$F$2:$F$1117,Versuchsdaten!$A$2:$A$1117,$A622,Versuchsdaten!$B$2:$B$1117,$B622,Versuchsdaten!$C$2:$C$1117,"Sprint_30m",Versuchsdaten!$E$2:$E$1117,$E622,Versuchsdaten!$J$2:$J$1117,1),""))</f>
        <v/>
      </c>
      <c r="N622" s="22">
        <f>IF(LEFT(C622,7)&lt;&gt;"Sprint_",0,IF(IF(ISNUMBER(K622),IF(K622&lt;=0,1,IF(5/K622&gt;10,1,0)),0)+IF(ISNUMBER(L622),IF(ISNUMBER(K622),IF(L622-K622&lt;=0,1,IF(5/(L622-K622)&gt;10,1,0)),IF(L622&lt;=0,1,IF(10/L622&gt;10,1,0))),0)+IF(ISNUMBER(M622),IF(ISNUMBER(L622),IF(M622-L622&lt;=0,1,IF(20/(M622-L622)&gt;10,1,0)),IF(ISNUMBER(K622),IF(M622-K622&lt;=0,1,IF(25/(M622-K622)&gt;10,1,0)),IF(M622&lt;=0,1,IF(30/M622&gt;10,1,0)))),0)&gt;0,1,0))</f>
        <v/>
      </c>
      <c r="O622" s="22">
        <f>IF(AND(J622=1,N622=0),1,0)</f>
        <v/>
      </c>
      <c r="P622" s="22">
        <f>INDEX(Personendaten!$J$2:$J$32,MATCH(A622,Personendaten!$A$2:$A$32,0))</f>
        <v/>
      </c>
      <c r="Q622" s="22">
        <f>IF(O622=1,"",IF(AND(B622="post",P622="nicht angetreten"),"NANG",IF(N622=1,"AUSL",IFERROR(VLOOKUP(H622,Vokabular!$A$2:$B$8,2,FALSE),"UNBEKANNT"))))</f>
        <v/>
      </c>
    </row>
    <row r="623">
      <c r="A623" s="5" t="inlineStr">
        <is>
          <t>BW-05</t>
        </is>
      </c>
      <c r="B623" s="5" t="inlineStr">
        <is>
          <t>post</t>
        </is>
      </c>
      <c r="C623" s="5" t="inlineStr">
        <is>
          <t>Standweitsprung</t>
        </is>
      </c>
      <c r="D623" s="5" t="inlineStr">
        <is>
          <t>–</t>
        </is>
      </c>
      <c r="E623" s="5" t="n">
        <v>1</v>
      </c>
      <c r="F623" s="5" t="n">
        <v>217</v>
      </c>
      <c r="G623" s="5" t="n"/>
      <c r="H623" s="5" t="n"/>
      <c r="I623" s="22">
        <f>INDEX(Personendaten!$C$2:$C$32,MATCH(A623,Personendaten!$A$2:$A$32,0))</f>
        <v/>
      </c>
      <c r="J623" s="22">
        <f>IF(AND(F623&lt;&gt;"",G623=""),1,0)</f>
        <v/>
      </c>
      <c r="K623" s="22">
        <f>IF(LEFT(C623,7)&lt;&gt;"Sprint_","",IF(COUNTIFS(Versuchsdaten!$A$2:$A$1117,$A623,Versuchsdaten!$B$2:$B$1117,$B623,Versuchsdaten!$C$2:$C$1117,"Sprint_5m",Versuchsdaten!$E$2:$E$1117,$E623,Versuchsdaten!$J$2:$J$1117,1)=1,SUMIFS(Versuchsdaten!$F$2:$F$1117,Versuchsdaten!$A$2:$A$1117,$A623,Versuchsdaten!$B$2:$B$1117,$B623,Versuchsdaten!$C$2:$C$1117,"Sprint_5m",Versuchsdaten!$E$2:$E$1117,$E623,Versuchsdaten!$J$2:$J$1117,1),""))</f>
        <v/>
      </c>
      <c r="L623" s="22">
        <f>IF(LEFT(C623,7)&lt;&gt;"Sprint_","",IF(COUNTIFS(Versuchsdaten!$A$2:$A$1117,$A623,Versuchsdaten!$B$2:$B$1117,$B623,Versuchsdaten!$C$2:$C$1117,"Sprint_10m",Versuchsdaten!$E$2:$E$1117,$E623,Versuchsdaten!$J$2:$J$1117,1)=1,SUMIFS(Versuchsdaten!$F$2:$F$1117,Versuchsdaten!$A$2:$A$1117,$A623,Versuchsdaten!$B$2:$B$1117,$B623,Versuchsdaten!$C$2:$C$1117,"Sprint_10m",Versuchsdaten!$E$2:$E$1117,$E623,Versuchsdaten!$J$2:$J$1117,1),""))</f>
        <v/>
      </c>
      <c r="M623" s="22">
        <f>IF(LEFT(C623,7)&lt;&gt;"Sprint_","",IF(COUNTIFS(Versuchsdaten!$A$2:$A$1117,$A623,Versuchsdaten!$B$2:$B$1117,$B623,Versuchsdaten!$C$2:$C$1117,"Sprint_30m",Versuchsdaten!$E$2:$E$1117,$E623,Versuchsdaten!$J$2:$J$1117,1)=1,SUMIFS(Versuchsdaten!$F$2:$F$1117,Versuchsdaten!$A$2:$A$1117,$A623,Versuchsdaten!$B$2:$B$1117,$B623,Versuchsdaten!$C$2:$C$1117,"Sprint_30m",Versuchsdaten!$E$2:$E$1117,$E623,Versuchsdaten!$J$2:$J$1117,1),""))</f>
        <v/>
      </c>
      <c r="N623" s="22">
        <f>IF(LEFT(C623,7)&lt;&gt;"Sprint_",0,IF(IF(ISNUMBER(K623),IF(K623&lt;=0,1,IF(5/K623&gt;10,1,0)),0)+IF(ISNUMBER(L623),IF(ISNUMBER(K623),IF(L623-K623&lt;=0,1,IF(5/(L623-K623)&gt;10,1,0)),IF(L623&lt;=0,1,IF(10/L623&gt;10,1,0))),0)+IF(ISNUMBER(M623),IF(ISNUMBER(L623),IF(M623-L623&lt;=0,1,IF(20/(M623-L623)&gt;10,1,0)),IF(ISNUMBER(K623),IF(M623-K623&lt;=0,1,IF(25/(M623-K623)&gt;10,1,0)),IF(M623&lt;=0,1,IF(30/M623&gt;10,1,0)))),0)&gt;0,1,0))</f>
        <v/>
      </c>
      <c r="O623" s="22">
        <f>IF(AND(J623=1,N623=0),1,0)</f>
        <v/>
      </c>
      <c r="P623" s="22">
        <f>INDEX(Personendaten!$J$2:$J$32,MATCH(A623,Personendaten!$A$2:$A$32,0))</f>
        <v/>
      </c>
      <c r="Q623" s="22">
        <f>IF(O623=1,"",IF(AND(B623="post",P623="nicht angetreten"),"NANG",IF(N623=1,"AUSL",IFERROR(VLOOKUP(H623,Vokabular!$A$2:$B$8,2,FALSE),"UNBEKANNT"))))</f>
        <v/>
      </c>
    </row>
    <row r="624">
      <c r="A624" s="5" t="inlineStr">
        <is>
          <t>BW-05</t>
        </is>
      </c>
      <c r="B624" s="5" t="inlineStr">
        <is>
          <t>post</t>
        </is>
      </c>
      <c r="C624" s="5" t="inlineStr">
        <is>
          <t>Standweitsprung</t>
        </is>
      </c>
      <c r="D624" s="5" t="inlineStr">
        <is>
          <t>–</t>
        </is>
      </c>
      <c r="E624" s="5" t="n">
        <v>2</v>
      </c>
      <c r="F624" s="5" t="n">
        <v>237</v>
      </c>
      <c r="G624" s="5" t="n"/>
      <c r="H624" s="5" t="n"/>
      <c r="I624" s="22">
        <f>INDEX(Personendaten!$C$2:$C$32,MATCH(A624,Personendaten!$A$2:$A$32,0))</f>
        <v/>
      </c>
      <c r="J624" s="22">
        <f>IF(AND(F624&lt;&gt;"",G624=""),1,0)</f>
        <v/>
      </c>
      <c r="K624" s="22">
        <f>IF(LEFT(C624,7)&lt;&gt;"Sprint_","",IF(COUNTIFS(Versuchsdaten!$A$2:$A$1117,$A624,Versuchsdaten!$B$2:$B$1117,$B624,Versuchsdaten!$C$2:$C$1117,"Sprint_5m",Versuchsdaten!$E$2:$E$1117,$E624,Versuchsdaten!$J$2:$J$1117,1)=1,SUMIFS(Versuchsdaten!$F$2:$F$1117,Versuchsdaten!$A$2:$A$1117,$A624,Versuchsdaten!$B$2:$B$1117,$B624,Versuchsdaten!$C$2:$C$1117,"Sprint_5m",Versuchsdaten!$E$2:$E$1117,$E624,Versuchsdaten!$J$2:$J$1117,1),""))</f>
        <v/>
      </c>
      <c r="L624" s="22">
        <f>IF(LEFT(C624,7)&lt;&gt;"Sprint_","",IF(COUNTIFS(Versuchsdaten!$A$2:$A$1117,$A624,Versuchsdaten!$B$2:$B$1117,$B624,Versuchsdaten!$C$2:$C$1117,"Sprint_10m",Versuchsdaten!$E$2:$E$1117,$E624,Versuchsdaten!$J$2:$J$1117,1)=1,SUMIFS(Versuchsdaten!$F$2:$F$1117,Versuchsdaten!$A$2:$A$1117,$A624,Versuchsdaten!$B$2:$B$1117,$B624,Versuchsdaten!$C$2:$C$1117,"Sprint_10m",Versuchsdaten!$E$2:$E$1117,$E624,Versuchsdaten!$J$2:$J$1117,1),""))</f>
        <v/>
      </c>
      <c r="M624" s="22">
        <f>IF(LEFT(C624,7)&lt;&gt;"Sprint_","",IF(COUNTIFS(Versuchsdaten!$A$2:$A$1117,$A624,Versuchsdaten!$B$2:$B$1117,$B624,Versuchsdaten!$C$2:$C$1117,"Sprint_30m",Versuchsdaten!$E$2:$E$1117,$E624,Versuchsdaten!$J$2:$J$1117,1)=1,SUMIFS(Versuchsdaten!$F$2:$F$1117,Versuchsdaten!$A$2:$A$1117,$A624,Versuchsdaten!$B$2:$B$1117,$B624,Versuchsdaten!$C$2:$C$1117,"Sprint_30m",Versuchsdaten!$E$2:$E$1117,$E624,Versuchsdaten!$J$2:$J$1117,1),""))</f>
        <v/>
      </c>
      <c r="N624" s="22">
        <f>IF(LEFT(C624,7)&lt;&gt;"Sprint_",0,IF(IF(ISNUMBER(K624),IF(K624&lt;=0,1,IF(5/K624&gt;10,1,0)),0)+IF(ISNUMBER(L624),IF(ISNUMBER(K624),IF(L624-K624&lt;=0,1,IF(5/(L624-K624)&gt;10,1,0)),IF(L624&lt;=0,1,IF(10/L624&gt;10,1,0))),0)+IF(ISNUMBER(M624),IF(ISNUMBER(L624),IF(M624-L624&lt;=0,1,IF(20/(M624-L624)&gt;10,1,0)),IF(ISNUMBER(K624),IF(M624-K624&lt;=0,1,IF(25/(M624-K624)&gt;10,1,0)),IF(M624&lt;=0,1,IF(30/M624&gt;10,1,0)))),0)&gt;0,1,0))</f>
        <v/>
      </c>
      <c r="O624" s="22">
        <f>IF(AND(J624=1,N624=0),1,0)</f>
        <v/>
      </c>
      <c r="P624" s="22">
        <f>INDEX(Personendaten!$J$2:$J$32,MATCH(A624,Personendaten!$A$2:$A$32,0))</f>
        <v/>
      </c>
      <c r="Q624" s="22">
        <f>IF(O624=1,"",IF(AND(B624="post",P624="nicht angetreten"),"NANG",IF(N624=1,"AUSL",IFERROR(VLOOKUP(H624,Vokabular!$A$2:$B$8,2,FALSE),"UNBEKANNT"))))</f>
        <v/>
      </c>
    </row>
    <row r="625">
      <c r="A625" s="5" t="inlineStr">
        <is>
          <t>BW-05</t>
        </is>
      </c>
      <c r="B625" s="5" t="inlineStr">
        <is>
          <t>post</t>
        </is>
      </c>
      <c r="C625" s="5" t="inlineStr">
        <is>
          <t>Standweitsprung</t>
        </is>
      </c>
      <c r="D625" s="5" t="inlineStr">
        <is>
          <t>–</t>
        </is>
      </c>
      <c r="E625" s="5" t="n">
        <v>3</v>
      </c>
      <c r="F625" s="5" t="n">
        <v>229</v>
      </c>
      <c r="G625" s="5" t="n"/>
      <c r="H625" s="5" t="n"/>
      <c r="I625" s="22">
        <f>INDEX(Personendaten!$C$2:$C$32,MATCH(A625,Personendaten!$A$2:$A$32,0))</f>
        <v/>
      </c>
      <c r="J625" s="22">
        <f>IF(AND(F625&lt;&gt;"",G625=""),1,0)</f>
        <v/>
      </c>
      <c r="K625" s="22">
        <f>IF(LEFT(C625,7)&lt;&gt;"Sprint_","",IF(COUNTIFS(Versuchsdaten!$A$2:$A$1117,$A625,Versuchsdaten!$B$2:$B$1117,$B625,Versuchsdaten!$C$2:$C$1117,"Sprint_5m",Versuchsdaten!$E$2:$E$1117,$E625,Versuchsdaten!$J$2:$J$1117,1)=1,SUMIFS(Versuchsdaten!$F$2:$F$1117,Versuchsdaten!$A$2:$A$1117,$A625,Versuchsdaten!$B$2:$B$1117,$B625,Versuchsdaten!$C$2:$C$1117,"Sprint_5m",Versuchsdaten!$E$2:$E$1117,$E625,Versuchsdaten!$J$2:$J$1117,1),""))</f>
        <v/>
      </c>
      <c r="L625" s="22">
        <f>IF(LEFT(C625,7)&lt;&gt;"Sprint_","",IF(COUNTIFS(Versuchsdaten!$A$2:$A$1117,$A625,Versuchsdaten!$B$2:$B$1117,$B625,Versuchsdaten!$C$2:$C$1117,"Sprint_10m",Versuchsdaten!$E$2:$E$1117,$E625,Versuchsdaten!$J$2:$J$1117,1)=1,SUMIFS(Versuchsdaten!$F$2:$F$1117,Versuchsdaten!$A$2:$A$1117,$A625,Versuchsdaten!$B$2:$B$1117,$B625,Versuchsdaten!$C$2:$C$1117,"Sprint_10m",Versuchsdaten!$E$2:$E$1117,$E625,Versuchsdaten!$J$2:$J$1117,1),""))</f>
        <v/>
      </c>
      <c r="M625" s="22">
        <f>IF(LEFT(C625,7)&lt;&gt;"Sprint_","",IF(COUNTIFS(Versuchsdaten!$A$2:$A$1117,$A625,Versuchsdaten!$B$2:$B$1117,$B625,Versuchsdaten!$C$2:$C$1117,"Sprint_30m",Versuchsdaten!$E$2:$E$1117,$E625,Versuchsdaten!$J$2:$J$1117,1)=1,SUMIFS(Versuchsdaten!$F$2:$F$1117,Versuchsdaten!$A$2:$A$1117,$A625,Versuchsdaten!$B$2:$B$1117,$B625,Versuchsdaten!$C$2:$C$1117,"Sprint_30m",Versuchsdaten!$E$2:$E$1117,$E625,Versuchsdaten!$J$2:$J$1117,1),""))</f>
        <v/>
      </c>
      <c r="N625" s="22">
        <f>IF(LEFT(C625,7)&lt;&gt;"Sprint_",0,IF(IF(ISNUMBER(K625),IF(K625&lt;=0,1,IF(5/K625&gt;10,1,0)),0)+IF(ISNUMBER(L625),IF(ISNUMBER(K625),IF(L625-K625&lt;=0,1,IF(5/(L625-K625)&gt;10,1,0)),IF(L625&lt;=0,1,IF(10/L625&gt;10,1,0))),0)+IF(ISNUMBER(M625),IF(ISNUMBER(L625),IF(M625-L625&lt;=0,1,IF(20/(M625-L625)&gt;10,1,0)),IF(ISNUMBER(K625),IF(M625-K625&lt;=0,1,IF(25/(M625-K625)&gt;10,1,0)),IF(M625&lt;=0,1,IF(30/M625&gt;10,1,0)))),0)&gt;0,1,0))</f>
        <v/>
      </c>
      <c r="O625" s="22">
        <f>IF(AND(J625=1,N625=0),1,0)</f>
        <v/>
      </c>
      <c r="P625" s="22">
        <f>INDEX(Personendaten!$J$2:$J$32,MATCH(A625,Personendaten!$A$2:$A$32,0))</f>
        <v/>
      </c>
      <c r="Q625" s="22">
        <f>IF(O625=1,"",IF(AND(B625="post",P625="nicht angetreten"),"NANG",IF(N625=1,"AUSL",IFERROR(VLOOKUP(H625,Vokabular!$A$2:$B$8,2,FALSE),"UNBEKANNT"))))</f>
        <v/>
      </c>
    </row>
    <row r="626">
      <c r="A626" s="5" t="inlineStr">
        <is>
          <t>BW-05</t>
        </is>
      </c>
      <c r="B626" s="5" t="inlineStr">
        <is>
          <t>post</t>
        </is>
      </c>
      <c r="C626" s="5" t="inlineStr">
        <is>
          <t>COD_505</t>
        </is>
      </c>
      <c r="D626" s="5" t="inlineStr">
        <is>
          <t>L</t>
        </is>
      </c>
      <c r="E626" s="5" t="n">
        <v>1</v>
      </c>
      <c r="F626" s="5" t="n">
        <v>2.5</v>
      </c>
      <c r="G626" s="5" t="n"/>
      <c r="H626" s="5" t="n"/>
      <c r="I626" s="22">
        <f>INDEX(Personendaten!$C$2:$C$32,MATCH(A626,Personendaten!$A$2:$A$32,0))</f>
        <v/>
      </c>
      <c r="J626" s="22">
        <f>IF(AND(F626&lt;&gt;"",G626=""),1,0)</f>
        <v/>
      </c>
      <c r="K626" s="22">
        <f>IF(LEFT(C626,7)&lt;&gt;"Sprint_","",IF(COUNTIFS(Versuchsdaten!$A$2:$A$1117,$A626,Versuchsdaten!$B$2:$B$1117,$B626,Versuchsdaten!$C$2:$C$1117,"Sprint_5m",Versuchsdaten!$E$2:$E$1117,$E626,Versuchsdaten!$J$2:$J$1117,1)=1,SUMIFS(Versuchsdaten!$F$2:$F$1117,Versuchsdaten!$A$2:$A$1117,$A626,Versuchsdaten!$B$2:$B$1117,$B626,Versuchsdaten!$C$2:$C$1117,"Sprint_5m",Versuchsdaten!$E$2:$E$1117,$E626,Versuchsdaten!$J$2:$J$1117,1),""))</f>
        <v/>
      </c>
      <c r="L626" s="22">
        <f>IF(LEFT(C626,7)&lt;&gt;"Sprint_","",IF(COUNTIFS(Versuchsdaten!$A$2:$A$1117,$A626,Versuchsdaten!$B$2:$B$1117,$B626,Versuchsdaten!$C$2:$C$1117,"Sprint_10m",Versuchsdaten!$E$2:$E$1117,$E626,Versuchsdaten!$J$2:$J$1117,1)=1,SUMIFS(Versuchsdaten!$F$2:$F$1117,Versuchsdaten!$A$2:$A$1117,$A626,Versuchsdaten!$B$2:$B$1117,$B626,Versuchsdaten!$C$2:$C$1117,"Sprint_10m",Versuchsdaten!$E$2:$E$1117,$E626,Versuchsdaten!$J$2:$J$1117,1),""))</f>
        <v/>
      </c>
      <c r="M626" s="22">
        <f>IF(LEFT(C626,7)&lt;&gt;"Sprint_","",IF(COUNTIFS(Versuchsdaten!$A$2:$A$1117,$A626,Versuchsdaten!$B$2:$B$1117,$B626,Versuchsdaten!$C$2:$C$1117,"Sprint_30m",Versuchsdaten!$E$2:$E$1117,$E626,Versuchsdaten!$J$2:$J$1117,1)=1,SUMIFS(Versuchsdaten!$F$2:$F$1117,Versuchsdaten!$A$2:$A$1117,$A626,Versuchsdaten!$B$2:$B$1117,$B626,Versuchsdaten!$C$2:$C$1117,"Sprint_30m",Versuchsdaten!$E$2:$E$1117,$E626,Versuchsdaten!$J$2:$J$1117,1),""))</f>
        <v/>
      </c>
      <c r="N626" s="22">
        <f>IF(LEFT(C626,7)&lt;&gt;"Sprint_",0,IF(IF(ISNUMBER(K626),IF(K626&lt;=0,1,IF(5/K626&gt;10,1,0)),0)+IF(ISNUMBER(L626),IF(ISNUMBER(K626),IF(L626-K626&lt;=0,1,IF(5/(L626-K626)&gt;10,1,0)),IF(L626&lt;=0,1,IF(10/L626&gt;10,1,0))),0)+IF(ISNUMBER(M626),IF(ISNUMBER(L626),IF(M626-L626&lt;=0,1,IF(20/(M626-L626)&gt;10,1,0)),IF(ISNUMBER(K626),IF(M626-K626&lt;=0,1,IF(25/(M626-K626)&gt;10,1,0)),IF(M626&lt;=0,1,IF(30/M626&gt;10,1,0)))),0)&gt;0,1,0))</f>
        <v/>
      </c>
      <c r="O626" s="22">
        <f>IF(AND(J626=1,N626=0),1,0)</f>
        <v/>
      </c>
      <c r="P626" s="22">
        <f>INDEX(Personendaten!$J$2:$J$32,MATCH(A626,Personendaten!$A$2:$A$32,0))</f>
        <v/>
      </c>
      <c r="Q626" s="22">
        <f>IF(O626=1,"",IF(AND(B626="post",P626="nicht angetreten"),"NANG",IF(N626=1,"AUSL",IFERROR(VLOOKUP(H626,Vokabular!$A$2:$B$8,2,FALSE),"UNBEKANNT"))))</f>
        <v/>
      </c>
    </row>
    <row r="627">
      <c r="A627" s="5" t="inlineStr">
        <is>
          <t>BW-05</t>
        </is>
      </c>
      <c r="B627" s="5" t="inlineStr">
        <is>
          <t>post</t>
        </is>
      </c>
      <c r="C627" s="5" t="inlineStr">
        <is>
          <t>COD_505</t>
        </is>
      </c>
      <c r="D627" s="5" t="inlineStr">
        <is>
          <t>L</t>
        </is>
      </c>
      <c r="E627" s="5" t="n">
        <v>2</v>
      </c>
      <c r="F627" s="5" t="n"/>
      <c r="G627" s="5" t="inlineStr">
        <is>
          <t>x</t>
        </is>
      </c>
      <c r="H627" s="5" t="inlineStr">
        <is>
          <t>Fehlversuch</t>
        </is>
      </c>
      <c r="I627" s="22">
        <f>INDEX(Personendaten!$C$2:$C$32,MATCH(A627,Personendaten!$A$2:$A$32,0))</f>
        <v/>
      </c>
      <c r="J627" s="22">
        <f>IF(AND(F627&lt;&gt;"",G627=""),1,0)</f>
        <v/>
      </c>
      <c r="K627" s="22">
        <f>IF(LEFT(C627,7)&lt;&gt;"Sprint_","",IF(COUNTIFS(Versuchsdaten!$A$2:$A$1117,$A627,Versuchsdaten!$B$2:$B$1117,$B627,Versuchsdaten!$C$2:$C$1117,"Sprint_5m",Versuchsdaten!$E$2:$E$1117,$E627,Versuchsdaten!$J$2:$J$1117,1)=1,SUMIFS(Versuchsdaten!$F$2:$F$1117,Versuchsdaten!$A$2:$A$1117,$A627,Versuchsdaten!$B$2:$B$1117,$B627,Versuchsdaten!$C$2:$C$1117,"Sprint_5m",Versuchsdaten!$E$2:$E$1117,$E627,Versuchsdaten!$J$2:$J$1117,1),""))</f>
        <v/>
      </c>
      <c r="L627" s="22">
        <f>IF(LEFT(C627,7)&lt;&gt;"Sprint_","",IF(COUNTIFS(Versuchsdaten!$A$2:$A$1117,$A627,Versuchsdaten!$B$2:$B$1117,$B627,Versuchsdaten!$C$2:$C$1117,"Sprint_10m",Versuchsdaten!$E$2:$E$1117,$E627,Versuchsdaten!$J$2:$J$1117,1)=1,SUMIFS(Versuchsdaten!$F$2:$F$1117,Versuchsdaten!$A$2:$A$1117,$A627,Versuchsdaten!$B$2:$B$1117,$B627,Versuchsdaten!$C$2:$C$1117,"Sprint_10m",Versuchsdaten!$E$2:$E$1117,$E627,Versuchsdaten!$J$2:$J$1117,1),""))</f>
        <v/>
      </c>
      <c r="M627" s="22">
        <f>IF(LEFT(C627,7)&lt;&gt;"Sprint_","",IF(COUNTIFS(Versuchsdaten!$A$2:$A$1117,$A627,Versuchsdaten!$B$2:$B$1117,$B627,Versuchsdaten!$C$2:$C$1117,"Sprint_30m",Versuchsdaten!$E$2:$E$1117,$E627,Versuchsdaten!$J$2:$J$1117,1)=1,SUMIFS(Versuchsdaten!$F$2:$F$1117,Versuchsdaten!$A$2:$A$1117,$A627,Versuchsdaten!$B$2:$B$1117,$B627,Versuchsdaten!$C$2:$C$1117,"Sprint_30m",Versuchsdaten!$E$2:$E$1117,$E627,Versuchsdaten!$J$2:$J$1117,1),""))</f>
        <v/>
      </c>
      <c r="N627" s="22">
        <f>IF(LEFT(C627,7)&lt;&gt;"Sprint_",0,IF(IF(ISNUMBER(K627),IF(K627&lt;=0,1,IF(5/K627&gt;10,1,0)),0)+IF(ISNUMBER(L627),IF(ISNUMBER(K627),IF(L627-K627&lt;=0,1,IF(5/(L627-K627)&gt;10,1,0)),IF(L627&lt;=0,1,IF(10/L627&gt;10,1,0))),0)+IF(ISNUMBER(M627),IF(ISNUMBER(L627),IF(M627-L627&lt;=0,1,IF(20/(M627-L627)&gt;10,1,0)),IF(ISNUMBER(K627),IF(M627-K627&lt;=0,1,IF(25/(M627-K627)&gt;10,1,0)),IF(M627&lt;=0,1,IF(30/M627&gt;10,1,0)))),0)&gt;0,1,0))</f>
        <v/>
      </c>
      <c r="O627" s="22">
        <f>IF(AND(J627=1,N627=0),1,0)</f>
        <v/>
      </c>
      <c r="P627" s="22">
        <f>INDEX(Personendaten!$J$2:$J$32,MATCH(A627,Personendaten!$A$2:$A$32,0))</f>
        <v/>
      </c>
      <c r="Q627" s="22">
        <f>IF(O627=1,"",IF(AND(B627="post",P627="nicht angetreten"),"NANG",IF(N627=1,"AUSL",IFERROR(VLOOKUP(H627,Vokabular!$A$2:$B$8,2,FALSE),"UNBEKANNT"))))</f>
        <v/>
      </c>
    </row>
    <row r="628">
      <c r="A628" s="5" t="inlineStr">
        <is>
          <t>BW-05</t>
        </is>
      </c>
      <c r="B628" s="5" t="inlineStr">
        <is>
          <t>post</t>
        </is>
      </c>
      <c r="C628" s="5" t="inlineStr">
        <is>
          <t>COD_505</t>
        </is>
      </c>
      <c r="D628" s="5" t="inlineStr">
        <is>
          <t>L</t>
        </is>
      </c>
      <c r="E628" s="5" t="n">
        <v>3</v>
      </c>
      <c r="F628" s="5" t="n"/>
      <c r="G628" s="5" t="n"/>
      <c r="H628" s="5" t="inlineStr">
        <is>
          <t>Nur 2 Versuche aus Zeitmangel</t>
        </is>
      </c>
      <c r="I628" s="22">
        <f>INDEX(Personendaten!$C$2:$C$32,MATCH(A628,Personendaten!$A$2:$A$32,0))</f>
        <v/>
      </c>
      <c r="J628" s="22">
        <f>IF(AND(F628&lt;&gt;"",G628=""),1,0)</f>
        <v/>
      </c>
      <c r="K628" s="22">
        <f>IF(LEFT(C628,7)&lt;&gt;"Sprint_","",IF(COUNTIFS(Versuchsdaten!$A$2:$A$1117,$A628,Versuchsdaten!$B$2:$B$1117,$B628,Versuchsdaten!$C$2:$C$1117,"Sprint_5m",Versuchsdaten!$E$2:$E$1117,$E628,Versuchsdaten!$J$2:$J$1117,1)=1,SUMIFS(Versuchsdaten!$F$2:$F$1117,Versuchsdaten!$A$2:$A$1117,$A628,Versuchsdaten!$B$2:$B$1117,$B628,Versuchsdaten!$C$2:$C$1117,"Sprint_5m",Versuchsdaten!$E$2:$E$1117,$E628,Versuchsdaten!$J$2:$J$1117,1),""))</f>
        <v/>
      </c>
      <c r="L628" s="22">
        <f>IF(LEFT(C628,7)&lt;&gt;"Sprint_","",IF(COUNTIFS(Versuchsdaten!$A$2:$A$1117,$A628,Versuchsdaten!$B$2:$B$1117,$B628,Versuchsdaten!$C$2:$C$1117,"Sprint_10m",Versuchsdaten!$E$2:$E$1117,$E628,Versuchsdaten!$J$2:$J$1117,1)=1,SUMIFS(Versuchsdaten!$F$2:$F$1117,Versuchsdaten!$A$2:$A$1117,$A628,Versuchsdaten!$B$2:$B$1117,$B628,Versuchsdaten!$C$2:$C$1117,"Sprint_10m",Versuchsdaten!$E$2:$E$1117,$E628,Versuchsdaten!$J$2:$J$1117,1),""))</f>
        <v/>
      </c>
      <c r="M628" s="22">
        <f>IF(LEFT(C628,7)&lt;&gt;"Sprint_","",IF(COUNTIFS(Versuchsdaten!$A$2:$A$1117,$A628,Versuchsdaten!$B$2:$B$1117,$B628,Versuchsdaten!$C$2:$C$1117,"Sprint_30m",Versuchsdaten!$E$2:$E$1117,$E628,Versuchsdaten!$J$2:$J$1117,1)=1,SUMIFS(Versuchsdaten!$F$2:$F$1117,Versuchsdaten!$A$2:$A$1117,$A628,Versuchsdaten!$B$2:$B$1117,$B628,Versuchsdaten!$C$2:$C$1117,"Sprint_30m",Versuchsdaten!$E$2:$E$1117,$E628,Versuchsdaten!$J$2:$J$1117,1),""))</f>
        <v/>
      </c>
      <c r="N628" s="22">
        <f>IF(LEFT(C628,7)&lt;&gt;"Sprint_",0,IF(IF(ISNUMBER(K628),IF(K628&lt;=0,1,IF(5/K628&gt;10,1,0)),0)+IF(ISNUMBER(L628),IF(ISNUMBER(K628),IF(L628-K628&lt;=0,1,IF(5/(L628-K628)&gt;10,1,0)),IF(L628&lt;=0,1,IF(10/L628&gt;10,1,0))),0)+IF(ISNUMBER(M628),IF(ISNUMBER(L628),IF(M628-L628&lt;=0,1,IF(20/(M628-L628)&gt;10,1,0)),IF(ISNUMBER(K628),IF(M628-K628&lt;=0,1,IF(25/(M628-K628)&gt;10,1,0)),IF(M628&lt;=0,1,IF(30/M628&gt;10,1,0)))),0)&gt;0,1,0))</f>
        <v/>
      </c>
      <c r="O628" s="22">
        <f>IF(AND(J628=1,N628=0),1,0)</f>
        <v/>
      </c>
      <c r="P628" s="22">
        <f>INDEX(Personendaten!$J$2:$J$32,MATCH(A628,Personendaten!$A$2:$A$32,0))</f>
        <v/>
      </c>
      <c r="Q628" s="22">
        <f>IF(O628=1,"",IF(AND(B628="post",P628="nicht angetreten"),"NANG",IF(N628=1,"AUSL",IFERROR(VLOOKUP(H628,Vokabular!$A$2:$B$8,2,FALSE),"UNBEKANNT"))))</f>
        <v/>
      </c>
    </row>
    <row r="629">
      <c r="A629" s="5" t="inlineStr">
        <is>
          <t>BW-05</t>
        </is>
      </c>
      <c r="B629" s="5" t="inlineStr">
        <is>
          <t>post</t>
        </is>
      </c>
      <c r="C629" s="5" t="inlineStr">
        <is>
          <t>COD_505</t>
        </is>
      </c>
      <c r="D629" s="5" t="inlineStr">
        <is>
          <t>R</t>
        </is>
      </c>
      <c r="E629" s="5" t="n">
        <v>1</v>
      </c>
      <c r="F629" s="5" t="n">
        <v>2.41</v>
      </c>
      <c r="G629" s="5" t="inlineStr">
        <is>
          <t>x</t>
        </is>
      </c>
      <c r="H629" s="5" t="inlineStr">
        <is>
          <t>Fehlversuch</t>
        </is>
      </c>
      <c r="I629" s="22">
        <f>INDEX(Personendaten!$C$2:$C$32,MATCH(A629,Personendaten!$A$2:$A$32,0))</f>
        <v/>
      </c>
      <c r="J629" s="22">
        <f>IF(AND(F629&lt;&gt;"",G629=""),1,0)</f>
        <v/>
      </c>
      <c r="K629" s="22">
        <f>IF(LEFT(C629,7)&lt;&gt;"Sprint_","",IF(COUNTIFS(Versuchsdaten!$A$2:$A$1117,$A629,Versuchsdaten!$B$2:$B$1117,$B629,Versuchsdaten!$C$2:$C$1117,"Sprint_5m",Versuchsdaten!$E$2:$E$1117,$E629,Versuchsdaten!$J$2:$J$1117,1)=1,SUMIFS(Versuchsdaten!$F$2:$F$1117,Versuchsdaten!$A$2:$A$1117,$A629,Versuchsdaten!$B$2:$B$1117,$B629,Versuchsdaten!$C$2:$C$1117,"Sprint_5m",Versuchsdaten!$E$2:$E$1117,$E629,Versuchsdaten!$J$2:$J$1117,1),""))</f>
        <v/>
      </c>
      <c r="L629" s="22">
        <f>IF(LEFT(C629,7)&lt;&gt;"Sprint_","",IF(COUNTIFS(Versuchsdaten!$A$2:$A$1117,$A629,Versuchsdaten!$B$2:$B$1117,$B629,Versuchsdaten!$C$2:$C$1117,"Sprint_10m",Versuchsdaten!$E$2:$E$1117,$E629,Versuchsdaten!$J$2:$J$1117,1)=1,SUMIFS(Versuchsdaten!$F$2:$F$1117,Versuchsdaten!$A$2:$A$1117,$A629,Versuchsdaten!$B$2:$B$1117,$B629,Versuchsdaten!$C$2:$C$1117,"Sprint_10m",Versuchsdaten!$E$2:$E$1117,$E629,Versuchsdaten!$J$2:$J$1117,1),""))</f>
        <v/>
      </c>
      <c r="M629" s="22">
        <f>IF(LEFT(C629,7)&lt;&gt;"Sprint_","",IF(COUNTIFS(Versuchsdaten!$A$2:$A$1117,$A629,Versuchsdaten!$B$2:$B$1117,$B629,Versuchsdaten!$C$2:$C$1117,"Sprint_30m",Versuchsdaten!$E$2:$E$1117,$E629,Versuchsdaten!$J$2:$J$1117,1)=1,SUMIFS(Versuchsdaten!$F$2:$F$1117,Versuchsdaten!$A$2:$A$1117,$A629,Versuchsdaten!$B$2:$B$1117,$B629,Versuchsdaten!$C$2:$C$1117,"Sprint_30m",Versuchsdaten!$E$2:$E$1117,$E629,Versuchsdaten!$J$2:$J$1117,1),""))</f>
        <v/>
      </c>
      <c r="N629" s="22">
        <f>IF(LEFT(C629,7)&lt;&gt;"Sprint_",0,IF(IF(ISNUMBER(K629),IF(K629&lt;=0,1,IF(5/K629&gt;10,1,0)),0)+IF(ISNUMBER(L629),IF(ISNUMBER(K629),IF(L629-K629&lt;=0,1,IF(5/(L629-K629)&gt;10,1,0)),IF(L629&lt;=0,1,IF(10/L629&gt;10,1,0))),0)+IF(ISNUMBER(M629),IF(ISNUMBER(L629),IF(M629-L629&lt;=0,1,IF(20/(M629-L629)&gt;10,1,0)),IF(ISNUMBER(K629),IF(M629-K629&lt;=0,1,IF(25/(M629-K629)&gt;10,1,0)),IF(M629&lt;=0,1,IF(30/M629&gt;10,1,0)))),0)&gt;0,1,0))</f>
        <v/>
      </c>
      <c r="O629" s="22">
        <f>IF(AND(J629=1,N629=0),1,0)</f>
        <v/>
      </c>
      <c r="P629" s="22">
        <f>INDEX(Personendaten!$J$2:$J$32,MATCH(A629,Personendaten!$A$2:$A$32,0))</f>
        <v/>
      </c>
      <c r="Q629" s="22">
        <f>IF(O629=1,"",IF(AND(B629="post",P629="nicht angetreten"),"NANG",IF(N629=1,"AUSL",IFERROR(VLOOKUP(H629,Vokabular!$A$2:$B$8,2,FALSE),"UNBEKANNT"))))</f>
        <v/>
      </c>
    </row>
    <row r="630">
      <c r="A630" s="5" t="inlineStr">
        <is>
          <t>BW-05</t>
        </is>
      </c>
      <c r="B630" s="5" t="inlineStr">
        <is>
          <t>post</t>
        </is>
      </c>
      <c r="C630" s="5" t="inlineStr">
        <is>
          <t>COD_505</t>
        </is>
      </c>
      <c r="D630" s="5" t="inlineStr">
        <is>
          <t>R</t>
        </is>
      </c>
      <c r="E630" s="5" t="n">
        <v>2</v>
      </c>
      <c r="F630" s="5" t="n"/>
      <c r="G630" s="5" t="inlineStr">
        <is>
          <t>x</t>
        </is>
      </c>
      <c r="H630" s="5" t="inlineStr">
        <is>
          <t>Fehlversuch</t>
        </is>
      </c>
      <c r="I630" s="22">
        <f>INDEX(Personendaten!$C$2:$C$32,MATCH(A630,Personendaten!$A$2:$A$32,0))</f>
        <v/>
      </c>
      <c r="J630" s="22">
        <f>IF(AND(F630&lt;&gt;"",G630=""),1,0)</f>
        <v/>
      </c>
      <c r="K630" s="22">
        <f>IF(LEFT(C630,7)&lt;&gt;"Sprint_","",IF(COUNTIFS(Versuchsdaten!$A$2:$A$1117,$A630,Versuchsdaten!$B$2:$B$1117,$B630,Versuchsdaten!$C$2:$C$1117,"Sprint_5m",Versuchsdaten!$E$2:$E$1117,$E630,Versuchsdaten!$J$2:$J$1117,1)=1,SUMIFS(Versuchsdaten!$F$2:$F$1117,Versuchsdaten!$A$2:$A$1117,$A630,Versuchsdaten!$B$2:$B$1117,$B630,Versuchsdaten!$C$2:$C$1117,"Sprint_5m",Versuchsdaten!$E$2:$E$1117,$E630,Versuchsdaten!$J$2:$J$1117,1),""))</f>
        <v/>
      </c>
      <c r="L630" s="22">
        <f>IF(LEFT(C630,7)&lt;&gt;"Sprint_","",IF(COUNTIFS(Versuchsdaten!$A$2:$A$1117,$A630,Versuchsdaten!$B$2:$B$1117,$B630,Versuchsdaten!$C$2:$C$1117,"Sprint_10m",Versuchsdaten!$E$2:$E$1117,$E630,Versuchsdaten!$J$2:$J$1117,1)=1,SUMIFS(Versuchsdaten!$F$2:$F$1117,Versuchsdaten!$A$2:$A$1117,$A630,Versuchsdaten!$B$2:$B$1117,$B630,Versuchsdaten!$C$2:$C$1117,"Sprint_10m",Versuchsdaten!$E$2:$E$1117,$E630,Versuchsdaten!$J$2:$J$1117,1),""))</f>
        <v/>
      </c>
      <c r="M630" s="22">
        <f>IF(LEFT(C630,7)&lt;&gt;"Sprint_","",IF(COUNTIFS(Versuchsdaten!$A$2:$A$1117,$A630,Versuchsdaten!$B$2:$B$1117,$B630,Versuchsdaten!$C$2:$C$1117,"Sprint_30m",Versuchsdaten!$E$2:$E$1117,$E630,Versuchsdaten!$J$2:$J$1117,1)=1,SUMIFS(Versuchsdaten!$F$2:$F$1117,Versuchsdaten!$A$2:$A$1117,$A630,Versuchsdaten!$B$2:$B$1117,$B630,Versuchsdaten!$C$2:$C$1117,"Sprint_30m",Versuchsdaten!$E$2:$E$1117,$E630,Versuchsdaten!$J$2:$J$1117,1),""))</f>
        <v/>
      </c>
      <c r="N630" s="22">
        <f>IF(LEFT(C630,7)&lt;&gt;"Sprint_",0,IF(IF(ISNUMBER(K630),IF(K630&lt;=0,1,IF(5/K630&gt;10,1,0)),0)+IF(ISNUMBER(L630),IF(ISNUMBER(K630),IF(L630-K630&lt;=0,1,IF(5/(L630-K630)&gt;10,1,0)),IF(L630&lt;=0,1,IF(10/L630&gt;10,1,0))),0)+IF(ISNUMBER(M630),IF(ISNUMBER(L630),IF(M630-L630&lt;=0,1,IF(20/(M630-L630)&gt;10,1,0)),IF(ISNUMBER(K630),IF(M630-K630&lt;=0,1,IF(25/(M630-K630)&gt;10,1,0)),IF(M630&lt;=0,1,IF(30/M630&gt;10,1,0)))),0)&gt;0,1,0))</f>
        <v/>
      </c>
      <c r="O630" s="22">
        <f>IF(AND(J630=1,N630=0),1,0)</f>
        <v/>
      </c>
      <c r="P630" s="22">
        <f>INDEX(Personendaten!$J$2:$J$32,MATCH(A630,Personendaten!$A$2:$A$32,0))</f>
        <v/>
      </c>
      <c r="Q630" s="22">
        <f>IF(O630=1,"",IF(AND(B630="post",P630="nicht angetreten"),"NANG",IF(N630=1,"AUSL",IFERROR(VLOOKUP(H630,Vokabular!$A$2:$B$8,2,FALSE),"UNBEKANNT"))))</f>
        <v/>
      </c>
    </row>
    <row r="631">
      <c r="A631" s="5" t="inlineStr">
        <is>
          <t>BW-05</t>
        </is>
      </c>
      <c r="B631" s="5" t="inlineStr">
        <is>
          <t>post</t>
        </is>
      </c>
      <c r="C631" s="5" t="inlineStr">
        <is>
          <t>COD_505</t>
        </is>
      </c>
      <c r="D631" s="5" t="inlineStr">
        <is>
          <t>R</t>
        </is>
      </c>
      <c r="E631" s="5" t="n">
        <v>3</v>
      </c>
      <c r="F631" s="5" t="n"/>
      <c r="G631" s="5" t="n"/>
      <c r="H631" s="5" t="inlineStr">
        <is>
          <t>Nur 2 Versuche aus Zeitmangel</t>
        </is>
      </c>
      <c r="I631" s="22">
        <f>INDEX(Personendaten!$C$2:$C$32,MATCH(A631,Personendaten!$A$2:$A$32,0))</f>
        <v/>
      </c>
      <c r="J631" s="22">
        <f>IF(AND(F631&lt;&gt;"",G631=""),1,0)</f>
        <v/>
      </c>
      <c r="K631" s="22">
        <f>IF(LEFT(C631,7)&lt;&gt;"Sprint_","",IF(COUNTIFS(Versuchsdaten!$A$2:$A$1117,$A631,Versuchsdaten!$B$2:$B$1117,$B631,Versuchsdaten!$C$2:$C$1117,"Sprint_5m",Versuchsdaten!$E$2:$E$1117,$E631,Versuchsdaten!$J$2:$J$1117,1)=1,SUMIFS(Versuchsdaten!$F$2:$F$1117,Versuchsdaten!$A$2:$A$1117,$A631,Versuchsdaten!$B$2:$B$1117,$B631,Versuchsdaten!$C$2:$C$1117,"Sprint_5m",Versuchsdaten!$E$2:$E$1117,$E631,Versuchsdaten!$J$2:$J$1117,1),""))</f>
        <v/>
      </c>
      <c r="L631" s="22">
        <f>IF(LEFT(C631,7)&lt;&gt;"Sprint_","",IF(COUNTIFS(Versuchsdaten!$A$2:$A$1117,$A631,Versuchsdaten!$B$2:$B$1117,$B631,Versuchsdaten!$C$2:$C$1117,"Sprint_10m",Versuchsdaten!$E$2:$E$1117,$E631,Versuchsdaten!$J$2:$J$1117,1)=1,SUMIFS(Versuchsdaten!$F$2:$F$1117,Versuchsdaten!$A$2:$A$1117,$A631,Versuchsdaten!$B$2:$B$1117,$B631,Versuchsdaten!$C$2:$C$1117,"Sprint_10m",Versuchsdaten!$E$2:$E$1117,$E631,Versuchsdaten!$J$2:$J$1117,1),""))</f>
        <v/>
      </c>
      <c r="M631" s="22">
        <f>IF(LEFT(C631,7)&lt;&gt;"Sprint_","",IF(COUNTIFS(Versuchsdaten!$A$2:$A$1117,$A631,Versuchsdaten!$B$2:$B$1117,$B631,Versuchsdaten!$C$2:$C$1117,"Sprint_30m",Versuchsdaten!$E$2:$E$1117,$E631,Versuchsdaten!$J$2:$J$1117,1)=1,SUMIFS(Versuchsdaten!$F$2:$F$1117,Versuchsdaten!$A$2:$A$1117,$A631,Versuchsdaten!$B$2:$B$1117,$B631,Versuchsdaten!$C$2:$C$1117,"Sprint_30m",Versuchsdaten!$E$2:$E$1117,$E631,Versuchsdaten!$J$2:$J$1117,1),""))</f>
        <v/>
      </c>
      <c r="N631" s="22">
        <f>IF(LEFT(C631,7)&lt;&gt;"Sprint_",0,IF(IF(ISNUMBER(K631),IF(K631&lt;=0,1,IF(5/K631&gt;10,1,0)),0)+IF(ISNUMBER(L631),IF(ISNUMBER(K631),IF(L631-K631&lt;=0,1,IF(5/(L631-K631)&gt;10,1,0)),IF(L631&lt;=0,1,IF(10/L631&gt;10,1,0))),0)+IF(ISNUMBER(M631),IF(ISNUMBER(L631),IF(M631-L631&lt;=0,1,IF(20/(M631-L631)&gt;10,1,0)),IF(ISNUMBER(K631),IF(M631-K631&lt;=0,1,IF(25/(M631-K631)&gt;10,1,0)),IF(M631&lt;=0,1,IF(30/M631&gt;10,1,0)))),0)&gt;0,1,0))</f>
        <v/>
      </c>
      <c r="O631" s="22">
        <f>IF(AND(J631=1,N631=0),1,0)</f>
        <v/>
      </c>
      <c r="P631" s="22">
        <f>INDEX(Personendaten!$J$2:$J$32,MATCH(A631,Personendaten!$A$2:$A$32,0))</f>
        <v/>
      </c>
      <c r="Q631" s="22">
        <f>IF(O631=1,"",IF(AND(B631="post",P631="nicht angetreten"),"NANG",IF(N631=1,"AUSL",IFERROR(VLOOKUP(H631,Vokabular!$A$2:$B$8,2,FALSE),"UNBEKANNT"))))</f>
        <v/>
      </c>
    </row>
    <row r="632">
      <c r="A632" s="5" t="inlineStr">
        <is>
          <t>BW-06</t>
        </is>
      </c>
      <c r="B632" s="5" t="inlineStr">
        <is>
          <t>post</t>
        </is>
      </c>
      <c r="C632" s="5" t="inlineStr">
        <is>
          <t>Sprint_5m</t>
        </is>
      </c>
      <c r="D632" s="5" t="inlineStr">
        <is>
          <t>–</t>
        </is>
      </c>
      <c r="E632" s="5" t="n">
        <v>1</v>
      </c>
      <c r="F632" s="5" t="n">
        <v>1.03</v>
      </c>
      <c r="G632" s="5" t="n"/>
      <c r="H632" s="5" t="n"/>
      <c r="I632" s="22">
        <f>INDEX(Personendaten!$C$2:$C$32,MATCH(A632,Personendaten!$A$2:$A$32,0))</f>
        <v/>
      </c>
      <c r="J632" s="22">
        <f>IF(AND(F632&lt;&gt;"",G632=""),1,0)</f>
        <v/>
      </c>
      <c r="K632" s="22">
        <f>IF(LEFT(C632,7)&lt;&gt;"Sprint_","",IF(COUNTIFS(Versuchsdaten!$A$2:$A$1117,$A632,Versuchsdaten!$B$2:$B$1117,$B632,Versuchsdaten!$C$2:$C$1117,"Sprint_5m",Versuchsdaten!$E$2:$E$1117,$E632,Versuchsdaten!$J$2:$J$1117,1)=1,SUMIFS(Versuchsdaten!$F$2:$F$1117,Versuchsdaten!$A$2:$A$1117,$A632,Versuchsdaten!$B$2:$B$1117,$B632,Versuchsdaten!$C$2:$C$1117,"Sprint_5m",Versuchsdaten!$E$2:$E$1117,$E632,Versuchsdaten!$J$2:$J$1117,1),""))</f>
        <v/>
      </c>
      <c r="L632" s="22">
        <f>IF(LEFT(C632,7)&lt;&gt;"Sprint_","",IF(COUNTIFS(Versuchsdaten!$A$2:$A$1117,$A632,Versuchsdaten!$B$2:$B$1117,$B632,Versuchsdaten!$C$2:$C$1117,"Sprint_10m",Versuchsdaten!$E$2:$E$1117,$E632,Versuchsdaten!$J$2:$J$1117,1)=1,SUMIFS(Versuchsdaten!$F$2:$F$1117,Versuchsdaten!$A$2:$A$1117,$A632,Versuchsdaten!$B$2:$B$1117,$B632,Versuchsdaten!$C$2:$C$1117,"Sprint_10m",Versuchsdaten!$E$2:$E$1117,$E632,Versuchsdaten!$J$2:$J$1117,1),""))</f>
        <v/>
      </c>
      <c r="M632" s="22">
        <f>IF(LEFT(C632,7)&lt;&gt;"Sprint_","",IF(COUNTIFS(Versuchsdaten!$A$2:$A$1117,$A632,Versuchsdaten!$B$2:$B$1117,$B632,Versuchsdaten!$C$2:$C$1117,"Sprint_30m",Versuchsdaten!$E$2:$E$1117,$E632,Versuchsdaten!$J$2:$J$1117,1)=1,SUMIFS(Versuchsdaten!$F$2:$F$1117,Versuchsdaten!$A$2:$A$1117,$A632,Versuchsdaten!$B$2:$B$1117,$B632,Versuchsdaten!$C$2:$C$1117,"Sprint_30m",Versuchsdaten!$E$2:$E$1117,$E632,Versuchsdaten!$J$2:$J$1117,1),""))</f>
        <v/>
      </c>
      <c r="N632" s="22">
        <f>IF(LEFT(C632,7)&lt;&gt;"Sprint_",0,IF(IF(ISNUMBER(K632),IF(K632&lt;=0,1,IF(5/K632&gt;10,1,0)),0)+IF(ISNUMBER(L632),IF(ISNUMBER(K632),IF(L632-K632&lt;=0,1,IF(5/(L632-K632)&gt;10,1,0)),IF(L632&lt;=0,1,IF(10/L632&gt;10,1,0))),0)+IF(ISNUMBER(M632),IF(ISNUMBER(L632),IF(M632-L632&lt;=0,1,IF(20/(M632-L632)&gt;10,1,0)),IF(ISNUMBER(K632),IF(M632-K632&lt;=0,1,IF(25/(M632-K632)&gt;10,1,0)),IF(M632&lt;=0,1,IF(30/M632&gt;10,1,0)))),0)&gt;0,1,0))</f>
        <v/>
      </c>
      <c r="O632" s="22">
        <f>IF(AND(J632=1,N632=0),1,0)</f>
        <v/>
      </c>
      <c r="P632" s="22">
        <f>INDEX(Personendaten!$J$2:$J$32,MATCH(A632,Personendaten!$A$2:$A$32,0))</f>
        <v/>
      </c>
      <c r="Q632" s="22">
        <f>IF(O632=1,"",IF(AND(B632="post",P632="nicht angetreten"),"NANG",IF(N632=1,"AUSL",IFERROR(VLOOKUP(H632,Vokabular!$A$2:$B$8,2,FALSE),"UNBEKANNT"))))</f>
        <v/>
      </c>
    </row>
    <row r="633">
      <c r="A633" s="5" t="inlineStr">
        <is>
          <t>BW-06</t>
        </is>
      </c>
      <c r="B633" s="5" t="inlineStr">
        <is>
          <t>post</t>
        </is>
      </c>
      <c r="C633" s="5" t="inlineStr">
        <is>
          <t>Sprint_5m</t>
        </is>
      </c>
      <c r="D633" s="5" t="inlineStr">
        <is>
          <t>–</t>
        </is>
      </c>
      <c r="E633" s="5" t="n">
        <v>2</v>
      </c>
      <c r="F633" s="5" t="n">
        <v>1.04</v>
      </c>
      <c r="G633" s="5" t="n"/>
      <c r="H633" s="5" t="n"/>
      <c r="I633" s="22">
        <f>INDEX(Personendaten!$C$2:$C$32,MATCH(A633,Personendaten!$A$2:$A$32,0))</f>
        <v/>
      </c>
      <c r="J633" s="22">
        <f>IF(AND(F633&lt;&gt;"",G633=""),1,0)</f>
        <v/>
      </c>
      <c r="K633" s="22">
        <f>IF(LEFT(C633,7)&lt;&gt;"Sprint_","",IF(COUNTIFS(Versuchsdaten!$A$2:$A$1117,$A633,Versuchsdaten!$B$2:$B$1117,$B633,Versuchsdaten!$C$2:$C$1117,"Sprint_5m",Versuchsdaten!$E$2:$E$1117,$E633,Versuchsdaten!$J$2:$J$1117,1)=1,SUMIFS(Versuchsdaten!$F$2:$F$1117,Versuchsdaten!$A$2:$A$1117,$A633,Versuchsdaten!$B$2:$B$1117,$B633,Versuchsdaten!$C$2:$C$1117,"Sprint_5m",Versuchsdaten!$E$2:$E$1117,$E633,Versuchsdaten!$J$2:$J$1117,1),""))</f>
        <v/>
      </c>
      <c r="L633" s="22">
        <f>IF(LEFT(C633,7)&lt;&gt;"Sprint_","",IF(COUNTIFS(Versuchsdaten!$A$2:$A$1117,$A633,Versuchsdaten!$B$2:$B$1117,$B633,Versuchsdaten!$C$2:$C$1117,"Sprint_10m",Versuchsdaten!$E$2:$E$1117,$E633,Versuchsdaten!$J$2:$J$1117,1)=1,SUMIFS(Versuchsdaten!$F$2:$F$1117,Versuchsdaten!$A$2:$A$1117,$A633,Versuchsdaten!$B$2:$B$1117,$B633,Versuchsdaten!$C$2:$C$1117,"Sprint_10m",Versuchsdaten!$E$2:$E$1117,$E633,Versuchsdaten!$J$2:$J$1117,1),""))</f>
        <v/>
      </c>
      <c r="M633" s="22">
        <f>IF(LEFT(C633,7)&lt;&gt;"Sprint_","",IF(COUNTIFS(Versuchsdaten!$A$2:$A$1117,$A633,Versuchsdaten!$B$2:$B$1117,$B633,Versuchsdaten!$C$2:$C$1117,"Sprint_30m",Versuchsdaten!$E$2:$E$1117,$E633,Versuchsdaten!$J$2:$J$1117,1)=1,SUMIFS(Versuchsdaten!$F$2:$F$1117,Versuchsdaten!$A$2:$A$1117,$A633,Versuchsdaten!$B$2:$B$1117,$B633,Versuchsdaten!$C$2:$C$1117,"Sprint_30m",Versuchsdaten!$E$2:$E$1117,$E633,Versuchsdaten!$J$2:$J$1117,1),""))</f>
        <v/>
      </c>
      <c r="N633" s="22">
        <f>IF(LEFT(C633,7)&lt;&gt;"Sprint_",0,IF(IF(ISNUMBER(K633),IF(K633&lt;=0,1,IF(5/K633&gt;10,1,0)),0)+IF(ISNUMBER(L633),IF(ISNUMBER(K633),IF(L633-K633&lt;=0,1,IF(5/(L633-K633)&gt;10,1,0)),IF(L633&lt;=0,1,IF(10/L633&gt;10,1,0))),0)+IF(ISNUMBER(M633),IF(ISNUMBER(L633),IF(M633-L633&lt;=0,1,IF(20/(M633-L633)&gt;10,1,0)),IF(ISNUMBER(K633),IF(M633-K633&lt;=0,1,IF(25/(M633-K633)&gt;10,1,0)),IF(M633&lt;=0,1,IF(30/M633&gt;10,1,0)))),0)&gt;0,1,0))</f>
        <v/>
      </c>
      <c r="O633" s="22">
        <f>IF(AND(J633=1,N633=0),1,0)</f>
        <v/>
      </c>
      <c r="P633" s="22">
        <f>INDEX(Personendaten!$J$2:$J$32,MATCH(A633,Personendaten!$A$2:$A$32,0))</f>
        <v/>
      </c>
      <c r="Q633" s="22">
        <f>IF(O633=1,"",IF(AND(B633="post",P633="nicht angetreten"),"NANG",IF(N633=1,"AUSL",IFERROR(VLOOKUP(H633,Vokabular!$A$2:$B$8,2,FALSE),"UNBEKANNT"))))</f>
        <v/>
      </c>
    </row>
    <row r="634">
      <c r="A634" s="5" t="inlineStr">
        <is>
          <t>BW-06</t>
        </is>
      </c>
      <c r="B634" s="5" t="inlineStr">
        <is>
          <t>post</t>
        </is>
      </c>
      <c r="C634" s="5" t="inlineStr">
        <is>
          <t>Sprint_5m</t>
        </is>
      </c>
      <c r="D634" s="5" t="inlineStr">
        <is>
          <t>–</t>
        </is>
      </c>
      <c r="E634" s="5" t="n">
        <v>3</v>
      </c>
      <c r="F634" s="5" t="n">
        <v>1.05</v>
      </c>
      <c r="G634" s="5" t="n"/>
      <c r="H634" s="5" t="n"/>
      <c r="I634" s="22">
        <f>INDEX(Personendaten!$C$2:$C$32,MATCH(A634,Personendaten!$A$2:$A$32,0))</f>
        <v/>
      </c>
      <c r="J634" s="22">
        <f>IF(AND(F634&lt;&gt;"",G634=""),1,0)</f>
        <v/>
      </c>
      <c r="K634" s="22">
        <f>IF(LEFT(C634,7)&lt;&gt;"Sprint_","",IF(COUNTIFS(Versuchsdaten!$A$2:$A$1117,$A634,Versuchsdaten!$B$2:$B$1117,$B634,Versuchsdaten!$C$2:$C$1117,"Sprint_5m",Versuchsdaten!$E$2:$E$1117,$E634,Versuchsdaten!$J$2:$J$1117,1)=1,SUMIFS(Versuchsdaten!$F$2:$F$1117,Versuchsdaten!$A$2:$A$1117,$A634,Versuchsdaten!$B$2:$B$1117,$B634,Versuchsdaten!$C$2:$C$1117,"Sprint_5m",Versuchsdaten!$E$2:$E$1117,$E634,Versuchsdaten!$J$2:$J$1117,1),""))</f>
        <v/>
      </c>
      <c r="L634" s="22">
        <f>IF(LEFT(C634,7)&lt;&gt;"Sprint_","",IF(COUNTIFS(Versuchsdaten!$A$2:$A$1117,$A634,Versuchsdaten!$B$2:$B$1117,$B634,Versuchsdaten!$C$2:$C$1117,"Sprint_10m",Versuchsdaten!$E$2:$E$1117,$E634,Versuchsdaten!$J$2:$J$1117,1)=1,SUMIFS(Versuchsdaten!$F$2:$F$1117,Versuchsdaten!$A$2:$A$1117,$A634,Versuchsdaten!$B$2:$B$1117,$B634,Versuchsdaten!$C$2:$C$1117,"Sprint_10m",Versuchsdaten!$E$2:$E$1117,$E634,Versuchsdaten!$J$2:$J$1117,1),""))</f>
        <v/>
      </c>
      <c r="M634" s="22">
        <f>IF(LEFT(C634,7)&lt;&gt;"Sprint_","",IF(COUNTIFS(Versuchsdaten!$A$2:$A$1117,$A634,Versuchsdaten!$B$2:$B$1117,$B634,Versuchsdaten!$C$2:$C$1117,"Sprint_30m",Versuchsdaten!$E$2:$E$1117,$E634,Versuchsdaten!$J$2:$J$1117,1)=1,SUMIFS(Versuchsdaten!$F$2:$F$1117,Versuchsdaten!$A$2:$A$1117,$A634,Versuchsdaten!$B$2:$B$1117,$B634,Versuchsdaten!$C$2:$C$1117,"Sprint_30m",Versuchsdaten!$E$2:$E$1117,$E634,Versuchsdaten!$J$2:$J$1117,1),""))</f>
        <v/>
      </c>
      <c r="N634" s="22">
        <f>IF(LEFT(C634,7)&lt;&gt;"Sprint_",0,IF(IF(ISNUMBER(K634),IF(K634&lt;=0,1,IF(5/K634&gt;10,1,0)),0)+IF(ISNUMBER(L634),IF(ISNUMBER(K634),IF(L634-K634&lt;=0,1,IF(5/(L634-K634)&gt;10,1,0)),IF(L634&lt;=0,1,IF(10/L634&gt;10,1,0))),0)+IF(ISNUMBER(M634),IF(ISNUMBER(L634),IF(M634-L634&lt;=0,1,IF(20/(M634-L634)&gt;10,1,0)),IF(ISNUMBER(K634),IF(M634-K634&lt;=0,1,IF(25/(M634-K634)&gt;10,1,0)),IF(M634&lt;=0,1,IF(30/M634&gt;10,1,0)))),0)&gt;0,1,0))</f>
        <v/>
      </c>
      <c r="O634" s="22">
        <f>IF(AND(J634=1,N634=0),1,0)</f>
        <v/>
      </c>
      <c r="P634" s="22">
        <f>INDEX(Personendaten!$J$2:$J$32,MATCH(A634,Personendaten!$A$2:$A$32,0))</f>
        <v/>
      </c>
      <c r="Q634" s="22">
        <f>IF(O634=1,"",IF(AND(B634="post",P634="nicht angetreten"),"NANG",IF(N634=1,"AUSL",IFERROR(VLOOKUP(H634,Vokabular!$A$2:$B$8,2,FALSE),"UNBEKANNT"))))</f>
        <v/>
      </c>
    </row>
    <row r="635">
      <c r="A635" s="5" t="inlineStr">
        <is>
          <t>BW-06</t>
        </is>
      </c>
      <c r="B635" s="5" t="inlineStr">
        <is>
          <t>post</t>
        </is>
      </c>
      <c r="C635" s="5" t="inlineStr">
        <is>
          <t>Sprint_10m</t>
        </is>
      </c>
      <c r="D635" s="5" t="inlineStr">
        <is>
          <t>–</t>
        </is>
      </c>
      <c r="E635" s="5" t="n">
        <v>1</v>
      </c>
      <c r="F635" s="5" t="n"/>
      <c r="G635" s="5" t="n"/>
      <c r="H635" s="5" t="inlineStr">
        <is>
          <t>System falsch aufgenommen</t>
        </is>
      </c>
      <c r="I635" s="22">
        <f>INDEX(Personendaten!$C$2:$C$32,MATCH(A635,Personendaten!$A$2:$A$32,0))</f>
        <v/>
      </c>
      <c r="J635" s="22">
        <f>IF(AND(F635&lt;&gt;"",G635=""),1,0)</f>
        <v/>
      </c>
      <c r="K635" s="22">
        <f>IF(LEFT(C635,7)&lt;&gt;"Sprint_","",IF(COUNTIFS(Versuchsdaten!$A$2:$A$1117,$A635,Versuchsdaten!$B$2:$B$1117,$B635,Versuchsdaten!$C$2:$C$1117,"Sprint_5m",Versuchsdaten!$E$2:$E$1117,$E635,Versuchsdaten!$J$2:$J$1117,1)=1,SUMIFS(Versuchsdaten!$F$2:$F$1117,Versuchsdaten!$A$2:$A$1117,$A635,Versuchsdaten!$B$2:$B$1117,$B635,Versuchsdaten!$C$2:$C$1117,"Sprint_5m",Versuchsdaten!$E$2:$E$1117,$E635,Versuchsdaten!$J$2:$J$1117,1),""))</f>
        <v/>
      </c>
      <c r="L635" s="22">
        <f>IF(LEFT(C635,7)&lt;&gt;"Sprint_","",IF(COUNTIFS(Versuchsdaten!$A$2:$A$1117,$A635,Versuchsdaten!$B$2:$B$1117,$B635,Versuchsdaten!$C$2:$C$1117,"Sprint_10m",Versuchsdaten!$E$2:$E$1117,$E635,Versuchsdaten!$J$2:$J$1117,1)=1,SUMIFS(Versuchsdaten!$F$2:$F$1117,Versuchsdaten!$A$2:$A$1117,$A635,Versuchsdaten!$B$2:$B$1117,$B635,Versuchsdaten!$C$2:$C$1117,"Sprint_10m",Versuchsdaten!$E$2:$E$1117,$E635,Versuchsdaten!$J$2:$J$1117,1),""))</f>
        <v/>
      </c>
      <c r="M635" s="22">
        <f>IF(LEFT(C635,7)&lt;&gt;"Sprint_","",IF(COUNTIFS(Versuchsdaten!$A$2:$A$1117,$A635,Versuchsdaten!$B$2:$B$1117,$B635,Versuchsdaten!$C$2:$C$1117,"Sprint_30m",Versuchsdaten!$E$2:$E$1117,$E635,Versuchsdaten!$J$2:$J$1117,1)=1,SUMIFS(Versuchsdaten!$F$2:$F$1117,Versuchsdaten!$A$2:$A$1117,$A635,Versuchsdaten!$B$2:$B$1117,$B635,Versuchsdaten!$C$2:$C$1117,"Sprint_30m",Versuchsdaten!$E$2:$E$1117,$E635,Versuchsdaten!$J$2:$J$1117,1),""))</f>
        <v/>
      </c>
      <c r="N635" s="22">
        <f>IF(LEFT(C635,7)&lt;&gt;"Sprint_",0,IF(IF(ISNUMBER(K635),IF(K635&lt;=0,1,IF(5/K635&gt;10,1,0)),0)+IF(ISNUMBER(L635),IF(ISNUMBER(K635),IF(L635-K635&lt;=0,1,IF(5/(L635-K635)&gt;10,1,0)),IF(L635&lt;=0,1,IF(10/L635&gt;10,1,0))),0)+IF(ISNUMBER(M635),IF(ISNUMBER(L635),IF(M635-L635&lt;=0,1,IF(20/(M635-L635)&gt;10,1,0)),IF(ISNUMBER(K635),IF(M635-K635&lt;=0,1,IF(25/(M635-K635)&gt;10,1,0)),IF(M635&lt;=0,1,IF(30/M635&gt;10,1,0)))),0)&gt;0,1,0))</f>
        <v/>
      </c>
      <c r="O635" s="22">
        <f>IF(AND(J635=1,N635=0),1,0)</f>
        <v/>
      </c>
      <c r="P635" s="22">
        <f>INDEX(Personendaten!$J$2:$J$32,MATCH(A635,Personendaten!$A$2:$A$32,0))</f>
        <v/>
      </c>
      <c r="Q635" s="22">
        <f>IF(O635=1,"",IF(AND(B635="post",P635="nicht angetreten"),"NANG",IF(N635=1,"AUSL",IFERROR(VLOOKUP(H635,Vokabular!$A$2:$B$8,2,FALSE),"UNBEKANNT"))))</f>
        <v/>
      </c>
    </row>
    <row r="636">
      <c r="A636" s="5" t="inlineStr">
        <is>
          <t>BW-06</t>
        </is>
      </c>
      <c r="B636" s="5" t="inlineStr">
        <is>
          <t>post</t>
        </is>
      </c>
      <c r="C636" s="5" t="inlineStr">
        <is>
          <t>Sprint_10m</t>
        </is>
      </c>
      <c r="D636" s="5" t="inlineStr">
        <is>
          <t>–</t>
        </is>
      </c>
      <c r="E636" s="5" t="n">
        <v>2</v>
      </c>
      <c r="F636" s="5" t="n"/>
      <c r="G636" s="5" t="n"/>
      <c r="H636" s="5" t="inlineStr">
        <is>
          <t>System falsch aufgenommen</t>
        </is>
      </c>
      <c r="I636" s="22">
        <f>INDEX(Personendaten!$C$2:$C$32,MATCH(A636,Personendaten!$A$2:$A$32,0))</f>
        <v/>
      </c>
      <c r="J636" s="22">
        <f>IF(AND(F636&lt;&gt;"",G636=""),1,0)</f>
        <v/>
      </c>
      <c r="K636" s="22">
        <f>IF(LEFT(C636,7)&lt;&gt;"Sprint_","",IF(COUNTIFS(Versuchsdaten!$A$2:$A$1117,$A636,Versuchsdaten!$B$2:$B$1117,$B636,Versuchsdaten!$C$2:$C$1117,"Sprint_5m",Versuchsdaten!$E$2:$E$1117,$E636,Versuchsdaten!$J$2:$J$1117,1)=1,SUMIFS(Versuchsdaten!$F$2:$F$1117,Versuchsdaten!$A$2:$A$1117,$A636,Versuchsdaten!$B$2:$B$1117,$B636,Versuchsdaten!$C$2:$C$1117,"Sprint_5m",Versuchsdaten!$E$2:$E$1117,$E636,Versuchsdaten!$J$2:$J$1117,1),""))</f>
        <v/>
      </c>
      <c r="L636" s="22">
        <f>IF(LEFT(C636,7)&lt;&gt;"Sprint_","",IF(COUNTIFS(Versuchsdaten!$A$2:$A$1117,$A636,Versuchsdaten!$B$2:$B$1117,$B636,Versuchsdaten!$C$2:$C$1117,"Sprint_10m",Versuchsdaten!$E$2:$E$1117,$E636,Versuchsdaten!$J$2:$J$1117,1)=1,SUMIFS(Versuchsdaten!$F$2:$F$1117,Versuchsdaten!$A$2:$A$1117,$A636,Versuchsdaten!$B$2:$B$1117,$B636,Versuchsdaten!$C$2:$C$1117,"Sprint_10m",Versuchsdaten!$E$2:$E$1117,$E636,Versuchsdaten!$J$2:$J$1117,1),""))</f>
        <v/>
      </c>
      <c r="M636" s="22">
        <f>IF(LEFT(C636,7)&lt;&gt;"Sprint_","",IF(COUNTIFS(Versuchsdaten!$A$2:$A$1117,$A636,Versuchsdaten!$B$2:$B$1117,$B636,Versuchsdaten!$C$2:$C$1117,"Sprint_30m",Versuchsdaten!$E$2:$E$1117,$E636,Versuchsdaten!$J$2:$J$1117,1)=1,SUMIFS(Versuchsdaten!$F$2:$F$1117,Versuchsdaten!$A$2:$A$1117,$A636,Versuchsdaten!$B$2:$B$1117,$B636,Versuchsdaten!$C$2:$C$1117,"Sprint_30m",Versuchsdaten!$E$2:$E$1117,$E636,Versuchsdaten!$J$2:$J$1117,1),""))</f>
        <v/>
      </c>
      <c r="N636" s="22">
        <f>IF(LEFT(C636,7)&lt;&gt;"Sprint_",0,IF(IF(ISNUMBER(K636),IF(K636&lt;=0,1,IF(5/K636&gt;10,1,0)),0)+IF(ISNUMBER(L636),IF(ISNUMBER(K636),IF(L636-K636&lt;=0,1,IF(5/(L636-K636)&gt;10,1,0)),IF(L636&lt;=0,1,IF(10/L636&gt;10,1,0))),0)+IF(ISNUMBER(M636),IF(ISNUMBER(L636),IF(M636-L636&lt;=0,1,IF(20/(M636-L636)&gt;10,1,0)),IF(ISNUMBER(K636),IF(M636-K636&lt;=0,1,IF(25/(M636-K636)&gt;10,1,0)),IF(M636&lt;=0,1,IF(30/M636&gt;10,1,0)))),0)&gt;0,1,0))</f>
        <v/>
      </c>
      <c r="O636" s="22">
        <f>IF(AND(J636=1,N636=0),1,0)</f>
        <v/>
      </c>
      <c r="P636" s="22">
        <f>INDEX(Personendaten!$J$2:$J$32,MATCH(A636,Personendaten!$A$2:$A$32,0))</f>
        <v/>
      </c>
      <c r="Q636" s="22">
        <f>IF(O636=1,"",IF(AND(B636="post",P636="nicht angetreten"),"NANG",IF(N636=1,"AUSL",IFERROR(VLOOKUP(H636,Vokabular!$A$2:$B$8,2,FALSE),"UNBEKANNT"))))</f>
        <v/>
      </c>
    </row>
    <row r="637">
      <c r="A637" s="5" t="inlineStr">
        <is>
          <t>BW-06</t>
        </is>
      </c>
      <c r="B637" s="5" t="inlineStr">
        <is>
          <t>post</t>
        </is>
      </c>
      <c r="C637" s="5" t="inlineStr">
        <is>
          <t>Sprint_10m</t>
        </is>
      </c>
      <c r="D637" s="5" t="inlineStr">
        <is>
          <t>–</t>
        </is>
      </c>
      <c r="E637" s="5" t="n">
        <v>3</v>
      </c>
      <c r="F637" s="5" t="n"/>
      <c r="G637" s="5" t="n"/>
      <c r="H637" s="5" t="inlineStr">
        <is>
          <t>System falsch aufgenommen</t>
        </is>
      </c>
      <c r="I637" s="22">
        <f>INDEX(Personendaten!$C$2:$C$32,MATCH(A637,Personendaten!$A$2:$A$32,0))</f>
        <v/>
      </c>
      <c r="J637" s="22">
        <f>IF(AND(F637&lt;&gt;"",G637=""),1,0)</f>
        <v/>
      </c>
      <c r="K637" s="22">
        <f>IF(LEFT(C637,7)&lt;&gt;"Sprint_","",IF(COUNTIFS(Versuchsdaten!$A$2:$A$1117,$A637,Versuchsdaten!$B$2:$B$1117,$B637,Versuchsdaten!$C$2:$C$1117,"Sprint_5m",Versuchsdaten!$E$2:$E$1117,$E637,Versuchsdaten!$J$2:$J$1117,1)=1,SUMIFS(Versuchsdaten!$F$2:$F$1117,Versuchsdaten!$A$2:$A$1117,$A637,Versuchsdaten!$B$2:$B$1117,$B637,Versuchsdaten!$C$2:$C$1117,"Sprint_5m",Versuchsdaten!$E$2:$E$1117,$E637,Versuchsdaten!$J$2:$J$1117,1),""))</f>
        <v/>
      </c>
      <c r="L637" s="22">
        <f>IF(LEFT(C637,7)&lt;&gt;"Sprint_","",IF(COUNTIFS(Versuchsdaten!$A$2:$A$1117,$A637,Versuchsdaten!$B$2:$B$1117,$B637,Versuchsdaten!$C$2:$C$1117,"Sprint_10m",Versuchsdaten!$E$2:$E$1117,$E637,Versuchsdaten!$J$2:$J$1117,1)=1,SUMIFS(Versuchsdaten!$F$2:$F$1117,Versuchsdaten!$A$2:$A$1117,$A637,Versuchsdaten!$B$2:$B$1117,$B637,Versuchsdaten!$C$2:$C$1117,"Sprint_10m",Versuchsdaten!$E$2:$E$1117,$E637,Versuchsdaten!$J$2:$J$1117,1),""))</f>
        <v/>
      </c>
      <c r="M637" s="22">
        <f>IF(LEFT(C637,7)&lt;&gt;"Sprint_","",IF(COUNTIFS(Versuchsdaten!$A$2:$A$1117,$A637,Versuchsdaten!$B$2:$B$1117,$B637,Versuchsdaten!$C$2:$C$1117,"Sprint_30m",Versuchsdaten!$E$2:$E$1117,$E637,Versuchsdaten!$J$2:$J$1117,1)=1,SUMIFS(Versuchsdaten!$F$2:$F$1117,Versuchsdaten!$A$2:$A$1117,$A637,Versuchsdaten!$B$2:$B$1117,$B637,Versuchsdaten!$C$2:$C$1117,"Sprint_30m",Versuchsdaten!$E$2:$E$1117,$E637,Versuchsdaten!$J$2:$J$1117,1),""))</f>
        <v/>
      </c>
      <c r="N637" s="22">
        <f>IF(LEFT(C637,7)&lt;&gt;"Sprint_",0,IF(IF(ISNUMBER(K637),IF(K637&lt;=0,1,IF(5/K637&gt;10,1,0)),0)+IF(ISNUMBER(L637),IF(ISNUMBER(K637),IF(L637-K637&lt;=0,1,IF(5/(L637-K637)&gt;10,1,0)),IF(L637&lt;=0,1,IF(10/L637&gt;10,1,0))),0)+IF(ISNUMBER(M637),IF(ISNUMBER(L637),IF(M637-L637&lt;=0,1,IF(20/(M637-L637)&gt;10,1,0)),IF(ISNUMBER(K637),IF(M637-K637&lt;=0,1,IF(25/(M637-K637)&gt;10,1,0)),IF(M637&lt;=0,1,IF(30/M637&gt;10,1,0)))),0)&gt;0,1,0))</f>
        <v/>
      </c>
      <c r="O637" s="22">
        <f>IF(AND(J637=1,N637=0),1,0)</f>
        <v/>
      </c>
      <c r="P637" s="22">
        <f>INDEX(Personendaten!$J$2:$J$32,MATCH(A637,Personendaten!$A$2:$A$32,0))</f>
        <v/>
      </c>
      <c r="Q637" s="22">
        <f>IF(O637=1,"",IF(AND(B637="post",P637="nicht angetreten"),"NANG",IF(N637=1,"AUSL",IFERROR(VLOOKUP(H637,Vokabular!$A$2:$B$8,2,FALSE),"UNBEKANNT"))))</f>
        <v/>
      </c>
    </row>
    <row r="638">
      <c r="A638" s="5" t="inlineStr">
        <is>
          <t>BW-06</t>
        </is>
      </c>
      <c r="B638" s="5" t="inlineStr">
        <is>
          <t>post</t>
        </is>
      </c>
      <c r="C638" s="5" t="inlineStr">
        <is>
          <t>Sprint_30m</t>
        </is>
      </c>
      <c r="D638" s="5" t="inlineStr">
        <is>
          <t>–</t>
        </is>
      </c>
      <c r="E638" s="5" t="n">
        <v>1</v>
      </c>
      <c r="F638" s="5" t="n">
        <v>4.52</v>
      </c>
      <c r="G638" s="5" t="n"/>
      <c r="H638" s="5" t="n"/>
      <c r="I638" s="22">
        <f>INDEX(Personendaten!$C$2:$C$32,MATCH(A638,Personendaten!$A$2:$A$32,0))</f>
        <v/>
      </c>
      <c r="J638" s="22">
        <f>IF(AND(F638&lt;&gt;"",G638=""),1,0)</f>
        <v/>
      </c>
      <c r="K638" s="22">
        <f>IF(LEFT(C638,7)&lt;&gt;"Sprint_","",IF(COUNTIFS(Versuchsdaten!$A$2:$A$1117,$A638,Versuchsdaten!$B$2:$B$1117,$B638,Versuchsdaten!$C$2:$C$1117,"Sprint_5m",Versuchsdaten!$E$2:$E$1117,$E638,Versuchsdaten!$J$2:$J$1117,1)=1,SUMIFS(Versuchsdaten!$F$2:$F$1117,Versuchsdaten!$A$2:$A$1117,$A638,Versuchsdaten!$B$2:$B$1117,$B638,Versuchsdaten!$C$2:$C$1117,"Sprint_5m",Versuchsdaten!$E$2:$E$1117,$E638,Versuchsdaten!$J$2:$J$1117,1),""))</f>
        <v/>
      </c>
      <c r="L638" s="22">
        <f>IF(LEFT(C638,7)&lt;&gt;"Sprint_","",IF(COUNTIFS(Versuchsdaten!$A$2:$A$1117,$A638,Versuchsdaten!$B$2:$B$1117,$B638,Versuchsdaten!$C$2:$C$1117,"Sprint_10m",Versuchsdaten!$E$2:$E$1117,$E638,Versuchsdaten!$J$2:$J$1117,1)=1,SUMIFS(Versuchsdaten!$F$2:$F$1117,Versuchsdaten!$A$2:$A$1117,$A638,Versuchsdaten!$B$2:$B$1117,$B638,Versuchsdaten!$C$2:$C$1117,"Sprint_10m",Versuchsdaten!$E$2:$E$1117,$E638,Versuchsdaten!$J$2:$J$1117,1),""))</f>
        <v/>
      </c>
      <c r="M638" s="22">
        <f>IF(LEFT(C638,7)&lt;&gt;"Sprint_","",IF(COUNTIFS(Versuchsdaten!$A$2:$A$1117,$A638,Versuchsdaten!$B$2:$B$1117,$B638,Versuchsdaten!$C$2:$C$1117,"Sprint_30m",Versuchsdaten!$E$2:$E$1117,$E638,Versuchsdaten!$J$2:$J$1117,1)=1,SUMIFS(Versuchsdaten!$F$2:$F$1117,Versuchsdaten!$A$2:$A$1117,$A638,Versuchsdaten!$B$2:$B$1117,$B638,Versuchsdaten!$C$2:$C$1117,"Sprint_30m",Versuchsdaten!$E$2:$E$1117,$E638,Versuchsdaten!$J$2:$J$1117,1),""))</f>
        <v/>
      </c>
      <c r="N638" s="22">
        <f>IF(LEFT(C638,7)&lt;&gt;"Sprint_",0,IF(IF(ISNUMBER(K638),IF(K638&lt;=0,1,IF(5/K638&gt;10,1,0)),0)+IF(ISNUMBER(L638),IF(ISNUMBER(K638),IF(L638-K638&lt;=0,1,IF(5/(L638-K638)&gt;10,1,0)),IF(L638&lt;=0,1,IF(10/L638&gt;10,1,0))),0)+IF(ISNUMBER(M638),IF(ISNUMBER(L638),IF(M638-L638&lt;=0,1,IF(20/(M638-L638)&gt;10,1,0)),IF(ISNUMBER(K638),IF(M638-K638&lt;=0,1,IF(25/(M638-K638)&gt;10,1,0)),IF(M638&lt;=0,1,IF(30/M638&gt;10,1,0)))),0)&gt;0,1,0))</f>
        <v/>
      </c>
      <c r="O638" s="22">
        <f>IF(AND(J638=1,N638=0),1,0)</f>
        <v/>
      </c>
      <c r="P638" s="22">
        <f>INDEX(Personendaten!$J$2:$J$32,MATCH(A638,Personendaten!$A$2:$A$32,0))</f>
        <v/>
      </c>
      <c r="Q638" s="22">
        <f>IF(O638=1,"",IF(AND(B638="post",P638="nicht angetreten"),"NANG",IF(N638=1,"AUSL",IFERROR(VLOOKUP(H638,Vokabular!$A$2:$B$8,2,FALSE),"UNBEKANNT"))))</f>
        <v/>
      </c>
    </row>
    <row r="639">
      <c r="A639" s="5" t="inlineStr">
        <is>
          <t>BW-06</t>
        </is>
      </c>
      <c r="B639" s="5" t="inlineStr">
        <is>
          <t>post</t>
        </is>
      </c>
      <c r="C639" s="5" t="inlineStr">
        <is>
          <t>Sprint_30m</t>
        </is>
      </c>
      <c r="D639" s="5" t="inlineStr">
        <is>
          <t>–</t>
        </is>
      </c>
      <c r="E639" s="5" t="n">
        <v>2</v>
      </c>
      <c r="F639" s="5" t="n">
        <v>4.51</v>
      </c>
      <c r="G639" s="5" t="n"/>
      <c r="H639" s="5" t="n"/>
      <c r="I639" s="22">
        <f>INDEX(Personendaten!$C$2:$C$32,MATCH(A639,Personendaten!$A$2:$A$32,0))</f>
        <v/>
      </c>
      <c r="J639" s="22">
        <f>IF(AND(F639&lt;&gt;"",G639=""),1,0)</f>
        <v/>
      </c>
      <c r="K639" s="22">
        <f>IF(LEFT(C639,7)&lt;&gt;"Sprint_","",IF(COUNTIFS(Versuchsdaten!$A$2:$A$1117,$A639,Versuchsdaten!$B$2:$B$1117,$B639,Versuchsdaten!$C$2:$C$1117,"Sprint_5m",Versuchsdaten!$E$2:$E$1117,$E639,Versuchsdaten!$J$2:$J$1117,1)=1,SUMIFS(Versuchsdaten!$F$2:$F$1117,Versuchsdaten!$A$2:$A$1117,$A639,Versuchsdaten!$B$2:$B$1117,$B639,Versuchsdaten!$C$2:$C$1117,"Sprint_5m",Versuchsdaten!$E$2:$E$1117,$E639,Versuchsdaten!$J$2:$J$1117,1),""))</f>
        <v/>
      </c>
      <c r="L639" s="22">
        <f>IF(LEFT(C639,7)&lt;&gt;"Sprint_","",IF(COUNTIFS(Versuchsdaten!$A$2:$A$1117,$A639,Versuchsdaten!$B$2:$B$1117,$B639,Versuchsdaten!$C$2:$C$1117,"Sprint_10m",Versuchsdaten!$E$2:$E$1117,$E639,Versuchsdaten!$J$2:$J$1117,1)=1,SUMIFS(Versuchsdaten!$F$2:$F$1117,Versuchsdaten!$A$2:$A$1117,$A639,Versuchsdaten!$B$2:$B$1117,$B639,Versuchsdaten!$C$2:$C$1117,"Sprint_10m",Versuchsdaten!$E$2:$E$1117,$E639,Versuchsdaten!$J$2:$J$1117,1),""))</f>
        <v/>
      </c>
      <c r="M639" s="22">
        <f>IF(LEFT(C639,7)&lt;&gt;"Sprint_","",IF(COUNTIFS(Versuchsdaten!$A$2:$A$1117,$A639,Versuchsdaten!$B$2:$B$1117,$B639,Versuchsdaten!$C$2:$C$1117,"Sprint_30m",Versuchsdaten!$E$2:$E$1117,$E639,Versuchsdaten!$J$2:$J$1117,1)=1,SUMIFS(Versuchsdaten!$F$2:$F$1117,Versuchsdaten!$A$2:$A$1117,$A639,Versuchsdaten!$B$2:$B$1117,$B639,Versuchsdaten!$C$2:$C$1117,"Sprint_30m",Versuchsdaten!$E$2:$E$1117,$E639,Versuchsdaten!$J$2:$J$1117,1),""))</f>
        <v/>
      </c>
      <c r="N639" s="22">
        <f>IF(LEFT(C639,7)&lt;&gt;"Sprint_",0,IF(IF(ISNUMBER(K639),IF(K639&lt;=0,1,IF(5/K639&gt;10,1,0)),0)+IF(ISNUMBER(L639),IF(ISNUMBER(K639),IF(L639-K639&lt;=0,1,IF(5/(L639-K639)&gt;10,1,0)),IF(L639&lt;=0,1,IF(10/L639&gt;10,1,0))),0)+IF(ISNUMBER(M639),IF(ISNUMBER(L639),IF(M639-L639&lt;=0,1,IF(20/(M639-L639)&gt;10,1,0)),IF(ISNUMBER(K639),IF(M639-K639&lt;=0,1,IF(25/(M639-K639)&gt;10,1,0)),IF(M639&lt;=0,1,IF(30/M639&gt;10,1,0)))),0)&gt;0,1,0))</f>
        <v/>
      </c>
      <c r="O639" s="22">
        <f>IF(AND(J639=1,N639=0),1,0)</f>
        <v/>
      </c>
      <c r="P639" s="22">
        <f>INDEX(Personendaten!$J$2:$J$32,MATCH(A639,Personendaten!$A$2:$A$32,0))</f>
        <v/>
      </c>
      <c r="Q639" s="22">
        <f>IF(O639=1,"",IF(AND(B639="post",P639="nicht angetreten"),"NANG",IF(N639=1,"AUSL",IFERROR(VLOOKUP(H639,Vokabular!$A$2:$B$8,2,FALSE),"UNBEKANNT"))))</f>
        <v/>
      </c>
    </row>
    <row r="640">
      <c r="A640" s="5" t="inlineStr">
        <is>
          <t>BW-06</t>
        </is>
      </c>
      <c r="B640" s="5" t="inlineStr">
        <is>
          <t>post</t>
        </is>
      </c>
      <c r="C640" s="5" t="inlineStr">
        <is>
          <t>Sprint_30m</t>
        </is>
      </c>
      <c r="D640" s="5" t="inlineStr">
        <is>
          <t>–</t>
        </is>
      </c>
      <c r="E640" s="5" t="n">
        <v>3</v>
      </c>
      <c r="F640" s="5" t="n">
        <v>4.51</v>
      </c>
      <c r="G640" s="5" t="n"/>
      <c r="H640" s="5" t="n"/>
      <c r="I640" s="22">
        <f>INDEX(Personendaten!$C$2:$C$32,MATCH(A640,Personendaten!$A$2:$A$32,0))</f>
        <v/>
      </c>
      <c r="J640" s="22">
        <f>IF(AND(F640&lt;&gt;"",G640=""),1,0)</f>
        <v/>
      </c>
      <c r="K640" s="22">
        <f>IF(LEFT(C640,7)&lt;&gt;"Sprint_","",IF(COUNTIFS(Versuchsdaten!$A$2:$A$1117,$A640,Versuchsdaten!$B$2:$B$1117,$B640,Versuchsdaten!$C$2:$C$1117,"Sprint_5m",Versuchsdaten!$E$2:$E$1117,$E640,Versuchsdaten!$J$2:$J$1117,1)=1,SUMIFS(Versuchsdaten!$F$2:$F$1117,Versuchsdaten!$A$2:$A$1117,$A640,Versuchsdaten!$B$2:$B$1117,$B640,Versuchsdaten!$C$2:$C$1117,"Sprint_5m",Versuchsdaten!$E$2:$E$1117,$E640,Versuchsdaten!$J$2:$J$1117,1),""))</f>
        <v/>
      </c>
      <c r="L640" s="22">
        <f>IF(LEFT(C640,7)&lt;&gt;"Sprint_","",IF(COUNTIFS(Versuchsdaten!$A$2:$A$1117,$A640,Versuchsdaten!$B$2:$B$1117,$B640,Versuchsdaten!$C$2:$C$1117,"Sprint_10m",Versuchsdaten!$E$2:$E$1117,$E640,Versuchsdaten!$J$2:$J$1117,1)=1,SUMIFS(Versuchsdaten!$F$2:$F$1117,Versuchsdaten!$A$2:$A$1117,$A640,Versuchsdaten!$B$2:$B$1117,$B640,Versuchsdaten!$C$2:$C$1117,"Sprint_10m",Versuchsdaten!$E$2:$E$1117,$E640,Versuchsdaten!$J$2:$J$1117,1),""))</f>
        <v/>
      </c>
      <c r="M640" s="22">
        <f>IF(LEFT(C640,7)&lt;&gt;"Sprint_","",IF(COUNTIFS(Versuchsdaten!$A$2:$A$1117,$A640,Versuchsdaten!$B$2:$B$1117,$B640,Versuchsdaten!$C$2:$C$1117,"Sprint_30m",Versuchsdaten!$E$2:$E$1117,$E640,Versuchsdaten!$J$2:$J$1117,1)=1,SUMIFS(Versuchsdaten!$F$2:$F$1117,Versuchsdaten!$A$2:$A$1117,$A640,Versuchsdaten!$B$2:$B$1117,$B640,Versuchsdaten!$C$2:$C$1117,"Sprint_30m",Versuchsdaten!$E$2:$E$1117,$E640,Versuchsdaten!$J$2:$J$1117,1),""))</f>
        <v/>
      </c>
      <c r="N640" s="22">
        <f>IF(LEFT(C640,7)&lt;&gt;"Sprint_",0,IF(IF(ISNUMBER(K640),IF(K640&lt;=0,1,IF(5/K640&gt;10,1,0)),0)+IF(ISNUMBER(L640),IF(ISNUMBER(K640),IF(L640-K640&lt;=0,1,IF(5/(L640-K640)&gt;10,1,0)),IF(L640&lt;=0,1,IF(10/L640&gt;10,1,0))),0)+IF(ISNUMBER(M640),IF(ISNUMBER(L640),IF(M640-L640&lt;=0,1,IF(20/(M640-L640)&gt;10,1,0)),IF(ISNUMBER(K640),IF(M640-K640&lt;=0,1,IF(25/(M640-K640)&gt;10,1,0)),IF(M640&lt;=0,1,IF(30/M640&gt;10,1,0)))),0)&gt;0,1,0))</f>
        <v/>
      </c>
      <c r="O640" s="22">
        <f>IF(AND(J640=1,N640=0),1,0)</f>
        <v/>
      </c>
      <c r="P640" s="22">
        <f>INDEX(Personendaten!$J$2:$J$32,MATCH(A640,Personendaten!$A$2:$A$32,0))</f>
        <v/>
      </c>
      <c r="Q640" s="22">
        <f>IF(O640=1,"",IF(AND(B640="post",P640="nicht angetreten"),"NANG",IF(N640=1,"AUSL",IFERROR(VLOOKUP(H640,Vokabular!$A$2:$B$8,2,FALSE),"UNBEKANNT"))))</f>
        <v/>
      </c>
    </row>
    <row r="641">
      <c r="A641" s="5" t="inlineStr">
        <is>
          <t>BW-06</t>
        </is>
      </c>
      <c r="B641" s="5" t="inlineStr">
        <is>
          <t>post</t>
        </is>
      </c>
      <c r="C641" s="5" t="inlineStr">
        <is>
          <t>Standweitsprung</t>
        </is>
      </c>
      <c r="D641" s="5" t="inlineStr">
        <is>
          <t>–</t>
        </is>
      </c>
      <c r="E641" s="5" t="n">
        <v>1</v>
      </c>
      <c r="F641" s="5" t="n">
        <v>216</v>
      </c>
      <c r="G641" s="5" t="n"/>
      <c r="H641" s="5" t="n"/>
      <c r="I641" s="22">
        <f>INDEX(Personendaten!$C$2:$C$32,MATCH(A641,Personendaten!$A$2:$A$32,0))</f>
        <v/>
      </c>
      <c r="J641" s="22">
        <f>IF(AND(F641&lt;&gt;"",G641=""),1,0)</f>
        <v/>
      </c>
      <c r="K641" s="22">
        <f>IF(LEFT(C641,7)&lt;&gt;"Sprint_","",IF(COUNTIFS(Versuchsdaten!$A$2:$A$1117,$A641,Versuchsdaten!$B$2:$B$1117,$B641,Versuchsdaten!$C$2:$C$1117,"Sprint_5m",Versuchsdaten!$E$2:$E$1117,$E641,Versuchsdaten!$J$2:$J$1117,1)=1,SUMIFS(Versuchsdaten!$F$2:$F$1117,Versuchsdaten!$A$2:$A$1117,$A641,Versuchsdaten!$B$2:$B$1117,$B641,Versuchsdaten!$C$2:$C$1117,"Sprint_5m",Versuchsdaten!$E$2:$E$1117,$E641,Versuchsdaten!$J$2:$J$1117,1),""))</f>
        <v/>
      </c>
      <c r="L641" s="22">
        <f>IF(LEFT(C641,7)&lt;&gt;"Sprint_","",IF(COUNTIFS(Versuchsdaten!$A$2:$A$1117,$A641,Versuchsdaten!$B$2:$B$1117,$B641,Versuchsdaten!$C$2:$C$1117,"Sprint_10m",Versuchsdaten!$E$2:$E$1117,$E641,Versuchsdaten!$J$2:$J$1117,1)=1,SUMIFS(Versuchsdaten!$F$2:$F$1117,Versuchsdaten!$A$2:$A$1117,$A641,Versuchsdaten!$B$2:$B$1117,$B641,Versuchsdaten!$C$2:$C$1117,"Sprint_10m",Versuchsdaten!$E$2:$E$1117,$E641,Versuchsdaten!$J$2:$J$1117,1),""))</f>
        <v/>
      </c>
      <c r="M641" s="22">
        <f>IF(LEFT(C641,7)&lt;&gt;"Sprint_","",IF(COUNTIFS(Versuchsdaten!$A$2:$A$1117,$A641,Versuchsdaten!$B$2:$B$1117,$B641,Versuchsdaten!$C$2:$C$1117,"Sprint_30m",Versuchsdaten!$E$2:$E$1117,$E641,Versuchsdaten!$J$2:$J$1117,1)=1,SUMIFS(Versuchsdaten!$F$2:$F$1117,Versuchsdaten!$A$2:$A$1117,$A641,Versuchsdaten!$B$2:$B$1117,$B641,Versuchsdaten!$C$2:$C$1117,"Sprint_30m",Versuchsdaten!$E$2:$E$1117,$E641,Versuchsdaten!$J$2:$J$1117,1),""))</f>
        <v/>
      </c>
      <c r="N641" s="22">
        <f>IF(LEFT(C641,7)&lt;&gt;"Sprint_",0,IF(IF(ISNUMBER(K641),IF(K641&lt;=0,1,IF(5/K641&gt;10,1,0)),0)+IF(ISNUMBER(L641),IF(ISNUMBER(K641),IF(L641-K641&lt;=0,1,IF(5/(L641-K641)&gt;10,1,0)),IF(L641&lt;=0,1,IF(10/L641&gt;10,1,0))),0)+IF(ISNUMBER(M641),IF(ISNUMBER(L641),IF(M641-L641&lt;=0,1,IF(20/(M641-L641)&gt;10,1,0)),IF(ISNUMBER(K641),IF(M641-K641&lt;=0,1,IF(25/(M641-K641)&gt;10,1,0)),IF(M641&lt;=0,1,IF(30/M641&gt;10,1,0)))),0)&gt;0,1,0))</f>
        <v/>
      </c>
      <c r="O641" s="22">
        <f>IF(AND(J641=1,N641=0),1,0)</f>
        <v/>
      </c>
      <c r="P641" s="22">
        <f>INDEX(Personendaten!$J$2:$J$32,MATCH(A641,Personendaten!$A$2:$A$32,0))</f>
        <v/>
      </c>
      <c r="Q641" s="22">
        <f>IF(O641=1,"",IF(AND(B641="post",P641="nicht angetreten"),"NANG",IF(N641=1,"AUSL",IFERROR(VLOOKUP(H641,Vokabular!$A$2:$B$8,2,FALSE),"UNBEKANNT"))))</f>
        <v/>
      </c>
    </row>
    <row r="642">
      <c r="A642" s="5" t="inlineStr">
        <is>
          <t>BW-06</t>
        </is>
      </c>
      <c r="B642" s="5" t="inlineStr">
        <is>
          <t>post</t>
        </is>
      </c>
      <c r="C642" s="5" t="inlineStr">
        <is>
          <t>Standweitsprung</t>
        </is>
      </c>
      <c r="D642" s="5" t="inlineStr">
        <is>
          <t>–</t>
        </is>
      </c>
      <c r="E642" s="5" t="n">
        <v>2</v>
      </c>
      <c r="F642" s="5" t="n">
        <v>244</v>
      </c>
      <c r="G642" s="5" t="n"/>
      <c r="H642" s="5" t="n"/>
      <c r="I642" s="22">
        <f>INDEX(Personendaten!$C$2:$C$32,MATCH(A642,Personendaten!$A$2:$A$32,0))</f>
        <v/>
      </c>
      <c r="J642" s="22">
        <f>IF(AND(F642&lt;&gt;"",G642=""),1,0)</f>
        <v/>
      </c>
      <c r="K642" s="22">
        <f>IF(LEFT(C642,7)&lt;&gt;"Sprint_","",IF(COUNTIFS(Versuchsdaten!$A$2:$A$1117,$A642,Versuchsdaten!$B$2:$B$1117,$B642,Versuchsdaten!$C$2:$C$1117,"Sprint_5m",Versuchsdaten!$E$2:$E$1117,$E642,Versuchsdaten!$J$2:$J$1117,1)=1,SUMIFS(Versuchsdaten!$F$2:$F$1117,Versuchsdaten!$A$2:$A$1117,$A642,Versuchsdaten!$B$2:$B$1117,$B642,Versuchsdaten!$C$2:$C$1117,"Sprint_5m",Versuchsdaten!$E$2:$E$1117,$E642,Versuchsdaten!$J$2:$J$1117,1),""))</f>
        <v/>
      </c>
      <c r="L642" s="22">
        <f>IF(LEFT(C642,7)&lt;&gt;"Sprint_","",IF(COUNTIFS(Versuchsdaten!$A$2:$A$1117,$A642,Versuchsdaten!$B$2:$B$1117,$B642,Versuchsdaten!$C$2:$C$1117,"Sprint_10m",Versuchsdaten!$E$2:$E$1117,$E642,Versuchsdaten!$J$2:$J$1117,1)=1,SUMIFS(Versuchsdaten!$F$2:$F$1117,Versuchsdaten!$A$2:$A$1117,$A642,Versuchsdaten!$B$2:$B$1117,$B642,Versuchsdaten!$C$2:$C$1117,"Sprint_10m",Versuchsdaten!$E$2:$E$1117,$E642,Versuchsdaten!$J$2:$J$1117,1),""))</f>
        <v/>
      </c>
      <c r="M642" s="22">
        <f>IF(LEFT(C642,7)&lt;&gt;"Sprint_","",IF(COUNTIFS(Versuchsdaten!$A$2:$A$1117,$A642,Versuchsdaten!$B$2:$B$1117,$B642,Versuchsdaten!$C$2:$C$1117,"Sprint_30m",Versuchsdaten!$E$2:$E$1117,$E642,Versuchsdaten!$J$2:$J$1117,1)=1,SUMIFS(Versuchsdaten!$F$2:$F$1117,Versuchsdaten!$A$2:$A$1117,$A642,Versuchsdaten!$B$2:$B$1117,$B642,Versuchsdaten!$C$2:$C$1117,"Sprint_30m",Versuchsdaten!$E$2:$E$1117,$E642,Versuchsdaten!$J$2:$J$1117,1),""))</f>
        <v/>
      </c>
      <c r="N642" s="22">
        <f>IF(LEFT(C642,7)&lt;&gt;"Sprint_",0,IF(IF(ISNUMBER(K642),IF(K642&lt;=0,1,IF(5/K642&gt;10,1,0)),0)+IF(ISNUMBER(L642),IF(ISNUMBER(K642),IF(L642-K642&lt;=0,1,IF(5/(L642-K642)&gt;10,1,0)),IF(L642&lt;=0,1,IF(10/L642&gt;10,1,0))),0)+IF(ISNUMBER(M642),IF(ISNUMBER(L642),IF(M642-L642&lt;=0,1,IF(20/(M642-L642)&gt;10,1,0)),IF(ISNUMBER(K642),IF(M642-K642&lt;=0,1,IF(25/(M642-K642)&gt;10,1,0)),IF(M642&lt;=0,1,IF(30/M642&gt;10,1,0)))),0)&gt;0,1,0))</f>
        <v/>
      </c>
      <c r="O642" s="22">
        <f>IF(AND(J642=1,N642=0),1,0)</f>
        <v/>
      </c>
      <c r="P642" s="22">
        <f>INDEX(Personendaten!$J$2:$J$32,MATCH(A642,Personendaten!$A$2:$A$32,0))</f>
        <v/>
      </c>
      <c r="Q642" s="22">
        <f>IF(O642=1,"",IF(AND(B642="post",P642="nicht angetreten"),"NANG",IF(N642=1,"AUSL",IFERROR(VLOOKUP(H642,Vokabular!$A$2:$B$8,2,FALSE),"UNBEKANNT"))))</f>
        <v/>
      </c>
    </row>
    <row r="643">
      <c r="A643" s="5" t="inlineStr">
        <is>
          <t>BW-06</t>
        </is>
      </c>
      <c r="B643" s="5" t="inlineStr">
        <is>
          <t>post</t>
        </is>
      </c>
      <c r="C643" s="5" t="inlineStr">
        <is>
          <t>Standweitsprung</t>
        </is>
      </c>
      <c r="D643" s="5" t="inlineStr">
        <is>
          <t>–</t>
        </is>
      </c>
      <c r="E643" s="5" t="n">
        <v>3</v>
      </c>
      <c r="F643" s="5" t="n">
        <v>237</v>
      </c>
      <c r="G643" s="5" t="n"/>
      <c r="H643" s="5" t="n"/>
      <c r="I643" s="22">
        <f>INDEX(Personendaten!$C$2:$C$32,MATCH(A643,Personendaten!$A$2:$A$32,0))</f>
        <v/>
      </c>
      <c r="J643" s="22">
        <f>IF(AND(F643&lt;&gt;"",G643=""),1,0)</f>
        <v/>
      </c>
      <c r="K643" s="22">
        <f>IF(LEFT(C643,7)&lt;&gt;"Sprint_","",IF(COUNTIFS(Versuchsdaten!$A$2:$A$1117,$A643,Versuchsdaten!$B$2:$B$1117,$B643,Versuchsdaten!$C$2:$C$1117,"Sprint_5m",Versuchsdaten!$E$2:$E$1117,$E643,Versuchsdaten!$J$2:$J$1117,1)=1,SUMIFS(Versuchsdaten!$F$2:$F$1117,Versuchsdaten!$A$2:$A$1117,$A643,Versuchsdaten!$B$2:$B$1117,$B643,Versuchsdaten!$C$2:$C$1117,"Sprint_5m",Versuchsdaten!$E$2:$E$1117,$E643,Versuchsdaten!$J$2:$J$1117,1),""))</f>
        <v/>
      </c>
      <c r="L643" s="22">
        <f>IF(LEFT(C643,7)&lt;&gt;"Sprint_","",IF(COUNTIFS(Versuchsdaten!$A$2:$A$1117,$A643,Versuchsdaten!$B$2:$B$1117,$B643,Versuchsdaten!$C$2:$C$1117,"Sprint_10m",Versuchsdaten!$E$2:$E$1117,$E643,Versuchsdaten!$J$2:$J$1117,1)=1,SUMIFS(Versuchsdaten!$F$2:$F$1117,Versuchsdaten!$A$2:$A$1117,$A643,Versuchsdaten!$B$2:$B$1117,$B643,Versuchsdaten!$C$2:$C$1117,"Sprint_10m",Versuchsdaten!$E$2:$E$1117,$E643,Versuchsdaten!$J$2:$J$1117,1),""))</f>
        <v/>
      </c>
      <c r="M643" s="22">
        <f>IF(LEFT(C643,7)&lt;&gt;"Sprint_","",IF(COUNTIFS(Versuchsdaten!$A$2:$A$1117,$A643,Versuchsdaten!$B$2:$B$1117,$B643,Versuchsdaten!$C$2:$C$1117,"Sprint_30m",Versuchsdaten!$E$2:$E$1117,$E643,Versuchsdaten!$J$2:$J$1117,1)=1,SUMIFS(Versuchsdaten!$F$2:$F$1117,Versuchsdaten!$A$2:$A$1117,$A643,Versuchsdaten!$B$2:$B$1117,$B643,Versuchsdaten!$C$2:$C$1117,"Sprint_30m",Versuchsdaten!$E$2:$E$1117,$E643,Versuchsdaten!$J$2:$J$1117,1),""))</f>
        <v/>
      </c>
      <c r="N643" s="22">
        <f>IF(LEFT(C643,7)&lt;&gt;"Sprint_",0,IF(IF(ISNUMBER(K643),IF(K643&lt;=0,1,IF(5/K643&gt;10,1,0)),0)+IF(ISNUMBER(L643),IF(ISNUMBER(K643),IF(L643-K643&lt;=0,1,IF(5/(L643-K643)&gt;10,1,0)),IF(L643&lt;=0,1,IF(10/L643&gt;10,1,0))),0)+IF(ISNUMBER(M643),IF(ISNUMBER(L643),IF(M643-L643&lt;=0,1,IF(20/(M643-L643)&gt;10,1,0)),IF(ISNUMBER(K643),IF(M643-K643&lt;=0,1,IF(25/(M643-K643)&gt;10,1,0)),IF(M643&lt;=0,1,IF(30/M643&gt;10,1,0)))),0)&gt;0,1,0))</f>
        <v/>
      </c>
      <c r="O643" s="22">
        <f>IF(AND(J643=1,N643=0),1,0)</f>
        <v/>
      </c>
      <c r="P643" s="22">
        <f>INDEX(Personendaten!$J$2:$J$32,MATCH(A643,Personendaten!$A$2:$A$32,0))</f>
        <v/>
      </c>
      <c r="Q643" s="22">
        <f>IF(O643=1,"",IF(AND(B643="post",P643="nicht angetreten"),"NANG",IF(N643=1,"AUSL",IFERROR(VLOOKUP(H643,Vokabular!$A$2:$B$8,2,FALSE),"UNBEKANNT"))))</f>
        <v/>
      </c>
    </row>
    <row r="644">
      <c r="A644" s="5" t="inlineStr">
        <is>
          <t>BW-06</t>
        </is>
      </c>
      <c r="B644" s="5" t="inlineStr">
        <is>
          <t>post</t>
        </is>
      </c>
      <c r="C644" s="5" t="inlineStr">
        <is>
          <t>COD_505</t>
        </is>
      </c>
      <c r="D644" s="5" t="inlineStr">
        <is>
          <t>L</t>
        </is>
      </c>
      <c r="E644" s="5" t="n">
        <v>1</v>
      </c>
      <c r="F644" s="5" t="n">
        <v>2.56</v>
      </c>
      <c r="G644" s="5" t="n"/>
      <c r="H644" s="5" t="n"/>
      <c r="I644" s="22">
        <f>INDEX(Personendaten!$C$2:$C$32,MATCH(A644,Personendaten!$A$2:$A$32,0))</f>
        <v/>
      </c>
      <c r="J644" s="22">
        <f>IF(AND(F644&lt;&gt;"",G644=""),1,0)</f>
        <v/>
      </c>
      <c r="K644" s="22">
        <f>IF(LEFT(C644,7)&lt;&gt;"Sprint_","",IF(COUNTIFS(Versuchsdaten!$A$2:$A$1117,$A644,Versuchsdaten!$B$2:$B$1117,$B644,Versuchsdaten!$C$2:$C$1117,"Sprint_5m",Versuchsdaten!$E$2:$E$1117,$E644,Versuchsdaten!$J$2:$J$1117,1)=1,SUMIFS(Versuchsdaten!$F$2:$F$1117,Versuchsdaten!$A$2:$A$1117,$A644,Versuchsdaten!$B$2:$B$1117,$B644,Versuchsdaten!$C$2:$C$1117,"Sprint_5m",Versuchsdaten!$E$2:$E$1117,$E644,Versuchsdaten!$J$2:$J$1117,1),""))</f>
        <v/>
      </c>
      <c r="L644" s="22">
        <f>IF(LEFT(C644,7)&lt;&gt;"Sprint_","",IF(COUNTIFS(Versuchsdaten!$A$2:$A$1117,$A644,Versuchsdaten!$B$2:$B$1117,$B644,Versuchsdaten!$C$2:$C$1117,"Sprint_10m",Versuchsdaten!$E$2:$E$1117,$E644,Versuchsdaten!$J$2:$J$1117,1)=1,SUMIFS(Versuchsdaten!$F$2:$F$1117,Versuchsdaten!$A$2:$A$1117,$A644,Versuchsdaten!$B$2:$B$1117,$B644,Versuchsdaten!$C$2:$C$1117,"Sprint_10m",Versuchsdaten!$E$2:$E$1117,$E644,Versuchsdaten!$J$2:$J$1117,1),""))</f>
        <v/>
      </c>
      <c r="M644" s="22">
        <f>IF(LEFT(C644,7)&lt;&gt;"Sprint_","",IF(COUNTIFS(Versuchsdaten!$A$2:$A$1117,$A644,Versuchsdaten!$B$2:$B$1117,$B644,Versuchsdaten!$C$2:$C$1117,"Sprint_30m",Versuchsdaten!$E$2:$E$1117,$E644,Versuchsdaten!$J$2:$J$1117,1)=1,SUMIFS(Versuchsdaten!$F$2:$F$1117,Versuchsdaten!$A$2:$A$1117,$A644,Versuchsdaten!$B$2:$B$1117,$B644,Versuchsdaten!$C$2:$C$1117,"Sprint_30m",Versuchsdaten!$E$2:$E$1117,$E644,Versuchsdaten!$J$2:$J$1117,1),""))</f>
        <v/>
      </c>
      <c r="N644" s="22">
        <f>IF(LEFT(C644,7)&lt;&gt;"Sprint_",0,IF(IF(ISNUMBER(K644),IF(K644&lt;=0,1,IF(5/K644&gt;10,1,0)),0)+IF(ISNUMBER(L644),IF(ISNUMBER(K644),IF(L644-K644&lt;=0,1,IF(5/(L644-K644)&gt;10,1,0)),IF(L644&lt;=0,1,IF(10/L644&gt;10,1,0))),0)+IF(ISNUMBER(M644),IF(ISNUMBER(L644),IF(M644-L644&lt;=0,1,IF(20/(M644-L644)&gt;10,1,0)),IF(ISNUMBER(K644),IF(M644-K644&lt;=0,1,IF(25/(M644-K644)&gt;10,1,0)),IF(M644&lt;=0,1,IF(30/M644&gt;10,1,0)))),0)&gt;0,1,0))</f>
        <v/>
      </c>
      <c r="O644" s="22">
        <f>IF(AND(J644=1,N644=0),1,0)</f>
        <v/>
      </c>
      <c r="P644" s="22">
        <f>INDEX(Personendaten!$J$2:$J$32,MATCH(A644,Personendaten!$A$2:$A$32,0))</f>
        <v/>
      </c>
      <c r="Q644" s="22">
        <f>IF(O644=1,"",IF(AND(B644="post",P644="nicht angetreten"),"NANG",IF(N644=1,"AUSL",IFERROR(VLOOKUP(H644,Vokabular!$A$2:$B$8,2,FALSE),"UNBEKANNT"))))</f>
        <v/>
      </c>
    </row>
    <row r="645">
      <c r="A645" s="5" t="inlineStr">
        <is>
          <t>BW-06</t>
        </is>
      </c>
      <c r="B645" s="5" t="inlineStr">
        <is>
          <t>post</t>
        </is>
      </c>
      <c r="C645" s="5" t="inlineStr">
        <is>
          <t>COD_505</t>
        </is>
      </c>
      <c r="D645" s="5" t="inlineStr">
        <is>
          <t>L</t>
        </is>
      </c>
      <c r="E645" s="5" t="n">
        <v>2</v>
      </c>
      <c r="F645" s="5" t="n"/>
      <c r="G645" s="5" t="inlineStr">
        <is>
          <t>x</t>
        </is>
      </c>
      <c r="H645" s="5" t="inlineStr">
        <is>
          <t>Fehlversuch</t>
        </is>
      </c>
      <c r="I645" s="22">
        <f>INDEX(Personendaten!$C$2:$C$32,MATCH(A645,Personendaten!$A$2:$A$32,0))</f>
        <v/>
      </c>
      <c r="J645" s="22">
        <f>IF(AND(F645&lt;&gt;"",G645=""),1,0)</f>
        <v/>
      </c>
      <c r="K645" s="22">
        <f>IF(LEFT(C645,7)&lt;&gt;"Sprint_","",IF(COUNTIFS(Versuchsdaten!$A$2:$A$1117,$A645,Versuchsdaten!$B$2:$B$1117,$B645,Versuchsdaten!$C$2:$C$1117,"Sprint_5m",Versuchsdaten!$E$2:$E$1117,$E645,Versuchsdaten!$J$2:$J$1117,1)=1,SUMIFS(Versuchsdaten!$F$2:$F$1117,Versuchsdaten!$A$2:$A$1117,$A645,Versuchsdaten!$B$2:$B$1117,$B645,Versuchsdaten!$C$2:$C$1117,"Sprint_5m",Versuchsdaten!$E$2:$E$1117,$E645,Versuchsdaten!$J$2:$J$1117,1),""))</f>
        <v/>
      </c>
      <c r="L645" s="22">
        <f>IF(LEFT(C645,7)&lt;&gt;"Sprint_","",IF(COUNTIFS(Versuchsdaten!$A$2:$A$1117,$A645,Versuchsdaten!$B$2:$B$1117,$B645,Versuchsdaten!$C$2:$C$1117,"Sprint_10m",Versuchsdaten!$E$2:$E$1117,$E645,Versuchsdaten!$J$2:$J$1117,1)=1,SUMIFS(Versuchsdaten!$F$2:$F$1117,Versuchsdaten!$A$2:$A$1117,$A645,Versuchsdaten!$B$2:$B$1117,$B645,Versuchsdaten!$C$2:$C$1117,"Sprint_10m",Versuchsdaten!$E$2:$E$1117,$E645,Versuchsdaten!$J$2:$J$1117,1),""))</f>
        <v/>
      </c>
      <c r="M645" s="22">
        <f>IF(LEFT(C645,7)&lt;&gt;"Sprint_","",IF(COUNTIFS(Versuchsdaten!$A$2:$A$1117,$A645,Versuchsdaten!$B$2:$B$1117,$B645,Versuchsdaten!$C$2:$C$1117,"Sprint_30m",Versuchsdaten!$E$2:$E$1117,$E645,Versuchsdaten!$J$2:$J$1117,1)=1,SUMIFS(Versuchsdaten!$F$2:$F$1117,Versuchsdaten!$A$2:$A$1117,$A645,Versuchsdaten!$B$2:$B$1117,$B645,Versuchsdaten!$C$2:$C$1117,"Sprint_30m",Versuchsdaten!$E$2:$E$1117,$E645,Versuchsdaten!$J$2:$J$1117,1),""))</f>
        <v/>
      </c>
      <c r="N645" s="22">
        <f>IF(LEFT(C645,7)&lt;&gt;"Sprint_",0,IF(IF(ISNUMBER(K645),IF(K645&lt;=0,1,IF(5/K645&gt;10,1,0)),0)+IF(ISNUMBER(L645),IF(ISNUMBER(K645),IF(L645-K645&lt;=0,1,IF(5/(L645-K645)&gt;10,1,0)),IF(L645&lt;=0,1,IF(10/L645&gt;10,1,0))),0)+IF(ISNUMBER(M645),IF(ISNUMBER(L645),IF(M645-L645&lt;=0,1,IF(20/(M645-L645)&gt;10,1,0)),IF(ISNUMBER(K645),IF(M645-K645&lt;=0,1,IF(25/(M645-K645)&gt;10,1,0)),IF(M645&lt;=0,1,IF(30/M645&gt;10,1,0)))),0)&gt;0,1,0))</f>
        <v/>
      </c>
      <c r="O645" s="22">
        <f>IF(AND(J645=1,N645=0),1,0)</f>
        <v/>
      </c>
      <c r="P645" s="22">
        <f>INDEX(Personendaten!$J$2:$J$32,MATCH(A645,Personendaten!$A$2:$A$32,0))</f>
        <v/>
      </c>
      <c r="Q645" s="22">
        <f>IF(O645=1,"",IF(AND(B645="post",P645="nicht angetreten"),"NANG",IF(N645=1,"AUSL",IFERROR(VLOOKUP(H645,Vokabular!$A$2:$B$8,2,FALSE),"UNBEKANNT"))))</f>
        <v/>
      </c>
    </row>
    <row r="646">
      <c r="A646" s="5" t="inlineStr">
        <is>
          <t>BW-06</t>
        </is>
      </c>
      <c r="B646" s="5" t="inlineStr">
        <is>
          <t>post</t>
        </is>
      </c>
      <c r="C646" s="5" t="inlineStr">
        <is>
          <t>COD_505</t>
        </is>
      </c>
      <c r="D646" s="5" t="inlineStr">
        <is>
          <t>L</t>
        </is>
      </c>
      <c r="E646" s="5" t="n">
        <v>3</v>
      </c>
      <c r="F646" s="5" t="n"/>
      <c r="G646" s="5" t="n"/>
      <c r="H646" s="5" t="inlineStr">
        <is>
          <t>Nur 2 Versuche aus Zeitmangel</t>
        </is>
      </c>
      <c r="I646" s="22">
        <f>INDEX(Personendaten!$C$2:$C$32,MATCH(A646,Personendaten!$A$2:$A$32,0))</f>
        <v/>
      </c>
      <c r="J646" s="22">
        <f>IF(AND(F646&lt;&gt;"",G646=""),1,0)</f>
        <v/>
      </c>
      <c r="K646" s="22">
        <f>IF(LEFT(C646,7)&lt;&gt;"Sprint_","",IF(COUNTIFS(Versuchsdaten!$A$2:$A$1117,$A646,Versuchsdaten!$B$2:$B$1117,$B646,Versuchsdaten!$C$2:$C$1117,"Sprint_5m",Versuchsdaten!$E$2:$E$1117,$E646,Versuchsdaten!$J$2:$J$1117,1)=1,SUMIFS(Versuchsdaten!$F$2:$F$1117,Versuchsdaten!$A$2:$A$1117,$A646,Versuchsdaten!$B$2:$B$1117,$B646,Versuchsdaten!$C$2:$C$1117,"Sprint_5m",Versuchsdaten!$E$2:$E$1117,$E646,Versuchsdaten!$J$2:$J$1117,1),""))</f>
        <v/>
      </c>
      <c r="L646" s="22">
        <f>IF(LEFT(C646,7)&lt;&gt;"Sprint_","",IF(COUNTIFS(Versuchsdaten!$A$2:$A$1117,$A646,Versuchsdaten!$B$2:$B$1117,$B646,Versuchsdaten!$C$2:$C$1117,"Sprint_10m",Versuchsdaten!$E$2:$E$1117,$E646,Versuchsdaten!$J$2:$J$1117,1)=1,SUMIFS(Versuchsdaten!$F$2:$F$1117,Versuchsdaten!$A$2:$A$1117,$A646,Versuchsdaten!$B$2:$B$1117,$B646,Versuchsdaten!$C$2:$C$1117,"Sprint_10m",Versuchsdaten!$E$2:$E$1117,$E646,Versuchsdaten!$J$2:$J$1117,1),""))</f>
        <v/>
      </c>
      <c r="M646" s="22">
        <f>IF(LEFT(C646,7)&lt;&gt;"Sprint_","",IF(COUNTIFS(Versuchsdaten!$A$2:$A$1117,$A646,Versuchsdaten!$B$2:$B$1117,$B646,Versuchsdaten!$C$2:$C$1117,"Sprint_30m",Versuchsdaten!$E$2:$E$1117,$E646,Versuchsdaten!$J$2:$J$1117,1)=1,SUMIFS(Versuchsdaten!$F$2:$F$1117,Versuchsdaten!$A$2:$A$1117,$A646,Versuchsdaten!$B$2:$B$1117,$B646,Versuchsdaten!$C$2:$C$1117,"Sprint_30m",Versuchsdaten!$E$2:$E$1117,$E646,Versuchsdaten!$J$2:$J$1117,1),""))</f>
        <v/>
      </c>
      <c r="N646" s="22">
        <f>IF(LEFT(C646,7)&lt;&gt;"Sprint_",0,IF(IF(ISNUMBER(K646),IF(K646&lt;=0,1,IF(5/K646&gt;10,1,0)),0)+IF(ISNUMBER(L646),IF(ISNUMBER(K646),IF(L646-K646&lt;=0,1,IF(5/(L646-K646)&gt;10,1,0)),IF(L646&lt;=0,1,IF(10/L646&gt;10,1,0))),0)+IF(ISNUMBER(M646),IF(ISNUMBER(L646),IF(M646-L646&lt;=0,1,IF(20/(M646-L646)&gt;10,1,0)),IF(ISNUMBER(K646),IF(M646-K646&lt;=0,1,IF(25/(M646-K646)&gt;10,1,0)),IF(M646&lt;=0,1,IF(30/M646&gt;10,1,0)))),0)&gt;0,1,0))</f>
        <v/>
      </c>
      <c r="O646" s="22">
        <f>IF(AND(J646=1,N646=0),1,0)</f>
        <v/>
      </c>
      <c r="P646" s="22">
        <f>INDEX(Personendaten!$J$2:$J$32,MATCH(A646,Personendaten!$A$2:$A$32,0))</f>
        <v/>
      </c>
      <c r="Q646" s="22">
        <f>IF(O646=1,"",IF(AND(B646="post",P646="nicht angetreten"),"NANG",IF(N646=1,"AUSL",IFERROR(VLOOKUP(H646,Vokabular!$A$2:$B$8,2,FALSE),"UNBEKANNT"))))</f>
        <v/>
      </c>
    </row>
    <row r="647">
      <c r="A647" s="5" t="inlineStr">
        <is>
          <t>BW-06</t>
        </is>
      </c>
      <c r="B647" s="5" t="inlineStr">
        <is>
          <t>post</t>
        </is>
      </c>
      <c r="C647" s="5" t="inlineStr">
        <is>
          <t>COD_505</t>
        </is>
      </c>
      <c r="D647" s="5" t="inlineStr">
        <is>
          <t>R</t>
        </is>
      </c>
      <c r="E647" s="5" t="n">
        <v>1</v>
      </c>
      <c r="F647" s="5" t="n"/>
      <c r="G647" s="5" t="inlineStr">
        <is>
          <t>x</t>
        </is>
      </c>
      <c r="H647" s="5" t="inlineStr">
        <is>
          <t>Fehlversuch</t>
        </is>
      </c>
      <c r="I647" s="22">
        <f>INDEX(Personendaten!$C$2:$C$32,MATCH(A647,Personendaten!$A$2:$A$32,0))</f>
        <v/>
      </c>
      <c r="J647" s="22">
        <f>IF(AND(F647&lt;&gt;"",G647=""),1,0)</f>
        <v/>
      </c>
      <c r="K647" s="22">
        <f>IF(LEFT(C647,7)&lt;&gt;"Sprint_","",IF(COUNTIFS(Versuchsdaten!$A$2:$A$1117,$A647,Versuchsdaten!$B$2:$B$1117,$B647,Versuchsdaten!$C$2:$C$1117,"Sprint_5m",Versuchsdaten!$E$2:$E$1117,$E647,Versuchsdaten!$J$2:$J$1117,1)=1,SUMIFS(Versuchsdaten!$F$2:$F$1117,Versuchsdaten!$A$2:$A$1117,$A647,Versuchsdaten!$B$2:$B$1117,$B647,Versuchsdaten!$C$2:$C$1117,"Sprint_5m",Versuchsdaten!$E$2:$E$1117,$E647,Versuchsdaten!$J$2:$J$1117,1),""))</f>
        <v/>
      </c>
      <c r="L647" s="22">
        <f>IF(LEFT(C647,7)&lt;&gt;"Sprint_","",IF(COUNTIFS(Versuchsdaten!$A$2:$A$1117,$A647,Versuchsdaten!$B$2:$B$1117,$B647,Versuchsdaten!$C$2:$C$1117,"Sprint_10m",Versuchsdaten!$E$2:$E$1117,$E647,Versuchsdaten!$J$2:$J$1117,1)=1,SUMIFS(Versuchsdaten!$F$2:$F$1117,Versuchsdaten!$A$2:$A$1117,$A647,Versuchsdaten!$B$2:$B$1117,$B647,Versuchsdaten!$C$2:$C$1117,"Sprint_10m",Versuchsdaten!$E$2:$E$1117,$E647,Versuchsdaten!$J$2:$J$1117,1),""))</f>
        <v/>
      </c>
      <c r="M647" s="22">
        <f>IF(LEFT(C647,7)&lt;&gt;"Sprint_","",IF(COUNTIFS(Versuchsdaten!$A$2:$A$1117,$A647,Versuchsdaten!$B$2:$B$1117,$B647,Versuchsdaten!$C$2:$C$1117,"Sprint_30m",Versuchsdaten!$E$2:$E$1117,$E647,Versuchsdaten!$J$2:$J$1117,1)=1,SUMIFS(Versuchsdaten!$F$2:$F$1117,Versuchsdaten!$A$2:$A$1117,$A647,Versuchsdaten!$B$2:$B$1117,$B647,Versuchsdaten!$C$2:$C$1117,"Sprint_30m",Versuchsdaten!$E$2:$E$1117,$E647,Versuchsdaten!$J$2:$J$1117,1),""))</f>
        <v/>
      </c>
      <c r="N647" s="22">
        <f>IF(LEFT(C647,7)&lt;&gt;"Sprint_",0,IF(IF(ISNUMBER(K647),IF(K647&lt;=0,1,IF(5/K647&gt;10,1,0)),0)+IF(ISNUMBER(L647),IF(ISNUMBER(K647),IF(L647-K647&lt;=0,1,IF(5/(L647-K647)&gt;10,1,0)),IF(L647&lt;=0,1,IF(10/L647&gt;10,1,0))),0)+IF(ISNUMBER(M647),IF(ISNUMBER(L647),IF(M647-L647&lt;=0,1,IF(20/(M647-L647)&gt;10,1,0)),IF(ISNUMBER(K647),IF(M647-K647&lt;=0,1,IF(25/(M647-K647)&gt;10,1,0)),IF(M647&lt;=0,1,IF(30/M647&gt;10,1,0)))),0)&gt;0,1,0))</f>
        <v/>
      </c>
      <c r="O647" s="22">
        <f>IF(AND(J647=1,N647=0),1,0)</f>
        <v/>
      </c>
      <c r="P647" s="22">
        <f>INDEX(Personendaten!$J$2:$J$32,MATCH(A647,Personendaten!$A$2:$A$32,0))</f>
        <v/>
      </c>
      <c r="Q647" s="22">
        <f>IF(O647=1,"",IF(AND(B647="post",P647="nicht angetreten"),"NANG",IF(N647=1,"AUSL",IFERROR(VLOOKUP(H647,Vokabular!$A$2:$B$8,2,FALSE),"UNBEKANNT"))))</f>
        <v/>
      </c>
    </row>
    <row r="648">
      <c r="A648" s="5" t="inlineStr">
        <is>
          <t>BW-06</t>
        </is>
      </c>
      <c r="B648" s="5" t="inlineStr">
        <is>
          <t>post</t>
        </is>
      </c>
      <c r="C648" s="5" t="inlineStr">
        <is>
          <t>COD_505</t>
        </is>
      </c>
      <c r="D648" s="5" t="inlineStr">
        <is>
          <t>R</t>
        </is>
      </c>
      <c r="E648" s="5" t="n">
        <v>2</v>
      </c>
      <c r="F648" s="5" t="n">
        <v>2.62</v>
      </c>
      <c r="G648" s="5" t="n"/>
      <c r="H648" s="5" t="n"/>
      <c r="I648" s="22">
        <f>INDEX(Personendaten!$C$2:$C$32,MATCH(A648,Personendaten!$A$2:$A$32,0))</f>
        <v/>
      </c>
      <c r="J648" s="22">
        <f>IF(AND(F648&lt;&gt;"",G648=""),1,0)</f>
        <v/>
      </c>
      <c r="K648" s="22">
        <f>IF(LEFT(C648,7)&lt;&gt;"Sprint_","",IF(COUNTIFS(Versuchsdaten!$A$2:$A$1117,$A648,Versuchsdaten!$B$2:$B$1117,$B648,Versuchsdaten!$C$2:$C$1117,"Sprint_5m",Versuchsdaten!$E$2:$E$1117,$E648,Versuchsdaten!$J$2:$J$1117,1)=1,SUMIFS(Versuchsdaten!$F$2:$F$1117,Versuchsdaten!$A$2:$A$1117,$A648,Versuchsdaten!$B$2:$B$1117,$B648,Versuchsdaten!$C$2:$C$1117,"Sprint_5m",Versuchsdaten!$E$2:$E$1117,$E648,Versuchsdaten!$J$2:$J$1117,1),""))</f>
        <v/>
      </c>
      <c r="L648" s="22">
        <f>IF(LEFT(C648,7)&lt;&gt;"Sprint_","",IF(COUNTIFS(Versuchsdaten!$A$2:$A$1117,$A648,Versuchsdaten!$B$2:$B$1117,$B648,Versuchsdaten!$C$2:$C$1117,"Sprint_10m",Versuchsdaten!$E$2:$E$1117,$E648,Versuchsdaten!$J$2:$J$1117,1)=1,SUMIFS(Versuchsdaten!$F$2:$F$1117,Versuchsdaten!$A$2:$A$1117,$A648,Versuchsdaten!$B$2:$B$1117,$B648,Versuchsdaten!$C$2:$C$1117,"Sprint_10m",Versuchsdaten!$E$2:$E$1117,$E648,Versuchsdaten!$J$2:$J$1117,1),""))</f>
        <v/>
      </c>
      <c r="M648" s="22">
        <f>IF(LEFT(C648,7)&lt;&gt;"Sprint_","",IF(COUNTIFS(Versuchsdaten!$A$2:$A$1117,$A648,Versuchsdaten!$B$2:$B$1117,$B648,Versuchsdaten!$C$2:$C$1117,"Sprint_30m",Versuchsdaten!$E$2:$E$1117,$E648,Versuchsdaten!$J$2:$J$1117,1)=1,SUMIFS(Versuchsdaten!$F$2:$F$1117,Versuchsdaten!$A$2:$A$1117,$A648,Versuchsdaten!$B$2:$B$1117,$B648,Versuchsdaten!$C$2:$C$1117,"Sprint_30m",Versuchsdaten!$E$2:$E$1117,$E648,Versuchsdaten!$J$2:$J$1117,1),""))</f>
        <v/>
      </c>
      <c r="N648" s="22">
        <f>IF(LEFT(C648,7)&lt;&gt;"Sprint_",0,IF(IF(ISNUMBER(K648),IF(K648&lt;=0,1,IF(5/K648&gt;10,1,0)),0)+IF(ISNUMBER(L648),IF(ISNUMBER(K648),IF(L648-K648&lt;=0,1,IF(5/(L648-K648)&gt;10,1,0)),IF(L648&lt;=0,1,IF(10/L648&gt;10,1,0))),0)+IF(ISNUMBER(M648),IF(ISNUMBER(L648),IF(M648-L648&lt;=0,1,IF(20/(M648-L648)&gt;10,1,0)),IF(ISNUMBER(K648),IF(M648-K648&lt;=0,1,IF(25/(M648-K648)&gt;10,1,0)),IF(M648&lt;=0,1,IF(30/M648&gt;10,1,0)))),0)&gt;0,1,0))</f>
        <v/>
      </c>
      <c r="O648" s="22">
        <f>IF(AND(J648=1,N648=0),1,0)</f>
        <v/>
      </c>
      <c r="P648" s="22">
        <f>INDEX(Personendaten!$J$2:$J$32,MATCH(A648,Personendaten!$A$2:$A$32,0))</f>
        <v/>
      </c>
      <c r="Q648" s="22">
        <f>IF(O648=1,"",IF(AND(B648="post",P648="nicht angetreten"),"NANG",IF(N648=1,"AUSL",IFERROR(VLOOKUP(H648,Vokabular!$A$2:$B$8,2,FALSE),"UNBEKANNT"))))</f>
        <v/>
      </c>
    </row>
    <row r="649">
      <c r="A649" s="5" t="inlineStr">
        <is>
          <t>BW-06</t>
        </is>
      </c>
      <c r="B649" s="5" t="inlineStr">
        <is>
          <t>post</t>
        </is>
      </c>
      <c r="C649" s="5" t="inlineStr">
        <is>
          <t>COD_505</t>
        </is>
      </c>
      <c r="D649" s="5" t="inlineStr">
        <is>
          <t>R</t>
        </is>
      </c>
      <c r="E649" s="5" t="n">
        <v>3</v>
      </c>
      <c r="F649" s="5" t="n"/>
      <c r="G649" s="5" t="n"/>
      <c r="H649" s="5" t="inlineStr">
        <is>
          <t>Nur 2 Versuche aus Zeitmangel</t>
        </is>
      </c>
      <c r="I649" s="22">
        <f>INDEX(Personendaten!$C$2:$C$32,MATCH(A649,Personendaten!$A$2:$A$32,0))</f>
        <v/>
      </c>
      <c r="J649" s="22">
        <f>IF(AND(F649&lt;&gt;"",G649=""),1,0)</f>
        <v/>
      </c>
      <c r="K649" s="22">
        <f>IF(LEFT(C649,7)&lt;&gt;"Sprint_","",IF(COUNTIFS(Versuchsdaten!$A$2:$A$1117,$A649,Versuchsdaten!$B$2:$B$1117,$B649,Versuchsdaten!$C$2:$C$1117,"Sprint_5m",Versuchsdaten!$E$2:$E$1117,$E649,Versuchsdaten!$J$2:$J$1117,1)=1,SUMIFS(Versuchsdaten!$F$2:$F$1117,Versuchsdaten!$A$2:$A$1117,$A649,Versuchsdaten!$B$2:$B$1117,$B649,Versuchsdaten!$C$2:$C$1117,"Sprint_5m",Versuchsdaten!$E$2:$E$1117,$E649,Versuchsdaten!$J$2:$J$1117,1),""))</f>
        <v/>
      </c>
      <c r="L649" s="22">
        <f>IF(LEFT(C649,7)&lt;&gt;"Sprint_","",IF(COUNTIFS(Versuchsdaten!$A$2:$A$1117,$A649,Versuchsdaten!$B$2:$B$1117,$B649,Versuchsdaten!$C$2:$C$1117,"Sprint_10m",Versuchsdaten!$E$2:$E$1117,$E649,Versuchsdaten!$J$2:$J$1117,1)=1,SUMIFS(Versuchsdaten!$F$2:$F$1117,Versuchsdaten!$A$2:$A$1117,$A649,Versuchsdaten!$B$2:$B$1117,$B649,Versuchsdaten!$C$2:$C$1117,"Sprint_10m",Versuchsdaten!$E$2:$E$1117,$E649,Versuchsdaten!$J$2:$J$1117,1),""))</f>
        <v/>
      </c>
      <c r="M649" s="22">
        <f>IF(LEFT(C649,7)&lt;&gt;"Sprint_","",IF(COUNTIFS(Versuchsdaten!$A$2:$A$1117,$A649,Versuchsdaten!$B$2:$B$1117,$B649,Versuchsdaten!$C$2:$C$1117,"Sprint_30m",Versuchsdaten!$E$2:$E$1117,$E649,Versuchsdaten!$J$2:$J$1117,1)=1,SUMIFS(Versuchsdaten!$F$2:$F$1117,Versuchsdaten!$A$2:$A$1117,$A649,Versuchsdaten!$B$2:$B$1117,$B649,Versuchsdaten!$C$2:$C$1117,"Sprint_30m",Versuchsdaten!$E$2:$E$1117,$E649,Versuchsdaten!$J$2:$J$1117,1),""))</f>
        <v/>
      </c>
      <c r="N649" s="22">
        <f>IF(LEFT(C649,7)&lt;&gt;"Sprint_",0,IF(IF(ISNUMBER(K649),IF(K649&lt;=0,1,IF(5/K649&gt;10,1,0)),0)+IF(ISNUMBER(L649),IF(ISNUMBER(K649),IF(L649-K649&lt;=0,1,IF(5/(L649-K649)&gt;10,1,0)),IF(L649&lt;=0,1,IF(10/L649&gt;10,1,0))),0)+IF(ISNUMBER(M649),IF(ISNUMBER(L649),IF(M649-L649&lt;=0,1,IF(20/(M649-L649)&gt;10,1,0)),IF(ISNUMBER(K649),IF(M649-K649&lt;=0,1,IF(25/(M649-K649)&gt;10,1,0)),IF(M649&lt;=0,1,IF(30/M649&gt;10,1,0)))),0)&gt;0,1,0))</f>
        <v/>
      </c>
      <c r="O649" s="22">
        <f>IF(AND(J649=1,N649=0),1,0)</f>
        <v/>
      </c>
      <c r="P649" s="22">
        <f>INDEX(Personendaten!$J$2:$J$32,MATCH(A649,Personendaten!$A$2:$A$32,0))</f>
        <v/>
      </c>
      <c r="Q649" s="22">
        <f>IF(O649=1,"",IF(AND(B649="post",P649="nicht angetreten"),"NANG",IF(N649=1,"AUSL",IFERROR(VLOOKUP(H649,Vokabular!$A$2:$B$8,2,FALSE),"UNBEKANNT"))))</f>
        <v/>
      </c>
    </row>
    <row r="650">
      <c r="A650" s="5" t="inlineStr">
        <is>
          <t>BW-07</t>
        </is>
      </c>
      <c r="B650" s="5" t="inlineStr">
        <is>
          <t>post</t>
        </is>
      </c>
      <c r="C650" s="5" t="inlineStr">
        <is>
          <t>Sprint_5m</t>
        </is>
      </c>
      <c r="D650" s="5" t="inlineStr">
        <is>
          <t>–</t>
        </is>
      </c>
      <c r="E650" s="5" t="n">
        <v>1</v>
      </c>
      <c r="F650" s="5" t="n"/>
      <c r="G650" s="5" t="n"/>
      <c r="H650" s="5" t="n"/>
      <c r="I650" s="22">
        <f>INDEX(Personendaten!$C$2:$C$32,MATCH(A650,Personendaten!$A$2:$A$32,0))</f>
        <v/>
      </c>
      <c r="J650" s="22">
        <f>IF(AND(F650&lt;&gt;"",G650=""),1,0)</f>
        <v/>
      </c>
      <c r="K650" s="22">
        <f>IF(LEFT(C650,7)&lt;&gt;"Sprint_","",IF(COUNTIFS(Versuchsdaten!$A$2:$A$1117,$A650,Versuchsdaten!$B$2:$B$1117,$B650,Versuchsdaten!$C$2:$C$1117,"Sprint_5m",Versuchsdaten!$E$2:$E$1117,$E650,Versuchsdaten!$J$2:$J$1117,1)=1,SUMIFS(Versuchsdaten!$F$2:$F$1117,Versuchsdaten!$A$2:$A$1117,$A650,Versuchsdaten!$B$2:$B$1117,$B650,Versuchsdaten!$C$2:$C$1117,"Sprint_5m",Versuchsdaten!$E$2:$E$1117,$E650,Versuchsdaten!$J$2:$J$1117,1),""))</f>
        <v/>
      </c>
      <c r="L650" s="22">
        <f>IF(LEFT(C650,7)&lt;&gt;"Sprint_","",IF(COUNTIFS(Versuchsdaten!$A$2:$A$1117,$A650,Versuchsdaten!$B$2:$B$1117,$B650,Versuchsdaten!$C$2:$C$1117,"Sprint_10m",Versuchsdaten!$E$2:$E$1117,$E650,Versuchsdaten!$J$2:$J$1117,1)=1,SUMIFS(Versuchsdaten!$F$2:$F$1117,Versuchsdaten!$A$2:$A$1117,$A650,Versuchsdaten!$B$2:$B$1117,$B650,Versuchsdaten!$C$2:$C$1117,"Sprint_10m",Versuchsdaten!$E$2:$E$1117,$E650,Versuchsdaten!$J$2:$J$1117,1),""))</f>
        <v/>
      </c>
      <c r="M650" s="22">
        <f>IF(LEFT(C650,7)&lt;&gt;"Sprint_","",IF(COUNTIFS(Versuchsdaten!$A$2:$A$1117,$A650,Versuchsdaten!$B$2:$B$1117,$B650,Versuchsdaten!$C$2:$C$1117,"Sprint_30m",Versuchsdaten!$E$2:$E$1117,$E650,Versuchsdaten!$J$2:$J$1117,1)=1,SUMIFS(Versuchsdaten!$F$2:$F$1117,Versuchsdaten!$A$2:$A$1117,$A650,Versuchsdaten!$B$2:$B$1117,$B650,Versuchsdaten!$C$2:$C$1117,"Sprint_30m",Versuchsdaten!$E$2:$E$1117,$E650,Versuchsdaten!$J$2:$J$1117,1),""))</f>
        <v/>
      </c>
      <c r="N650" s="22">
        <f>IF(LEFT(C650,7)&lt;&gt;"Sprint_",0,IF(IF(ISNUMBER(K650),IF(K650&lt;=0,1,IF(5/K650&gt;10,1,0)),0)+IF(ISNUMBER(L650),IF(ISNUMBER(K650),IF(L650-K650&lt;=0,1,IF(5/(L650-K650)&gt;10,1,0)),IF(L650&lt;=0,1,IF(10/L650&gt;10,1,0))),0)+IF(ISNUMBER(M650),IF(ISNUMBER(L650),IF(M650-L650&lt;=0,1,IF(20/(M650-L650)&gt;10,1,0)),IF(ISNUMBER(K650),IF(M650-K650&lt;=0,1,IF(25/(M650-K650)&gt;10,1,0)),IF(M650&lt;=0,1,IF(30/M650&gt;10,1,0)))),0)&gt;0,1,0))</f>
        <v/>
      </c>
      <c r="O650" s="22">
        <f>IF(AND(J650=1,N650=0),1,0)</f>
        <v/>
      </c>
      <c r="P650" s="22">
        <f>INDEX(Personendaten!$J$2:$J$32,MATCH(A650,Personendaten!$A$2:$A$32,0))</f>
        <v/>
      </c>
      <c r="Q650" s="22">
        <f>IF(O650=1,"",IF(AND(B650="post",P650="nicht angetreten"),"NANG",IF(N650=1,"AUSL",IFERROR(VLOOKUP(H650,Vokabular!$A$2:$B$8,2,FALSE),"UNBEKANNT"))))</f>
        <v/>
      </c>
    </row>
    <row r="651">
      <c r="A651" s="5" t="inlineStr">
        <is>
          <t>BW-07</t>
        </is>
      </c>
      <c r="B651" s="5" t="inlineStr">
        <is>
          <t>post</t>
        </is>
      </c>
      <c r="C651" s="5" t="inlineStr">
        <is>
          <t>Sprint_5m</t>
        </is>
      </c>
      <c r="D651" s="5" t="inlineStr">
        <is>
          <t>–</t>
        </is>
      </c>
      <c r="E651" s="5" t="n">
        <v>2</v>
      </c>
      <c r="F651" s="5" t="n"/>
      <c r="G651" s="5" t="n"/>
      <c r="H651" s="5" t="n"/>
      <c r="I651" s="22">
        <f>INDEX(Personendaten!$C$2:$C$32,MATCH(A651,Personendaten!$A$2:$A$32,0))</f>
        <v/>
      </c>
      <c r="J651" s="22">
        <f>IF(AND(F651&lt;&gt;"",G651=""),1,0)</f>
        <v/>
      </c>
      <c r="K651" s="22">
        <f>IF(LEFT(C651,7)&lt;&gt;"Sprint_","",IF(COUNTIFS(Versuchsdaten!$A$2:$A$1117,$A651,Versuchsdaten!$B$2:$B$1117,$B651,Versuchsdaten!$C$2:$C$1117,"Sprint_5m",Versuchsdaten!$E$2:$E$1117,$E651,Versuchsdaten!$J$2:$J$1117,1)=1,SUMIFS(Versuchsdaten!$F$2:$F$1117,Versuchsdaten!$A$2:$A$1117,$A651,Versuchsdaten!$B$2:$B$1117,$B651,Versuchsdaten!$C$2:$C$1117,"Sprint_5m",Versuchsdaten!$E$2:$E$1117,$E651,Versuchsdaten!$J$2:$J$1117,1),""))</f>
        <v/>
      </c>
      <c r="L651" s="22">
        <f>IF(LEFT(C651,7)&lt;&gt;"Sprint_","",IF(COUNTIFS(Versuchsdaten!$A$2:$A$1117,$A651,Versuchsdaten!$B$2:$B$1117,$B651,Versuchsdaten!$C$2:$C$1117,"Sprint_10m",Versuchsdaten!$E$2:$E$1117,$E651,Versuchsdaten!$J$2:$J$1117,1)=1,SUMIFS(Versuchsdaten!$F$2:$F$1117,Versuchsdaten!$A$2:$A$1117,$A651,Versuchsdaten!$B$2:$B$1117,$B651,Versuchsdaten!$C$2:$C$1117,"Sprint_10m",Versuchsdaten!$E$2:$E$1117,$E651,Versuchsdaten!$J$2:$J$1117,1),""))</f>
        <v/>
      </c>
      <c r="M651" s="22">
        <f>IF(LEFT(C651,7)&lt;&gt;"Sprint_","",IF(COUNTIFS(Versuchsdaten!$A$2:$A$1117,$A651,Versuchsdaten!$B$2:$B$1117,$B651,Versuchsdaten!$C$2:$C$1117,"Sprint_30m",Versuchsdaten!$E$2:$E$1117,$E651,Versuchsdaten!$J$2:$J$1117,1)=1,SUMIFS(Versuchsdaten!$F$2:$F$1117,Versuchsdaten!$A$2:$A$1117,$A651,Versuchsdaten!$B$2:$B$1117,$B651,Versuchsdaten!$C$2:$C$1117,"Sprint_30m",Versuchsdaten!$E$2:$E$1117,$E651,Versuchsdaten!$J$2:$J$1117,1),""))</f>
        <v/>
      </c>
      <c r="N651" s="22">
        <f>IF(LEFT(C651,7)&lt;&gt;"Sprint_",0,IF(IF(ISNUMBER(K651),IF(K651&lt;=0,1,IF(5/K651&gt;10,1,0)),0)+IF(ISNUMBER(L651),IF(ISNUMBER(K651),IF(L651-K651&lt;=0,1,IF(5/(L651-K651)&gt;10,1,0)),IF(L651&lt;=0,1,IF(10/L651&gt;10,1,0))),0)+IF(ISNUMBER(M651),IF(ISNUMBER(L651),IF(M651-L651&lt;=0,1,IF(20/(M651-L651)&gt;10,1,0)),IF(ISNUMBER(K651),IF(M651-K651&lt;=0,1,IF(25/(M651-K651)&gt;10,1,0)),IF(M651&lt;=0,1,IF(30/M651&gt;10,1,0)))),0)&gt;0,1,0))</f>
        <v/>
      </c>
      <c r="O651" s="22">
        <f>IF(AND(J651=1,N651=0),1,0)</f>
        <v/>
      </c>
      <c r="P651" s="22">
        <f>INDEX(Personendaten!$J$2:$J$32,MATCH(A651,Personendaten!$A$2:$A$32,0))</f>
        <v/>
      </c>
      <c r="Q651" s="22">
        <f>IF(O651=1,"",IF(AND(B651="post",P651="nicht angetreten"),"NANG",IF(N651=1,"AUSL",IFERROR(VLOOKUP(H651,Vokabular!$A$2:$B$8,2,FALSE),"UNBEKANNT"))))</f>
        <v/>
      </c>
    </row>
    <row r="652">
      <c r="A652" s="5" t="inlineStr">
        <is>
          <t>BW-07</t>
        </is>
      </c>
      <c r="B652" s="5" t="inlineStr">
        <is>
          <t>post</t>
        </is>
      </c>
      <c r="C652" s="5" t="inlineStr">
        <is>
          <t>Sprint_5m</t>
        </is>
      </c>
      <c r="D652" s="5" t="inlineStr">
        <is>
          <t>–</t>
        </is>
      </c>
      <c r="E652" s="5" t="n">
        <v>3</v>
      </c>
      <c r="F652" s="5" t="n"/>
      <c r="G652" s="5" t="n"/>
      <c r="H652" s="5" t="n"/>
      <c r="I652" s="22">
        <f>INDEX(Personendaten!$C$2:$C$32,MATCH(A652,Personendaten!$A$2:$A$32,0))</f>
        <v/>
      </c>
      <c r="J652" s="22">
        <f>IF(AND(F652&lt;&gt;"",G652=""),1,0)</f>
        <v/>
      </c>
      <c r="K652" s="22">
        <f>IF(LEFT(C652,7)&lt;&gt;"Sprint_","",IF(COUNTIFS(Versuchsdaten!$A$2:$A$1117,$A652,Versuchsdaten!$B$2:$B$1117,$B652,Versuchsdaten!$C$2:$C$1117,"Sprint_5m",Versuchsdaten!$E$2:$E$1117,$E652,Versuchsdaten!$J$2:$J$1117,1)=1,SUMIFS(Versuchsdaten!$F$2:$F$1117,Versuchsdaten!$A$2:$A$1117,$A652,Versuchsdaten!$B$2:$B$1117,$B652,Versuchsdaten!$C$2:$C$1117,"Sprint_5m",Versuchsdaten!$E$2:$E$1117,$E652,Versuchsdaten!$J$2:$J$1117,1),""))</f>
        <v/>
      </c>
      <c r="L652" s="22">
        <f>IF(LEFT(C652,7)&lt;&gt;"Sprint_","",IF(COUNTIFS(Versuchsdaten!$A$2:$A$1117,$A652,Versuchsdaten!$B$2:$B$1117,$B652,Versuchsdaten!$C$2:$C$1117,"Sprint_10m",Versuchsdaten!$E$2:$E$1117,$E652,Versuchsdaten!$J$2:$J$1117,1)=1,SUMIFS(Versuchsdaten!$F$2:$F$1117,Versuchsdaten!$A$2:$A$1117,$A652,Versuchsdaten!$B$2:$B$1117,$B652,Versuchsdaten!$C$2:$C$1117,"Sprint_10m",Versuchsdaten!$E$2:$E$1117,$E652,Versuchsdaten!$J$2:$J$1117,1),""))</f>
        <v/>
      </c>
      <c r="M652" s="22">
        <f>IF(LEFT(C652,7)&lt;&gt;"Sprint_","",IF(COUNTIFS(Versuchsdaten!$A$2:$A$1117,$A652,Versuchsdaten!$B$2:$B$1117,$B652,Versuchsdaten!$C$2:$C$1117,"Sprint_30m",Versuchsdaten!$E$2:$E$1117,$E652,Versuchsdaten!$J$2:$J$1117,1)=1,SUMIFS(Versuchsdaten!$F$2:$F$1117,Versuchsdaten!$A$2:$A$1117,$A652,Versuchsdaten!$B$2:$B$1117,$B652,Versuchsdaten!$C$2:$C$1117,"Sprint_30m",Versuchsdaten!$E$2:$E$1117,$E652,Versuchsdaten!$J$2:$J$1117,1),""))</f>
        <v/>
      </c>
      <c r="N652" s="22">
        <f>IF(LEFT(C652,7)&lt;&gt;"Sprint_",0,IF(IF(ISNUMBER(K652),IF(K652&lt;=0,1,IF(5/K652&gt;10,1,0)),0)+IF(ISNUMBER(L652),IF(ISNUMBER(K652),IF(L652-K652&lt;=0,1,IF(5/(L652-K652)&gt;10,1,0)),IF(L652&lt;=0,1,IF(10/L652&gt;10,1,0))),0)+IF(ISNUMBER(M652),IF(ISNUMBER(L652),IF(M652-L652&lt;=0,1,IF(20/(M652-L652)&gt;10,1,0)),IF(ISNUMBER(K652),IF(M652-K652&lt;=0,1,IF(25/(M652-K652)&gt;10,1,0)),IF(M652&lt;=0,1,IF(30/M652&gt;10,1,0)))),0)&gt;0,1,0))</f>
        <v/>
      </c>
      <c r="O652" s="22">
        <f>IF(AND(J652=1,N652=0),1,0)</f>
        <v/>
      </c>
      <c r="P652" s="22">
        <f>INDEX(Personendaten!$J$2:$J$32,MATCH(A652,Personendaten!$A$2:$A$32,0))</f>
        <v/>
      </c>
      <c r="Q652" s="22">
        <f>IF(O652=1,"",IF(AND(B652="post",P652="nicht angetreten"),"NANG",IF(N652=1,"AUSL",IFERROR(VLOOKUP(H652,Vokabular!$A$2:$B$8,2,FALSE),"UNBEKANNT"))))</f>
        <v/>
      </c>
    </row>
    <row r="653">
      <c r="A653" s="5" t="inlineStr">
        <is>
          <t>BW-07</t>
        </is>
      </c>
      <c r="B653" s="5" t="inlineStr">
        <is>
          <t>post</t>
        </is>
      </c>
      <c r="C653" s="5" t="inlineStr">
        <is>
          <t>Sprint_10m</t>
        </is>
      </c>
      <c r="D653" s="5" t="inlineStr">
        <is>
          <t>–</t>
        </is>
      </c>
      <c r="E653" s="5" t="n">
        <v>1</v>
      </c>
      <c r="F653" s="5" t="n"/>
      <c r="G653" s="5" t="n"/>
      <c r="H653" s="5" t="n"/>
      <c r="I653" s="22">
        <f>INDEX(Personendaten!$C$2:$C$32,MATCH(A653,Personendaten!$A$2:$A$32,0))</f>
        <v/>
      </c>
      <c r="J653" s="22">
        <f>IF(AND(F653&lt;&gt;"",G653=""),1,0)</f>
        <v/>
      </c>
      <c r="K653" s="22">
        <f>IF(LEFT(C653,7)&lt;&gt;"Sprint_","",IF(COUNTIFS(Versuchsdaten!$A$2:$A$1117,$A653,Versuchsdaten!$B$2:$B$1117,$B653,Versuchsdaten!$C$2:$C$1117,"Sprint_5m",Versuchsdaten!$E$2:$E$1117,$E653,Versuchsdaten!$J$2:$J$1117,1)=1,SUMIFS(Versuchsdaten!$F$2:$F$1117,Versuchsdaten!$A$2:$A$1117,$A653,Versuchsdaten!$B$2:$B$1117,$B653,Versuchsdaten!$C$2:$C$1117,"Sprint_5m",Versuchsdaten!$E$2:$E$1117,$E653,Versuchsdaten!$J$2:$J$1117,1),""))</f>
        <v/>
      </c>
      <c r="L653" s="22">
        <f>IF(LEFT(C653,7)&lt;&gt;"Sprint_","",IF(COUNTIFS(Versuchsdaten!$A$2:$A$1117,$A653,Versuchsdaten!$B$2:$B$1117,$B653,Versuchsdaten!$C$2:$C$1117,"Sprint_10m",Versuchsdaten!$E$2:$E$1117,$E653,Versuchsdaten!$J$2:$J$1117,1)=1,SUMIFS(Versuchsdaten!$F$2:$F$1117,Versuchsdaten!$A$2:$A$1117,$A653,Versuchsdaten!$B$2:$B$1117,$B653,Versuchsdaten!$C$2:$C$1117,"Sprint_10m",Versuchsdaten!$E$2:$E$1117,$E653,Versuchsdaten!$J$2:$J$1117,1),""))</f>
        <v/>
      </c>
      <c r="M653" s="22">
        <f>IF(LEFT(C653,7)&lt;&gt;"Sprint_","",IF(COUNTIFS(Versuchsdaten!$A$2:$A$1117,$A653,Versuchsdaten!$B$2:$B$1117,$B653,Versuchsdaten!$C$2:$C$1117,"Sprint_30m",Versuchsdaten!$E$2:$E$1117,$E653,Versuchsdaten!$J$2:$J$1117,1)=1,SUMIFS(Versuchsdaten!$F$2:$F$1117,Versuchsdaten!$A$2:$A$1117,$A653,Versuchsdaten!$B$2:$B$1117,$B653,Versuchsdaten!$C$2:$C$1117,"Sprint_30m",Versuchsdaten!$E$2:$E$1117,$E653,Versuchsdaten!$J$2:$J$1117,1),""))</f>
        <v/>
      </c>
      <c r="N653" s="22">
        <f>IF(LEFT(C653,7)&lt;&gt;"Sprint_",0,IF(IF(ISNUMBER(K653),IF(K653&lt;=0,1,IF(5/K653&gt;10,1,0)),0)+IF(ISNUMBER(L653),IF(ISNUMBER(K653),IF(L653-K653&lt;=0,1,IF(5/(L653-K653)&gt;10,1,0)),IF(L653&lt;=0,1,IF(10/L653&gt;10,1,0))),0)+IF(ISNUMBER(M653),IF(ISNUMBER(L653),IF(M653-L653&lt;=0,1,IF(20/(M653-L653)&gt;10,1,0)),IF(ISNUMBER(K653),IF(M653-K653&lt;=0,1,IF(25/(M653-K653)&gt;10,1,0)),IF(M653&lt;=0,1,IF(30/M653&gt;10,1,0)))),0)&gt;0,1,0))</f>
        <v/>
      </c>
      <c r="O653" s="22">
        <f>IF(AND(J653=1,N653=0),1,0)</f>
        <v/>
      </c>
      <c r="P653" s="22">
        <f>INDEX(Personendaten!$J$2:$J$32,MATCH(A653,Personendaten!$A$2:$A$32,0))</f>
        <v/>
      </c>
      <c r="Q653" s="22">
        <f>IF(O653=1,"",IF(AND(B653="post",P653="nicht angetreten"),"NANG",IF(N653=1,"AUSL",IFERROR(VLOOKUP(H653,Vokabular!$A$2:$B$8,2,FALSE),"UNBEKANNT"))))</f>
        <v/>
      </c>
    </row>
    <row r="654">
      <c r="A654" s="5" t="inlineStr">
        <is>
          <t>BW-07</t>
        </is>
      </c>
      <c r="B654" s="5" t="inlineStr">
        <is>
          <t>post</t>
        </is>
      </c>
      <c r="C654" s="5" t="inlineStr">
        <is>
          <t>Sprint_10m</t>
        </is>
      </c>
      <c r="D654" s="5" t="inlineStr">
        <is>
          <t>–</t>
        </is>
      </c>
      <c r="E654" s="5" t="n">
        <v>2</v>
      </c>
      <c r="F654" s="5" t="n"/>
      <c r="G654" s="5" t="n"/>
      <c r="H654" s="5" t="n"/>
      <c r="I654" s="22">
        <f>INDEX(Personendaten!$C$2:$C$32,MATCH(A654,Personendaten!$A$2:$A$32,0))</f>
        <v/>
      </c>
      <c r="J654" s="22">
        <f>IF(AND(F654&lt;&gt;"",G654=""),1,0)</f>
        <v/>
      </c>
      <c r="K654" s="22">
        <f>IF(LEFT(C654,7)&lt;&gt;"Sprint_","",IF(COUNTIFS(Versuchsdaten!$A$2:$A$1117,$A654,Versuchsdaten!$B$2:$B$1117,$B654,Versuchsdaten!$C$2:$C$1117,"Sprint_5m",Versuchsdaten!$E$2:$E$1117,$E654,Versuchsdaten!$J$2:$J$1117,1)=1,SUMIFS(Versuchsdaten!$F$2:$F$1117,Versuchsdaten!$A$2:$A$1117,$A654,Versuchsdaten!$B$2:$B$1117,$B654,Versuchsdaten!$C$2:$C$1117,"Sprint_5m",Versuchsdaten!$E$2:$E$1117,$E654,Versuchsdaten!$J$2:$J$1117,1),""))</f>
        <v/>
      </c>
      <c r="L654" s="22">
        <f>IF(LEFT(C654,7)&lt;&gt;"Sprint_","",IF(COUNTIFS(Versuchsdaten!$A$2:$A$1117,$A654,Versuchsdaten!$B$2:$B$1117,$B654,Versuchsdaten!$C$2:$C$1117,"Sprint_10m",Versuchsdaten!$E$2:$E$1117,$E654,Versuchsdaten!$J$2:$J$1117,1)=1,SUMIFS(Versuchsdaten!$F$2:$F$1117,Versuchsdaten!$A$2:$A$1117,$A654,Versuchsdaten!$B$2:$B$1117,$B654,Versuchsdaten!$C$2:$C$1117,"Sprint_10m",Versuchsdaten!$E$2:$E$1117,$E654,Versuchsdaten!$J$2:$J$1117,1),""))</f>
        <v/>
      </c>
      <c r="M654" s="22">
        <f>IF(LEFT(C654,7)&lt;&gt;"Sprint_","",IF(COUNTIFS(Versuchsdaten!$A$2:$A$1117,$A654,Versuchsdaten!$B$2:$B$1117,$B654,Versuchsdaten!$C$2:$C$1117,"Sprint_30m",Versuchsdaten!$E$2:$E$1117,$E654,Versuchsdaten!$J$2:$J$1117,1)=1,SUMIFS(Versuchsdaten!$F$2:$F$1117,Versuchsdaten!$A$2:$A$1117,$A654,Versuchsdaten!$B$2:$B$1117,$B654,Versuchsdaten!$C$2:$C$1117,"Sprint_30m",Versuchsdaten!$E$2:$E$1117,$E654,Versuchsdaten!$J$2:$J$1117,1),""))</f>
        <v/>
      </c>
      <c r="N654" s="22">
        <f>IF(LEFT(C654,7)&lt;&gt;"Sprint_",0,IF(IF(ISNUMBER(K654),IF(K654&lt;=0,1,IF(5/K654&gt;10,1,0)),0)+IF(ISNUMBER(L654),IF(ISNUMBER(K654),IF(L654-K654&lt;=0,1,IF(5/(L654-K654)&gt;10,1,0)),IF(L654&lt;=0,1,IF(10/L654&gt;10,1,0))),0)+IF(ISNUMBER(M654),IF(ISNUMBER(L654),IF(M654-L654&lt;=0,1,IF(20/(M654-L654)&gt;10,1,0)),IF(ISNUMBER(K654),IF(M654-K654&lt;=0,1,IF(25/(M654-K654)&gt;10,1,0)),IF(M654&lt;=0,1,IF(30/M654&gt;10,1,0)))),0)&gt;0,1,0))</f>
        <v/>
      </c>
      <c r="O654" s="22">
        <f>IF(AND(J654=1,N654=0),1,0)</f>
        <v/>
      </c>
      <c r="P654" s="22">
        <f>INDEX(Personendaten!$J$2:$J$32,MATCH(A654,Personendaten!$A$2:$A$32,0))</f>
        <v/>
      </c>
      <c r="Q654" s="22">
        <f>IF(O654=1,"",IF(AND(B654="post",P654="nicht angetreten"),"NANG",IF(N654=1,"AUSL",IFERROR(VLOOKUP(H654,Vokabular!$A$2:$B$8,2,FALSE),"UNBEKANNT"))))</f>
        <v/>
      </c>
    </row>
    <row r="655">
      <c r="A655" s="5" t="inlineStr">
        <is>
          <t>BW-07</t>
        </is>
      </c>
      <c r="B655" s="5" t="inlineStr">
        <is>
          <t>post</t>
        </is>
      </c>
      <c r="C655" s="5" t="inlineStr">
        <is>
          <t>Sprint_10m</t>
        </is>
      </c>
      <c r="D655" s="5" t="inlineStr">
        <is>
          <t>–</t>
        </is>
      </c>
      <c r="E655" s="5" t="n">
        <v>3</v>
      </c>
      <c r="F655" s="5" t="n"/>
      <c r="G655" s="5" t="n"/>
      <c r="H655" s="5" t="n"/>
      <c r="I655" s="22">
        <f>INDEX(Personendaten!$C$2:$C$32,MATCH(A655,Personendaten!$A$2:$A$32,0))</f>
        <v/>
      </c>
      <c r="J655" s="22">
        <f>IF(AND(F655&lt;&gt;"",G655=""),1,0)</f>
        <v/>
      </c>
      <c r="K655" s="22">
        <f>IF(LEFT(C655,7)&lt;&gt;"Sprint_","",IF(COUNTIFS(Versuchsdaten!$A$2:$A$1117,$A655,Versuchsdaten!$B$2:$B$1117,$B655,Versuchsdaten!$C$2:$C$1117,"Sprint_5m",Versuchsdaten!$E$2:$E$1117,$E655,Versuchsdaten!$J$2:$J$1117,1)=1,SUMIFS(Versuchsdaten!$F$2:$F$1117,Versuchsdaten!$A$2:$A$1117,$A655,Versuchsdaten!$B$2:$B$1117,$B655,Versuchsdaten!$C$2:$C$1117,"Sprint_5m",Versuchsdaten!$E$2:$E$1117,$E655,Versuchsdaten!$J$2:$J$1117,1),""))</f>
        <v/>
      </c>
      <c r="L655" s="22">
        <f>IF(LEFT(C655,7)&lt;&gt;"Sprint_","",IF(COUNTIFS(Versuchsdaten!$A$2:$A$1117,$A655,Versuchsdaten!$B$2:$B$1117,$B655,Versuchsdaten!$C$2:$C$1117,"Sprint_10m",Versuchsdaten!$E$2:$E$1117,$E655,Versuchsdaten!$J$2:$J$1117,1)=1,SUMIFS(Versuchsdaten!$F$2:$F$1117,Versuchsdaten!$A$2:$A$1117,$A655,Versuchsdaten!$B$2:$B$1117,$B655,Versuchsdaten!$C$2:$C$1117,"Sprint_10m",Versuchsdaten!$E$2:$E$1117,$E655,Versuchsdaten!$J$2:$J$1117,1),""))</f>
        <v/>
      </c>
      <c r="M655" s="22">
        <f>IF(LEFT(C655,7)&lt;&gt;"Sprint_","",IF(COUNTIFS(Versuchsdaten!$A$2:$A$1117,$A655,Versuchsdaten!$B$2:$B$1117,$B655,Versuchsdaten!$C$2:$C$1117,"Sprint_30m",Versuchsdaten!$E$2:$E$1117,$E655,Versuchsdaten!$J$2:$J$1117,1)=1,SUMIFS(Versuchsdaten!$F$2:$F$1117,Versuchsdaten!$A$2:$A$1117,$A655,Versuchsdaten!$B$2:$B$1117,$B655,Versuchsdaten!$C$2:$C$1117,"Sprint_30m",Versuchsdaten!$E$2:$E$1117,$E655,Versuchsdaten!$J$2:$J$1117,1),""))</f>
        <v/>
      </c>
      <c r="N655" s="22">
        <f>IF(LEFT(C655,7)&lt;&gt;"Sprint_",0,IF(IF(ISNUMBER(K655),IF(K655&lt;=0,1,IF(5/K655&gt;10,1,0)),0)+IF(ISNUMBER(L655),IF(ISNUMBER(K655),IF(L655-K655&lt;=0,1,IF(5/(L655-K655)&gt;10,1,0)),IF(L655&lt;=0,1,IF(10/L655&gt;10,1,0))),0)+IF(ISNUMBER(M655),IF(ISNUMBER(L655),IF(M655-L655&lt;=0,1,IF(20/(M655-L655)&gt;10,1,0)),IF(ISNUMBER(K655),IF(M655-K655&lt;=0,1,IF(25/(M655-K655)&gt;10,1,0)),IF(M655&lt;=0,1,IF(30/M655&gt;10,1,0)))),0)&gt;0,1,0))</f>
        <v/>
      </c>
      <c r="O655" s="22">
        <f>IF(AND(J655=1,N655=0),1,0)</f>
        <v/>
      </c>
      <c r="P655" s="22">
        <f>INDEX(Personendaten!$J$2:$J$32,MATCH(A655,Personendaten!$A$2:$A$32,0))</f>
        <v/>
      </c>
      <c r="Q655" s="22">
        <f>IF(O655=1,"",IF(AND(B655="post",P655="nicht angetreten"),"NANG",IF(N655=1,"AUSL",IFERROR(VLOOKUP(H655,Vokabular!$A$2:$B$8,2,FALSE),"UNBEKANNT"))))</f>
        <v/>
      </c>
    </row>
    <row r="656">
      <c r="A656" s="5" t="inlineStr">
        <is>
          <t>BW-07</t>
        </is>
      </c>
      <c r="B656" s="5" t="inlineStr">
        <is>
          <t>post</t>
        </is>
      </c>
      <c r="C656" s="5" t="inlineStr">
        <is>
          <t>Sprint_30m</t>
        </is>
      </c>
      <c r="D656" s="5" t="inlineStr">
        <is>
          <t>–</t>
        </is>
      </c>
      <c r="E656" s="5" t="n">
        <v>1</v>
      </c>
      <c r="F656" s="5" t="n"/>
      <c r="G656" s="5" t="n"/>
      <c r="H656" s="5" t="n"/>
      <c r="I656" s="22">
        <f>INDEX(Personendaten!$C$2:$C$32,MATCH(A656,Personendaten!$A$2:$A$32,0))</f>
        <v/>
      </c>
      <c r="J656" s="22">
        <f>IF(AND(F656&lt;&gt;"",G656=""),1,0)</f>
        <v/>
      </c>
      <c r="K656" s="22">
        <f>IF(LEFT(C656,7)&lt;&gt;"Sprint_","",IF(COUNTIFS(Versuchsdaten!$A$2:$A$1117,$A656,Versuchsdaten!$B$2:$B$1117,$B656,Versuchsdaten!$C$2:$C$1117,"Sprint_5m",Versuchsdaten!$E$2:$E$1117,$E656,Versuchsdaten!$J$2:$J$1117,1)=1,SUMIFS(Versuchsdaten!$F$2:$F$1117,Versuchsdaten!$A$2:$A$1117,$A656,Versuchsdaten!$B$2:$B$1117,$B656,Versuchsdaten!$C$2:$C$1117,"Sprint_5m",Versuchsdaten!$E$2:$E$1117,$E656,Versuchsdaten!$J$2:$J$1117,1),""))</f>
        <v/>
      </c>
      <c r="L656" s="22">
        <f>IF(LEFT(C656,7)&lt;&gt;"Sprint_","",IF(COUNTIFS(Versuchsdaten!$A$2:$A$1117,$A656,Versuchsdaten!$B$2:$B$1117,$B656,Versuchsdaten!$C$2:$C$1117,"Sprint_10m",Versuchsdaten!$E$2:$E$1117,$E656,Versuchsdaten!$J$2:$J$1117,1)=1,SUMIFS(Versuchsdaten!$F$2:$F$1117,Versuchsdaten!$A$2:$A$1117,$A656,Versuchsdaten!$B$2:$B$1117,$B656,Versuchsdaten!$C$2:$C$1117,"Sprint_10m",Versuchsdaten!$E$2:$E$1117,$E656,Versuchsdaten!$J$2:$J$1117,1),""))</f>
        <v/>
      </c>
      <c r="M656" s="22">
        <f>IF(LEFT(C656,7)&lt;&gt;"Sprint_","",IF(COUNTIFS(Versuchsdaten!$A$2:$A$1117,$A656,Versuchsdaten!$B$2:$B$1117,$B656,Versuchsdaten!$C$2:$C$1117,"Sprint_30m",Versuchsdaten!$E$2:$E$1117,$E656,Versuchsdaten!$J$2:$J$1117,1)=1,SUMIFS(Versuchsdaten!$F$2:$F$1117,Versuchsdaten!$A$2:$A$1117,$A656,Versuchsdaten!$B$2:$B$1117,$B656,Versuchsdaten!$C$2:$C$1117,"Sprint_30m",Versuchsdaten!$E$2:$E$1117,$E656,Versuchsdaten!$J$2:$J$1117,1),""))</f>
        <v/>
      </c>
      <c r="N656" s="22">
        <f>IF(LEFT(C656,7)&lt;&gt;"Sprint_",0,IF(IF(ISNUMBER(K656),IF(K656&lt;=0,1,IF(5/K656&gt;10,1,0)),0)+IF(ISNUMBER(L656),IF(ISNUMBER(K656),IF(L656-K656&lt;=0,1,IF(5/(L656-K656)&gt;10,1,0)),IF(L656&lt;=0,1,IF(10/L656&gt;10,1,0))),0)+IF(ISNUMBER(M656),IF(ISNUMBER(L656),IF(M656-L656&lt;=0,1,IF(20/(M656-L656)&gt;10,1,0)),IF(ISNUMBER(K656),IF(M656-K656&lt;=0,1,IF(25/(M656-K656)&gt;10,1,0)),IF(M656&lt;=0,1,IF(30/M656&gt;10,1,0)))),0)&gt;0,1,0))</f>
        <v/>
      </c>
      <c r="O656" s="22">
        <f>IF(AND(J656=1,N656=0),1,0)</f>
        <v/>
      </c>
      <c r="P656" s="22">
        <f>INDEX(Personendaten!$J$2:$J$32,MATCH(A656,Personendaten!$A$2:$A$32,0))</f>
        <v/>
      </c>
      <c r="Q656" s="22">
        <f>IF(O656=1,"",IF(AND(B656="post",P656="nicht angetreten"),"NANG",IF(N656=1,"AUSL",IFERROR(VLOOKUP(H656,Vokabular!$A$2:$B$8,2,FALSE),"UNBEKANNT"))))</f>
        <v/>
      </c>
    </row>
    <row r="657">
      <c r="A657" s="5" t="inlineStr">
        <is>
          <t>BW-07</t>
        </is>
      </c>
      <c r="B657" s="5" t="inlineStr">
        <is>
          <t>post</t>
        </is>
      </c>
      <c r="C657" s="5" t="inlineStr">
        <is>
          <t>Sprint_30m</t>
        </is>
      </c>
      <c r="D657" s="5" t="inlineStr">
        <is>
          <t>–</t>
        </is>
      </c>
      <c r="E657" s="5" t="n">
        <v>2</v>
      </c>
      <c r="F657" s="5" t="n"/>
      <c r="G657" s="5" t="n"/>
      <c r="H657" s="5" t="n"/>
      <c r="I657" s="22">
        <f>INDEX(Personendaten!$C$2:$C$32,MATCH(A657,Personendaten!$A$2:$A$32,0))</f>
        <v/>
      </c>
      <c r="J657" s="22">
        <f>IF(AND(F657&lt;&gt;"",G657=""),1,0)</f>
        <v/>
      </c>
      <c r="K657" s="22">
        <f>IF(LEFT(C657,7)&lt;&gt;"Sprint_","",IF(COUNTIFS(Versuchsdaten!$A$2:$A$1117,$A657,Versuchsdaten!$B$2:$B$1117,$B657,Versuchsdaten!$C$2:$C$1117,"Sprint_5m",Versuchsdaten!$E$2:$E$1117,$E657,Versuchsdaten!$J$2:$J$1117,1)=1,SUMIFS(Versuchsdaten!$F$2:$F$1117,Versuchsdaten!$A$2:$A$1117,$A657,Versuchsdaten!$B$2:$B$1117,$B657,Versuchsdaten!$C$2:$C$1117,"Sprint_5m",Versuchsdaten!$E$2:$E$1117,$E657,Versuchsdaten!$J$2:$J$1117,1),""))</f>
        <v/>
      </c>
      <c r="L657" s="22">
        <f>IF(LEFT(C657,7)&lt;&gt;"Sprint_","",IF(COUNTIFS(Versuchsdaten!$A$2:$A$1117,$A657,Versuchsdaten!$B$2:$B$1117,$B657,Versuchsdaten!$C$2:$C$1117,"Sprint_10m",Versuchsdaten!$E$2:$E$1117,$E657,Versuchsdaten!$J$2:$J$1117,1)=1,SUMIFS(Versuchsdaten!$F$2:$F$1117,Versuchsdaten!$A$2:$A$1117,$A657,Versuchsdaten!$B$2:$B$1117,$B657,Versuchsdaten!$C$2:$C$1117,"Sprint_10m",Versuchsdaten!$E$2:$E$1117,$E657,Versuchsdaten!$J$2:$J$1117,1),""))</f>
        <v/>
      </c>
      <c r="M657" s="22">
        <f>IF(LEFT(C657,7)&lt;&gt;"Sprint_","",IF(COUNTIFS(Versuchsdaten!$A$2:$A$1117,$A657,Versuchsdaten!$B$2:$B$1117,$B657,Versuchsdaten!$C$2:$C$1117,"Sprint_30m",Versuchsdaten!$E$2:$E$1117,$E657,Versuchsdaten!$J$2:$J$1117,1)=1,SUMIFS(Versuchsdaten!$F$2:$F$1117,Versuchsdaten!$A$2:$A$1117,$A657,Versuchsdaten!$B$2:$B$1117,$B657,Versuchsdaten!$C$2:$C$1117,"Sprint_30m",Versuchsdaten!$E$2:$E$1117,$E657,Versuchsdaten!$J$2:$J$1117,1),""))</f>
        <v/>
      </c>
      <c r="N657" s="22">
        <f>IF(LEFT(C657,7)&lt;&gt;"Sprint_",0,IF(IF(ISNUMBER(K657),IF(K657&lt;=0,1,IF(5/K657&gt;10,1,0)),0)+IF(ISNUMBER(L657),IF(ISNUMBER(K657),IF(L657-K657&lt;=0,1,IF(5/(L657-K657)&gt;10,1,0)),IF(L657&lt;=0,1,IF(10/L657&gt;10,1,0))),0)+IF(ISNUMBER(M657),IF(ISNUMBER(L657),IF(M657-L657&lt;=0,1,IF(20/(M657-L657)&gt;10,1,0)),IF(ISNUMBER(K657),IF(M657-K657&lt;=0,1,IF(25/(M657-K657)&gt;10,1,0)),IF(M657&lt;=0,1,IF(30/M657&gt;10,1,0)))),0)&gt;0,1,0))</f>
        <v/>
      </c>
      <c r="O657" s="22">
        <f>IF(AND(J657=1,N657=0),1,0)</f>
        <v/>
      </c>
      <c r="P657" s="22">
        <f>INDEX(Personendaten!$J$2:$J$32,MATCH(A657,Personendaten!$A$2:$A$32,0))</f>
        <v/>
      </c>
      <c r="Q657" s="22">
        <f>IF(O657=1,"",IF(AND(B657="post",P657="nicht angetreten"),"NANG",IF(N657=1,"AUSL",IFERROR(VLOOKUP(H657,Vokabular!$A$2:$B$8,2,FALSE),"UNBEKANNT"))))</f>
        <v/>
      </c>
    </row>
    <row r="658">
      <c r="A658" s="5" t="inlineStr">
        <is>
          <t>BW-07</t>
        </is>
      </c>
      <c r="B658" s="5" t="inlineStr">
        <is>
          <t>post</t>
        </is>
      </c>
      <c r="C658" s="5" t="inlineStr">
        <is>
          <t>Sprint_30m</t>
        </is>
      </c>
      <c r="D658" s="5" t="inlineStr">
        <is>
          <t>–</t>
        </is>
      </c>
      <c r="E658" s="5" t="n">
        <v>3</v>
      </c>
      <c r="F658" s="5" t="n"/>
      <c r="G658" s="5" t="n"/>
      <c r="H658" s="5" t="n"/>
      <c r="I658" s="22">
        <f>INDEX(Personendaten!$C$2:$C$32,MATCH(A658,Personendaten!$A$2:$A$32,0))</f>
        <v/>
      </c>
      <c r="J658" s="22">
        <f>IF(AND(F658&lt;&gt;"",G658=""),1,0)</f>
        <v/>
      </c>
      <c r="K658" s="22">
        <f>IF(LEFT(C658,7)&lt;&gt;"Sprint_","",IF(COUNTIFS(Versuchsdaten!$A$2:$A$1117,$A658,Versuchsdaten!$B$2:$B$1117,$B658,Versuchsdaten!$C$2:$C$1117,"Sprint_5m",Versuchsdaten!$E$2:$E$1117,$E658,Versuchsdaten!$J$2:$J$1117,1)=1,SUMIFS(Versuchsdaten!$F$2:$F$1117,Versuchsdaten!$A$2:$A$1117,$A658,Versuchsdaten!$B$2:$B$1117,$B658,Versuchsdaten!$C$2:$C$1117,"Sprint_5m",Versuchsdaten!$E$2:$E$1117,$E658,Versuchsdaten!$J$2:$J$1117,1),""))</f>
        <v/>
      </c>
      <c r="L658" s="22">
        <f>IF(LEFT(C658,7)&lt;&gt;"Sprint_","",IF(COUNTIFS(Versuchsdaten!$A$2:$A$1117,$A658,Versuchsdaten!$B$2:$B$1117,$B658,Versuchsdaten!$C$2:$C$1117,"Sprint_10m",Versuchsdaten!$E$2:$E$1117,$E658,Versuchsdaten!$J$2:$J$1117,1)=1,SUMIFS(Versuchsdaten!$F$2:$F$1117,Versuchsdaten!$A$2:$A$1117,$A658,Versuchsdaten!$B$2:$B$1117,$B658,Versuchsdaten!$C$2:$C$1117,"Sprint_10m",Versuchsdaten!$E$2:$E$1117,$E658,Versuchsdaten!$J$2:$J$1117,1),""))</f>
        <v/>
      </c>
      <c r="M658" s="22">
        <f>IF(LEFT(C658,7)&lt;&gt;"Sprint_","",IF(COUNTIFS(Versuchsdaten!$A$2:$A$1117,$A658,Versuchsdaten!$B$2:$B$1117,$B658,Versuchsdaten!$C$2:$C$1117,"Sprint_30m",Versuchsdaten!$E$2:$E$1117,$E658,Versuchsdaten!$J$2:$J$1117,1)=1,SUMIFS(Versuchsdaten!$F$2:$F$1117,Versuchsdaten!$A$2:$A$1117,$A658,Versuchsdaten!$B$2:$B$1117,$B658,Versuchsdaten!$C$2:$C$1117,"Sprint_30m",Versuchsdaten!$E$2:$E$1117,$E658,Versuchsdaten!$J$2:$J$1117,1),""))</f>
        <v/>
      </c>
      <c r="N658" s="22">
        <f>IF(LEFT(C658,7)&lt;&gt;"Sprint_",0,IF(IF(ISNUMBER(K658),IF(K658&lt;=0,1,IF(5/K658&gt;10,1,0)),0)+IF(ISNUMBER(L658),IF(ISNUMBER(K658),IF(L658-K658&lt;=0,1,IF(5/(L658-K658)&gt;10,1,0)),IF(L658&lt;=0,1,IF(10/L658&gt;10,1,0))),0)+IF(ISNUMBER(M658),IF(ISNUMBER(L658),IF(M658-L658&lt;=0,1,IF(20/(M658-L658)&gt;10,1,0)),IF(ISNUMBER(K658),IF(M658-K658&lt;=0,1,IF(25/(M658-K658)&gt;10,1,0)),IF(M658&lt;=0,1,IF(30/M658&gt;10,1,0)))),0)&gt;0,1,0))</f>
        <v/>
      </c>
      <c r="O658" s="22">
        <f>IF(AND(J658=1,N658=0),1,0)</f>
        <v/>
      </c>
      <c r="P658" s="22">
        <f>INDEX(Personendaten!$J$2:$J$32,MATCH(A658,Personendaten!$A$2:$A$32,0))</f>
        <v/>
      </c>
      <c r="Q658" s="22">
        <f>IF(O658=1,"",IF(AND(B658="post",P658="nicht angetreten"),"NANG",IF(N658=1,"AUSL",IFERROR(VLOOKUP(H658,Vokabular!$A$2:$B$8,2,FALSE),"UNBEKANNT"))))</f>
        <v/>
      </c>
    </row>
    <row r="659">
      <c r="A659" s="5" t="inlineStr">
        <is>
          <t>BW-07</t>
        </is>
      </c>
      <c r="B659" s="5" t="inlineStr">
        <is>
          <t>post</t>
        </is>
      </c>
      <c r="C659" s="5" t="inlineStr">
        <is>
          <t>Standweitsprung</t>
        </is>
      </c>
      <c r="D659" s="5" t="inlineStr">
        <is>
          <t>–</t>
        </is>
      </c>
      <c r="E659" s="5" t="n">
        <v>1</v>
      </c>
      <c r="F659" s="5" t="n"/>
      <c r="G659" s="5" t="n"/>
      <c r="H659" s="5" t="n"/>
      <c r="I659" s="22">
        <f>INDEX(Personendaten!$C$2:$C$32,MATCH(A659,Personendaten!$A$2:$A$32,0))</f>
        <v/>
      </c>
      <c r="J659" s="22">
        <f>IF(AND(F659&lt;&gt;"",G659=""),1,0)</f>
        <v/>
      </c>
      <c r="K659" s="22">
        <f>IF(LEFT(C659,7)&lt;&gt;"Sprint_","",IF(COUNTIFS(Versuchsdaten!$A$2:$A$1117,$A659,Versuchsdaten!$B$2:$B$1117,$B659,Versuchsdaten!$C$2:$C$1117,"Sprint_5m",Versuchsdaten!$E$2:$E$1117,$E659,Versuchsdaten!$J$2:$J$1117,1)=1,SUMIFS(Versuchsdaten!$F$2:$F$1117,Versuchsdaten!$A$2:$A$1117,$A659,Versuchsdaten!$B$2:$B$1117,$B659,Versuchsdaten!$C$2:$C$1117,"Sprint_5m",Versuchsdaten!$E$2:$E$1117,$E659,Versuchsdaten!$J$2:$J$1117,1),""))</f>
        <v/>
      </c>
      <c r="L659" s="22">
        <f>IF(LEFT(C659,7)&lt;&gt;"Sprint_","",IF(COUNTIFS(Versuchsdaten!$A$2:$A$1117,$A659,Versuchsdaten!$B$2:$B$1117,$B659,Versuchsdaten!$C$2:$C$1117,"Sprint_10m",Versuchsdaten!$E$2:$E$1117,$E659,Versuchsdaten!$J$2:$J$1117,1)=1,SUMIFS(Versuchsdaten!$F$2:$F$1117,Versuchsdaten!$A$2:$A$1117,$A659,Versuchsdaten!$B$2:$B$1117,$B659,Versuchsdaten!$C$2:$C$1117,"Sprint_10m",Versuchsdaten!$E$2:$E$1117,$E659,Versuchsdaten!$J$2:$J$1117,1),""))</f>
        <v/>
      </c>
      <c r="M659" s="22">
        <f>IF(LEFT(C659,7)&lt;&gt;"Sprint_","",IF(COUNTIFS(Versuchsdaten!$A$2:$A$1117,$A659,Versuchsdaten!$B$2:$B$1117,$B659,Versuchsdaten!$C$2:$C$1117,"Sprint_30m",Versuchsdaten!$E$2:$E$1117,$E659,Versuchsdaten!$J$2:$J$1117,1)=1,SUMIFS(Versuchsdaten!$F$2:$F$1117,Versuchsdaten!$A$2:$A$1117,$A659,Versuchsdaten!$B$2:$B$1117,$B659,Versuchsdaten!$C$2:$C$1117,"Sprint_30m",Versuchsdaten!$E$2:$E$1117,$E659,Versuchsdaten!$J$2:$J$1117,1),""))</f>
        <v/>
      </c>
      <c r="N659" s="22">
        <f>IF(LEFT(C659,7)&lt;&gt;"Sprint_",0,IF(IF(ISNUMBER(K659),IF(K659&lt;=0,1,IF(5/K659&gt;10,1,0)),0)+IF(ISNUMBER(L659),IF(ISNUMBER(K659),IF(L659-K659&lt;=0,1,IF(5/(L659-K659)&gt;10,1,0)),IF(L659&lt;=0,1,IF(10/L659&gt;10,1,0))),0)+IF(ISNUMBER(M659),IF(ISNUMBER(L659),IF(M659-L659&lt;=0,1,IF(20/(M659-L659)&gt;10,1,0)),IF(ISNUMBER(K659),IF(M659-K659&lt;=0,1,IF(25/(M659-K659)&gt;10,1,0)),IF(M659&lt;=0,1,IF(30/M659&gt;10,1,0)))),0)&gt;0,1,0))</f>
        <v/>
      </c>
      <c r="O659" s="22">
        <f>IF(AND(J659=1,N659=0),1,0)</f>
        <v/>
      </c>
      <c r="P659" s="22">
        <f>INDEX(Personendaten!$J$2:$J$32,MATCH(A659,Personendaten!$A$2:$A$32,0))</f>
        <v/>
      </c>
      <c r="Q659" s="22">
        <f>IF(O659=1,"",IF(AND(B659="post",P659="nicht angetreten"),"NANG",IF(N659=1,"AUSL",IFERROR(VLOOKUP(H659,Vokabular!$A$2:$B$8,2,FALSE),"UNBEKANNT"))))</f>
        <v/>
      </c>
    </row>
    <row r="660">
      <c r="A660" s="5" t="inlineStr">
        <is>
          <t>BW-07</t>
        </is>
      </c>
      <c r="B660" s="5" t="inlineStr">
        <is>
          <t>post</t>
        </is>
      </c>
      <c r="C660" s="5" t="inlineStr">
        <is>
          <t>Standweitsprung</t>
        </is>
      </c>
      <c r="D660" s="5" t="inlineStr">
        <is>
          <t>–</t>
        </is>
      </c>
      <c r="E660" s="5" t="n">
        <v>2</v>
      </c>
      <c r="F660" s="5" t="n"/>
      <c r="G660" s="5" t="n"/>
      <c r="H660" s="5" t="n"/>
      <c r="I660" s="22">
        <f>INDEX(Personendaten!$C$2:$C$32,MATCH(A660,Personendaten!$A$2:$A$32,0))</f>
        <v/>
      </c>
      <c r="J660" s="22">
        <f>IF(AND(F660&lt;&gt;"",G660=""),1,0)</f>
        <v/>
      </c>
      <c r="K660" s="22">
        <f>IF(LEFT(C660,7)&lt;&gt;"Sprint_","",IF(COUNTIFS(Versuchsdaten!$A$2:$A$1117,$A660,Versuchsdaten!$B$2:$B$1117,$B660,Versuchsdaten!$C$2:$C$1117,"Sprint_5m",Versuchsdaten!$E$2:$E$1117,$E660,Versuchsdaten!$J$2:$J$1117,1)=1,SUMIFS(Versuchsdaten!$F$2:$F$1117,Versuchsdaten!$A$2:$A$1117,$A660,Versuchsdaten!$B$2:$B$1117,$B660,Versuchsdaten!$C$2:$C$1117,"Sprint_5m",Versuchsdaten!$E$2:$E$1117,$E660,Versuchsdaten!$J$2:$J$1117,1),""))</f>
        <v/>
      </c>
      <c r="L660" s="22">
        <f>IF(LEFT(C660,7)&lt;&gt;"Sprint_","",IF(COUNTIFS(Versuchsdaten!$A$2:$A$1117,$A660,Versuchsdaten!$B$2:$B$1117,$B660,Versuchsdaten!$C$2:$C$1117,"Sprint_10m",Versuchsdaten!$E$2:$E$1117,$E660,Versuchsdaten!$J$2:$J$1117,1)=1,SUMIFS(Versuchsdaten!$F$2:$F$1117,Versuchsdaten!$A$2:$A$1117,$A660,Versuchsdaten!$B$2:$B$1117,$B660,Versuchsdaten!$C$2:$C$1117,"Sprint_10m",Versuchsdaten!$E$2:$E$1117,$E660,Versuchsdaten!$J$2:$J$1117,1),""))</f>
        <v/>
      </c>
      <c r="M660" s="22">
        <f>IF(LEFT(C660,7)&lt;&gt;"Sprint_","",IF(COUNTIFS(Versuchsdaten!$A$2:$A$1117,$A660,Versuchsdaten!$B$2:$B$1117,$B660,Versuchsdaten!$C$2:$C$1117,"Sprint_30m",Versuchsdaten!$E$2:$E$1117,$E660,Versuchsdaten!$J$2:$J$1117,1)=1,SUMIFS(Versuchsdaten!$F$2:$F$1117,Versuchsdaten!$A$2:$A$1117,$A660,Versuchsdaten!$B$2:$B$1117,$B660,Versuchsdaten!$C$2:$C$1117,"Sprint_30m",Versuchsdaten!$E$2:$E$1117,$E660,Versuchsdaten!$J$2:$J$1117,1),""))</f>
        <v/>
      </c>
      <c r="N660" s="22">
        <f>IF(LEFT(C660,7)&lt;&gt;"Sprint_",0,IF(IF(ISNUMBER(K660),IF(K660&lt;=0,1,IF(5/K660&gt;10,1,0)),0)+IF(ISNUMBER(L660),IF(ISNUMBER(K660),IF(L660-K660&lt;=0,1,IF(5/(L660-K660)&gt;10,1,0)),IF(L660&lt;=0,1,IF(10/L660&gt;10,1,0))),0)+IF(ISNUMBER(M660),IF(ISNUMBER(L660),IF(M660-L660&lt;=0,1,IF(20/(M660-L660)&gt;10,1,0)),IF(ISNUMBER(K660),IF(M660-K660&lt;=0,1,IF(25/(M660-K660)&gt;10,1,0)),IF(M660&lt;=0,1,IF(30/M660&gt;10,1,0)))),0)&gt;0,1,0))</f>
        <v/>
      </c>
      <c r="O660" s="22">
        <f>IF(AND(J660=1,N660=0),1,0)</f>
        <v/>
      </c>
      <c r="P660" s="22">
        <f>INDEX(Personendaten!$J$2:$J$32,MATCH(A660,Personendaten!$A$2:$A$32,0))</f>
        <v/>
      </c>
      <c r="Q660" s="22">
        <f>IF(O660=1,"",IF(AND(B660="post",P660="nicht angetreten"),"NANG",IF(N660=1,"AUSL",IFERROR(VLOOKUP(H660,Vokabular!$A$2:$B$8,2,FALSE),"UNBEKANNT"))))</f>
        <v/>
      </c>
    </row>
    <row r="661">
      <c r="A661" s="5" t="inlineStr">
        <is>
          <t>BW-07</t>
        </is>
      </c>
      <c r="B661" s="5" t="inlineStr">
        <is>
          <t>post</t>
        </is>
      </c>
      <c r="C661" s="5" t="inlineStr">
        <is>
          <t>Standweitsprung</t>
        </is>
      </c>
      <c r="D661" s="5" t="inlineStr">
        <is>
          <t>–</t>
        </is>
      </c>
      <c r="E661" s="5" t="n">
        <v>3</v>
      </c>
      <c r="F661" s="5" t="n"/>
      <c r="G661" s="5" t="n"/>
      <c r="H661" s="5" t="n"/>
      <c r="I661" s="22">
        <f>INDEX(Personendaten!$C$2:$C$32,MATCH(A661,Personendaten!$A$2:$A$32,0))</f>
        <v/>
      </c>
      <c r="J661" s="22">
        <f>IF(AND(F661&lt;&gt;"",G661=""),1,0)</f>
        <v/>
      </c>
      <c r="K661" s="22">
        <f>IF(LEFT(C661,7)&lt;&gt;"Sprint_","",IF(COUNTIFS(Versuchsdaten!$A$2:$A$1117,$A661,Versuchsdaten!$B$2:$B$1117,$B661,Versuchsdaten!$C$2:$C$1117,"Sprint_5m",Versuchsdaten!$E$2:$E$1117,$E661,Versuchsdaten!$J$2:$J$1117,1)=1,SUMIFS(Versuchsdaten!$F$2:$F$1117,Versuchsdaten!$A$2:$A$1117,$A661,Versuchsdaten!$B$2:$B$1117,$B661,Versuchsdaten!$C$2:$C$1117,"Sprint_5m",Versuchsdaten!$E$2:$E$1117,$E661,Versuchsdaten!$J$2:$J$1117,1),""))</f>
        <v/>
      </c>
      <c r="L661" s="22">
        <f>IF(LEFT(C661,7)&lt;&gt;"Sprint_","",IF(COUNTIFS(Versuchsdaten!$A$2:$A$1117,$A661,Versuchsdaten!$B$2:$B$1117,$B661,Versuchsdaten!$C$2:$C$1117,"Sprint_10m",Versuchsdaten!$E$2:$E$1117,$E661,Versuchsdaten!$J$2:$J$1117,1)=1,SUMIFS(Versuchsdaten!$F$2:$F$1117,Versuchsdaten!$A$2:$A$1117,$A661,Versuchsdaten!$B$2:$B$1117,$B661,Versuchsdaten!$C$2:$C$1117,"Sprint_10m",Versuchsdaten!$E$2:$E$1117,$E661,Versuchsdaten!$J$2:$J$1117,1),""))</f>
        <v/>
      </c>
      <c r="M661" s="22">
        <f>IF(LEFT(C661,7)&lt;&gt;"Sprint_","",IF(COUNTIFS(Versuchsdaten!$A$2:$A$1117,$A661,Versuchsdaten!$B$2:$B$1117,$B661,Versuchsdaten!$C$2:$C$1117,"Sprint_30m",Versuchsdaten!$E$2:$E$1117,$E661,Versuchsdaten!$J$2:$J$1117,1)=1,SUMIFS(Versuchsdaten!$F$2:$F$1117,Versuchsdaten!$A$2:$A$1117,$A661,Versuchsdaten!$B$2:$B$1117,$B661,Versuchsdaten!$C$2:$C$1117,"Sprint_30m",Versuchsdaten!$E$2:$E$1117,$E661,Versuchsdaten!$J$2:$J$1117,1),""))</f>
        <v/>
      </c>
      <c r="N661" s="22">
        <f>IF(LEFT(C661,7)&lt;&gt;"Sprint_",0,IF(IF(ISNUMBER(K661),IF(K661&lt;=0,1,IF(5/K661&gt;10,1,0)),0)+IF(ISNUMBER(L661),IF(ISNUMBER(K661),IF(L661-K661&lt;=0,1,IF(5/(L661-K661)&gt;10,1,0)),IF(L661&lt;=0,1,IF(10/L661&gt;10,1,0))),0)+IF(ISNUMBER(M661),IF(ISNUMBER(L661),IF(M661-L661&lt;=0,1,IF(20/(M661-L661)&gt;10,1,0)),IF(ISNUMBER(K661),IF(M661-K661&lt;=0,1,IF(25/(M661-K661)&gt;10,1,0)),IF(M661&lt;=0,1,IF(30/M661&gt;10,1,0)))),0)&gt;0,1,0))</f>
        <v/>
      </c>
      <c r="O661" s="22">
        <f>IF(AND(J661=1,N661=0),1,0)</f>
        <v/>
      </c>
      <c r="P661" s="22">
        <f>INDEX(Personendaten!$J$2:$J$32,MATCH(A661,Personendaten!$A$2:$A$32,0))</f>
        <v/>
      </c>
      <c r="Q661" s="22">
        <f>IF(O661=1,"",IF(AND(B661="post",P661="nicht angetreten"),"NANG",IF(N661=1,"AUSL",IFERROR(VLOOKUP(H661,Vokabular!$A$2:$B$8,2,FALSE),"UNBEKANNT"))))</f>
        <v/>
      </c>
    </row>
    <row r="662">
      <c r="A662" s="5" t="inlineStr">
        <is>
          <t>BW-07</t>
        </is>
      </c>
      <c r="B662" s="5" t="inlineStr">
        <is>
          <t>post</t>
        </is>
      </c>
      <c r="C662" s="5" t="inlineStr">
        <is>
          <t>COD_505</t>
        </is>
      </c>
      <c r="D662" s="5" t="inlineStr">
        <is>
          <t>L</t>
        </is>
      </c>
      <c r="E662" s="5" t="n">
        <v>1</v>
      </c>
      <c r="F662" s="5" t="n"/>
      <c r="G662" s="5" t="n"/>
      <c r="H662" s="5" t="n"/>
      <c r="I662" s="22">
        <f>INDEX(Personendaten!$C$2:$C$32,MATCH(A662,Personendaten!$A$2:$A$32,0))</f>
        <v/>
      </c>
      <c r="J662" s="22">
        <f>IF(AND(F662&lt;&gt;"",G662=""),1,0)</f>
        <v/>
      </c>
      <c r="K662" s="22">
        <f>IF(LEFT(C662,7)&lt;&gt;"Sprint_","",IF(COUNTIFS(Versuchsdaten!$A$2:$A$1117,$A662,Versuchsdaten!$B$2:$B$1117,$B662,Versuchsdaten!$C$2:$C$1117,"Sprint_5m",Versuchsdaten!$E$2:$E$1117,$E662,Versuchsdaten!$J$2:$J$1117,1)=1,SUMIFS(Versuchsdaten!$F$2:$F$1117,Versuchsdaten!$A$2:$A$1117,$A662,Versuchsdaten!$B$2:$B$1117,$B662,Versuchsdaten!$C$2:$C$1117,"Sprint_5m",Versuchsdaten!$E$2:$E$1117,$E662,Versuchsdaten!$J$2:$J$1117,1),""))</f>
        <v/>
      </c>
      <c r="L662" s="22">
        <f>IF(LEFT(C662,7)&lt;&gt;"Sprint_","",IF(COUNTIFS(Versuchsdaten!$A$2:$A$1117,$A662,Versuchsdaten!$B$2:$B$1117,$B662,Versuchsdaten!$C$2:$C$1117,"Sprint_10m",Versuchsdaten!$E$2:$E$1117,$E662,Versuchsdaten!$J$2:$J$1117,1)=1,SUMIFS(Versuchsdaten!$F$2:$F$1117,Versuchsdaten!$A$2:$A$1117,$A662,Versuchsdaten!$B$2:$B$1117,$B662,Versuchsdaten!$C$2:$C$1117,"Sprint_10m",Versuchsdaten!$E$2:$E$1117,$E662,Versuchsdaten!$J$2:$J$1117,1),""))</f>
        <v/>
      </c>
      <c r="M662" s="22">
        <f>IF(LEFT(C662,7)&lt;&gt;"Sprint_","",IF(COUNTIFS(Versuchsdaten!$A$2:$A$1117,$A662,Versuchsdaten!$B$2:$B$1117,$B662,Versuchsdaten!$C$2:$C$1117,"Sprint_30m",Versuchsdaten!$E$2:$E$1117,$E662,Versuchsdaten!$J$2:$J$1117,1)=1,SUMIFS(Versuchsdaten!$F$2:$F$1117,Versuchsdaten!$A$2:$A$1117,$A662,Versuchsdaten!$B$2:$B$1117,$B662,Versuchsdaten!$C$2:$C$1117,"Sprint_30m",Versuchsdaten!$E$2:$E$1117,$E662,Versuchsdaten!$J$2:$J$1117,1),""))</f>
        <v/>
      </c>
      <c r="N662" s="22">
        <f>IF(LEFT(C662,7)&lt;&gt;"Sprint_",0,IF(IF(ISNUMBER(K662),IF(K662&lt;=0,1,IF(5/K662&gt;10,1,0)),0)+IF(ISNUMBER(L662),IF(ISNUMBER(K662),IF(L662-K662&lt;=0,1,IF(5/(L662-K662)&gt;10,1,0)),IF(L662&lt;=0,1,IF(10/L662&gt;10,1,0))),0)+IF(ISNUMBER(M662),IF(ISNUMBER(L662),IF(M662-L662&lt;=0,1,IF(20/(M662-L662)&gt;10,1,0)),IF(ISNUMBER(K662),IF(M662-K662&lt;=0,1,IF(25/(M662-K662)&gt;10,1,0)),IF(M662&lt;=0,1,IF(30/M662&gt;10,1,0)))),0)&gt;0,1,0))</f>
        <v/>
      </c>
      <c r="O662" s="22">
        <f>IF(AND(J662=1,N662=0),1,0)</f>
        <v/>
      </c>
      <c r="P662" s="22">
        <f>INDEX(Personendaten!$J$2:$J$32,MATCH(A662,Personendaten!$A$2:$A$32,0))</f>
        <v/>
      </c>
      <c r="Q662" s="22">
        <f>IF(O662=1,"",IF(AND(B662="post",P662="nicht angetreten"),"NANG",IF(N662=1,"AUSL",IFERROR(VLOOKUP(H662,Vokabular!$A$2:$B$8,2,FALSE),"UNBEKANNT"))))</f>
        <v/>
      </c>
    </row>
    <row r="663">
      <c r="A663" s="5" t="inlineStr">
        <is>
          <t>BW-07</t>
        </is>
      </c>
      <c r="B663" s="5" t="inlineStr">
        <is>
          <t>post</t>
        </is>
      </c>
      <c r="C663" s="5" t="inlineStr">
        <is>
          <t>COD_505</t>
        </is>
      </c>
      <c r="D663" s="5" t="inlineStr">
        <is>
          <t>L</t>
        </is>
      </c>
      <c r="E663" s="5" t="n">
        <v>2</v>
      </c>
      <c r="F663" s="5" t="n"/>
      <c r="G663" s="5" t="n"/>
      <c r="H663" s="5" t="n"/>
      <c r="I663" s="22">
        <f>INDEX(Personendaten!$C$2:$C$32,MATCH(A663,Personendaten!$A$2:$A$32,0))</f>
        <v/>
      </c>
      <c r="J663" s="22">
        <f>IF(AND(F663&lt;&gt;"",G663=""),1,0)</f>
        <v/>
      </c>
      <c r="K663" s="22">
        <f>IF(LEFT(C663,7)&lt;&gt;"Sprint_","",IF(COUNTIFS(Versuchsdaten!$A$2:$A$1117,$A663,Versuchsdaten!$B$2:$B$1117,$B663,Versuchsdaten!$C$2:$C$1117,"Sprint_5m",Versuchsdaten!$E$2:$E$1117,$E663,Versuchsdaten!$J$2:$J$1117,1)=1,SUMIFS(Versuchsdaten!$F$2:$F$1117,Versuchsdaten!$A$2:$A$1117,$A663,Versuchsdaten!$B$2:$B$1117,$B663,Versuchsdaten!$C$2:$C$1117,"Sprint_5m",Versuchsdaten!$E$2:$E$1117,$E663,Versuchsdaten!$J$2:$J$1117,1),""))</f>
        <v/>
      </c>
      <c r="L663" s="22">
        <f>IF(LEFT(C663,7)&lt;&gt;"Sprint_","",IF(COUNTIFS(Versuchsdaten!$A$2:$A$1117,$A663,Versuchsdaten!$B$2:$B$1117,$B663,Versuchsdaten!$C$2:$C$1117,"Sprint_10m",Versuchsdaten!$E$2:$E$1117,$E663,Versuchsdaten!$J$2:$J$1117,1)=1,SUMIFS(Versuchsdaten!$F$2:$F$1117,Versuchsdaten!$A$2:$A$1117,$A663,Versuchsdaten!$B$2:$B$1117,$B663,Versuchsdaten!$C$2:$C$1117,"Sprint_10m",Versuchsdaten!$E$2:$E$1117,$E663,Versuchsdaten!$J$2:$J$1117,1),""))</f>
        <v/>
      </c>
      <c r="M663" s="22">
        <f>IF(LEFT(C663,7)&lt;&gt;"Sprint_","",IF(COUNTIFS(Versuchsdaten!$A$2:$A$1117,$A663,Versuchsdaten!$B$2:$B$1117,$B663,Versuchsdaten!$C$2:$C$1117,"Sprint_30m",Versuchsdaten!$E$2:$E$1117,$E663,Versuchsdaten!$J$2:$J$1117,1)=1,SUMIFS(Versuchsdaten!$F$2:$F$1117,Versuchsdaten!$A$2:$A$1117,$A663,Versuchsdaten!$B$2:$B$1117,$B663,Versuchsdaten!$C$2:$C$1117,"Sprint_30m",Versuchsdaten!$E$2:$E$1117,$E663,Versuchsdaten!$J$2:$J$1117,1),""))</f>
        <v/>
      </c>
      <c r="N663" s="22">
        <f>IF(LEFT(C663,7)&lt;&gt;"Sprint_",0,IF(IF(ISNUMBER(K663),IF(K663&lt;=0,1,IF(5/K663&gt;10,1,0)),0)+IF(ISNUMBER(L663),IF(ISNUMBER(K663),IF(L663-K663&lt;=0,1,IF(5/(L663-K663)&gt;10,1,0)),IF(L663&lt;=0,1,IF(10/L663&gt;10,1,0))),0)+IF(ISNUMBER(M663),IF(ISNUMBER(L663),IF(M663-L663&lt;=0,1,IF(20/(M663-L663)&gt;10,1,0)),IF(ISNUMBER(K663),IF(M663-K663&lt;=0,1,IF(25/(M663-K663)&gt;10,1,0)),IF(M663&lt;=0,1,IF(30/M663&gt;10,1,0)))),0)&gt;0,1,0))</f>
        <v/>
      </c>
      <c r="O663" s="22">
        <f>IF(AND(J663=1,N663=0),1,0)</f>
        <v/>
      </c>
      <c r="P663" s="22">
        <f>INDEX(Personendaten!$J$2:$J$32,MATCH(A663,Personendaten!$A$2:$A$32,0))</f>
        <v/>
      </c>
      <c r="Q663" s="22">
        <f>IF(O663=1,"",IF(AND(B663="post",P663="nicht angetreten"),"NANG",IF(N663=1,"AUSL",IFERROR(VLOOKUP(H663,Vokabular!$A$2:$B$8,2,FALSE),"UNBEKANNT"))))</f>
        <v/>
      </c>
    </row>
    <row r="664">
      <c r="A664" s="5" t="inlineStr">
        <is>
          <t>BW-07</t>
        </is>
      </c>
      <c r="B664" s="5" t="inlineStr">
        <is>
          <t>post</t>
        </is>
      </c>
      <c r="C664" s="5" t="inlineStr">
        <is>
          <t>COD_505</t>
        </is>
      </c>
      <c r="D664" s="5" t="inlineStr">
        <is>
          <t>L</t>
        </is>
      </c>
      <c r="E664" s="5" t="n">
        <v>3</v>
      </c>
      <c r="F664" s="5" t="n"/>
      <c r="G664" s="5" t="n"/>
      <c r="H664" s="5" t="n"/>
      <c r="I664" s="22">
        <f>INDEX(Personendaten!$C$2:$C$32,MATCH(A664,Personendaten!$A$2:$A$32,0))</f>
        <v/>
      </c>
      <c r="J664" s="22">
        <f>IF(AND(F664&lt;&gt;"",G664=""),1,0)</f>
        <v/>
      </c>
      <c r="K664" s="22">
        <f>IF(LEFT(C664,7)&lt;&gt;"Sprint_","",IF(COUNTIFS(Versuchsdaten!$A$2:$A$1117,$A664,Versuchsdaten!$B$2:$B$1117,$B664,Versuchsdaten!$C$2:$C$1117,"Sprint_5m",Versuchsdaten!$E$2:$E$1117,$E664,Versuchsdaten!$J$2:$J$1117,1)=1,SUMIFS(Versuchsdaten!$F$2:$F$1117,Versuchsdaten!$A$2:$A$1117,$A664,Versuchsdaten!$B$2:$B$1117,$B664,Versuchsdaten!$C$2:$C$1117,"Sprint_5m",Versuchsdaten!$E$2:$E$1117,$E664,Versuchsdaten!$J$2:$J$1117,1),""))</f>
        <v/>
      </c>
      <c r="L664" s="22">
        <f>IF(LEFT(C664,7)&lt;&gt;"Sprint_","",IF(COUNTIFS(Versuchsdaten!$A$2:$A$1117,$A664,Versuchsdaten!$B$2:$B$1117,$B664,Versuchsdaten!$C$2:$C$1117,"Sprint_10m",Versuchsdaten!$E$2:$E$1117,$E664,Versuchsdaten!$J$2:$J$1117,1)=1,SUMIFS(Versuchsdaten!$F$2:$F$1117,Versuchsdaten!$A$2:$A$1117,$A664,Versuchsdaten!$B$2:$B$1117,$B664,Versuchsdaten!$C$2:$C$1117,"Sprint_10m",Versuchsdaten!$E$2:$E$1117,$E664,Versuchsdaten!$J$2:$J$1117,1),""))</f>
        <v/>
      </c>
      <c r="M664" s="22">
        <f>IF(LEFT(C664,7)&lt;&gt;"Sprint_","",IF(COUNTIFS(Versuchsdaten!$A$2:$A$1117,$A664,Versuchsdaten!$B$2:$B$1117,$B664,Versuchsdaten!$C$2:$C$1117,"Sprint_30m",Versuchsdaten!$E$2:$E$1117,$E664,Versuchsdaten!$J$2:$J$1117,1)=1,SUMIFS(Versuchsdaten!$F$2:$F$1117,Versuchsdaten!$A$2:$A$1117,$A664,Versuchsdaten!$B$2:$B$1117,$B664,Versuchsdaten!$C$2:$C$1117,"Sprint_30m",Versuchsdaten!$E$2:$E$1117,$E664,Versuchsdaten!$J$2:$J$1117,1),""))</f>
        <v/>
      </c>
      <c r="N664" s="22">
        <f>IF(LEFT(C664,7)&lt;&gt;"Sprint_",0,IF(IF(ISNUMBER(K664),IF(K664&lt;=0,1,IF(5/K664&gt;10,1,0)),0)+IF(ISNUMBER(L664),IF(ISNUMBER(K664),IF(L664-K664&lt;=0,1,IF(5/(L664-K664)&gt;10,1,0)),IF(L664&lt;=0,1,IF(10/L664&gt;10,1,0))),0)+IF(ISNUMBER(M664),IF(ISNUMBER(L664),IF(M664-L664&lt;=0,1,IF(20/(M664-L664)&gt;10,1,0)),IF(ISNUMBER(K664),IF(M664-K664&lt;=0,1,IF(25/(M664-K664)&gt;10,1,0)),IF(M664&lt;=0,1,IF(30/M664&gt;10,1,0)))),0)&gt;0,1,0))</f>
        <v/>
      </c>
      <c r="O664" s="22">
        <f>IF(AND(J664=1,N664=0),1,0)</f>
        <v/>
      </c>
      <c r="P664" s="22">
        <f>INDEX(Personendaten!$J$2:$J$32,MATCH(A664,Personendaten!$A$2:$A$32,0))</f>
        <v/>
      </c>
      <c r="Q664" s="22">
        <f>IF(O664=1,"",IF(AND(B664="post",P664="nicht angetreten"),"NANG",IF(N664=1,"AUSL",IFERROR(VLOOKUP(H664,Vokabular!$A$2:$B$8,2,FALSE),"UNBEKANNT"))))</f>
        <v/>
      </c>
    </row>
    <row r="665">
      <c r="A665" s="5" t="inlineStr">
        <is>
          <t>BW-07</t>
        </is>
      </c>
      <c r="B665" s="5" t="inlineStr">
        <is>
          <t>post</t>
        </is>
      </c>
      <c r="C665" s="5" t="inlineStr">
        <is>
          <t>COD_505</t>
        </is>
      </c>
      <c r="D665" s="5" t="inlineStr">
        <is>
          <t>R</t>
        </is>
      </c>
      <c r="E665" s="5" t="n">
        <v>1</v>
      </c>
      <c r="F665" s="5" t="n"/>
      <c r="G665" s="5" t="n"/>
      <c r="H665" s="5" t="n"/>
      <c r="I665" s="22">
        <f>INDEX(Personendaten!$C$2:$C$32,MATCH(A665,Personendaten!$A$2:$A$32,0))</f>
        <v/>
      </c>
      <c r="J665" s="22">
        <f>IF(AND(F665&lt;&gt;"",G665=""),1,0)</f>
        <v/>
      </c>
      <c r="K665" s="22">
        <f>IF(LEFT(C665,7)&lt;&gt;"Sprint_","",IF(COUNTIFS(Versuchsdaten!$A$2:$A$1117,$A665,Versuchsdaten!$B$2:$B$1117,$B665,Versuchsdaten!$C$2:$C$1117,"Sprint_5m",Versuchsdaten!$E$2:$E$1117,$E665,Versuchsdaten!$J$2:$J$1117,1)=1,SUMIFS(Versuchsdaten!$F$2:$F$1117,Versuchsdaten!$A$2:$A$1117,$A665,Versuchsdaten!$B$2:$B$1117,$B665,Versuchsdaten!$C$2:$C$1117,"Sprint_5m",Versuchsdaten!$E$2:$E$1117,$E665,Versuchsdaten!$J$2:$J$1117,1),""))</f>
        <v/>
      </c>
      <c r="L665" s="22">
        <f>IF(LEFT(C665,7)&lt;&gt;"Sprint_","",IF(COUNTIFS(Versuchsdaten!$A$2:$A$1117,$A665,Versuchsdaten!$B$2:$B$1117,$B665,Versuchsdaten!$C$2:$C$1117,"Sprint_10m",Versuchsdaten!$E$2:$E$1117,$E665,Versuchsdaten!$J$2:$J$1117,1)=1,SUMIFS(Versuchsdaten!$F$2:$F$1117,Versuchsdaten!$A$2:$A$1117,$A665,Versuchsdaten!$B$2:$B$1117,$B665,Versuchsdaten!$C$2:$C$1117,"Sprint_10m",Versuchsdaten!$E$2:$E$1117,$E665,Versuchsdaten!$J$2:$J$1117,1),""))</f>
        <v/>
      </c>
      <c r="M665" s="22">
        <f>IF(LEFT(C665,7)&lt;&gt;"Sprint_","",IF(COUNTIFS(Versuchsdaten!$A$2:$A$1117,$A665,Versuchsdaten!$B$2:$B$1117,$B665,Versuchsdaten!$C$2:$C$1117,"Sprint_30m",Versuchsdaten!$E$2:$E$1117,$E665,Versuchsdaten!$J$2:$J$1117,1)=1,SUMIFS(Versuchsdaten!$F$2:$F$1117,Versuchsdaten!$A$2:$A$1117,$A665,Versuchsdaten!$B$2:$B$1117,$B665,Versuchsdaten!$C$2:$C$1117,"Sprint_30m",Versuchsdaten!$E$2:$E$1117,$E665,Versuchsdaten!$J$2:$J$1117,1),""))</f>
        <v/>
      </c>
      <c r="N665" s="22">
        <f>IF(LEFT(C665,7)&lt;&gt;"Sprint_",0,IF(IF(ISNUMBER(K665),IF(K665&lt;=0,1,IF(5/K665&gt;10,1,0)),0)+IF(ISNUMBER(L665),IF(ISNUMBER(K665),IF(L665-K665&lt;=0,1,IF(5/(L665-K665)&gt;10,1,0)),IF(L665&lt;=0,1,IF(10/L665&gt;10,1,0))),0)+IF(ISNUMBER(M665),IF(ISNUMBER(L665),IF(M665-L665&lt;=0,1,IF(20/(M665-L665)&gt;10,1,0)),IF(ISNUMBER(K665),IF(M665-K665&lt;=0,1,IF(25/(M665-K665)&gt;10,1,0)),IF(M665&lt;=0,1,IF(30/M665&gt;10,1,0)))),0)&gt;0,1,0))</f>
        <v/>
      </c>
      <c r="O665" s="22">
        <f>IF(AND(J665=1,N665=0),1,0)</f>
        <v/>
      </c>
      <c r="P665" s="22">
        <f>INDEX(Personendaten!$J$2:$J$32,MATCH(A665,Personendaten!$A$2:$A$32,0))</f>
        <v/>
      </c>
      <c r="Q665" s="22">
        <f>IF(O665=1,"",IF(AND(B665="post",P665="nicht angetreten"),"NANG",IF(N665=1,"AUSL",IFERROR(VLOOKUP(H665,Vokabular!$A$2:$B$8,2,FALSE),"UNBEKANNT"))))</f>
        <v/>
      </c>
    </row>
    <row r="666">
      <c r="A666" s="5" t="inlineStr">
        <is>
          <t>BW-07</t>
        </is>
      </c>
      <c r="B666" s="5" t="inlineStr">
        <is>
          <t>post</t>
        </is>
      </c>
      <c r="C666" s="5" t="inlineStr">
        <is>
          <t>COD_505</t>
        </is>
      </c>
      <c r="D666" s="5" t="inlineStr">
        <is>
          <t>R</t>
        </is>
      </c>
      <c r="E666" s="5" t="n">
        <v>2</v>
      </c>
      <c r="F666" s="5" t="n"/>
      <c r="G666" s="5" t="n"/>
      <c r="H666" s="5" t="n"/>
      <c r="I666" s="22">
        <f>INDEX(Personendaten!$C$2:$C$32,MATCH(A666,Personendaten!$A$2:$A$32,0))</f>
        <v/>
      </c>
      <c r="J666" s="22">
        <f>IF(AND(F666&lt;&gt;"",G666=""),1,0)</f>
        <v/>
      </c>
      <c r="K666" s="22">
        <f>IF(LEFT(C666,7)&lt;&gt;"Sprint_","",IF(COUNTIFS(Versuchsdaten!$A$2:$A$1117,$A666,Versuchsdaten!$B$2:$B$1117,$B666,Versuchsdaten!$C$2:$C$1117,"Sprint_5m",Versuchsdaten!$E$2:$E$1117,$E666,Versuchsdaten!$J$2:$J$1117,1)=1,SUMIFS(Versuchsdaten!$F$2:$F$1117,Versuchsdaten!$A$2:$A$1117,$A666,Versuchsdaten!$B$2:$B$1117,$B666,Versuchsdaten!$C$2:$C$1117,"Sprint_5m",Versuchsdaten!$E$2:$E$1117,$E666,Versuchsdaten!$J$2:$J$1117,1),""))</f>
        <v/>
      </c>
      <c r="L666" s="22">
        <f>IF(LEFT(C666,7)&lt;&gt;"Sprint_","",IF(COUNTIFS(Versuchsdaten!$A$2:$A$1117,$A666,Versuchsdaten!$B$2:$B$1117,$B666,Versuchsdaten!$C$2:$C$1117,"Sprint_10m",Versuchsdaten!$E$2:$E$1117,$E666,Versuchsdaten!$J$2:$J$1117,1)=1,SUMIFS(Versuchsdaten!$F$2:$F$1117,Versuchsdaten!$A$2:$A$1117,$A666,Versuchsdaten!$B$2:$B$1117,$B666,Versuchsdaten!$C$2:$C$1117,"Sprint_10m",Versuchsdaten!$E$2:$E$1117,$E666,Versuchsdaten!$J$2:$J$1117,1),""))</f>
        <v/>
      </c>
      <c r="M666" s="22">
        <f>IF(LEFT(C666,7)&lt;&gt;"Sprint_","",IF(COUNTIFS(Versuchsdaten!$A$2:$A$1117,$A666,Versuchsdaten!$B$2:$B$1117,$B666,Versuchsdaten!$C$2:$C$1117,"Sprint_30m",Versuchsdaten!$E$2:$E$1117,$E666,Versuchsdaten!$J$2:$J$1117,1)=1,SUMIFS(Versuchsdaten!$F$2:$F$1117,Versuchsdaten!$A$2:$A$1117,$A666,Versuchsdaten!$B$2:$B$1117,$B666,Versuchsdaten!$C$2:$C$1117,"Sprint_30m",Versuchsdaten!$E$2:$E$1117,$E666,Versuchsdaten!$J$2:$J$1117,1),""))</f>
        <v/>
      </c>
      <c r="N666" s="22">
        <f>IF(LEFT(C666,7)&lt;&gt;"Sprint_",0,IF(IF(ISNUMBER(K666),IF(K666&lt;=0,1,IF(5/K666&gt;10,1,0)),0)+IF(ISNUMBER(L666),IF(ISNUMBER(K666),IF(L666-K666&lt;=0,1,IF(5/(L666-K666)&gt;10,1,0)),IF(L666&lt;=0,1,IF(10/L666&gt;10,1,0))),0)+IF(ISNUMBER(M666),IF(ISNUMBER(L666),IF(M666-L666&lt;=0,1,IF(20/(M666-L666)&gt;10,1,0)),IF(ISNUMBER(K666),IF(M666-K666&lt;=0,1,IF(25/(M666-K666)&gt;10,1,0)),IF(M666&lt;=0,1,IF(30/M666&gt;10,1,0)))),0)&gt;0,1,0))</f>
        <v/>
      </c>
      <c r="O666" s="22">
        <f>IF(AND(J666=1,N666=0),1,0)</f>
        <v/>
      </c>
      <c r="P666" s="22">
        <f>INDEX(Personendaten!$J$2:$J$32,MATCH(A666,Personendaten!$A$2:$A$32,0))</f>
        <v/>
      </c>
      <c r="Q666" s="22">
        <f>IF(O666=1,"",IF(AND(B666="post",P666="nicht angetreten"),"NANG",IF(N666=1,"AUSL",IFERROR(VLOOKUP(H666,Vokabular!$A$2:$B$8,2,FALSE),"UNBEKANNT"))))</f>
        <v/>
      </c>
    </row>
    <row r="667">
      <c r="A667" s="5" t="inlineStr">
        <is>
          <t>BW-07</t>
        </is>
      </c>
      <c r="B667" s="5" t="inlineStr">
        <is>
          <t>post</t>
        </is>
      </c>
      <c r="C667" s="5" t="inlineStr">
        <is>
          <t>COD_505</t>
        </is>
      </c>
      <c r="D667" s="5" t="inlineStr">
        <is>
          <t>R</t>
        </is>
      </c>
      <c r="E667" s="5" t="n">
        <v>3</v>
      </c>
      <c r="F667" s="5" t="n"/>
      <c r="G667" s="5" t="n"/>
      <c r="H667" s="5" t="n"/>
      <c r="I667" s="22">
        <f>INDEX(Personendaten!$C$2:$C$32,MATCH(A667,Personendaten!$A$2:$A$32,0))</f>
        <v/>
      </c>
      <c r="J667" s="22">
        <f>IF(AND(F667&lt;&gt;"",G667=""),1,0)</f>
        <v/>
      </c>
      <c r="K667" s="22">
        <f>IF(LEFT(C667,7)&lt;&gt;"Sprint_","",IF(COUNTIFS(Versuchsdaten!$A$2:$A$1117,$A667,Versuchsdaten!$B$2:$B$1117,$B667,Versuchsdaten!$C$2:$C$1117,"Sprint_5m",Versuchsdaten!$E$2:$E$1117,$E667,Versuchsdaten!$J$2:$J$1117,1)=1,SUMIFS(Versuchsdaten!$F$2:$F$1117,Versuchsdaten!$A$2:$A$1117,$A667,Versuchsdaten!$B$2:$B$1117,$B667,Versuchsdaten!$C$2:$C$1117,"Sprint_5m",Versuchsdaten!$E$2:$E$1117,$E667,Versuchsdaten!$J$2:$J$1117,1),""))</f>
        <v/>
      </c>
      <c r="L667" s="22">
        <f>IF(LEFT(C667,7)&lt;&gt;"Sprint_","",IF(COUNTIFS(Versuchsdaten!$A$2:$A$1117,$A667,Versuchsdaten!$B$2:$B$1117,$B667,Versuchsdaten!$C$2:$C$1117,"Sprint_10m",Versuchsdaten!$E$2:$E$1117,$E667,Versuchsdaten!$J$2:$J$1117,1)=1,SUMIFS(Versuchsdaten!$F$2:$F$1117,Versuchsdaten!$A$2:$A$1117,$A667,Versuchsdaten!$B$2:$B$1117,$B667,Versuchsdaten!$C$2:$C$1117,"Sprint_10m",Versuchsdaten!$E$2:$E$1117,$E667,Versuchsdaten!$J$2:$J$1117,1),""))</f>
        <v/>
      </c>
      <c r="M667" s="22">
        <f>IF(LEFT(C667,7)&lt;&gt;"Sprint_","",IF(COUNTIFS(Versuchsdaten!$A$2:$A$1117,$A667,Versuchsdaten!$B$2:$B$1117,$B667,Versuchsdaten!$C$2:$C$1117,"Sprint_30m",Versuchsdaten!$E$2:$E$1117,$E667,Versuchsdaten!$J$2:$J$1117,1)=1,SUMIFS(Versuchsdaten!$F$2:$F$1117,Versuchsdaten!$A$2:$A$1117,$A667,Versuchsdaten!$B$2:$B$1117,$B667,Versuchsdaten!$C$2:$C$1117,"Sprint_30m",Versuchsdaten!$E$2:$E$1117,$E667,Versuchsdaten!$J$2:$J$1117,1),""))</f>
        <v/>
      </c>
      <c r="N667" s="22">
        <f>IF(LEFT(C667,7)&lt;&gt;"Sprint_",0,IF(IF(ISNUMBER(K667),IF(K667&lt;=0,1,IF(5/K667&gt;10,1,0)),0)+IF(ISNUMBER(L667),IF(ISNUMBER(K667),IF(L667-K667&lt;=0,1,IF(5/(L667-K667)&gt;10,1,0)),IF(L667&lt;=0,1,IF(10/L667&gt;10,1,0))),0)+IF(ISNUMBER(M667),IF(ISNUMBER(L667),IF(M667-L667&lt;=0,1,IF(20/(M667-L667)&gt;10,1,0)),IF(ISNUMBER(K667),IF(M667-K667&lt;=0,1,IF(25/(M667-K667)&gt;10,1,0)),IF(M667&lt;=0,1,IF(30/M667&gt;10,1,0)))),0)&gt;0,1,0))</f>
        <v/>
      </c>
      <c r="O667" s="22">
        <f>IF(AND(J667=1,N667=0),1,0)</f>
        <v/>
      </c>
      <c r="P667" s="22">
        <f>INDEX(Personendaten!$J$2:$J$32,MATCH(A667,Personendaten!$A$2:$A$32,0))</f>
        <v/>
      </c>
      <c r="Q667" s="22">
        <f>IF(O667=1,"",IF(AND(B667="post",P667="nicht angetreten"),"NANG",IF(N667=1,"AUSL",IFERROR(VLOOKUP(H667,Vokabular!$A$2:$B$8,2,FALSE),"UNBEKANNT"))))</f>
        <v/>
      </c>
    </row>
    <row r="668">
      <c r="A668" s="5" t="inlineStr">
        <is>
          <t>BW-08</t>
        </is>
      </c>
      <c r="B668" s="5" t="inlineStr">
        <is>
          <t>post</t>
        </is>
      </c>
      <c r="C668" s="5" t="inlineStr">
        <is>
          <t>Sprint_5m</t>
        </is>
      </c>
      <c r="D668" s="5" t="inlineStr">
        <is>
          <t>–</t>
        </is>
      </c>
      <c r="E668" s="5" t="n">
        <v>1</v>
      </c>
      <c r="F668" s="5" t="n">
        <v>1.03</v>
      </c>
      <c r="G668" s="5" t="n"/>
      <c r="H668" s="5" t="n"/>
      <c r="I668" s="22">
        <f>INDEX(Personendaten!$C$2:$C$32,MATCH(A668,Personendaten!$A$2:$A$32,0))</f>
        <v/>
      </c>
      <c r="J668" s="22">
        <f>IF(AND(F668&lt;&gt;"",G668=""),1,0)</f>
        <v/>
      </c>
      <c r="K668" s="22">
        <f>IF(LEFT(C668,7)&lt;&gt;"Sprint_","",IF(COUNTIFS(Versuchsdaten!$A$2:$A$1117,$A668,Versuchsdaten!$B$2:$B$1117,$B668,Versuchsdaten!$C$2:$C$1117,"Sprint_5m",Versuchsdaten!$E$2:$E$1117,$E668,Versuchsdaten!$J$2:$J$1117,1)=1,SUMIFS(Versuchsdaten!$F$2:$F$1117,Versuchsdaten!$A$2:$A$1117,$A668,Versuchsdaten!$B$2:$B$1117,$B668,Versuchsdaten!$C$2:$C$1117,"Sprint_5m",Versuchsdaten!$E$2:$E$1117,$E668,Versuchsdaten!$J$2:$J$1117,1),""))</f>
        <v/>
      </c>
      <c r="L668" s="22">
        <f>IF(LEFT(C668,7)&lt;&gt;"Sprint_","",IF(COUNTIFS(Versuchsdaten!$A$2:$A$1117,$A668,Versuchsdaten!$B$2:$B$1117,$B668,Versuchsdaten!$C$2:$C$1117,"Sprint_10m",Versuchsdaten!$E$2:$E$1117,$E668,Versuchsdaten!$J$2:$J$1117,1)=1,SUMIFS(Versuchsdaten!$F$2:$F$1117,Versuchsdaten!$A$2:$A$1117,$A668,Versuchsdaten!$B$2:$B$1117,$B668,Versuchsdaten!$C$2:$C$1117,"Sprint_10m",Versuchsdaten!$E$2:$E$1117,$E668,Versuchsdaten!$J$2:$J$1117,1),""))</f>
        <v/>
      </c>
      <c r="M668" s="22">
        <f>IF(LEFT(C668,7)&lt;&gt;"Sprint_","",IF(COUNTIFS(Versuchsdaten!$A$2:$A$1117,$A668,Versuchsdaten!$B$2:$B$1117,$B668,Versuchsdaten!$C$2:$C$1117,"Sprint_30m",Versuchsdaten!$E$2:$E$1117,$E668,Versuchsdaten!$J$2:$J$1117,1)=1,SUMIFS(Versuchsdaten!$F$2:$F$1117,Versuchsdaten!$A$2:$A$1117,$A668,Versuchsdaten!$B$2:$B$1117,$B668,Versuchsdaten!$C$2:$C$1117,"Sprint_30m",Versuchsdaten!$E$2:$E$1117,$E668,Versuchsdaten!$J$2:$J$1117,1),""))</f>
        <v/>
      </c>
      <c r="N668" s="22">
        <f>IF(LEFT(C668,7)&lt;&gt;"Sprint_",0,IF(IF(ISNUMBER(K668),IF(K668&lt;=0,1,IF(5/K668&gt;10,1,0)),0)+IF(ISNUMBER(L668),IF(ISNUMBER(K668),IF(L668-K668&lt;=0,1,IF(5/(L668-K668)&gt;10,1,0)),IF(L668&lt;=0,1,IF(10/L668&gt;10,1,0))),0)+IF(ISNUMBER(M668),IF(ISNUMBER(L668),IF(M668-L668&lt;=0,1,IF(20/(M668-L668)&gt;10,1,0)),IF(ISNUMBER(K668),IF(M668-K668&lt;=0,1,IF(25/(M668-K668)&gt;10,1,0)),IF(M668&lt;=0,1,IF(30/M668&gt;10,1,0)))),0)&gt;0,1,0))</f>
        <v/>
      </c>
      <c r="O668" s="22">
        <f>IF(AND(J668=1,N668=0),1,0)</f>
        <v/>
      </c>
      <c r="P668" s="22">
        <f>INDEX(Personendaten!$J$2:$J$32,MATCH(A668,Personendaten!$A$2:$A$32,0))</f>
        <v/>
      </c>
      <c r="Q668" s="22">
        <f>IF(O668=1,"",IF(AND(B668="post",P668="nicht angetreten"),"NANG",IF(N668=1,"AUSL",IFERROR(VLOOKUP(H668,Vokabular!$A$2:$B$8,2,FALSE),"UNBEKANNT"))))</f>
        <v/>
      </c>
    </row>
    <row r="669">
      <c r="A669" s="5" t="inlineStr">
        <is>
          <t>BW-08</t>
        </is>
      </c>
      <c r="B669" s="5" t="inlineStr">
        <is>
          <t>post</t>
        </is>
      </c>
      <c r="C669" s="5" t="inlineStr">
        <is>
          <t>Sprint_5m</t>
        </is>
      </c>
      <c r="D669" s="5" t="inlineStr">
        <is>
          <t>–</t>
        </is>
      </c>
      <c r="E669" s="5" t="n">
        <v>2</v>
      </c>
      <c r="F669" s="5" t="n">
        <v>1.09</v>
      </c>
      <c r="G669" s="5" t="n"/>
      <c r="H669" s="5" t="n"/>
      <c r="I669" s="22">
        <f>INDEX(Personendaten!$C$2:$C$32,MATCH(A669,Personendaten!$A$2:$A$32,0))</f>
        <v/>
      </c>
      <c r="J669" s="22">
        <f>IF(AND(F669&lt;&gt;"",G669=""),1,0)</f>
        <v/>
      </c>
      <c r="K669" s="22">
        <f>IF(LEFT(C669,7)&lt;&gt;"Sprint_","",IF(COUNTIFS(Versuchsdaten!$A$2:$A$1117,$A669,Versuchsdaten!$B$2:$B$1117,$B669,Versuchsdaten!$C$2:$C$1117,"Sprint_5m",Versuchsdaten!$E$2:$E$1117,$E669,Versuchsdaten!$J$2:$J$1117,1)=1,SUMIFS(Versuchsdaten!$F$2:$F$1117,Versuchsdaten!$A$2:$A$1117,$A669,Versuchsdaten!$B$2:$B$1117,$B669,Versuchsdaten!$C$2:$C$1117,"Sprint_5m",Versuchsdaten!$E$2:$E$1117,$E669,Versuchsdaten!$J$2:$J$1117,1),""))</f>
        <v/>
      </c>
      <c r="L669" s="22">
        <f>IF(LEFT(C669,7)&lt;&gt;"Sprint_","",IF(COUNTIFS(Versuchsdaten!$A$2:$A$1117,$A669,Versuchsdaten!$B$2:$B$1117,$B669,Versuchsdaten!$C$2:$C$1117,"Sprint_10m",Versuchsdaten!$E$2:$E$1117,$E669,Versuchsdaten!$J$2:$J$1117,1)=1,SUMIFS(Versuchsdaten!$F$2:$F$1117,Versuchsdaten!$A$2:$A$1117,$A669,Versuchsdaten!$B$2:$B$1117,$B669,Versuchsdaten!$C$2:$C$1117,"Sprint_10m",Versuchsdaten!$E$2:$E$1117,$E669,Versuchsdaten!$J$2:$J$1117,1),""))</f>
        <v/>
      </c>
      <c r="M669" s="22">
        <f>IF(LEFT(C669,7)&lt;&gt;"Sprint_","",IF(COUNTIFS(Versuchsdaten!$A$2:$A$1117,$A669,Versuchsdaten!$B$2:$B$1117,$B669,Versuchsdaten!$C$2:$C$1117,"Sprint_30m",Versuchsdaten!$E$2:$E$1117,$E669,Versuchsdaten!$J$2:$J$1117,1)=1,SUMIFS(Versuchsdaten!$F$2:$F$1117,Versuchsdaten!$A$2:$A$1117,$A669,Versuchsdaten!$B$2:$B$1117,$B669,Versuchsdaten!$C$2:$C$1117,"Sprint_30m",Versuchsdaten!$E$2:$E$1117,$E669,Versuchsdaten!$J$2:$J$1117,1),""))</f>
        <v/>
      </c>
      <c r="N669" s="22">
        <f>IF(LEFT(C669,7)&lt;&gt;"Sprint_",0,IF(IF(ISNUMBER(K669),IF(K669&lt;=0,1,IF(5/K669&gt;10,1,0)),0)+IF(ISNUMBER(L669),IF(ISNUMBER(K669),IF(L669-K669&lt;=0,1,IF(5/(L669-K669)&gt;10,1,0)),IF(L669&lt;=0,1,IF(10/L669&gt;10,1,0))),0)+IF(ISNUMBER(M669),IF(ISNUMBER(L669),IF(M669-L669&lt;=0,1,IF(20/(M669-L669)&gt;10,1,0)),IF(ISNUMBER(K669),IF(M669-K669&lt;=0,1,IF(25/(M669-K669)&gt;10,1,0)),IF(M669&lt;=0,1,IF(30/M669&gt;10,1,0)))),0)&gt;0,1,0))</f>
        <v/>
      </c>
      <c r="O669" s="22">
        <f>IF(AND(J669=1,N669=0),1,0)</f>
        <v/>
      </c>
      <c r="P669" s="22">
        <f>INDEX(Personendaten!$J$2:$J$32,MATCH(A669,Personendaten!$A$2:$A$32,0))</f>
        <v/>
      </c>
      <c r="Q669" s="22">
        <f>IF(O669=1,"",IF(AND(B669="post",P669="nicht angetreten"),"NANG",IF(N669=1,"AUSL",IFERROR(VLOOKUP(H669,Vokabular!$A$2:$B$8,2,FALSE),"UNBEKANNT"))))</f>
        <v/>
      </c>
    </row>
    <row r="670">
      <c r="A670" s="5" t="inlineStr">
        <is>
          <t>BW-08</t>
        </is>
      </c>
      <c r="B670" s="5" t="inlineStr">
        <is>
          <t>post</t>
        </is>
      </c>
      <c r="C670" s="5" t="inlineStr">
        <is>
          <t>Sprint_5m</t>
        </is>
      </c>
      <c r="D670" s="5" t="inlineStr">
        <is>
          <t>–</t>
        </is>
      </c>
      <c r="E670" s="5" t="n">
        <v>3</v>
      </c>
      <c r="F670" s="5" t="n"/>
      <c r="G670" s="5" t="n"/>
      <c r="H670" s="5" t="inlineStr">
        <is>
          <t>Nur 2 Versuche aus Zeitmangel</t>
        </is>
      </c>
      <c r="I670" s="22">
        <f>INDEX(Personendaten!$C$2:$C$32,MATCH(A670,Personendaten!$A$2:$A$32,0))</f>
        <v/>
      </c>
      <c r="J670" s="22">
        <f>IF(AND(F670&lt;&gt;"",G670=""),1,0)</f>
        <v/>
      </c>
      <c r="K670" s="22">
        <f>IF(LEFT(C670,7)&lt;&gt;"Sprint_","",IF(COUNTIFS(Versuchsdaten!$A$2:$A$1117,$A670,Versuchsdaten!$B$2:$B$1117,$B670,Versuchsdaten!$C$2:$C$1117,"Sprint_5m",Versuchsdaten!$E$2:$E$1117,$E670,Versuchsdaten!$J$2:$J$1117,1)=1,SUMIFS(Versuchsdaten!$F$2:$F$1117,Versuchsdaten!$A$2:$A$1117,$A670,Versuchsdaten!$B$2:$B$1117,$B670,Versuchsdaten!$C$2:$C$1117,"Sprint_5m",Versuchsdaten!$E$2:$E$1117,$E670,Versuchsdaten!$J$2:$J$1117,1),""))</f>
        <v/>
      </c>
      <c r="L670" s="22">
        <f>IF(LEFT(C670,7)&lt;&gt;"Sprint_","",IF(COUNTIFS(Versuchsdaten!$A$2:$A$1117,$A670,Versuchsdaten!$B$2:$B$1117,$B670,Versuchsdaten!$C$2:$C$1117,"Sprint_10m",Versuchsdaten!$E$2:$E$1117,$E670,Versuchsdaten!$J$2:$J$1117,1)=1,SUMIFS(Versuchsdaten!$F$2:$F$1117,Versuchsdaten!$A$2:$A$1117,$A670,Versuchsdaten!$B$2:$B$1117,$B670,Versuchsdaten!$C$2:$C$1117,"Sprint_10m",Versuchsdaten!$E$2:$E$1117,$E670,Versuchsdaten!$J$2:$J$1117,1),""))</f>
        <v/>
      </c>
      <c r="M670" s="22">
        <f>IF(LEFT(C670,7)&lt;&gt;"Sprint_","",IF(COUNTIFS(Versuchsdaten!$A$2:$A$1117,$A670,Versuchsdaten!$B$2:$B$1117,$B670,Versuchsdaten!$C$2:$C$1117,"Sprint_30m",Versuchsdaten!$E$2:$E$1117,$E670,Versuchsdaten!$J$2:$J$1117,1)=1,SUMIFS(Versuchsdaten!$F$2:$F$1117,Versuchsdaten!$A$2:$A$1117,$A670,Versuchsdaten!$B$2:$B$1117,$B670,Versuchsdaten!$C$2:$C$1117,"Sprint_30m",Versuchsdaten!$E$2:$E$1117,$E670,Versuchsdaten!$J$2:$J$1117,1),""))</f>
        <v/>
      </c>
      <c r="N670" s="22">
        <f>IF(LEFT(C670,7)&lt;&gt;"Sprint_",0,IF(IF(ISNUMBER(K670),IF(K670&lt;=0,1,IF(5/K670&gt;10,1,0)),0)+IF(ISNUMBER(L670),IF(ISNUMBER(K670),IF(L670-K670&lt;=0,1,IF(5/(L670-K670)&gt;10,1,0)),IF(L670&lt;=0,1,IF(10/L670&gt;10,1,0))),0)+IF(ISNUMBER(M670),IF(ISNUMBER(L670),IF(M670-L670&lt;=0,1,IF(20/(M670-L670)&gt;10,1,0)),IF(ISNUMBER(K670),IF(M670-K670&lt;=0,1,IF(25/(M670-K670)&gt;10,1,0)),IF(M670&lt;=0,1,IF(30/M670&gt;10,1,0)))),0)&gt;0,1,0))</f>
        <v/>
      </c>
      <c r="O670" s="22">
        <f>IF(AND(J670=1,N670=0),1,0)</f>
        <v/>
      </c>
      <c r="P670" s="22">
        <f>INDEX(Personendaten!$J$2:$J$32,MATCH(A670,Personendaten!$A$2:$A$32,0))</f>
        <v/>
      </c>
      <c r="Q670" s="22">
        <f>IF(O670=1,"",IF(AND(B670="post",P670="nicht angetreten"),"NANG",IF(N670=1,"AUSL",IFERROR(VLOOKUP(H670,Vokabular!$A$2:$B$8,2,FALSE),"UNBEKANNT"))))</f>
        <v/>
      </c>
    </row>
    <row r="671">
      <c r="A671" s="5" t="inlineStr">
        <is>
          <t>BW-08</t>
        </is>
      </c>
      <c r="B671" s="5" t="inlineStr">
        <is>
          <t>post</t>
        </is>
      </c>
      <c r="C671" s="5" t="inlineStr">
        <is>
          <t>Sprint_10m</t>
        </is>
      </c>
      <c r="D671" s="5" t="inlineStr">
        <is>
          <t>–</t>
        </is>
      </c>
      <c r="E671" s="5" t="n">
        <v>1</v>
      </c>
      <c r="F671" s="5" t="n"/>
      <c r="G671" s="5" t="n"/>
      <c r="H671" s="5" t="inlineStr">
        <is>
          <t>System falsch aufgenommen</t>
        </is>
      </c>
      <c r="I671" s="22">
        <f>INDEX(Personendaten!$C$2:$C$32,MATCH(A671,Personendaten!$A$2:$A$32,0))</f>
        <v/>
      </c>
      <c r="J671" s="22">
        <f>IF(AND(F671&lt;&gt;"",G671=""),1,0)</f>
        <v/>
      </c>
      <c r="K671" s="22">
        <f>IF(LEFT(C671,7)&lt;&gt;"Sprint_","",IF(COUNTIFS(Versuchsdaten!$A$2:$A$1117,$A671,Versuchsdaten!$B$2:$B$1117,$B671,Versuchsdaten!$C$2:$C$1117,"Sprint_5m",Versuchsdaten!$E$2:$E$1117,$E671,Versuchsdaten!$J$2:$J$1117,1)=1,SUMIFS(Versuchsdaten!$F$2:$F$1117,Versuchsdaten!$A$2:$A$1117,$A671,Versuchsdaten!$B$2:$B$1117,$B671,Versuchsdaten!$C$2:$C$1117,"Sprint_5m",Versuchsdaten!$E$2:$E$1117,$E671,Versuchsdaten!$J$2:$J$1117,1),""))</f>
        <v/>
      </c>
      <c r="L671" s="22">
        <f>IF(LEFT(C671,7)&lt;&gt;"Sprint_","",IF(COUNTIFS(Versuchsdaten!$A$2:$A$1117,$A671,Versuchsdaten!$B$2:$B$1117,$B671,Versuchsdaten!$C$2:$C$1117,"Sprint_10m",Versuchsdaten!$E$2:$E$1117,$E671,Versuchsdaten!$J$2:$J$1117,1)=1,SUMIFS(Versuchsdaten!$F$2:$F$1117,Versuchsdaten!$A$2:$A$1117,$A671,Versuchsdaten!$B$2:$B$1117,$B671,Versuchsdaten!$C$2:$C$1117,"Sprint_10m",Versuchsdaten!$E$2:$E$1117,$E671,Versuchsdaten!$J$2:$J$1117,1),""))</f>
        <v/>
      </c>
      <c r="M671" s="22">
        <f>IF(LEFT(C671,7)&lt;&gt;"Sprint_","",IF(COUNTIFS(Versuchsdaten!$A$2:$A$1117,$A671,Versuchsdaten!$B$2:$B$1117,$B671,Versuchsdaten!$C$2:$C$1117,"Sprint_30m",Versuchsdaten!$E$2:$E$1117,$E671,Versuchsdaten!$J$2:$J$1117,1)=1,SUMIFS(Versuchsdaten!$F$2:$F$1117,Versuchsdaten!$A$2:$A$1117,$A671,Versuchsdaten!$B$2:$B$1117,$B671,Versuchsdaten!$C$2:$C$1117,"Sprint_30m",Versuchsdaten!$E$2:$E$1117,$E671,Versuchsdaten!$J$2:$J$1117,1),""))</f>
        <v/>
      </c>
      <c r="N671" s="22">
        <f>IF(LEFT(C671,7)&lt;&gt;"Sprint_",0,IF(IF(ISNUMBER(K671),IF(K671&lt;=0,1,IF(5/K671&gt;10,1,0)),0)+IF(ISNUMBER(L671),IF(ISNUMBER(K671),IF(L671-K671&lt;=0,1,IF(5/(L671-K671)&gt;10,1,0)),IF(L671&lt;=0,1,IF(10/L671&gt;10,1,0))),0)+IF(ISNUMBER(M671),IF(ISNUMBER(L671),IF(M671-L671&lt;=0,1,IF(20/(M671-L671)&gt;10,1,0)),IF(ISNUMBER(K671),IF(M671-K671&lt;=0,1,IF(25/(M671-K671)&gt;10,1,0)),IF(M671&lt;=0,1,IF(30/M671&gt;10,1,0)))),0)&gt;0,1,0))</f>
        <v/>
      </c>
      <c r="O671" s="22">
        <f>IF(AND(J671=1,N671=0),1,0)</f>
        <v/>
      </c>
      <c r="P671" s="22">
        <f>INDEX(Personendaten!$J$2:$J$32,MATCH(A671,Personendaten!$A$2:$A$32,0))</f>
        <v/>
      </c>
      <c r="Q671" s="22">
        <f>IF(O671=1,"",IF(AND(B671="post",P671="nicht angetreten"),"NANG",IF(N671=1,"AUSL",IFERROR(VLOOKUP(H671,Vokabular!$A$2:$B$8,2,FALSE),"UNBEKANNT"))))</f>
        <v/>
      </c>
    </row>
    <row r="672">
      <c r="A672" s="5" t="inlineStr">
        <is>
          <t>BW-08</t>
        </is>
      </c>
      <c r="B672" s="5" t="inlineStr">
        <is>
          <t>post</t>
        </is>
      </c>
      <c r="C672" s="5" t="inlineStr">
        <is>
          <t>Sprint_10m</t>
        </is>
      </c>
      <c r="D672" s="5" t="inlineStr">
        <is>
          <t>–</t>
        </is>
      </c>
      <c r="E672" s="5" t="n">
        <v>2</v>
      </c>
      <c r="F672" s="5" t="n"/>
      <c r="G672" s="5" t="n"/>
      <c r="H672" s="5" t="inlineStr">
        <is>
          <t>System falsch aufgenommen</t>
        </is>
      </c>
      <c r="I672" s="22">
        <f>INDEX(Personendaten!$C$2:$C$32,MATCH(A672,Personendaten!$A$2:$A$32,0))</f>
        <v/>
      </c>
      <c r="J672" s="22">
        <f>IF(AND(F672&lt;&gt;"",G672=""),1,0)</f>
        <v/>
      </c>
      <c r="K672" s="22">
        <f>IF(LEFT(C672,7)&lt;&gt;"Sprint_","",IF(COUNTIFS(Versuchsdaten!$A$2:$A$1117,$A672,Versuchsdaten!$B$2:$B$1117,$B672,Versuchsdaten!$C$2:$C$1117,"Sprint_5m",Versuchsdaten!$E$2:$E$1117,$E672,Versuchsdaten!$J$2:$J$1117,1)=1,SUMIFS(Versuchsdaten!$F$2:$F$1117,Versuchsdaten!$A$2:$A$1117,$A672,Versuchsdaten!$B$2:$B$1117,$B672,Versuchsdaten!$C$2:$C$1117,"Sprint_5m",Versuchsdaten!$E$2:$E$1117,$E672,Versuchsdaten!$J$2:$J$1117,1),""))</f>
        <v/>
      </c>
      <c r="L672" s="22">
        <f>IF(LEFT(C672,7)&lt;&gt;"Sprint_","",IF(COUNTIFS(Versuchsdaten!$A$2:$A$1117,$A672,Versuchsdaten!$B$2:$B$1117,$B672,Versuchsdaten!$C$2:$C$1117,"Sprint_10m",Versuchsdaten!$E$2:$E$1117,$E672,Versuchsdaten!$J$2:$J$1117,1)=1,SUMIFS(Versuchsdaten!$F$2:$F$1117,Versuchsdaten!$A$2:$A$1117,$A672,Versuchsdaten!$B$2:$B$1117,$B672,Versuchsdaten!$C$2:$C$1117,"Sprint_10m",Versuchsdaten!$E$2:$E$1117,$E672,Versuchsdaten!$J$2:$J$1117,1),""))</f>
        <v/>
      </c>
      <c r="M672" s="22">
        <f>IF(LEFT(C672,7)&lt;&gt;"Sprint_","",IF(COUNTIFS(Versuchsdaten!$A$2:$A$1117,$A672,Versuchsdaten!$B$2:$B$1117,$B672,Versuchsdaten!$C$2:$C$1117,"Sprint_30m",Versuchsdaten!$E$2:$E$1117,$E672,Versuchsdaten!$J$2:$J$1117,1)=1,SUMIFS(Versuchsdaten!$F$2:$F$1117,Versuchsdaten!$A$2:$A$1117,$A672,Versuchsdaten!$B$2:$B$1117,$B672,Versuchsdaten!$C$2:$C$1117,"Sprint_30m",Versuchsdaten!$E$2:$E$1117,$E672,Versuchsdaten!$J$2:$J$1117,1),""))</f>
        <v/>
      </c>
      <c r="N672" s="22">
        <f>IF(LEFT(C672,7)&lt;&gt;"Sprint_",0,IF(IF(ISNUMBER(K672),IF(K672&lt;=0,1,IF(5/K672&gt;10,1,0)),0)+IF(ISNUMBER(L672),IF(ISNUMBER(K672),IF(L672-K672&lt;=0,1,IF(5/(L672-K672)&gt;10,1,0)),IF(L672&lt;=0,1,IF(10/L672&gt;10,1,0))),0)+IF(ISNUMBER(M672),IF(ISNUMBER(L672),IF(M672-L672&lt;=0,1,IF(20/(M672-L672)&gt;10,1,0)),IF(ISNUMBER(K672),IF(M672-K672&lt;=0,1,IF(25/(M672-K672)&gt;10,1,0)),IF(M672&lt;=0,1,IF(30/M672&gt;10,1,0)))),0)&gt;0,1,0))</f>
        <v/>
      </c>
      <c r="O672" s="22">
        <f>IF(AND(J672=1,N672=0),1,0)</f>
        <v/>
      </c>
      <c r="P672" s="22">
        <f>INDEX(Personendaten!$J$2:$J$32,MATCH(A672,Personendaten!$A$2:$A$32,0))</f>
        <v/>
      </c>
      <c r="Q672" s="22">
        <f>IF(O672=1,"",IF(AND(B672="post",P672="nicht angetreten"),"NANG",IF(N672=1,"AUSL",IFERROR(VLOOKUP(H672,Vokabular!$A$2:$B$8,2,FALSE),"UNBEKANNT"))))</f>
        <v/>
      </c>
    </row>
    <row r="673">
      <c r="A673" s="5" t="inlineStr">
        <is>
          <t>BW-08</t>
        </is>
      </c>
      <c r="B673" s="5" t="inlineStr">
        <is>
          <t>post</t>
        </is>
      </c>
      <c r="C673" s="5" t="inlineStr">
        <is>
          <t>Sprint_10m</t>
        </is>
      </c>
      <c r="D673" s="5" t="inlineStr">
        <is>
          <t>–</t>
        </is>
      </c>
      <c r="E673" s="5" t="n">
        <v>3</v>
      </c>
      <c r="F673" s="5" t="n"/>
      <c r="G673" s="5" t="n"/>
      <c r="H673" s="5" t="inlineStr">
        <is>
          <t>System falsch aufgenommen</t>
        </is>
      </c>
      <c r="I673" s="22">
        <f>INDEX(Personendaten!$C$2:$C$32,MATCH(A673,Personendaten!$A$2:$A$32,0))</f>
        <v/>
      </c>
      <c r="J673" s="22">
        <f>IF(AND(F673&lt;&gt;"",G673=""),1,0)</f>
        <v/>
      </c>
      <c r="K673" s="22">
        <f>IF(LEFT(C673,7)&lt;&gt;"Sprint_","",IF(COUNTIFS(Versuchsdaten!$A$2:$A$1117,$A673,Versuchsdaten!$B$2:$B$1117,$B673,Versuchsdaten!$C$2:$C$1117,"Sprint_5m",Versuchsdaten!$E$2:$E$1117,$E673,Versuchsdaten!$J$2:$J$1117,1)=1,SUMIFS(Versuchsdaten!$F$2:$F$1117,Versuchsdaten!$A$2:$A$1117,$A673,Versuchsdaten!$B$2:$B$1117,$B673,Versuchsdaten!$C$2:$C$1117,"Sprint_5m",Versuchsdaten!$E$2:$E$1117,$E673,Versuchsdaten!$J$2:$J$1117,1),""))</f>
        <v/>
      </c>
      <c r="L673" s="22">
        <f>IF(LEFT(C673,7)&lt;&gt;"Sprint_","",IF(COUNTIFS(Versuchsdaten!$A$2:$A$1117,$A673,Versuchsdaten!$B$2:$B$1117,$B673,Versuchsdaten!$C$2:$C$1117,"Sprint_10m",Versuchsdaten!$E$2:$E$1117,$E673,Versuchsdaten!$J$2:$J$1117,1)=1,SUMIFS(Versuchsdaten!$F$2:$F$1117,Versuchsdaten!$A$2:$A$1117,$A673,Versuchsdaten!$B$2:$B$1117,$B673,Versuchsdaten!$C$2:$C$1117,"Sprint_10m",Versuchsdaten!$E$2:$E$1117,$E673,Versuchsdaten!$J$2:$J$1117,1),""))</f>
        <v/>
      </c>
      <c r="M673" s="22">
        <f>IF(LEFT(C673,7)&lt;&gt;"Sprint_","",IF(COUNTIFS(Versuchsdaten!$A$2:$A$1117,$A673,Versuchsdaten!$B$2:$B$1117,$B673,Versuchsdaten!$C$2:$C$1117,"Sprint_30m",Versuchsdaten!$E$2:$E$1117,$E673,Versuchsdaten!$J$2:$J$1117,1)=1,SUMIFS(Versuchsdaten!$F$2:$F$1117,Versuchsdaten!$A$2:$A$1117,$A673,Versuchsdaten!$B$2:$B$1117,$B673,Versuchsdaten!$C$2:$C$1117,"Sprint_30m",Versuchsdaten!$E$2:$E$1117,$E673,Versuchsdaten!$J$2:$J$1117,1),""))</f>
        <v/>
      </c>
      <c r="N673" s="22">
        <f>IF(LEFT(C673,7)&lt;&gt;"Sprint_",0,IF(IF(ISNUMBER(K673),IF(K673&lt;=0,1,IF(5/K673&gt;10,1,0)),0)+IF(ISNUMBER(L673),IF(ISNUMBER(K673),IF(L673-K673&lt;=0,1,IF(5/(L673-K673)&gt;10,1,0)),IF(L673&lt;=0,1,IF(10/L673&gt;10,1,0))),0)+IF(ISNUMBER(M673),IF(ISNUMBER(L673),IF(M673-L673&lt;=0,1,IF(20/(M673-L673)&gt;10,1,0)),IF(ISNUMBER(K673),IF(M673-K673&lt;=0,1,IF(25/(M673-K673)&gt;10,1,0)),IF(M673&lt;=0,1,IF(30/M673&gt;10,1,0)))),0)&gt;0,1,0))</f>
        <v/>
      </c>
      <c r="O673" s="22">
        <f>IF(AND(J673=1,N673=0),1,0)</f>
        <v/>
      </c>
      <c r="P673" s="22">
        <f>INDEX(Personendaten!$J$2:$J$32,MATCH(A673,Personendaten!$A$2:$A$32,0))</f>
        <v/>
      </c>
      <c r="Q673" s="22">
        <f>IF(O673=1,"",IF(AND(B673="post",P673="nicht angetreten"),"NANG",IF(N673=1,"AUSL",IFERROR(VLOOKUP(H673,Vokabular!$A$2:$B$8,2,FALSE),"UNBEKANNT"))))</f>
        <v/>
      </c>
    </row>
    <row r="674">
      <c r="A674" s="5" t="inlineStr">
        <is>
          <t>BW-08</t>
        </is>
      </c>
      <c r="B674" s="5" t="inlineStr">
        <is>
          <t>post</t>
        </is>
      </c>
      <c r="C674" s="5" t="inlineStr">
        <is>
          <t>Sprint_30m</t>
        </is>
      </c>
      <c r="D674" s="5" t="inlineStr">
        <is>
          <t>–</t>
        </is>
      </c>
      <c r="E674" s="5" t="n">
        <v>1</v>
      </c>
      <c r="F674" s="5" t="n">
        <v>4.44</v>
      </c>
      <c r="G674" s="5" t="n"/>
      <c r="H674" s="5" t="n"/>
      <c r="I674" s="22">
        <f>INDEX(Personendaten!$C$2:$C$32,MATCH(A674,Personendaten!$A$2:$A$32,0))</f>
        <v/>
      </c>
      <c r="J674" s="22">
        <f>IF(AND(F674&lt;&gt;"",G674=""),1,0)</f>
        <v/>
      </c>
      <c r="K674" s="22">
        <f>IF(LEFT(C674,7)&lt;&gt;"Sprint_","",IF(COUNTIFS(Versuchsdaten!$A$2:$A$1117,$A674,Versuchsdaten!$B$2:$B$1117,$B674,Versuchsdaten!$C$2:$C$1117,"Sprint_5m",Versuchsdaten!$E$2:$E$1117,$E674,Versuchsdaten!$J$2:$J$1117,1)=1,SUMIFS(Versuchsdaten!$F$2:$F$1117,Versuchsdaten!$A$2:$A$1117,$A674,Versuchsdaten!$B$2:$B$1117,$B674,Versuchsdaten!$C$2:$C$1117,"Sprint_5m",Versuchsdaten!$E$2:$E$1117,$E674,Versuchsdaten!$J$2:$J$1117,1),""))</f>
        <v/>
      </c>
      <c r="L674" s="22">
        <f>IF(LEFT(C674,7)&lt;&gt;"Sprint_","",IF(COUNTIFS(Versuchsdaten!$A$2:$A$1117,$A674,Versuchsdaten!$B$2:$B$1117,$B674,Versuchsdaten!$C$2:$C$1117,"Sprint_10m",Versuchsdaten!$E$2:$E$1117,$E674,Versuchsdaten!$J$2:$J$1117,1)=1,SUMIFS(Versuchsdaten!$F$2:$F$1117,Versuchsdaten!$A$2:$A$1117,$A674,Versuchsdaten!$B$2:$B$1117,$B674,Versuchsdaten!$C$2:$C$1117,"Sprint_10m",Versuchsdaten!$E$2:$E$1117,$E674,Versuchsdaten!$J$2:$J$1117,1),""))</f>
        <v/>
      </c>
      <c r="M674" s="22">
        <f>IF(LEFT(C674,7)&lt;&gt;"Sprint_","",IF(COUNTIFS(Versuchsdaten!$A$2:$A$1117,$A674,Versuchsdaten!$B$2:$B$1117,$B674,Versuchsdaten!$C$2:$C$1117,"Sprint_30m",Versuchsdaten!$E$2:$E$1117,$E674,Versuchsdaten!$J$2:$J$1117,1)=1,SUMIFS(Versuchsdaten!$F$2:$F$1117,Versuchsdaten!$A$2:$A$1117,$A674,Versuchsdaten!$B$2:$B$1117,$B674,Versuchsdaten!$C$2:$C$1117,"Sprint_30m",Versuchsdaten!$E$2:$E$1117,$E674,Versuchsdaten!$J$2:$J$1117,1),""))</f>
        <v/>
      </c>
      <c r="N674" s="22">
        <f>IF(LEFT(C674,7)&lt;&gt;"Sprint_",0,IF(IF(ISNUMBER(K674),IF(K674&lt;=0,1,IF(5/K674&gt;10,1,0)),0)+IF(ISNUMBER(L674),IF(ISNUMBER(K674),IF(L674-K674&lt;=0,1,IF(5/(L674-K674)&gt;10,1,0)),IF(L674&lt;=0,1,IF(10/L674&gt;10,1,0))),0)+IF(ISNUMBER(M674),IF(ISNUMBER(L674),IF(M674-L674&lt;=0,1,IF(20/(M674-L674)&gt;10,1,0)),IF(ISNUMBER(K674),IF(M674-K674&lt;=0,1,IF(25/(M674-K674)&gt;10,1,0)),IF(M674&lt;=0,1,IF(30/M674&gt;10,1,0)))),0)&gt;0,1,0))</f>
        <v/>
      </c>
      <c r="O674" s="22">
        <f>IF(AND(J674=1,N674=0),1,0)</f>
        <v/>
      </c>
      <c r="P674" s="22">
        <f>INDEX(Personendaten!$J$2:$J$32,MATCH(A674,Personendaten!$A$2:$A$32,0))</f>
        <v/>
      </c>
      <c r="Q674" s="22">
        <f>IF(O674=1,"",IF(AND(B674="post",P674="nicht angetreten"),"NANG",IF(N674=1,"AUSL",IFERROR(VLOOKUP(H674,Vokabular!$A$2:$B$8,2,FALSE),"UNBEKANNT"))))</f>
        <v/>
      </c>
    </row>
    <row r="675">
      <c r="A675" s="5" t="inlineStr">
        <is>
          <t>BW-08</t>
        </is>
      </c>
      <c r="B675" s="5" t="inlineStr">
        <is>
          <t>post</t>
        </is>
      </c>
      <c r="C675" s="5" t="inlineStr">
        <is>
          <t>Sprint_30m</t>
        </is>
      </c>
      <c r="D675" s="5" t="inlineStr">
        <is>
          <t>–</t>
        </is>
      </c>
      <c r="E675" s="5" t="n">
        <v>2</v>
      </c>
      <c r="F675" s="5" t="n">
        <v>4.53</v>
      </c>
      <c r="G675" s="5" t="n"/>
      <c r="H675" s="5" t="n"/>
      <c r="I675" s="22">
        <f>INDEX(Personendaten!$C$2:$C$32,MATCH(A675,Personendaten!$A$2:$A$32,0))</f>
        <v/>
      </c>
      <c r="J675" s="22">
        <f>IF(AND(F675&lt;&gt;"",G675=""),1,0)</f>
        <v/>
      </c>
      <c r="K675" s="22">
        <f>IF(LEFT(C675,7)&lt;&gt;"Sprint_","",IF(COUNTIFS(Versuchsdaten!$A$2:$A$1117,$A675,Versuchsdaten!$B$2:$B$1117,$B675,Versuchsdaten!$C$2:$C$1117,"Sprint_5m",Versuchsdaten!$E$2:$E$1117,$E675,Versuchsdaten!$J$2:$J$1117,1)=1,SUMIFS(Versuchsdaten!$F$2:$F$1117,Versuchsdaten!$A$2:$A$1117,$A675,Versuchsdaten!$B$2:$B$1117,$B675,Versuchsdaten!$C$2:$C$1117,"Sprint_5m",Versuchsdaten!$E$2:$E$1117,$E675,Versuchsdaten!$J$2:$J$1117,1),""))</f>
        <v/>
      </c>
      <c r="L675" s="22">
        <f>IF(LEFT(C675,7)&lt;&gt;"Sprint_","",IF(COUNTIFS(Versuchsdaten!$A$2:$A$1117,$A675,Versuchsdaten!$B$2:$B$1117,$B675,Versuchsdaten!$C$2:$C$1117,"Sprint_10m",Versuchsdaten!$E$2:$E$1117,$E675,Versuchsdaten!$J$2:$J$1117,1)=1,SUMIFS(Versuchsdaten!$F$2:$F$1117,Versuchsdaten!$A$2:$A$1117,$A675,Versuchsdaten!$B$2:$B$1117,$B675,Versuchsdaten!$C$2:$C$1117,"Sprint_10m",Versuchsdaten!$E$2:$E$1117,$E675,Versuchsdaten!$J$2:$J$1117,1),""))</f>
        <v/>
      </c>
      <c r="M675" s="22">
        <f>IF(LEFT(C675,7)&lt;&gt;"Sprint_","",IF(COUNTIFS(Versuchsdaten!$A$2:$A$1117,$A675,Versuchsdaten!$B$2:$B$1117,$B675,Versuchsdaten!$C$2:$C$1117,"Sprint_30m",Versuchsdaten!$E$2:$E$1117,$E675,Versuchsdaten!$J$2:$J$1117,1)=1,SUMIFS(Versuchsdaten!$F$2:$F$1117,Versuchsdaten!$A$2:$A$1117,$A675,Versuchsdaten!$B$2:$B$1117,$B675,Versuchsdaten!$C$2:$C$1117,"Sprint_30m",Versuchsdaten!$E$2:$E$1117,$E675,Versuchsdaten!$J$2:$J$1117,1),""))</f>
        <v/>
      </c>
      <c r="N675" s="22">
        <f>IF(LEFT(C675,7)&lt;&gt;"Sprint_",0,IF(IF(ISNUMBER(K675),IF(K675&lt;=0,1,IF(5/K675&gt;10,1,0)),0)+IF(ISNUMBER(L675),IF(ISNUMBER(K675),IF(L675-K675&lt;=0,1,IF(5/(L675-K675)&gt;10,1,0)),IF(L675&lt;=0,1,IF(10/L675&gt;10,1,0))),0)+IF(ISNUMBER(M675),IF(ISNUMBER(L675),IF(M675-L675&lt;=0,1,IF(20/(M675-L675)&gt;10,1,0)),IF(ISNUMBER(K675),IF(M675-K675&lt;=0,1,IF(25/(M675-K675)&gt;10,1,0)),IF(M675&lt;=0,1,IF(30/M675&gt;10,1,0)))),0)&gt;0,1,0))</f>
        <v/>
      </c>
      <c r="O675" s="22">
        <f>IF(AND(J675=1,N675=0),1,0)</f>
        <v/>
      </c>
      <c r="P675" s="22">
        <f>INDEX(Personendaten!$J$2:$J$32,MATCH(A675,Personendaten!$A$2:$A$32,0))</f>
        <v/>
      </c>
      <c r="Q675" s="22">
        <f>IF(O675=1,"",IF(AND(B675="post",P675="nicht angetreten"),"NANG",IF(N675=1,"AUSL",IFERROR(VLOOKUP(H675,Vokabular!$A$2:$B$8,2,FALSE),"UNBEKANNT"))))</f>
        <v/>
      </c>
    </row>
    <row r="676">
      <c r="A676" s="5" t="inlineStr">
        <is>
          <t>BW-08</t>
        </is>
      </c>
      <c r="B676" s="5" t="inlineStr">
        <is>
          <t>post</t>
        </is>
      </c>
      <c r="C676" s="5" t="inlineStr">
        <is>
          <t>Sprint_30m</t>
        </is>
      </c>
      <c r="D676" s="5" t="inlineStr">
        <is>
          <t>–</t>
        </is>
      </c>
      <c r="E676" s="5" t="n">
        <v>3</v>
      </c>
      <c r="F676" s="5" t="n"/>
      <c r="G676" s="5" t="n"/>
      <c r="H676" s="5" t="inlineStr">
        <is>
          <t>Nur 2 Versuche aus Zeitmangel</t>
        </is>
      </c>
      <c r="I676" s="22">
        <f>INDEX(Personendaten!$C$2:$C$32,MATCH(A676,Personendaten!$A$2:$A$32,0))</f>
        <v/>
      </c>
      <c r="J676" s="22">
        <f>IF(AND(F676&lt;&gt;"",G676=""),1,0)</f>
        <v/>
      </c>
      <c r="K676" s="22">
        <f>IF(LEFT(C676,7)&lt;&gt;"Sprint_","",IF(COUNTIFS(Versuchsdaten!$A$2:$A$1117,$A676,Versuchsdaten!$B$2:$B$1117,$B676,Versuchsdaten!$C$2:$C$1117,"Sprint_5m",Versuchsdaten!$E$2:$E$1117,$E676,Versuchsdaten!$J$2:$J$1117,1)=1,SUMIFS(Versuchsdaten!$F$2:$F$1117,Versuchsdaten!$A$2:$A$1117,$A676,Versuchsdaten!$B$2:$B$1117,$B676,Versuchsdaten!$C$2:$C$1117,"Sprint_5m",Versuchsdaten!$E$2:$E$1117,$E676,Versuchsdaten!$J$2:$J$1117,1),""))</f>
        <v/>
      </c>
      <c r="L676" s="22">
        <f>IF(LEFT(C676,7)&lt;&gt;"Sprint_","",IF(COUNTIFS(Versuchsdaten!$A$2:$A$1117,$A676,Versuchsdaten!$B$2:$B$1117,$B676,Versuchsdaten!$C$2:$C$1117,"Sprint_10m",Versuchsdaten!$E$2:$E$1117,$E676,Versuchsdaten!$J$2:$J$1117,1)=1,SUMIFS(Versuchsdaten!$F$2:$F$1117,Versuchsdaten!$A$2:$A$1117,$A676,Versuchsdaten!$B$2:$B$1117,$B676,Versuchsdaten!$C$2:$C$1117,"Sprint_10m",Versuchsdaten!$E$2:$E$1117,$E676,Versuchsdaten!$J$2:$J$1117,1),""))</f>
        <v/>
      </c>
      <c r="M676" s="22">
        <f>IF(LEFT(C676,7)&lt;&gt;"Sprint_","",IF(COUNTIFS(Versuchsdaten!$A$2:$A$1117,$A676,Versuchsdaten!$B$2:$B$1117,$B676,Versuchsdaten!$C$2:$C$1117,"Sprint_30m",Versuchsdaten!$E$2:$E$1117,$E676,Versuchsdaten!$J$2:$J$1117,1)=1,SUMIFS(Versuchsdaten!$F$2:$F$1117,Versuchsdaten!$A$2:$A$1117,$A676,Versuchsdaten!$B$2:$B$1117,$B676,Versuchsdaten!$C$2:$C$1117,"Sprint_30m",Versuchsdaten!$E$2:$E$1117,$E676,Versuchsdaten!$J$2:$J$1117,1),""))</f>
        <v/>
      </c>
      <c r="N676" s="22">
        <f>IF(LEFT(C676,7)&lt;&gt;"Sprint_",0,IF(IF(ISNUMBER(K676),IF(K676&lt;=0,1,IF(5/K676&gt;10,1,0)),0)+IF(ISNUMBER(L676),IF(ISNUMBER(K676),IF(L676-K676&lt;=0,1,IF(5/(L676-K676)&gt;10,1,0)),IF(L676&lt;=0,1,IF(10/L676&gt;10,1,0))),0)+IF(ISNUMBER(M676),IF(ISNUMBER(L676),IF(M676-L676&lt;=0,1,IF(20/(M676-L676)&gt;10,1,0)),IF(ISNUMBER(K676),IF(M676-K676&lt;=0,1,IF(25/(M676-K676)&gt;10,1,0)),IF(M676&lt;=0,1,IF(30/M676&gt;10,1,0)))),0)&gt;0,1,0))</f>
        <v/>
      </c>
      <c r="O676" s="22">
        <f>IF(AND(J676=1,N676=0),1,0)</f>
        <v/>
      </c>
      <c r="P676" s="22">
        <f>INDEX(Personendaten!$J$2:$J$32,MATCH(A676,Personendaten!$A$2:$A$32,0))</f>
        <v/>
      </c>
      <c r="Q676" s="22">
        <f>IF(O676=1,"",IF(AND(B676="post",P676="nicht angetreten"),"NANG",IF(N676=1,"AUSL",IFERROR(VLOOKUP(H676,Vokabular!$A$2:$B$8,2,FALSE),"UNBEKANNT"))))</f>
        <v/>
      </c>
    </row>
    <row r="677">
      <c r="A677" s="5" t="inlineStr">
        <is>
          <t>BW-08</t>
        </is>
      </c>
      <c r="B677" s="5" t="inlineStr">
        <is>
          <t>post</t>
        </is>
      </c>
      <c r="C677" s="5" t="inlineStr">
        <is>
          <t>Standweitsprung</t>
        </is>
      </c>
      <c r="D677" s="5" t="inlineStr">
        <is>
          <t>–</t>
        </is>
      </c>
      <c r="E677" s="5" t="n">
        <v>1</v>
      </c>
      <c r="F677" s="5" t="n">
        <v>239</v>
      </c>
      <c r="G677" s="5" t="n"/>
      <c r="H677" s="5" t="n"/>
      <c r="I677" s="22">
        <f>INDEX(Personendaten!$C$2:$C$32,MATCH(A677,Personendaten!$A$2:$A$32,0))</f>
        <v/>
      </c>
      <c r="J677" s="22">
        <f>IF(AND(F677&lt;&gt;"",G677=""),1,0)</f>
        <v/>
      </c>
      <c r="K677" s="22">
        <f>IF(LEFT(C677,7)&lt;&gt;"Sprint_","",IF(COUNTIFS(Versuchsdaten!$A$2:$A$1117,$A677,Versuchsdaten!$B$2:$B$1117,$B677,Versuchsdaten!$C$2:$C$1117,"Sprint_5m",Versuchsdaten!$E$2:$E$1117,$E677,Versuchsdaten!$J$2:$J$1117,1)=1,SUMIFS(Versuchsdaten!$F$2:$F$1117,Versuchsdaten!$A$2:$A$1117,$A677,Versuchsdaten!$B$2:$B$1117,$B677,Versuchsdaten!$C$2:$C$1117,"Sprint_5m",Versuchsdaten!$E$2:$E$1117,$E677,Versuchsdaten!$J$2:$J$1117,1),""))</f>
        <v/>
      </c>
      <c r="L677" s="22">
        <f>IF(LEFT(C677,7)&lt;&gt;"Sprint_","",IF(COUNTIFS(Versuchsdaten!$A$2:$A$1117,$A677,Versuchsdaten!$B$2:$B$1117,$B677,Versuchsdaten!$C$2:$C$1117,"Sprint_10m",Versuchsdaten!$E$2:$E$1117,$E677,Versuchsdaten!$J$2:$J$1117,1)=1,SUMIFS(Versuchsdaten!$F$2:$F$1117,Versuchsdaten!$A$2:$A$1117,$A677,Versuchsdaten!$B$2:$B$1117,$B677,Versuchsdaten!$C$2:$C$1117,"Sprint_10m",Versuchsdaten!$E$2:$E$1117,$E677,Versuchsdaten!$J$2:$J$1117,1),""))</f>
        <v/>
      </c>
      <c r="M677" s="22">
        <f>IF(LEFT(C677,7)&lt;&gt;"Sprint_","",IF(COUNTIFS(Versuchsdaten!$A$2:$A$1117,$A677,Versuchsdaten!$B$2:$B$1117,$B677,Versuchsdaten!$C$2:$C$1117,"Sprint_30m",Versuchsdaten!$E$2:$E$1117,$E677,Versuchsdaten!$J$2:$J$1117,1)=1,SUMIFS(Versuchsdaten!$F$2:$F$1117,Versuchsdaten!$A$2:$A$1117,$A677,Versuchsdaten!$B$2:$B$1117,$B677,Versuchsdaten!$C$2:$C$1117,"Sprint_30m",Versuchsdaten!$E$2:$E$1117,$E677,Versuchsdaten!$J$2:$J$1117,1),""))</f>
        <v/>
      </c>
      <c r="N677" s="22">
        <f>IF(LEFT(C677,7)&lt;&gt;"Sprint_",0,IF(IF(ISNUMBER(K677),IF(K677&lt;=0,1,IF(5/K677&gt;10,1,0)),0)+IF(ISNUMBER(L677),IF(ISNUMBER(K677),IF(L677-K677&lt;=0,1,IF(5/(L677-K677)&gt;10,1,0)),IF(L677&lt;=0,1,IF(10/L677&gt;10,1,0))),0)+IF(ISNUMBER(M677),IF(ISNUMBER(L677),IF(M677-L677&lt;=0,1,IF(20/(M677-L677)&gt;10,1,0)),IF(ISNUMBER(K677),IF(M677-K677&lt;=0,1,IF(25/(M677-K677)&gt;10,1,0)),IF(M677&lt;=0,1,IF(30/M677&gt;10,1,0)))),0)&gt;0,1,0))</f>
        <v/>
      </c>
      <c r="O677" s="22">
        <f>IF(AND(J677=1,N677=0),1,0)</f>
        <v/>
      </c>
      <c r="P677" s="22">
        <f>INDEX(Personendaten!$J$2:$J$32,MATCH(A677,Personendaten!$A$2:$A$32,0))</f>
        <v/>
      </c>
      <c r="Q677" s="22">
        <f>IF(O677=1,"",IF(AND(B677="post",P677="nicht angetreten"),"NANG",IF(N677=1,"AUSL",IFERROR(VLOOKUP(H677,Vokabular!$A$2:$B$8,2,FALSE),"UNBEKANNT"))))</f>
        <v/>
      </c>
    </row>
    <row r="678">
      <c r="A678" s="5" t="inlineStr">
        <is>
          <t>BW-08</t>
        </is>
      </c>
      <c r="B678" s="5" t="inlineStr">
        <is>
          <t>post</t>
        </is>
      </c>
      <c r="C678" s="5" t="inlineStr">
        <is>
          <t>Standweitsprung</t>
        </is>
      </c>
      <c r="D678" s="5" t="inlineStr">
        <is>
          <t>–</t>
        </is>
      </c>
      <c r="E678" s="5" t="n">
        <v>2</v>
      </c>
      <c r="F678" s="5" t="n">
        <v>239</v>
      </c>
      <c r="G678" s="5" t="n"/>
      <c r="H678" s="5" t="n"/>
      <c r="I678" s="22">
        <f>INDEX(Personendaten!$C$2:$C$32,MATCH(A678,Personendaten!$A$2:$A$32,0))</f>
        <v/>
      </c>
      <c r="J678" s="22">
        <f>IF(AND(F678&lt;&gt;"",G678=""),1,0)</f>
        <v/>
      </c>
      <c r="K678" s="22">
        <f>IF(LEFT(C678,7)&lt;&gt;"Sprint_","",IF(COUNTIFS(Versuchsdaten!$A$2:$A$1117,$A678,Versuchsdaten!$B$2:$B$1117,$B678,Versuchsdaten!$C$2:$C$1117,"Sprint_5m",Versuchsdaten!$E$2:$E$1117,$E678,Versuchsdaten!$J$2:$J$1117,1)=1,SUMIFS(Versuchsdaten!$F$2:$F$1117,Versuchsdaten!$A$2:$A$1117,$A678,Versuchsdaten!$B$2:$B$1117,$B678,Versuchsdaten!$C$2:$C$1117,"Sprint_5m",Versuchsdaten!$E$2:$E$1117,$E678,Versuchsdaten!$J$2:$J$1117,1),""))</f>
        <v/>
      </c>
      <c r="L678" s="22">
        <f>IF(LEFT(C678,7)&lt;&gt;"Sprint_","",IF(COUNTIFS(Versuchsdaten!$A$2:$A$1117,$A678,Versuchsdaten!$B$2:$B$1117,$B678,Versuchsdaten!$C$2:$C$1117,"Sprint_10m",Versuchsdaten!$E$2:$E$1117,$E678,Versuchsdaten!$J$2:$J$1117,1)=1,SUMIFS(Versuchsdaten!$F$2:$F$1117,Versuchsdaten!$A$2:$A$1117,$A678,Versuchsdaten!$B$2:$B$1117,$B678,Versuchsdaten!$C$2:$C$1117,"Sprint_10m",Versuchsdaten!$E$2:$E$1117,$E678,Versuchsdaten!$J$2:$J$1117,1),""))</f>
        <v/>
      </c>
      <c r="M678" s="22">
        <f>IF(LEFT(C678,7)&lt;&gt;"Sprint_","",IF(COUNTIFS(Versuchsdaten!$A$2:$A$1117,$A678,Versuchsdaten!$B$2:$B$1117,$B678,Versuchsdaten!$C$2:$C$1117,"Sprint_30m",Versuchsdaten!$E$2:$E$1117,$E678,Versuchsdaten!$J$2:$J$1117,1)=1,SUMIFS(Versuchsdaten!$F$2:$F$1117,Versuchsdaten!$A$2:$A$1117,$A678,Versuchsdaten!$B$2:$B$1117,$B678,Versuchsdaten!$C$2:$C$1117,"Sprint_30m",Versuchsdaten!$E$2:$E$1117,$E678,Versuchsdaten!$J$2:$J$1117,1),""))</f>
        <v/>
      </c>
      <c r="N678" s="22">
        <f>IF(LEFT(C678,7)&lt;&gt;"Sprint_",0,IF(IF(ISNUMBER(K678),IF(K678&lt;=0,1,IF(5/K678&gt;10,1,0)),0)+IF(ISNUMBER(L678),IF(ISNUMBER(K678),IF(L678-K678&lt;=0,1,IF(5/(L678-K678)&gt;10,1,0)),IF(L678&lt;=0,1,IF(10/L678&gt;10,1,0))),0)+IF(ISNUMBER(M678),IF(ISNUMBER(L678),IF(M678-L678&lt;=0,1,IF(20/(M678-L678)&gt;10,1,0)),IF(ISNUMBER(K678),IF(M678-K678&lt;=0,1,IF(25/(M678-K678)&gt;10,1,0)),IF(M678&lt;=0,1,IF(30/M678&gt;10,1,0)))),0)&gt;0,1,0))</f>
        <v/>
      </c>
      <c r="O678" s="22">
        <f>IF(AND(J678=1,N678=0),1,0)</f>
        <v/>
      </c>
      <c r="P678" s="22">
        <f>INDEX(Personendaten!$J$2:$J$32,MATCH(A678,Personendaten!$A$2:$A$32,0))</f>
        <v/>
      </c>
      <c r="Q678" s="22">
        <f>IF(O678=1,"",IF(AND(B678="post",P678="nicht angetreten"),"NANG",IF(N678=1,"AUSL",IFERROR(VLOOKUP(H678,Vokabular!$A$2:$B$8,2,FALSE),"UNBEKANNT"))))</f>
        <v/>
      </c>
    </row>
    <row r="679">
      <c r="A679" s="5" t="inlineStr">
        <is>
          <t>BW-08</t>
        </is>
      </c>
      <c r="B679" s="5" t="inlineStr">
        <is>
          <t>post</t>
        </is>
      </c>
      <c r="C679" s="5" t="inlineStr">
        <is>
          <t>Standweitsprung</t>
        </is>
      </c>
      <c r="D679" s="5" t="inlineStr">
        <is>
          <t>–</t>
        </is>
      </c>
      <c r="E679" s="5" t="n">
        <v>3</v>
      </c>
      <c r="F679" s="5" t="n"/>
      <c r="G679" s="5" t="n"/>
      <c r="H679" s="5" t="inlineStr">
        <is>
          <t>Nur 2 Versuche aus Zeitmangel</t>
        </is>
      </c>
      <c r="I679" s="22">
        <f>INDEX(Personendaten!$C$2:$C$32,MATCH(A679,Personendaten!$A$2:$A$32,0))</f>
        <v/>
      </c>
      <c r="J679" s="22">
        <f>IF(AND(F679&lt;&gt;"",G679=""),1,0)</f>
        <v/>
      </c>
      <c r="K679" s="22">
        <f>IF(LEFT(C679,7)&lt;&gt;"Sprint_","",IF(COUNTIFS(Versuchsdaten!$A$2:$A$1117,$A679,Versuchsdaten!$B$2:$B$1117,$B679,Versuchsdaten!$C$2:$C$1117,"Sprint_5m",Versuchsdaten!$E$2:$E$1117,$E679,Versuchsdaten!$J$2:$J$1117,1)=1,SUMIFS(Versuchsdaten!$F$2:$F$1117,Versuchsdaten!$A$2:$A$1117,$A679,Versuchsdaten!$B$2:$B$1117,$B679,Versuchsdaten!$C$2:$C$1117,"Sprint_5m",Versuchsdaten!$E$2:$E$1117,$E679,Versuchsdaten!$J$2:$J$1117,1),""))</f>
        <v/>
      </c>
      <c r="L679" s="22">
        <f>IF(LEFT(C679,7)&lt;&gt;"Sprint_","",IF(COUNTIFS(Versuchsdaten!$A$2:$A$1117,$A679,Versuchsdaten!$B$2:$B$1117,$B679,Versuchsdaten!$C$2:$C$1117,"Sprint_10m",Versuchsdaten!$E$2:$E$1117,$E679,Versuchsdaten!$J$2:$J$1117,1)=1,SUMIFS(Versuchsdaten!$F$2:$F$1117,Versuchsdaten!$A$2:$A$1117,$A679,Versuchsdaten!$B$2:$B$1117,$B679,Versuchsdaten!$C$2:$C$1117,"Sprint_10m",Versuchsdaten!$E$2:$E$1117,$E679,Versuchsdaten!$J$2:$J$1117,1),""))</f>
        <v/>
      </c>
      <c r="M679" s="22">
        <f>IF(LEFT(C679,7)&lt;&gt;"Sprint_","",IF(COUNTIFS(Versuchsdaten!$A$2:$A$1117,$A679,Versuchsdaten!$B$2:$B$1117,$B679,Versuchsdaten!$C$2:$C$1117,"Sprint_30m",Versuchsdaten!$E$2:$E$1117,$E679,Versuchsdaten!$J$2:$J$1117,1)=1,SUMIFS(Versuchsdaten!$F$2:$F$1117,Versuchsdaten!$A$2:$A$1117,$A679,Versuchsdaten!$B$2:$B$1117,$B679,Versuchsdaten!$C$2:$C$1117,"Sprint_30m",Versuchsdaten!$E$2:$E$1117,$E679,Versuchsdaten!$J$2:$J$1117,1),""))</f>
        <v/>
      </c>
      <c r="N679" s="22">
        <f>IF(LEFT(C679,7)&lt;&gt;"Sprint_",0,IF(IF(ISNUMBER(K679),IF(K679&lt;=0,1,IF(5/K679&gt;10,1,0)),0)+IF(ISNUMBER(L679),IF(ISNUMBER(K679),IF(L679-K679&lt;=0,1,IF(5/(L679-K679)&gt;10,1,0)),IF(L679&lt;=0,1,IF(10/L679&gt;10,1,0))),0)+IF(ISNUMBER(M679),IF(ISNUMBER(L679),IF(M679-L679&lt;=0,1,IF(20/(M679-L679)&gt;10,1,0)),IF(ISNUMBER(K679),IF(M679-K679&lt;=0,1,IF(25/(M679-K679)&gt;10,1,0)),IF(M679&lt;=0,1,IF(30/M679&gt;10,1,0)))),0)&gt;0,1,0))</f>
        <v/>
      </c>
      <c r="O679" s="22">
        <f>IF(AND(J679=1,N679=0),1,0)</f>
        <v/>
      </c>
      <c r="P679" s="22">
        <f>INDEX(Personendaten!$J$2:$J$32,MATCH(A679,Personendaten!$A$2:$A$32,0))</f>
        <v/>
      </c>
      <c r="Q679" s="22">
        <f>IF(O679=1,"",IF(AND(B679="post",P679="nicht angetreten"),"NANG",IF(N679=1,"AUSL",IFERROR(VLOOKUP(H679,Vokabular!$A$2:$B$8,2,FALSE),"UNBEKANNT"))))</f>
        <v/>
      </c>
    </row>
    <row r="680">
      <c r="A680" s="5" t="inlineStr">
        <is>
          <t>BW-08</t>
        </is>
      </c>
      <c r="B680" s="5" t="inlineStr">
        <is>
          <t>post</t>
        </is>
      </c>
      <c r="C680" s="5" t="inlineStr">
        <is>
          <t>COD_505</t>
        </is>
      </c>
      <c r="D680" s="5" t="inlineStr">
        <is>
          <t>L</t>
        </is>
      </c>
      <c r="E680" s="5" t="n">
        <v>1</v>
      </c>
      <c r="F680" s="5" t="n">
        <v>2.51</v>
      </c>
      <c r="G680" s="5" t="n"/>
      <c r="H680" s="5" t="n"/>
      <c r="I680" s="22">
        <f>INDEX(Personendaten!$C$2:$C$32,MATCH(A680,Personendaten!$A$2:$A$32,0))</f>
        <v/>
      </c>
      <c r="J680" s="22">
        <f>IF(AND(F680&lt;&gt;"",G680=""),1,0)</f>
        <v/>
      </c>
      <c r="K680" s="22">
        <f>IF(LEFT(C680,7)&lt;&gt;"Sprint_","",IF(COUNTIFS(Versuchsdaten!$A$2:$A$1117,$A680,Versuchsdaten!$B$2:$B$1117,$B680,Versuchsdaten!$C$2:$C$1117,"Sprint_5m",Versuchsdaten!$E$2:$E$1117,$E680,Versuchsdaten!$J$2:$J$1117,1)=1,SUMIFS(Versuchsdaten!$F$2:$F$1117,Versuchsdaten!$A$2:$A$1117,$A680,Versuchsdaten!$B$2:$B$1117,$B680,Versuchsdaten!$C$2:$C$1117,"Sprint_5m",Versuchsdaten!$E$2:$E$1117,$E680,Versuchsdaten!$J$2:$J$1117,1),""))</f>
        <v/>
      </c>
      <c r="L680" s="22">
        <f>IF(LEFT(C680,7)&lt;&gt;"Sprint_","",IF(COUNTIFS(Versuchsdaten!$A$2:$A$1117,$A680,Versuchsdaten!$B$2:$B$1117,$B680,Versuchsdaten!$C$2:$C$1117,"Sprint_10m",Versuchsdaten!$E$2:$E$1117,$E680,Versuchsdaten!$J$2:$J$1117,1)=1,SUMIFS(Versuchsdaten!$F$2:$F$1117,Versuchsdaten!$A$2:$A$1117,$A680,Versuchsdaten!$B$2:$B$1117,$B680,Versuchsdaten!$C$2:$C$1117,"Sprint_10m",Versuchsdaten!$E$2:$E$1117,$E680,Versuchsdaten!$J$2:$J$1117,1),""))</f>
        <v/>
      </c>
      <c r="M680" s="22">
        <f>IF(LEFT(C680,7)&lt;&gt;"Sprint_","",IF(COUNTIFS(Versuchsdaten!$A$2:$A$1117,$A680,Versuchsdaten!$B$2:$B$1117,$B680,Versuchsdaten!$C$2:$C$1117,"Sprint_30m",Versuchsdaten!$E$2:$E$1117,$E680,Versuchsdaten!$J$2:$J$1117,1)=1,SUMIFS(Versuchsdaten!$F$2:$F$1117,Versuchsdaten!$A$2:$A$1117,$A680,Versuchsdaten!$B$2:$B$1117,$B680,Versuchsdaten!$C$2:$C$1117,"Sprint_30m",Versuchsdaten!$E$2:$E$1117,$E680,Versuchsdaten!$J$2:$J$1117,1),""))</f>
        <v/>
      </c>
      <c r="N680" s="22">
        <f>IF(LEFT(C680,7)&lt;&gt;"Sprint_",0,IF(IF(ISNUMBER(K680),IF(K680&lt;=0,1,IF(5/K680&gt;10,1,0)),0)+IF(ISNUMBER(L680),IF(ISNUMBER(K680),IF(L680-K680&lt;=0,1,IF(5/(L680-K680)&gt;10,1,0)),IF(L680&lt;=0,1,IF(10/L680&gt;10,1,0))),0)+IF(ISNUMBER(M680),IF(ISNUMBER(L680),IF(M680-L680&lt;=0,1,IF(20/(M680-L680)&gt;10,1,0)),IF(ISNUMBER(K680),IF(M680-K680&lt;=0,1,IF(25/(M680-K680)&gt;10,1,0)),IF(M680&lt;=0,1,IF(30/M680&gt;10,1,0)))),0)&gt;0,1,0))</f>
        <v/>
      </c>
      <c r="O680" s="22">
        <f>IF(AND(J680=1,N680=0),1,0)</f>
        <v/>
      </c>
      <c r="P680" s="22">
        <f>INDEX(Personendaten!$J$2:$J$32,MATCH(A680,Personendaten!$A$2:$A$32,0))</f>
        <v/>
      </c>
      <c r="Q680" s="22">
        <f>IF(O680=1,"",IF(AND(B680="post",P680="nicht angetreten"),"NANG",IF(N680=1,"AUSL",IFERROR(VLOOKUP(H680,Vokabular!$A$2:$B$8,2,FALSE),"UNBEKANNT"))))</f>
        <v/>
      </c>
    </row>
    <row r="681">
      <c r="A681" s="5" t="inlineStr">
        <is>
          <t>BW-08</t>
        </is>
      </c>
      <c r="B681" s="5" t="inlineStr">
        <is>
          <t>post</t>
        </is>
      </c>
      <c r="C681" s="5" t="inlineStr">
        <is>
          <t>COD_505</t>
        </is>
      </c>
      <c r="D681" s="5" t="inlineStr">
        <is>
          <t>L</t>
        </is>
      </c>
      <c r="E681" s="5" t="n">
        <v>2</v>
      </c>
      <c r="F681" s="5" t="n">
        <v>2.46</v>
      </c>
      <c r="G681" s="5" t="n"/>
      <c r="H681" s="5" t="n"/>
      <c r="I681" s="22">
        <f>INDEX(Personendaten!$C$2:$C$32,MATCH(A681,Personendaten!$A$2:$A$32,0))</f>
        <v/>
      </c>
      <c r="J681" s="22">
        <f>IF(AND(F681&lt;&gt;"",G681=""),1,0)</f>
        <v/>
      </c>
      <c r="K681" s="22">
        <f>IF(LEFT(C681,7)&lt;&gt;"Sprint_","",IF(COUNTIFS(Versuchsdaten!$A$2:$A$1117,$A681,Versuchsdaten!$B$2:$B$1117,$B681,Versuchsdaten!$C$2:$C$1117,"Sprint_5m",Versuchsdaten!$E$2:$E$1117,$E681,Versuchsdaten!$J$2:$J$1117,1)=1,SUMIFS(Versuchsdaten!$F$2:$F$1117,Versuchsdaten!$A$2:$A$1117,$A681,Versuchsdaten!$B$2:$B$1117,$B681,Versuchsdaten!$C$2:$C$1117,"Sprint_5m",Versuchsdaten!$E$2:$E$1117,$E681,Versuchsdaten!$J$2:$J$1117,1),""))</f>
        <v/>
      </c>
      <c r="L681" s="22">
        <f>IF(LEFT(C681,7)&lt;&gt;"Sprint_","",IF(COUNTIFS(Versuchsdaten!$A$2:$A$1117,$A681,Versuchsdaten!$B$2:$B$1117,$B681,Versuchsdaten!$C$2:$C$1117,"Sprint_10m",Versuchsdaten!$E$2:$E$1117,$E681,Versuchsdaten!$J$2:$J$1117,1)=1,SUMIFS(Versuchsdaten!$F$2:$F$1117,Versuchsdaten!$A$2:$A$1117,$A681,Versuchsdaten!$B$2:$B$1117,$B681,Versuchsdaten!$C$2:$C$1117,"Sprint_10m",Versuchsdaten!$E$2:$E$1117,$E681,Versuchsdaten!$J$2:$J$1117,1),""))</f>
        <v/>
      </c>
      <c r="M681" s="22">
        <f>IF(LEFT(C681,7)&lt;&gt;"Sprint_","",IF(COUNTIFS(Versuchsdaten!$A$2:$A$1117,$A681,Versuchsdaten!$B$2:$B$1117,$B681,Versuchsdaten!$C$2:$C$1117,"Sprint_30m",Versuchsdaten!$E$2:$E$1117,$E681,Versuchsdaten!$J$2:$J$1117,1)=1,SUMIFS(Versuchsdaten!$F$2:$F$1117,Versuchsdaten!$A$2:$A$1117,$A681,Versuchsdaten!$B$2:$B$1117,$B681,Versuchsdaten!$C$2:$C$1117,"Sprint_30m",Versuchsdaten!$E$2:$E$1117,$E681,Versuchsdaten!$J$2:$J$1117,1),""))</f>
        <v/>
      </c>
      <c r="N681" s="22">
        <f>IF(LEFT(C681,7)&lt;&gt;"Sprint_",0,IF(IF(ISNUMBER(K681),IF(K681&lt;=0,1,IF(5/K681&gt;10,1,0)),0)+IF(ISNUMBER(L681),IF(ISNUMBER(K681),IF(L681-K681&lt;=0,1,IF(5/(L681-K681)&gt;10,1,0)),IF(L681&lt;=0,1,IF(10/L681&gt;10,1,0))),0)+IF(ISNUMBER(M681),IF(ISNUMBER(L681),IF(M681-L681&lt;=0,1,IF(20/(M681-L681)&gt;10,1,0)),IF(ISNUMBER(K681),IF(M681-K681&lt;=0,1,IF(25/(M681-K681)&gt;10,1,0)),IF(M681&lt;=0,1,IF(30/M681&gt;10,1,0)))),0)&gt;0,1,0))</f>
        <v/>
      </c>
      <c r="O681" s="22">
        <f>IF(AND(J681=1,N681=0),1,0)</f>
        <v/>
      </c>
      <c r="P681" s="22">
        <f>INDEX(Personendaten!$J$2:$J$32,MATCH(A681,Personendaten!$A$2:$A$32,0))</f>
        <v/>
      </c>
      <c r="Q681" s="22">
        <f>IF(O681=1,"",IF(AND(B681="post",P681="nicht angetreten"),"NANG",IF(N681=1,"AUSL",IFERROR(VLOOKUP(H681,Vokabular!$A$2:$B$8,2,FALSE),"UNBEKANNT"))))</f>
        <v/>
      </c>
    </row>
    <row r="682">
      <c r="A682" s="5" t="inlineStr">
        <is>
          <t>BW-08</t>
        </is>
      </c>
      <c r="B682" s="5" t="inlineStr">
        <is>
          <t>post</t>
        </is>
      </c>
      <c r="C682" s="5" t="inlineStr">
        <is>
          <t>COD_505</t>
        </is>
      </c>
      <c r="D682" s="5" t="inlineStr">
        <is>
          <t>L</t>
        </is>
      </c>
      <c r="E682" s="5" t="n">
        <v>3</v>
      </c>
      <c r="F682" s="5" t="n"/>
      <c r="G682" s="5" t="n"/>
      <c r="H682" s="5" t="inlineStr">
        <is>
          <t>Nur 2 Versuche aus Zeitmangel</t>
        </is>
      </c>
      <c r="I682" s="22">
        <f>INDEX(Personendaten!$C$2:$C$32,MATCH(A682,Personendaten!$A$2:$A$32,0))</f>
        <v/>
      </c>
      <c r="J682" s="22">
        <f>IF(AND(F682&lt;&gt;"",G682=""),1,0)</f>
        <v/>
      </c>
      <c r="K682" s="22">
        <f>IF(LEFT(C682,7)&lt;&gt;"Sprint_","",IF(COUNTIFS(Versuchsdaten!$A$2:$A$1117,$A682,Versuchsdaten!$B$2:$B$1117,$B682,Versuchsdaten!$C$2:$C$1117,"Sprint_5m",Versuchsdaten!$E$2:$E$1117,$E682,Versuchsdaten!$J$2:$J$1117,1)=1,SUMIFS(Versuchsdaten!$F$2:$F$1117,Versuchsdaten!$A$2:$A$1117,$A682,Versuchsdaten!$B$2:$B$1117,$B682,Versuchsdaten!$C$2:$C$1117,"Sprint_5m",Versuchsdaten!$E$2:$E$1117,$E682,Versuchsdaten!$J$2:$J$1117,1),""))</f>
        <v/>
      </c>
      <c r="L682" s="22">
        <f>IF(LEFT(C682,7)&lt;&gt;"Sprint_","",IF(COUNTIFS(Versuchsdaten!$A$2:$A$1117,$A682,Versuchsdaten!$B$2:$B$1117,$B682,Versuchsdaten!$C$2:$C$1117,"Sprint_10m",Versuchsdaten!$E$2:$E$1117,$E682,Versuchsdaten!$J$2:$J$1117,1)=1,SUMIFS(Versuchsdaten!$F$2:$F$1117,Versuchsdaten!$A$2:$A$1117,$A682,Versuchsdaten!$B$2:$B$1117,$B682,Versuchsdaten!$C$2:$C$1117,"Sprint_10m",Versuchsdaten!$E$2:$E$1117,$E682,Versuchsdaten!$J$2:$J$1117,1),""))</f>
        <v/>
      </c>
      <c r="M682" s="22">
        <f>IF(LEFT(C682,7)&lt;&gt;"Sprint_","",IF(COUNTIFS(Versuchsdaten!$A$2:$A$1117,$A682,Versuchsdaten!$B$2:$B$1117,$B682,Versuchsdaten!$C$2:$C$1117,"Sprint_30m",Versuchsdaten!$E$2:$E$1117,$E682,Versuchsdaten!$J$2:$J$1117,1)=1,SUMIFS(Versuchsdaten!$F$2:$F$1117,Versuchsdaten!$A$2:$A$1117,$A682,Versuchsdaten!$B$2:$B$1117,$B682,Versuchsdaten!$C$2:$C$1117,"Sprint_30m",Versuchsdaten!$E$2:$E$1117,$E682,Versuchsdaten!$J$2:$J$1117,1),""))</f>
        <v/>
      </c>
      <c r="N682" s="22">
        <f>IF(LEFT(C682,7)&lt;&gt;"Sprint_",0,IF(IF(ISNUMBER(K682),IF(K682&lt;=0,1,IF(5/K682&gt;10,1,0)),0)+IF(ISNUMBER(L682),IF(ISNUMBER(K682),IF(L682-K682&lt;=0,1,IF(5/(L682-K682)&gt;10,1,0)),IF(L682&lt;=0,1,IF(10/L682&gt;10,1,0))),0)+IF(ISNUMBER(M682),IF(ISNUMBER(L682),IF(M682-L682&lt;=0,1,IF(20/(M682-L682)&gt;10,1,0)),IF(ISNUMBER(K682),IF(M682-K682&lt;=0,1,IF(25/(M682-K682)&gt;10,1,0)),IF(M682&lt;=0,1,IF(30/M682&gt;10,1,0)))),0)&gt;0,1,0))</f>
        <v/>
      </c>
      <c r="O682" s="22">
        <f>IF(AND(J682=1,N682=0),1,0)</f>
        <v/>
      </c>
      <c r="P682" s="22">
        <f>INDEX(Personendaten!$J$2:$J$32,MATCH(A682,Personendaten!$A$2:$A$32,0))</f>
        <v/>
      </c>
      <c r="Q682" s="22">
        <f>IF(O682=1,"",IF(AND(B682="post",P682="nicht angetreten"),"NANG",IF(N682=1,"AUSL",IFERROR(VLOOKUP(H682,Vokabular!$A$2:$B$8,2,FALSE),"UNBEKANNT"))))</f>
        <v/>
      </c>
    </row>
    <row r="683">
      <c r="A683" s="5" t="inlineStr">
        <is>
          <t>BW-08</t>
        </is>
      </c>
      <c r="B683" s="5" t="inlineStr">
        <is>
          <t>post</t>
        </is>
      </c>
      <c r="C683" s="5" t="inlineStr">
        <is>
          <t>COD_505</t>
        </is>
      </c>
      <c r="D683" s="5" t="inlineStr">
        <is>
          <t>R</t>
        </is>
      </c>
      <c r="E683" s="5" t="n">
        <v>1</v>
      </c>
      <c r="F683" s="5" t="n">
        <v>2.5</v>
      </c>
      <c r="G683" s="5" t="n"/>
      <c r="H683" s="5" t="n"/>
      <c r="I683" s="22">
        <f>INDEX(Personendaten!$C$2:$C$32,MATCH(A683,Personendaten!$A$2:$A$32,0))</f>
        <v/>
      </c>
      <c r="J683" s="22">
        <f>IF(AND(F683&lt;&gt;"",G683=""),1,0)</f>
        <v/>
      </c>
      <c r="K683" s="22">
        <f>IF(LEFT(C683,7)&lt;&gt;"Sprint_","",IF(COUNTIFS(Versuchsdaten!$A$2:$A$1117,$A683,Versuchsdaten!$B$2:$B$1117,$B683,Versuchsdaten!$C$2:$C$1117,"Sprint_5m",Versuchsdaten!$E$2:$E$1117,$E683,Versuchsdaten!$J$2:$J$1117,1)=1,SUMIFS(Versuchsdaten!$F$2:$F$1117,Versuchsdaten!$A$2:$A$1117,$A683,Versuchsdaten!$B$2:$B$1117,$B683,Versuchsdaten!$C$2:$C$1117,"Sprint_5m",Versuchsdaten!$E$2:$E$1117,$E683,Versuchsdaten!$J$2:$J$1117,1),""))</f>
        <v/>
      </c>
      <c r="L683" s="22">
        <f>IF(LEFT(C683,7)&lt;&gt;"Sprint_","",IF(COUNTIFS(Versuchsdaten!$A$2:$A$1117,$A683,Versuchsdaten!$B$2:$B$1117,$B683,Versuchsdaten!$C$2:$C$1117,"Sprint_10m",Versuchsdaten!$E$2:$E$1117,$E683,Versuchsdaten!$J$2:$J$1117,1)=1,SUMIFS(Versuchsdaten!$F$2:$F$1117,Versuchsdaten!$A$2:$A$1117,$A683,Versuchsdaten!$B$2:$B$1117,$B683,Versuchsdaten!$C$2:$C$1117,"Sprint_10m",Versuchsdaten!$E$2:$E$1117,$E683,Versuchsdaten!$J$2:$J$1117,1),""))</f>
        <v/>
      </c>
      <c r="M683" s="22">
        <f>IF(LEFT(C683,7)&lt;&gt;"Sprint_","",IF(COUNTIFS(Versuchsdaten!$A$2:$A$1117,$A683,Versuchsdaten!$B$2:$B$1117,$B683,Versuchsdaten!$C$2:$C$1117,"Sprint_30m",Versuchsdaten!$E$2:$E$1117,$E683,Versuchsdaten!$J$2:$J$1117,1)=1,SUMIFS(Versuchsdaten!$F$2:$F$1117,Versuchsdaten!$A$2:$A$1117,$A683,Versuchsdaten!$B$2:$B$1117,$B683,Versuchsdaten!$C$2:$C$1117,"Sprint_30m",Versuchsdaten!$E$2:$E$1117,$E683,Versuchsdaten!$J$2:$J$1117,1),""))</f>
        <v/>
      </c>
      <c r="N683" s="22">
        <f>IF(LEFT(C683,7)&lt;&gt;"Sprint_",0,IF(IF(ISNUMBER(K683),IF(K683&lt;=0,1,IF(5/K683&gt;10,1,0)),0)+IF(ISNUMBER(L683),IF(ISNUMBER(K683),IF(L683-K683&lt;=0,1,IF(5/(L683-K683)&gt;10,1,0)),IF(L683&lt;=0,1,IF(10/L683&gt;10,1,0))),0)+IF(ISNUMBER(M683),IF(ISNUMBER(L683),IF(M683-L683&lt;=0,1,IF(20/(M683-L683)&gt;10,1,0)),IF(ISNUMBER(K683),IF(M683-K683&lt;=0,1,IF(25/(M683-K683)&gt;10,1,0)),IF(M683&lt;=0,1,IF(30/M683&gt;10,1,0)))),0)&gt;0,1,0))</f>
        <v/>
      </c>
      <c r="O683" s="22">
        <f>IF(AND(J683=1,N683=0),1,0)</f>
        <v/>
      </c>
      <c r="P683" s="22">
        <f>INDEX(Personendaten!$J$2:$J$32,MATCH(A683,Personendaten!$A$2:$A$32,0))</f>
        <v/>
      </c>
      <c r="Q683" s="22">
        <f>IF(O683=1,"",IF(AND(B683="post",P683="nicht angetreten"),"NANG",IF(N683=1,"AUSL",IFERROR(VLOOKUP(H683,Vokabular!$A$2:$B$8,2,FALSE),"UNBEKANNT"))))</f>
        <v/>
      </c>
    </row>
    <row r="684">
      <c r="A684" s="5" t="inlineStr">
        <is>
          <t>BW-08</t>
        </is>
      </c>
      <c r="B684" s="5" t="inlineStr">
        <is>
          <t>post</t>
        </is>
      </c>
      <c r="C684" s="5" t="inlineStr">
        <is>
          <t>COD_505</t>
        </is>
      </c>
      <c r="D684" s="5" t="inlineStr">
        <is>
          <t>R</t>
        </is>
      </c>
      <c r="E684" s="5" t="n">
        <v>2</v>
      </c>
      <c r="F684" s="5" t="n">
        <v>2.58</v>
      </c>
      <c r="G684" s="5" t="n"/>
      <c r="H684" s="5" t="n"/>
      <c r="I684" s="22">
        <f>INDEX(Personendaten!$C$2:$C$32,MATCH(A684,Personendaten!$A$2:$A$32,0))</f>
        <v/>
      </c>
      <c r="J684" s="22">
        <f>IF(AND(F684&lt;&gt;"",G684=""),1,0)</f>
        <v/>
      </c>
      <c r="K684" s="22">
        <f>IF(LEFT(C684,7)&lt;&gt;"Sprint_","",IF(COUNTIFS(Versuchsdaten!$A$2:$A$1117,$A684,Versuchsdaten!$B$2:$B$1117,$B684,Versuchsdaten!$C$2:$C$1117,"Sprint_5m",Versuchsdaten!$E$2:$E$1117,$E684,Versuchsdaten!$J$2:$J$1117,1)=1,SUMIFS(Versuchsdaten!$F$2:$F$1117,Versuchsdaten!$A$2:$A$1117,$A684,Versuchsdaten!$B$2:$B$1117,$B684,Versuchsdaten!$C$2:$C$1117,"Sprint_5m",Versuchsdaten!$E$2:$E$1117,$E684,Versuchsdaten!$J$2:$J$1117,1),""))</f>
        <v/>
      </c>
      <c r="L684" s="22">
        <f>IF(LEFT(C684,7)&lt;&gt;"Sprint_","",IF(COUNTIFS(Versuchsdaten!$A$2:$A$1117,$A684,Versuchsdaten!$B$2:$B$1117,$B684,Versuchsdaten!$C$2:$C$1117,"Sprint_10m",Versuchsdaten!$E$2:$E$1117,$E684,Versuchsdaten!$J$2:$J$1117,1)=1,SUMIFS(Versuchsdaten!$F$2:$F$1117,Versuchsdaten!$A$2:$A$1117,$A684,Versuchsdaten!$B$2:$B$1117,$B684,Versuchsdaten!$C$2:$C$1117,"Sprint_10m",Versuchsdaten!$E$2:$E$1117,$E684,Versuchsdaten!$J$2:$J$1117,1),""))</f>
        <v/>
      </c>
      <c r="M684" s="22">
        <f>IF(LEFT(C684,7)&lt;&gt;"Sprint_","",IF(COUNTIFS(Versuchsdaten!$A$2:$A$1117,$A684,Versuchsdaten!$B$2:$B$1117,$B684,Versuchsdaten!$C$2:$C$1117,"Sprint_30m",Versuchsdaten!$E$2:$E$1117,$E684,Versuchsdaten!$J$2:$J$1117,1)=1,SUMIFS(Versuchsdaten!$F$2:$F$1117,Versuchsdaten!$A$2:$A$1117,$A684,Versuchsdaten!$B$2:$B$1117,$B684,Versuchsdaten!$C$2:$C$1117,"Sprint_30m",Versuchsdaten!$E$2:$E$1117,$E684,Versuchsdaten!$J$2:$J$1117,1),""))</f>
        <v/>
      </c>
      <c r="N684" s="22">
        <f>IF(LEFT(C684,7)&lt;&gt;"Sprint_",0,IF(IF(ISNUMBER(K684),IF(K684&lt;=0,1,IF(5/K684&gt;10,1,0)),0)+IF(ISNUMBER(L684),IF(ISNUMBER(K684),IF(L684-K684&lt;=0,1,IF(5/(L684-K684)&gt;10,1,0)),IF(L684&lt;=0,1,IF(10/L684&gt;10,1,0))),0)+IF(ISNUMBER(M684),IF(ISNUMBER(L684),IF(M684-L684&lt;=0,1,IF(20/(M684-L684)&gt;10,1,0)),IF(ISNUMBER(K684),IF(M684-K684&lt;=0,1,IF(25/(M684-K684)&gt;10,1,0)),IF(M684&lt;=0,1,IF(30/M684&gt;10,1,0)))),0)&gt;0,1,0))</f>
        <v/>
      </c>
      <c r="O684" s="22">
        <f>IF(AND(J684=1,N684=0),1,0)</f>
        <v/>
      </c>
      <c r="P684" s="22">
        <f>INDEX(Personendaten!$J$2:$J$32,MATCH(A684,Personendaten!$A$2:$A$32,0))</f>
        <v/>
      </c>
      <c r="Q684" s="22">
        <f>IF(O684=1,"",IF(AND(B684="post",P684="nicht angetreten"),"NANG",IF(N684=1,"AUSL",IFERROR(VLOOKUP(H684,Vokabular!$A$2:$B$8,2,FALSE),"UNBEKANNT"))))</f>
        <v/>
      </c>
    </row>
    <row r="685">
      <c r="A685" s="5" t="inlineStr">
        <is>
          <t>BW-08</t>
        </is>
      </c>
      <c r="B685" s="5" t="inlineStr">
        <is>
          <t>post</t>
        </is>
      </c>
      <c r="C685" s="5" t="inlineStr">
        <is>
          <t>COD_505</t>
        </is>
      </c>
      <c r="D685" s="5" t="inlineStr">
        <is>
          <t>R</t>
        </is>
      </c>
      <c r="E685" s="5" t="n">
        <v>3</v>
      </c>
      <c r="F685" s="5" t="n"/>
      <c r="G685" s="5" t="n"/>
      <c r="H685" s="5" t="inlineStr">
        <is>
          <t>Nur 2 Versuche aus Zeitmangel</t>
        </is>
      </c>
      <c r="I685" s="22">
        <f>INDEX(Personendaten!$C$2:$C$32,MATCH(A685,Personendaten!$A$2:$A$32,0))</f>
        <v/>
      </c>
      <c r="J685" s="22">
        <f>IF(AND(F685&lt;&gt;"",G685=""),1,0)</f>
        <v/>
      </c>
      <c r="K685" s="22">
        <f>IF(LEFT(C685,7)&lt;&gt;"Sprint_","",IF(COUNTIFS(Versuchsdaten!$A$2:$A$1117,$A685,Versuchsdaten!$B$2:$B$1117,$B685,Versuchsdaten!$C$2:$C$1117,"Sprint_5m",Versuchsdaten!$E$2:$E$1117,$E685,Versuchsdaten!$J$2:$J$1117,1)=1,SUMIFS(Versuchsdaten!$F$2:$F$1117,Versuchsdaten!$A$2:$A$1117,$A685,Versuchsdaten!$B$2:$B$1117,$B685,Versuchsdaten!$C$2:$C$1117,"Sprint_5m",Versuchsdaten!$E$2:$E$1117,$E685,Versuchsdaten!$J$2:$J$1117,1),""))</f>
        <v/>
      </c>
      <c r="L685" s="22">
        <f>IF(LEFT(C685,7)&lt;&gt;"Sprint_","",IF(COUNTIFS(Versuchsdaten!$A$2:$A$1117,$A685,Versuchsdaten!$B$2:$B$1117,$B685,Versuchsdaten!$C$2:$C$1117,"Sprint_10m",Versuchsdaten!$E$2:$E$1117,$E685,Versuchsdaten!$J$2:$J$1117,1)=1,SUMIFS(Versuchsdaten!$F$2:$F$1117,Versuchsdaten!$A$2:$A$1117,$A685,Versuchsdaten!$B$2:$B$1117,$B685,Versuchsdaten!$C$2:$C$1117,"Sprint_10m",Versuchsdaten!$E$2:$E$1117,$E685,Versuchsdaten!$J$2:$J$1117,1),""))</f>
        <v/>
      </c>
      <c r="M685" s="22">
        <f>IF(LEFT(C685,7)&lt;&gt;"Sprint_","",IF(COUNTIFS(Versuchsdaten!$A$2:$A$1117,$A685,Versuchsdaten!$B$2:$B$1117,$B685,Versuchsdaten!$C$2:$C$1117,"Sprint_30m",Versuchsdaten!$E$2:$E$1117,$E685,Versuchsdaten!$J$2:$J$1117,1)=1,SUMIFS(Versuchsdaten!$F$2:$F$1117,Versuchsdaten!$A$2:$A$1117,$A685,Versuchsdaten!$B$2:$B$1117,$B685,Versuchsdaten!$C$2:$C$1117,"Sprint_30m",Versuchsdaten!$E$2:$E$1117,$E685,Versuchsdaten!$J$2:$J$1117,1),""))</f>
        <v/>
      </c>
      <c r="N685" s="22">
        <f>IF(LEFT(C685,7)&lt;&gt;"Sprint_",0,IF(IF(ISNUMBER(K685),IF(K685&lt;=0,1,IF(5/K685&gt;10,1,0)),0)+IF(ISNUMBER(L685),IF(ISNUMBER(K685),IF(L685-K685&lt;=0,1,IF(5/(L685-K685)&gt;10,1,0)),IF(L685&lt;=0,1,IF(10/L685&gt;10,1,0))),0)+IF(ISNUMBER(M685),IF(ISNUMBER(L685),IF(M685-L685&lt;=0,1,IF(20/(M685-L685)&gt;10,1,0)),IF(ISNUMBER(K685),IF(M685-K685&lt;=0,1,IF(25/(M685-K685)&gt;10,1,0)),IF(M685&lt;=0,1,IF(30/M685&gt;10,1,0)))),0)&gt;0,1,0))</f>
        <v/>
      </c>
      <c r="O685" s="22">
        <f>IF(AND(J685=1,N685=0),1,0)</f>
        <v/>
      </c>
      <c r="P685" s="22">
        <f>INDEX(Personendaten!$J$2:$J$32,MATCH(A685,Personendaten!$A$2:$A$32,0))</f>
        <v/>
      </c>
      <c r="Q685" s="22">
        <f>IF(O685=1,"",IF(AND(B685="post",P685="nicht angetreten"),"NANG",IF(N685=1,"AUSL",IFERROR(VLOOKUP(H685,Vokabular!$A$2:$B$8,2,FALSE),"UNBEKANNT"))))</f>
        <v/>
      </c>
    </row>
    <row r="686">
      <c r="A686" s="5" t="inlineStr">
        <is>
          <t>BW-09</t>
        </is>
      </c>
      <c r="B686" s="5" t="inlineStr">
        <is>
          <t>post</t>
        </is>
      </c>
      <c r="C686" s="5" t="inlineStr">
        <is>
          <t>Sprint_5m</t>
        </is>
      </c>
      <c r="D686" s="5" t="inlineStr">
        <is>
          <t>–</t>
        </is>
      </c>
      <c r="E686" s="5" t="n">
        <v>1</v>
      </c>
      <c r="F686" s="5" t="n">
        <v>1.09</v>
      </c>
      <c r="G686" s="5" t="n"/>
      <c r="H686" s="5" t="n"/>
      <c r="I686" s="22">
        <f>INDEX(Personendaten!$C$2:$C$32,MATCH(A686,Personendaten!$A$2:$A$32,0))</f>
        <v/>
      </c>
      <c r="J686" s="22">
        <f>IF(AND(F686&lt;&gt;"",G686=""),1,0)</f>
        <v/>
      </c>
      <c r="K686" s="22">
        <f>IF(LEFT(C686,7)&lt;&gt;"Sprint_","",IF(COUNTIFS(Versuchsdaten!$A$2:$A$1117,$A686,Versuchsdaten!$B$2:$B$1117,$B686,Versuchsdaten!$C$2:$C$1117,"Sprint_5m",Versuchsdaten!$E$2:$E$1117,$E686,Versuchsdaten!$J$2:$J$1117,1)=1,SUMIFS(Versuchsdaten!$F$2:$F$1117,Versuchsdaten!$A$2:$A$1117,$A686,Versuchsdaten!$B$2:$B$1117,$B686,Versuchsdaten!$C$2:$C$1117,"Sprint_5m",Versuchsdaten!$E$2:$E$1117,$E686,Versuchsdaten!$J$2:$J$1117,1),""))</f>
        <v/>
      </c>
      <c r="L686" s="22">
        <f>IF(LEFT(C686,7)&lt;&gt;"Sprint_","",IF(COUNTIFS(Versuchsdaten!$A$2:$A$1117,$A686,Versuchsdaten!$B$2:$B$1117,$B686,Versuchsdaten!$C$2:$C$1117,"Sprint_10m",Versuchsdaten!$E$2:$E$1117,$E686,Versuchsdaten!$J$2:$J$1117,1)=1,SUMIFS(Versuchsdaten!$F$2:$F$1117,Versuchsdaten!$A$2:$A$1117,$A686,Versuchsdaten!$B$2:$B$1117,$B686,Versuchsdaten!$C$2:$C$1117,"Sprint_10m",Versuchsdaten!$E$2:$E$1117,$E686,Versuchsdaten!$J$2:$J$1117,1),""))</f>
        <v/>
      </c>
      <c r="M686" s="22">
        <f>IF(LEFT(C686,7)&lt;&gt;"Sprint_","",IF(COUNTIFS(Versuchsdaten!$A$2:$A$1117,$A686,Versuchsdaten!$B$2:$B$1117,$B686,Versuchsdaten!$C$2:$C$1117,"Sprint_30m",Versuchsdaten!$E$2:$E$1117,$E686,Versuchsdaten!$J$2:$J$1117,1)=1,SUMIFS(Versuchsdaten!$F$2:$F$1117,Versuchsdaten!$A$2:$A$1117,$A686,Versuchsdaten!$B$2:$B$1117,$B686,Versuchsdaten!$C$2:$C$1117,"Sprint_30m",Versuchsdaten!$E$2:$E$1117,$E686,Versuchsdaten!$J$2:$J$1117,1),""))</f>
        <v/>
      </c>
      <c r="N686" s="22">
        <f>IF(LEFT(C686,7)&lt;&gt;"Sprint_",0,IF(IF(ISNUMBER(K686),IF(K686&lt;=0,1,IF(5/K686&gt;10,1,0)),0)+IF(ISNUMBER(L686),IF(ISNUMBER(K686),IF(L686-K686&lt;=0,1,IF(5/(L686-K686)&gt;10,1,0)),IF(L686&lt;=0,1,IF(10/L686&gt;10,1,0))),0)+IF(ISNUMBER(M686),IF(ISNUMBER(L686),IF(M686-L686&lt;=0,1,IF(20/(M686-L686)&gt;10,1,0)),IF(ISNUMBER(K686),IF(M686-K686&lt;=0,1,IF(25/(M686-K686)&gt;10,1,0)),IF(M686&lt;=0,1,IF(30/M686&gt;10,1,0)))),0)&gt;0,1,0))</f>
        <v/>
      </c>
      <c r="O686" s="22">
        <f>IF(AND(J686=1,N686=0),1,0)</f>
        <v/>
      </c>
      <c r="P686" s="22">
        <f>INDEX(Personendaten!$J$2:$J$32,MATCH(A686,Personendaten!$A$2:$A$32,0))</f>
        <v/>
      </c>
      <c r="Q686" s="22">
        <f>IF(O686=1,"",IF(AND(B686="post",P686="nicht angetreten"),"NANG",IF(N686=1,"AUSL",IFERROR(VLOOKUP(H686,Vokabular!$A$2:$B$8,2,FALSE),"UNBEKANNT"))))</f>
        <v/>
      </c>
    </row>
    <row r="687">
      <c r="A687" s="5" t="inlineStr">
        <is>
          <t>BW-09</t>
        </is>
      </c>
      <c r="B687" s="5" t="inlineStr">
        <is>
          <t>post</t>
        </is>
      </c>
      <c r="C687" s="5" t="inlineStr">
        <is>
          <t>Sprint_5m</t>
        </is>
      </c>
      <c r="D687" s="5" t="inlineStr">
        <is>
          <t>–</t>
        </is>
      </c>
      <c r="E687" s="5" t="n">
        <v>2</v>
      </c>
      <c r="F687" s="5" t="n">
        <v>1.07</v>
      </c>
      <c r="G687" s="5" t="n"/>
      <c r="H687" s="5" t="n"/>
      <c r="I687" s="22">
        <f>INDEX(Personendaten!$C$2:$C$32,MATCH(A687,Personendaten!$A$2:$A$32,0))</f>
        <v/>
      </c>
      <c r="J687" s="22">
        <f>IF(AND(F687&lt;&gt;"",G687=""),1,0)</f>
        <v/>
      </c>
      <c r="K687" s="22">
        <f>IF(LEFT(C687,7)&lt;&gt;"Sprint_","",IF(COUNTIFS(Versuchsdaten!$A$2:$A$1117,$A687,Versuchsdaten!$B$2:$B$1117,$B687,Versuchsdaten!$C$2:$C$1117,"Sprint_5m",Versuchsdaten!$E$2:$E$1117,$E687,Versuchsdaten!$J$2:$J$1117,1)=1,SUMIFS(Versuchsdaten!$F$2:$F$1117,Versuchsdaten!$A$2:$A$1117,$A687,Versuchsdaten!$B$2:$B$1117,$B687,Versuchsdaten!$C$2:$C$1117,"Sprint_5m",Versuchsdaten!$E$2:$E$1117,$E687,Versuchsdaten!$J$2:$J$1117,1),""))</f>
        <v/>
      </c>
      <c r="L687" s="22">
        <f>IF(LEFT(C687,7)&lt;&gt;"Sprint_","",IF(COUNTIFS(Versuchsdaten!$A$2:$A$1117,$A687,Versuchsdaten!$B$2:$B$1117,$B687,Versuchsdaten!$C$2:$C$1117,"Sprint_10m",Versuchsdaten!$E$2:$E$1117,$E687,Versuchsdaten!$J$2:$J$1117,1)=1,SUMIFS(Versuchsdaten!$F$2:$F$1117,Versuchsdaten!$A$2:$A$1117,$A687,Versuchsdaten!$B$2:$B$1117,$B687,Versuchsdaten!$C$2:$C$1117,"Sprint_10m",Versuchsdaten!$E$2:$E$1117,$E687,Versuchsdaten!$J$2:$J$1117,1),""))</f>
        <v/>
      </c>
      <c r="M687" s="22">
        <f>IF(LEFT(C687,7)&lt;&gt;"Sprint_","",IF(COUNTIFS(Versuchsdaten!$A$2:$A$1117,$A687,Versuchsdaten!$B$2:$B$1117,$B687,Versuchsdaten!$C$2:$C$1117,"Sprint_30m",Versuchsdaten!$E$2:$E$1117,$E687,Versuchsdaten!$J$2:$J$1117,1)=1,SUMIFS(Versuchsdaten!$F$2:$F$1117,Versuchsdaten!$A$2:$A$1117,$A687,Versuchsdaten!$B$2:$B$1117,$B687,Versuchsdaten!$C$2:$C$1117,"Sprint_30m",Versuchsdaten!$E$2:$E$1117,$E687,Versuchsdaten!$J$2:$J$1117,1),""))</f>
        <v/>
      </c>
      <c r="N687" s="22">
        <f>IF(LEFT(C687,7)&lt;&gt;"Sprint_",0,IF(IF(ISNUMBER(K687),IF(K687&lt;=0,1,IF(5/K687&gt;10,1,0)),0)+IF(ISNUMBER(L687),IF(ISNUMBER(K687),IF(L687-K687&lt;=0,1,IF(5/(L687-K687)&gt;10,1,0)),IF(L687&lt;=0,1,IF(10/L687&gt;10,1,0))),0)+IF(ISNUMBER(M687),IF(ISNUMBER(L687),IF(M687-L687&lt;=0,1,IF(20/(M687-L687)&gt;10,1,0)),IF(ISNUMBER(K687),IF(M687-K687&lt;=0,1,IF(25/(M687-K687)&gt;10,1,0)),IF(M687&lt;=0,1,IF(30/M687&gt;10,1,0)))),0)&gt;0,1,0))</f>
        <v/>
      </c>
      <c r="O687" s="22">
        <f>IF(AND(J687=1,N687=0),1,0)</f>
        <v/>
      </c>
      <c r="P687" s="22">
        <f>INDEX(Personendaten!$J$2:$J$32,MATCH(A687,Personendaten!$A$2:$A$32,0))</f>
        <v/>
      </c>
      <c r="Q687" s="22">
        <f>IF(O687=1,"",IF(AND(B687="post",P687="nicht angetreten"),"NANG",IF(N687=1,"AUSL",IFERROR(VLOOKUP(H687,Vokabular!$A$2:$B$8,2,FALSE),"UNBEKANNT"))))</f>
        <v/>
      </c>
    </row>
    <row r="688">
      <c r="A688" s="5" t="inlineStr">
        <is>
          <t>BW-09</t>
        </is>
      </c>
      <c r="B688" s="5" t="inlineStr">
        <is>
          <t>post</t>
        </is>
      </c>
      <c r="C688" s="5" t="inlineStr">
        <is>
          <t>Sprint_5m</t>
        </is>
      </c>
      <c r="D688" s="5" t="inlineStr">
        <is>
          <t>–</t>
        </is>
      </c>
      <c r="E688" s="5" t="n">
        <v>3</v>
      </c>
      <c r="F688" s="5" t="n"/>
      <c r="G688" s="5" t="n"/>
      <c r="H688" s="5" t="inlineStr">
        <is>
          <t>Nur 2 Versuche aus Zeitmangel</t>
        </is>
      </c>
      <c r="I688" s="22">
        <f>INDEX(Personendaten!$C$2:$C$32,MATCH(A688,Personendaten!$A$2:$A$32,0))</f>
        <v/>
      </c>
      <c r="J688" s="22">
        <f>IF(AND(F688&lt;&gt;"",G688=""),1,0)</f>
        <v/>
      </c>
      <c r="K688" s="22">
        <f>IF(LEFT(C688,7)&lt;&gt;"Sprint_","",IF(COUNTIFS(Versuchsdaten!$A$2:$A$1117,$A688,Versuchsdaten!$B$2:$B$1117,$B688,Versuchsdaten!$C$2:$C$1117,"Sprint_5m",Versuchsdaten!$E$2:$E$1117,$E688,Versuchsdaten!$J$2:$J$1117,1)=1,SUMIFS(Versuchsdaten!$F$2:$F$1117,Versuchsdaten!$A$2:$A$1117,$A688,Versuchsdaten!$B$2:$B$1117,$B688,Versuchsdaten!$C$2:$C$1117,"Sprint_5m",Versuchsdaten!$E$2:$E$1117,$E688,Versuchsdaten!$J$2:$J$1117,1),""))</f>
        <v/>
      </c>
      <c r="L688" s="22">
        <f>IF(LEFT(C688,7)&lt;&gt;"Sprint_","",IF(COUNTIFS(Versuchsdaten!$A$2:$A$1117,$A688,Versuchsdaten!$B$2:$B$1117,$B688,Versuchsdaten!$C$2:$C$1117,"Sprint_10m",Versuchsdaten!$E$2:$E$1117,$E688,Versuchsdaten!$J$2:$J$1117,1)=1,SUMIFS(Versuchsdaten!$F$2:$F$1117,Versuchsdaten!$A$2:$A$1117,$A688,Versuchsdaten!$B$2:$B$1117,$B688,Versuchsdaten!$C$2:$C$1117,"Sprint_10m",Versuchsdaten!$E$2:$E$1117,$E688,Versuchsdaten!$J$2:$J$1117,1),""))</f>
        <v/>
      </c>
      <c r="M688" s="22">
        <f>IF(LEFT(C688,7)&lt;&gt;"Sprint_","",IF(COUNTIFS(Versuchsdaten!$A$2:$A$1117,$A688,Versuchsdaten!$B$2:$B$1117,$B688,Versuchsdaten!$C$2:$C$1117,"Sprint_30m",Versuchsdaten!$E$2:$E$1117,$E688,Versuchsdaten!$J$2:$J$1117,1)=1,SUMIFS(Versuchsdaten!$F$2:$F$1117,Versuchsdaten!$A$2:$A$1117,$A688,Versuchsdaten!$B$2:$B$1117,$B688,Versuchsdaten!$C$2:$C$1117,"Sprint_30m",Versuchsdaten!$E$2:$E$1117,$E688,Versuchsdaten!$J$2:$J$1117,1),""))</f>
        <v/>
      </c>
      <c r="N688" s="22">
        <f>IF(LEFT(C688,7)&lt;&gt;"Sprint_",0,IF(IF(ISNUMBER(K688),IF(K688&lt;=0,1,IF(5/K688&gt;10,1,0)),0)+IF(ISNUMBER(L688),IF(ISNUMBER(K688),IF(L688-K688&lt;=0,1,IF(5/(L688-K688)&gt;10,1,0)),IF(L688&lt;=0,1,IF(10/L688&gt;10,1,0))),0)+IF(ISNUMBER(M688),IF(ISNUMBER(L688),IF(M688-L688&lt;=0,1,IF(20/(M688-L688)&gt;10,1,0)),IF(ISNUMBER(K688),IF(M688-K688&lt;=0,1,IF(25/(M688-K688)&gt;10,1,0)),IF(M688&lt;=0,1,IF(30/M688&gt;10,1,0)))),0)&gt;0,1,0))</f>
        <v/>
      </c>
      <c r="O688" s="22">
        <f>IF(AND(J688=1,N688=0),1,0)</f>
        <v/>
      </c>
      <c r="P688" s="22">
        <f>INDEX(Personendaten!$J$2:$J$32,MATCH(A688,Personendaten!$A$2:$A$32,0))</f>
        <v/>
      </c>
      <c r="Q688" s="22">
        <f>IF(O688=1,"",IF(AND(B688="post",P688="nicht angetreten"),"NANG",IF(N688=1,"AUSL",IFERROR(VLOOKUP(H688,Vokabular!$A$2:$B$8,2,FALSE),"UNBEKANNT"))))</f>
        <v/>
      </c>
    </row>
    <row r="689">
      <c r="A689" s="5" t="inlineStr">
        <is>
          <t>BW-09</t>
        </is>
      </c>
      <c r="B689" s="5" t="inlineStr">
        <is>
          <t>post</t>
        </is>
      </c>
      <c r="C689" s="5" t="inlineStr">
        <is>
          <t>Sprint_10m</t>
        </is>
      </c>
      <c r="D689" s="5" t="inlineStr">
        <is>
          <t>–</t>
        </is>
      </c>
      <c r="E689" s="5" t="n">
        <v>1</v>
      </c>
      <c r="F689" s="5" t="n"/>
      <c r="G689" s="5" t="n"/>
      <c r="H689" s="5" t="inlineStr">
        <is>
          <t>System falsch aufgenommen</t>
        </is>
      </c>
      <c r="I689" s="22">
        <f>INDEX(Personendaten!$C$2:$C$32,MATCH(A689,Personendaten!$A$2:$A$32,0))</f>
        <v/>
      </c>
      <c r="J689" s="22">
        <f>IF(AND(F689&lt;&gt;"",G689=""),1,0)</f>
        <v/>
      </c>
      <c r="K689" s="22">
        <f>IF(LEFT(C689,7)&lt;&gt;"Sprint_","",IF(COUNTIFS(Versuchsdaten!$A$2:$A$1117,$A689,Versuchsdaten!$B$2:$B$1117,$B689,Versuchsdaten!$C$2:$C$1117,"Sprint_5m",Versuchsdaten!$E$2:$E$1117,$E689,Versuchsdaten!$J$2:$J$1117,1)=1,SUMIFS(Versuchsdaten!$F$2:$F$1117,Versuchsdaten!$A$2:$A$1117,$A689,Versuchsdaten!$B$2:$B$1117,$B689,Versuchsdaten!$C$2:$C$1117,"Sprint_5m",Versuchsdaten!$E$2:$E$1117,$E689,Versuchsdaten!$J$2:$J$1117,1),""))</f>
        <v/>
      </c>
      <c r="L689" s="22">
        <f>IF(LEFT(C689,7)&lt;&gt;"Sprint_","",IF(COUNTIFS(Versuchsdaten!$A$2:$A$1117,$A689,Versuchsdaten!$B$2:$B$1117,$B689,Versuchsdaten!$C$2:$C$1117,"Sprint_10m",Versuchsdaten!$E$2:$E$1117,$E689,Versuchsdaten!$J$2:$J$1117,1)=1,SUMIFS(Versuchsdaten!$F$2:$F$1117,Versuchsdaten!$A$2:$A$1117,$A689,Versuchsdaten!$B$2:$B$1117,$B689,Versuchsdaten!$C$2:$C$1117,"Sprint_10m",Versuchsdaten!$E$2:$E$1117,$E689,Versuchsdaten!$J$2:$J$1117,1),""))</f>
        <v/>
      </c>
      <c r="M689" s="22">
        <f>IF(LEFT(C689,7)&lt;&gt;"Sprint_","",IF(COUNTIFS(Versuchsdaten!$A$2:$A$1117,$A689,Versuchsdaten!$B$2:$B$1117,$B689,Versuchsdaten!$C$2:$C$1117,"Sprint_30m",Versuchsdaten!$E$2:$E$1117,$E689,Versuchsdaten!$J$2:$J$1117,1)=1,SUMIFS(Versuchsdaten!$F$2:$F$1117,Versuchsdaten!$A$2:$A$1117,$A689,Versuchsdaten!$B$2:$B$1117,$B689,Versuchsdaten!$C$2:$C$1117,"Sprint_30m",Versuchsdaten!$E$2:$E$1117,$E689,Versuchsdaten!$J$2:$J$1117,1),""))</f>
        <v/>
      </c>
      <c r="N689" s="22">
        <f>IF(LEFT(C689,7)&lt;&gt;"Sprint_",0,IF(IF(ISNUMBER(K689),IF(K689&lt;=0,1,IF(5/K689&gt;10,1,0)),0)+IF(ISNUMBER(L689),IF(ISNUMBER(K689),IF(L689-K689&lt;=0,1,IF(5/(L689-K689)&gt;10,1,0)),IF(L689&lt;=0,1,IF(10/L689&gt;10,1,0))),0)+IF(ISNUMBER(M689),IF(ISNUMBER(L689),IF(M689-L689&lt;=0,1,IF(20/(M689-L689)&gt;10,1,0)),IF(ISNUMBER(K689),IF(M689-K689&lt;=0,1,IF(25/(M689-K689)&gt;10,1,0)),IF(M689&lt;=0,1,IF(30/M689&gt;10,1,0)))),0)&gt;0,1,0))</f>
        <v/>
      </c>
      <c r="O689" s="22">
        <f>IF(AND(J689=1,N689=0),1,0)</f>
        <v/>
      </c>
      <c r="P689" s="22">
        <f>INDEX(Personendaten!$J$2:$J$32,MATCH(A689,Personendaten!$A$2:$A$32,0))</f>
        <v/>
      </c>
      <c r="Q689" s="22">
        <f>IF(O689=1,"",IF(AND(B689="post",P689="nicht angetreten"),"NANG",IF(N689=1,"AUSL",IFERROR(VLOOKUP(H689,Vokabular!$A$2:$B$8,2,FALSE),"UNBEKANNT"))))</f>
        <v/>
      </c>
    </row>
    <row r="690">
      <c r="A690" s="5" t="inlineStr">
        <is>
          <t>BW-09</t>
        </is>
      </c>
      <c r="B690" s="5" t="inlineStr">
        <is>
          <t>post</t>
        </is>
      </c>
      <c r="C690" s="5" t="inlineStr">
        <is>
          <t>Sprint_10m</t>
        </is>
      </c>
      <c r="D690" s="5" t="inlineStr">
        <is>
          <t>–</t>
        </is>
      </c>
      <c r="E690" s="5" t="n">
        <v>2</v>
      </c>
      <c r="F690" s="5" t="n"/>
      <c r="G690" s="5" t="n"/>
      <c r="H690" s="5" t="inlineStr">
        <is>
          <t>System falsch aufgenommen</t>
        </is>
      </c>
      <c r="I690" s="22">
        <f>INDEX(Personendaten!$C$2:$C$32,MATCH(A690,Personendaten!$A$2:$A$32,0))</f>
        <v/>
      </c>
      <c r="J690" s="22">
        <f>IF(AND(F690&lt;&gt;"",G690=""),1,0)</f>
        <v/>
      </c>
      <c r="K690" s="22">
        <f>IF(LEFT(C690,7)&lt;&gt;"Sprint_","",IF(COUNTIFS(Versuchsdaten!$A$2:$A$1117,$A690,Versuchsdaten!$B$2:$B$1117,$B690,Versuchsdaten!$C$2:$C$1117,"Sprint_5m",Versuchsdaten!$E$2:$E$1117,$E690,Versuchsdaten!$J$2:$J$1117,1)=1,SUMIFS(Versuchsdaten!$F$2:$F$1117,Versuchsdaten!$A$2:$A$1117,$A690,Versuchsdaten!$B$2:$B$1117,$B690,Versuchsdaten!$C$2:$C$1117,"Sprint_5m",Versuchsdaten!$E$2:$E$1117,$E690,Versuchsdaten!$J$2:$J$1117,1),""))</f>
        <v/>
      </c>
      <c r="L690" s="22">
        <f>IF(LEFT(C690,7)&lt;&gt;"Sprint_","",IF(COUNTIFS(Versuchsdaten!$A$2:$A$1117,$A690,Versuchsdaten!$B$2:$B$1117,$B690,Versuchsdaten!$C$2:$C$1117,"Sprint_10m",Versuchsdaten!$E$2:$E$1117,$E690,Versuchsdaten!$J$2:$J$1117,1)=1,SUMIFS(Versuchsdaten!$F$2:$F$1117,Versuchsdaten!$A$2:$A$1117,$A690,Versuchsdaten!$B$2:$B$1117,$B690,Versuchsdaten!$C$2:$C$1117,"Sprint_10m",Versuchsdaten!$E$2:$E$1117,$E690,Versuchsdaten!$J$2:$J$1117,1),""))</f>
        <v/>
      </c>
      <c r="M690" s="22">
        <f>IF(LEFT(C690,7)&lt;&gt;"Sprint_","",IF(COUNTIFS(Versuchsdaten!$A$2:$A$1117,$A690,Versuchsdaten!$B$2:$B$1117,$B690,Versuchsdaten!$C$2:$C$1117,"Sprint_30m",Versuchsdaten!$E$2:$E$1117,$E690,Versuchsdaten!$J$2:$J$1117,1)=1,SUMIFS(Versuchsdaten!$F$2:$F$1117,Versuchsdaten!$A$2:$A$1117,$A690,Versuchsdaten!$B$2:$B$1117,$B690,Versuchsdaten!$C$2:$C$1117,"Sprint_30m",Versuchsdaten!$E$2:$E$1117,$E690,Versuchsdaten!$J$2:$J$1117,1),""))</f>
        <v/>
      </c>
      <c r="N690" s="22">
        <f>IF(LEFT(C690,7)&lt;&gt;"Sprint_",0,IF(IF(ISNUMBER(K690),IF(K690&lt;=0,1,IF(5/K690&gt;10,1,0)),0)+IF(ISNUMBER(L690),IF(ISNUMBER(K690),IF(L690-K690&lt;=0,1,IF(5/(L690-K690)&gt;10,1,0)),IF(L690&lt;=0,1,IF(10/L690&gt;10,1,0))),0)+IF(ISNUMBER(M690),IF(ISNUMBER(L690),IF(M690-L690&lt;=0,1,IF(20/(M690-L690)&gt;10,1,0)),IF(ISNUMBER(K690),IF(M690-K690&lt;=0,1,IF(25/(M690-K690)&gt;10,1,0)),IF(M690&lt;=0,1,IF(30/M690&gt;10,1,0)))),0)&gt;0,1,0))</f>
        <v/>
      </c>
      <c r="O690" s="22">
        <f>IF(AND(J690=1,N690=0),1,0)</f>
        <v/>
      </c>
      <c r="P690" s="22">
        <f>INDEX(Personendaten!$J$2:$J$32,MATCH(A690,Personendaten!$A$2:$A$32,0))</f>
        <v/>
      </c>
      <c r="Q690" s="22">
        <f>IF(O690=1,"",IF(AND(B690="post",P690="nicht angetreten"),"NANG",IF(N690=1,"AUSL",IFERROR(VLOOKUP(H690,Vokabular!$A$2:$B$8,2,FALSE),"UNBEKANNT"))))</f>
        <v/>
      </c>
    </row>
    <row r="691">
      <c r="A691" s="5" t="inlineStr">
        <is>
          <t>BW-09</t>
        </is>
      </c>
      <c r="B691" s="5" t="inlineStr">
        <is>
          <t>post</t>
        </is>
      </c>
      <c r="C691" s="5" t="inlineStr">
        <is>
          <t>Sprint_10m</t>
        </is>
      </c>
      <c r="D691" s="5" t="inlineStr">
        <is>
          <t>–</t>
        </is>
      </c>
      <c r="E691" s="5" t="n">
        <v>3</v>
      </c>
      <c r="F691" s="5" t="n"/>
      <c r="G691" s="5" t="n"/>
      <c r="H691" s="5" t="inlineStr">
        <is>
          <t>System falsch aufgenommen</t>
        </is>
      </c>
      <c r="I691" s="22">
        <f>INDEX(Personendaten!$C$2:$C$32,MATCH(A691,Personendaten!$A$2:$A$32,0))</f>
        <v/>
      </c>
      <c r="J691" s="22">
        <f>IF(AND(F691&lt;&gt;"",G691=""),1,0)</f>
        <v/>
      </c>
      <c r="K691" s="22">
        <f>IF(LEFT(C691,7)&lt;&gt;"Sprint_","",IF(COUNTIFS(Versuchsdaten!$A$2:$A$1117,$A691,Versuchsdaten!$B$2:$B$1117,$B691,Versuchsdaten!$C$2:$C$1117,"Sprint_5m",Versuchsdaten!$E$2:$E$1117,$E691,Versuchsdaten!$J$2:$J$1117,1)=1,SUMIFS(Versuchsdaten!$F$2:$F$1117,Versuchsdaten!$A$2:$A$1117,$A691,Versuchsdaten!$B$2:$B$1117,$B691,Versuchsdaten!$C$2:$C$1117,"Sprint_5m",Versuchsdaten!$E$2:$E$1117,$E691,Versuchsdaten!$J$2:$J$1117,1),""))</f>
        <v/>
      </c>
      <c r="L691" s="22">
        <f>IF(LEFT(C691,7)&lt;&gt;"Sprint_","",IF(COUNTIFS(Versuchsdaten!$A$2:$A$1117,$A691,Versuchsdaten!$B$2:$B$1117,$B691,Versuchsdaten!$C$2:$C$1117,"Sprint_10m",Versuchsdaten!$E$2:$E$1117,$E691,Versuchsdaten!$J$2:$J$1117,1)=1,SUMIFS(Versuchsdaten!$F$2:$F$1117,Versuchsdaten!$A$2:$A$1117,$A691,Versuchsdaten!$B$2:$B$1117,$B691,Versuchsdaten!$C$2:$C$1117,"Sprint_10m",Versuchsdaten!$E$2:$E$1117,$E691,Versuchsdaten!$J$2:$J$1117,1),""))</f>
        <v/>
      </c>
      <c r="M691" s="22">
        <f>IF(LEFT(C691,7)&lt;&gt;"Sprint_","",IF(COUNTIFS(Versuchsdaten!$A$2:$A$1117,$A691,Versuchsdaten!$B$2:$B$1117,$B691,Versuchsdaten!$C$2:$C$1117,"Sprint_30m",Versuchsdaten!$E$2:$E$1117,$E691,Versuchsdaten!$J$2:$J$1117,1)=1,SUMIFS(Versuchsdaten!$F$2:$F$1117,Versuchsdaten!$A$2:$A$1117,$A691,Versuchsdaten!$B$2:$B$1117,$B691,Versuchsdaten!$C$2:$C$1117,"Sprint_30m",Versuchsdaten!$E$2:$E$1117,$E691,Versuchsdaten!$J$2:$J$1117,1),""))</f>
        <v/>
      </c>
      <c r="N691" s="22">
        <f>IF(LEFT(C691,7)&lt;&gt;"Sprint_",0,IF(IF(ISNUMBER(K691),IF(K691&lt;=0,1,IF(5/K691&gt;10,1,0)),0)+IF(ISNUMBER(L691),IF(ISNUMBER(K691),IF(L691-K691&lt;=0,1,IF(5/(L691-K691)&gt;10,1,0)),IF(L691&lt;=0,1,IF(10/L691&gt;10,1,0))),0)+IF(ISNUMBER(M691),IF(ISNUMBER(L691),IF(M691-L691&lt;=0,1,IF(20/(M691-L691)&gt;10,1,0)),IF(ISNUMBER(K691),IF(M691-K691&lt;=0,1,IF(25/(M691-K691)&gt;10,1,0)),IF(M691&lt;=0,1,IF(30/M691&gt;10,1,0)))),0)&gt;0,1,0))</f>
        <v/>
      </c>
      <c r="O691" s="22">
        <f>IF(AND(J691=1,N691=0),1,0)</f>
        <v/>
      </c>
      <c r="P691" s="22">
        <f>INDEX(Personendaten!$J$2:$J$32,MATCH(A691,Personendaten!$A$2:$A$32,0))</f>
        <v/>
      </c>
      <c r="Q691" s="22">
        <f>IF(O691=1,"",IF(AND(B691="post",P691="nicht angetreten"),"NANG",IF(N691=1,"AUSL",IFERROR(VLOOKUP(H691,Vokabular!$A$2:$B$8,2,FALSE),"UNBEKANNT"))))</f>
        <v/>
      </c>
    </row>
    <row r="692">
      <c r="A692" s="5" t="inlineStr">
        <is>
          <t>BW-09</t>
        </is>
      </c>
      <c r="B692" s="5" t="inlineStr">
        <is>
          <t>post</t>
        </is>
      </c>
      <c r="C692" s="5" t="inlineStr">
        <is>
          <t>Sprint_30m</t>
        </is>
      </c>
      <c r="D692" s="5" t="inlineStr">
        <is>
          <t>–</t>
        </is>
      </c>
      <c r="E692" s="5" t="n">
        <v>1</v>
      </c>
      <c r="F692" s="5" t="n">
        <v>4.78</v>
      </c>
      <c r="G692" s="5" t="n"/>
      <c r="H692" s="5" t="n"/>
      <c r="I692" s="22">
        <f>INDEX(Personendaten!$C$2:$C$32,MATCH(A692,Personendaten!$A$2:$A$32,0))</f>
        <v/>
      </c>
      <c r="J692" s="22">
        <f>IF(AND(F692&lt;&gt;"",G692=""),1,0)</f>
        <v/>
      </c>
      <c r="K692" s="22">
        <f>IF(LEFT(C692,7)&lt;&gt;"Sprint_","",IF(COUNTIFS(Versuchsdaten!$A$2:$A$1117,$A692,Versuchsdaten!$B$2:$B$1117,$B692,Versuchsdaten!$C$2:$C$1117,"Sprint_5m",Versuchsdaten!$E$2:$E$1117,$E692,Versuchsdaten!$J$2:$J$1117,1)=1,SUMIFS(Versuchsdaten!$F$2:$F$1117,Versuchsdaten!$A$2:$A$1117,$A692,Versuchsdaten!$B$2:$B$1117,$B692,Versuchsdaten!$C$2:$C$1117,"Sprint_5m",Versuchsdaten!$E$2:$E$1117,$E692,Versuchsdaten!$J$2:$J$1117,1),""))</f>
        <v/>
      </c>
      <c r="L692" s="22">
        <f>IF(LEFT(C692,7)&lt;&gt;"Sprint_","",IF(COUNTIFS(Versuchsdaten!$A$2:$A$1117,$A692,Versuchsdaten!$B$2:$B$1117,$B692,Versuchsdaten!$C$2:$C$1117,"Sprint_10m",Versuchsdaten!$E$2:$E$1117,$E692,Versuchsdaten!$J$2:$J$1117,1)=1,SUMIFS(Versuchsdaten!$F$2:$F$1117,Versuchsdaten!$A$2:$A$1117,$A692,Versuchsdaten!$B$2:$B$1117,$B692,Versuchsdaten!$C$2:$C$1117,"Sprint_10m",Versuchsdaten!$E$2:$E$1117,$E692,Versuchsdaten!$J$2:$J$1117,1),""))</f>
        <v/>
      </c>
      <c r="M692" s="22">
        <f>IF(LEFT(C692,7)&lt;&gt;"Sprint_","",IF(COUNTIFS(Versuchsdaten!$A$2:$A$1117,$A692,Versuchsdaten!$B$2:$B$1117,$B692,Versuchsdaten!$C$2:$C$1117,"Sprint_30m",Versuchsdaten!$E$2:$E$1117,$E692,Versuchsdaten!$J$2:$J$1117,1)=1,SUMIFS(Versuchsdaten!$F$2:$F$1117,Versuchsdaten!$A$2:$A$1117,$A692,Versuchsdaten!$B$2:$B$1117,$B692,Versuchsdaten!$C$2:$C$1117,"Sprint_30m",Versuchsdaten!$E$2:$E$1117,$E692,Versuchsdaten!$J$2:$J$1117,1),""))</f>
        <v/>
      </c>
      <c r="N692" s="22">
        <f>IF(LEFT(C692,7)&lt;&gt;"Sprint_",0,IF(IF(ISNUMBER(K692),IF(K692&lt;=0,1,IF(5/K692&gt;10,1,0)),0)+IF(ISNUMBER(L692),IF(ISNUMBER(K692),IF(L692-K692&lt;=0,1,IF(5/(L692-K692)&gt;10,1,0)),IF(L692&lt;=0,1,IF(10/L692&gt;10,1,0))),0)+IF(ISNUMBER(M692),IF(ISNUMBER(L692),IF(M692-L692&lt;=0,1,IF(20/(M692-L692)&gt;10,1,0)),IF(ISNUMBER(K692),IF(M692-K692&lt;=0,1,IF(25/(M692-K692)&gt;10,1,0)),IF(M692&lt;=0,1,IF(30/M692&gt;10,1,0)))),0)&gt;0,1,0))</f>
        <v/>
      </c>
      <c r="O692" s="22">
        <f>IF(AND(J692=1,N692=0),1,0)</f>
        <v/>
      </c>
      <c r="P692" s="22">
        <f>INDEX(Personendaten!$J$2:$J$32,MATCH(A692,Personendaten!$A$2:$A$32,0))</f>
        <v/>
      </c>
      <c r="Q692" s="22">
        <f>IF(O692=1,"",IF(AND(B692="post",P692="nicht angetreten"),"NANG",IF(N692=1,"AUSL",IFERROR(VLOOKUP(H692,Vokabular!$A$2:$B$8,2,FALSE),"UNBEKANNT"))))</f>
        <v/>
      </c>
    </row>
    <row r="693">
      <c r="A693" s="5" t="inlineStr">
        <is>
          <t>BW-09</t>
        </is>
      </c>
      <c r="B693" s="5" t="inlineStr">
        <is>
          <t>post</t>
        </is>
      </c>
      <c r="C693" s="5" t="inlineStr">
        <is>
          <t>Sprint_30m</t>
        </is>
      </c>
      <c r="D693" s="5" t="inlineStr">
        <is>
          <t>–</t>
        </is>
      </c>
      <c r="E693" s="5" t="n">
        <v>2</v>
      </c>
      <c r="F693" s="5" t="n">
        <v>4.81</v>
      </c>
      <c r="G693" s="5" t="n"/>
      <c r="H693" s="5" t="n"/>
      <c r="I693" s="22">
        <f>INDEX(Personendaten!$C$2:$C$32,MATCH(A693,Personendaten!$A$2:$A$32,0))</f>
        <v/>
      </c>
      <c r="J693" s="22">
        <f>IF(AND(F693&lt;&gt;"",G693=""),1,0)</f>
        <v/>
      </c>
      <c r="K693" s="22">
        <f>IF(LEFT(C693,7)&lt;&gt;"Sprint_","",IF(COUNTIFS(Versuchsdaten!$A$2:$A$1117,$A693,Versuchsdaten!$B$2:$B$1117,$B693,Versuchsdaten!$C$2:$C$1117,"Sprint_5m",Versuchsdaten!$E$2:$E$1117,$E693,Versuchsdaten!$J$2:$J$1117,1)=1,SUMIFS(Versuchsdaten!$F$2:$F$1117,Versuchsdaten!$A$2:$A$1117,$A693,Versuchsdaten!$B$2:$B$1117,$B693,Versuchsdaten!$C$2:$C$1117,"Sprint_5m",Versuchsdaten!$E$2:$E$1117,$E693,Versuchsdaten!$J$2:$J$1117,1),""))</f>
        <v/>
      </c>
      <c r="L693" s="22">
        <f>IF(LEFT(C693,7)&lt;&gt;"Sprint_","",IF(COUNTIFS(Versuchsdaten!$A$2:$A$1117,$A693,Versuchsdaten!$B$2:$B$1117,$B693,Versuchsdaten!$C$2:$C$1117,"Sprint_10m",Versuchsdaten!$E$2:$E$1117,$E693,Versuchsdaten!$J$2:$J$1117,1)=1,SUMIFS(Versuchsdaten!$F$2:$F$1117,Versuchsdaten!$A$2:$A$1117,$A693,Versuchsdaten!$B$2:$B$1117,$B693,Versuchsdaten!$C$2:$C$1117,"Sprint_10m",Versuchsdaten!$E$2:$E$1117,$E693,Versuchsdaten!$J$2:$J$1117,1),""))</f>
        <v/>
      </c>
      <c r="M693" s="22">
        <f>IF(LEFT(C693,7)&lt;&gt;"Sprint_","",IF(COUNTIFS(Versuchsdaten!$A$2:$A$1117,$A693,Versuchsdaten!$B$2:$B$1117,$B693,Versuchsdaten!$C$2:$C$1117,"Sprint_30m",Versuchsdaten!$E$2:$E$1117,$E693,Versuchsdaten!$J$2:$J$1117,1)=1,SUMIFS(Versuchsdaten!$F$2:$F$1117,Versuchsdaten!$A$2:$A$1117,$A693,Versuchsdaten!$B$2:$B$1117,$B693,Versuchsdaten!$C$2:$C$1117,"Sprint_30m",Versuchsdaten!$E$2:$E$1117,$E693,Versuchsdaten!$J$2:$J$1117,1),""))</f>
        <v/>
      </c>
      <c r="N693" s="22">
        <f>IF(LEFT(C693,7)&lt;&gt;"Sprint_",0,IF(IF(ISNUMBER(K693),IF(K693&lt;=0,1,IF(5/K693&gt;10,1,0)),0)+IF(ISNUMBER(L693),IF(ISNUMBER(K693),IF(L693-K693&lt;=0,1,IF(5/(L693-K693)&gt;10,1,0)),IF(L693&lt;=0,1,IF(10/L693&gt;10,1,0))),0)+IF(ISNUMBER(M693),IF(ISNUMBER(L693),IF(M693-L693&lt;=0,1,IF(20/(M693-L693)&gt;10,1,0)),IF(ISNUMBER(K693),IF(M693-K693&lt;=0,1,IF(25/(M693-K693)&gt;10,1,0)),IF(M693&lt;=0,1,IF(30/M693&gt;10,1,0)))),0)&gt;0,1,0))</f>
        <v/>
      </c>
      <c r="O693" s="22">
        <f>IF(AND(J693=1,N693=0),1,0)</f>
        <v/>
      </c>
      <c r="P693" s="22">
        <f>INDEX(Personendaten!$J$2:$J$32,MATCH(A693,Personendaten!$A$2:$A$32,0))</f>
        <v/>
      </c>
      <c r="Q693" s="22">
        <f>IF(O693=1,"",IF(AND(B693="post",P693="nicht angetreten"),"NANG",IF(N693=1,"AUSL",IFERROR(VLOOKUP(H693,Vokabular!$A$2:$B$8,2,FALSE),"UNBEKANNT"))))</f>
        <v/>
      </c>
    </row>
    <row r="694">
      <c r="A694" s="5" t="inlineStr">
        <is>
          <t>BW-09</t>
        </is>
      </c>
      <c r="B694" s="5" t="inlineStr">
        <is>
          <t>post</t>
        </is>
      </c>
      <c r="C694" s="5" t="inlineStr">
        <is>
          <t>Sprint_30m</t>
        </is>
      </c>
      <c r="D694" s="5" t="inlineStr">
        <is>
          <t>–</t>
        </is>
      </c>
      <c r="E694" s="5" t="n">
        <v>3</v>
      </c>
      <c r="F694" s="5" t="n"/>
      <c r="G694" s="5" t="n"/>
      <c r="H694" s="5" t="inlineStr">
        <is>
          <t>Nur 2 Versuche aus Zeitmangel</t>
        </is>
      </c>
      <c r="I694" s="22">
        <f>INDEX(Personendaten!$C$2:$C$32,MATCH(A694,Personendaten!$A$2:$A$32,0))</f>
        <v/>
      </c>
      <c r="J694" s="22">
        <f>IF(AND(F694&lt;&gt;"",G694=""),1,0)</f>
        <v/>
      </c>
      <c r="K694" s="22">
        <f>IF(LEFT(C694,7)&lt;&gt;"Sprint_","",IF(COUNTIFS(Versuchsdaten!$A$2:$A$1117,$A694,Versuchsdaten!$B$2:$B$1117,$B694,Versuchsdaten!$C$2:$C$1117,"Sprint_5m",Versuchsdaten!$E$2:$E$1117,$E694,Versuchsdaten!$J$2:$J$1117,1)=1,SUMIFS(Versuchsdaten!$F$2:$F$1117,Versuchsdaten!$A$2:$A$1117,$A694,Versuchsdaten!$B$2:$B$1117,$B694,Versuchsdaten!$C$2:$C$1117,"Sprint_5m",Versuchsdaten!$E$2:$E$1117,$E694,Versuchsdaten!$J$2:$J$1117,1),""))</f>
        <v/>
      </c>
      <c r="L694" s="22">
        <f>IF(LEFT(C694,7)&lt;&gt;"Sprint_","",IF(COUNTIFS(Versuchsdaten!$A$2:$A$1117,$A694,Versuchsdaten!$B$2:$B$1117,$B694,Versuchsdaten!$C$2:$C$1117,"Sprint_10m",Versuchsdaten!$E$2:$E$1117,$E694,Versuchsdaten!$J$2:$J$1117,1)=1,SUMIFS(Versuchsdaten!$F$2:$F$1117,Versuchsdaten!$A$2:$A$1117,$A694,Versuchsdaten!$B$2:$B$1117,$B694,Versuchsdaten!$C$2:$C$1117,"Sprint_10m",Versuchsdaten!$E$2:$E$1117,$E694,Versuchsdaten!$J$2:$J$1117,1),""))</f>
        <v/>
      </c>
      <c r="M694" s="22">
        <f>IF(LEFT(C694,7)&lt;&gt;"Sprint_","",IF(COUNTIFS(Versuchsdaten!$A$2:$A$1117,$A694,Versuchsdaten!$B$2:$B$1117,$B694,Versuchsdaten!$C$2:$C$1117,"Sprint_30m",Versuchsdaten!$E$2:$E$1117,$E694,Versuchsdaten!$J$2:$J$1117,1)=1,SUMIFS(Versuchsdaten!$F$2:$F$1117,Versuchsdaten!$A$2:$A$1117,$A694,Versuchsdaten!$B$2:$B$1117,$B694,Versuchsdaten!$C$2:$C$1117,"Sprint_30m",Versuchsdaten!$E$2:$E$1117,$E694,Versuchsdaten!$J$2:$J$1117,1),""))</f>
        <v/>
      </c>
      <c r="N694" s="22">
        <f>IF(LEFT(C694,7)&lt;&gt;"Sprint_",0,IF(IF(ISNUMBER(K694),IF(K694&lt;=0,1,IF(5/K694&gt;10,1,0)),0)+IF(ISNUMBER(L694),IF(ISNUMBER(K694),IF(L694-K694&lt;=0,1,IF(5/(L694-K694)&gt;10,1,0)),IF(L694&lt;=0,1,IF(10/L694&gt;10,1,0))),0)+IF(ISNUMBER(M694),IF(ISNUMBER(L694),IF(M694-L694&lt;=0,1,IF(20/(M694-L694)&gt;10,1,0)),IF(ISNUMBER(K694),IF(M694-K694&lt;=0,1,IF(25/(M694-K694)&gt;10,1,0)),IF(M694&lt;=0,1,IF(30/M694&gt;10,1,0)))),0)&gt;0,1,0))</f>
        <v/>
      </c>
      <c r="O694" s="22">
        <f>IF(AND(J694=1,N694=0),1,0)</f>
        <v/>
      </c>
      <c r="P694" s="22">
        <f>INDEX(Personendaten!$J$2:$J$32,MATCH(A694,Personendaten!$A$2:$A$32,0))</f>
        <v/>
      </c>
      <c r="Q694" s="22">
        <f>IF(O694=1,"",IF(AND(B694="post",P694="nicht angetreten"),"NANG",IF(N694=1,"AUSL",IFERROR(VLOOKUP(H694,Vokabular!$A$2:$B$8,2,FALSE),"UNBEKANNT"))))</f>
        <v/>
      </c>
    </row>
    <row r="695">
      <c r="A695" s="5" t="inlineStr">
        <is>
          <t>BW-09</t>
        </is>
      </c>
      <c r="B695" s="5" t="inlineStr">
        <is>
          <t>post</t>
        </is>
      </c>
      <c r="C695" s="5" t="inlineStr">
        <is>
          <t>Standweitsprung</t>
        </is>
      </c>
      <c r="D695" s="5" t="inlineStr">
        <is>
          <t>–</t>
        </is>
      </c>
      <c r="E695" s="5" t="n">
        <v>1</v>
      </c>
      <c r="F695" s="5" t="n">
        <v>229</v>
      </c>
      <c r="G695" s="5" t="n"/>
      <c r="H695" s="5" t="n"/>
      <c r="I695" s="22">
        <f>INDEX(Personendaten!$C$2:$C$32,MATCH(A695,Personendaten!$A$2:$A$32,0))</f>
        <v/>
      </c>
      <c r="J695" s="22">
        <f>IF(AND(F695&lt;&gt;"",G695=""),1,0)</f>
        <v/>
      </c>
      <c r="K695" s="22">
        <f>IF(LEFT(C695,7)&lt;&gt;"Sprint_","",IF(COUNTIFS(Versuchsdaten!$A$2:$A$1117,$A695,Versuchsdaten!$B$2:$B$1117,$B695,Versuchsdaten!$C$2:$C$1117,"Sprint_5m",Versuchsdaten!$E$2:$E$1117,$E695,Versuchsdaten!$J$2:$J$1117,1)=1,SUMIFS(Versuchsdaten!$F$2:$F$1117,Versuchsdaten!$A$2:$A$1117,$A695,Versuchsdaten!$B$2:$B$1117,$B695,Versuchsdaten!$C$2:$C$1117,"Sprint_5m",Versuchsdaten!$E$2:$E$1117,$E695,Versuchsdaten!$J$2:$J$1117,1),""))</f>
        <v/>
      </c>
      <c r="L695" s="22">
        <f>IF(LEFT(C695,7)&lt;&gt;"Sprint_","",IF(COUNTIFS(Versuchsdaten!$A$2:$A$1117,$A695,Versuchsdaten!$B$2:$B$1117,$B695,Versuchsdaten!$C$2:$C$1117,"Sprint_10m",Versuchsdaten!$E$2:$E$1117,$E695,Versuchsdaten!$J$2:$J$1117,1)=1,SUMIFS(Versuchsdaten!$F$2:$F$1117,Versuchsdaten!$A$2:$A$1117,$A695,Versuchsdaten!$B$2:$B$1117,$B695,Versuchsdaten!$C$2:$C$1117,"Sprint_10m",Versuchsdaten!$E$2:$E$1117,$E695,Versuchsdaten!$J$2:$J$1117,1),""))</f>
        <v/>
      </c>
      <c r="M695" s="22">
        <f>IF(LEFT(C695,7)&lt;&gt;"Sprint_","",IF(COUNTIFS(Versuchsdaten!$A$2:$A$1117,$A695,Versuchsdaten!$B$2:$B$1117,$B695,Versuchsdaten!$C$2:$C$1117,"Sprint_30m",Versuchsdaten!$E$2:$E$1117,$E695,Versuchsdaten!$J$2:$J$1117,1)=1,SUMIFS(Versuchsdaten!$F$2:$F$1117,Versuchsdaten!$A$2:$A$1117,$A695,Versuchsdaten!$B$2:$B$1117,$B695,Versuchsdaten!$C$2:$C$1117,"Sprint_30m",Versuchsdaten!$E$2:$E$1117,$E695,Versuchsdaten!$J$2:$J$1117,1),""))</f>
        <v/>
      </c>
      <c r="N695" s="22">
        <f>IF(LEFT(C695,7)&lt;&gt;"Sprint_",0,IF(IF(ISNUMBER(K695),IF(K695&lt;=0,1,IF(5/K695&gt;10,1,0)),0)+IF(ISNUMBER(L695),IF(ISNUMBER(K695),IF(L695-K695&lt;=0,1,IF(5/(L695-K695)&gt;10,1,0)),IF(L695&lt;=0,1,IF(10/L695&gt;10,1,0))),0)+IF(ISNUMBER(M695),IF(ISNUMBER(L695),IF(M695-L695&lt;=0,1,IF(20/(M695-L695)&gt;10,1,0)),IF(ISNUMBER(K695),IF(M695-K695&lt;=0,1,IF(25/(M695-K695)&gt;10,1,0)),IF(M695&lt;=0,1,IF(30/M695&gt;10,1,0)))),0)&gt;0,1,0))</f>
        <v/>
      </c>
      <c r="O695" s="22">
        <f>IF(AND(J695=1,N695=0),1,0)</f>
        <v/>
      </c>
      <c r="P695" s="22">
        <f>INDEX(Personendaten!$J$2:$J$32,MATCH(A695,Personendaten!$A$2:$A$32,0))</f>
        <v/>
      </c>
      <c r="Q695" s="22">
        <f>IF(O695=1,"",IF(AND(B695="post",P695="nicht angetreten"),"NANG",IF(N695=1,"AUSL",IFERROR(VLOOKUP(H695,Vokabular!$A$2:$B$8,2,FALSE),"UNBEKANNT"))))</f>
        <v/>
      </c>
    </row>
    <row r="696">
      <c r="A696" s="5" t="inlineStr">
        <is>
          <t>BW-09</t>
        </is>
      </c>
      <c r="B696" s="5" t="inlineStr">
        <is>
          <t>post</t>
        </is>
      </c>
      <c r="C696" s="5" t="inlineStr">
        <is>
          <t>Standweitsprung</t>
        </is>
      </c>
      <c r="D696" s="5" t="inlineStr">
        <is>
          <t>–</t>
        </is>
      </c>
      <c r="E696" s="5" t="n">
        <v>2</v>
      </c>
      <c r="F696" s="5" t="n">
        <v>236</v>
      </c>
      <c r="G696" s="5" t="n"/>
      <c r="H696" s="5" t="n"/>
      <c r="I696" s="22">
        <f>INDEX(Personendaten!$C$2:$C$32,MATCH(A696,Personendaten!$A$2:$A$32,0))</f>
        <v/>
      </c>
      <c r="J696" s="22">
        <f>IF(AND(F696&lt;&gt;"",G696=""),1,0)</f>
        <v/>
      </c>
      <c r="K696" s="22">
        <f>IF(LEFT(C696,7)&lt;&gt;"Sprint_","",IF(COUNTIFS(Versuchsdaten!$A$2:$A$1117,$A696,Versuchsdaten!$B$2:$B$1117,$B696,Versuchsdaten!$C$2:$C$1117,"Sprint_5m",Versuchsdaten!$E$2:$E$1117,$E696,Versuchsdaten!$J$2:$J$1117,1)=1,SUMIFS(Versuchsdaten!$F$2:$F$1117,Versuchsdaten!$A$2:$A$1117,$A696,Versuchsdaten!$B$2:$B$1117,$B696,Versuchsdaten!$C$2:$C$1117,"Sprint_5m",Versuchsdaten!$E$2:$E$1117,$E696,Versuchsdaten!$J$2:$J$1117,1),""))</f>
        <v/>
      </c>
      <c r="L696" s="22">
        <f>IF(LEFT(C696,7)&lt;&gt;"Sprint_","",IF(COUNTIFS(Versuchsdaten!$A$2:$A$1117,$A696,Versuchsdaten!$B$2:$B$1117,$B696,Versuchsdaten!$C$2:$C$1117,"Sprint_10m",Versuchsdaten!$E$2:$E$1117,$E696,Versuchsdaten!$J$2:$J$1117,1)=1,SUMIFS(Versuchsdaten!$F$2:$F$1117,Versuchsdaten!$A$2:$A$1117,$A696,Versuchsdaten!$B$2:$B$1117,$B696,Versuchsdaten!$C$2:$C$1117,"Sprint_10m",Versuchsdaten!$E$2:$E$1117,$E696,Versuchsdaten!$J$2:$J$1117,1),""))</f>
        <v/>
      </c>
      <c r="M696" s="22">
        <f>IF(LEFT(C696,7)&lt;&gt;"Sprint_","",IF(COUNTIFS(Versuchsdaten!$A$2:$A$1117,$A696,Versuchsdaten!$B$2:$B$1117,$B696,Versuchsdaten!$C$2:$C$1117,"Sprint_30m",Versuchsdaten!$E$2:$E$1117,$E696,Versuchsdaten!$J$2:$J$1117,1)=1,SUMIFS(Versuchsdaten!$F$2:$F$1117,Versuchsdaten!$A$2:$A$1117,$A696,Versuchsdaten!$B$2:$B$1117,$B696,Versuchsdaten!$C$2:$C$1117,"Sprint_30m",Versuchsdaten!$E$2:$E$1117,$E696,Versuchsdaten!$J$2:$J$1117,1),""))</f>
        <v/>
      </c>
      <c r="N696" s="22">
        <f>IF(LEFT(C696,7)&lt;&gt;"Sprint_",0,IF(IF(ISNUMBER(K696),IF(K696&lt;=0,1,IF(5/K696&gt;10,1,0)),0)+IF(ISNUMBER(L696),IF(ISNUMBER(K696),IF(L696-K696&lt;=0,1,IF(5/(L696-K696)&gt;10,1,0)),IF(L696&lt;=0,1,IF(10/L696&gt;10,1,0))),0)+IF(ISNUMBER(M696),IF(ISNUMBER(L696),IF(M696-L696&lt;=0,1,IF(20/(M696-L696)&gt;10,1,0)),IF(ISNUMBER(K696),IF(M696-K696&lt;=0,1,IF(25/(M696-K696)&gt;10,1,0)),IF(M696&lt;=0,1,IF(30/M696&gt;10,1,0)))),0)&gt;0,1,0))</f>
        <v/>
      </c>
      <c r="O696" s="22">
        <f>IF(AND(J696=1,N696=0),1,0)</f>
        <v/>
      </c>
      <c r="P696" s="22">
        <f>INDEX(Personendaten!$J$2:$J$32,MATCH(A696,Personendaten!$A$2:$A$32,0))</f>
        <v/>
      </c>
      <c r="Q696" s="22">
        <f>IF(O696=1,"",IF(AND(B696="post",P696="nicht angetreten"),"NANG",IF(N696=1,"AUSL",IFERROR(VLOOKUP(H696,Vokabular!$A$2:$B$8,2,FALSE),"UNBEKANNT"))))</f>
        <v/>
      </c>
    </row>
    <row r="697">
      <c r="A697" s="5" t="inlineStr">
        <is>
          <t>BW-09</t>
        </is>
      </c>
      <c r="B697" s="5" t="inlineStr">
        <is>
          <t>post</t>
        </is>
      </c>
      <c r="C697" s="5" t="inlineStr">
        <is>
          <t>Standweitsprung</t>
        </is>
      </c>
      <c r="D697" s="5" t="inlineStr">
        <is>
          <t>–</t>
        </is>
      </c>
      <c r="E697" s="5" t="n">
        <v>3</v>
      </c>
      <c r="F697" s="5" t="n"/>
      <c r="G697" s="5" t="n"/>
      <c r="H697" s="5" t="inlineStr">
        <is>
          <t>Nur 2 Versuche aus Zeitmangel</t>
        </is>
      </c>
      <c r="I697" s="22">
        <f>INDEX(Personendaten!$C$2:$C$32,MATCH(A697,Personendaten!$A$2:$A$32,0))</f>
        <v/>
      </c>
      <c r="J697" s="22">
        <f>IF(AND(F697&lt;&gt;"",G697=""),1,0)</f>
        <v/>
      </c>
      <c r="K697" s="22">
        <f>IF(LEFT(C697,7)&lt;&gt;"Sprint_","",IF(COUNTIFS(Versuchsdaten!$A$2:$A$1117,$A697,Versuchsdaten!$B$2:$B$1117,$B697,Versuchsdaten!$C$2:$C$1117,"Sprint_5m",Versuchsdaten!$E$2:$E$1117,$E697,Versuchsdaten!$J$2:$J$1117,1)=1,SUMIFS(Versuchsdaten!$F$2:$F$1117,Versuchsdaten!$A$2:$A$1117,$A697,Versuchsdaten!$B$2:$B$1117,$B697,Versuchsdaten!$C$2:$C$1117,"Sprint_5m",Versuchsdaten!$E$2:$E$1117,$E697,Versuchsdaten!$J$2:$J$1117,1),""))</f>
        <v/>
      </c>
      <c r="L697" s="22">
        <f>IF(LEFT(C697,7)&lt;&gt;"Sprint_","",IF(COUNTIFS(Versuchsdaten!$A$2:$A$1117,$A697,Versuchsdaten!$B$2:$B$1117,$B697,Versuchsdaten!$C$2:$C$1117,"Sprint_10m",Versuchsdaten!$E$2:$E$1117,$E697,Versuchsdaten!$J$2:$J$1117,1)=1,SUMIFS(Versuchsdaten!$F$2:$F$1117,Versuchsdaten!$A$2:$A$1117,$A697,Versuchsdaten!$B$2:$B$1117,$B697,Versuchsdaten!$C$2:$C$1117,"Sprint_10m",Versuchsdaten!$E$2:$E$1117,$E697,Versuchsdaten!$J$2:$J$1117,1),""))</f>
        <v/>
      </c>
      <c r="M697" s="22">
        <f>IF(LEFT(C697,7)&lt;&gt;"Sprint_","",IF(COUNTIFS(Versuchsdaten!$A$2:$A$1117,$A697,Versuchsdaten!$B$2:$B$1117,$B697,Versuchsdaten!$C$2:$C$1117,"Sprint_30m",Versuchsdaten!$E$2:$E$1117,$E697,Versuchsdaten!$J$2:$J$1117,1)=1,SUMIFS(Versuchsdaten!$F$2:$F$1117,Versuchsdaten!$A$2:$A$1117,$A697,Versuchsdaten!$B$2:$B$1117,$B697,Versuchsdaten!$C$2:$C$1117,"Sprint_30m",Versuchsdaten!$E$2:$E$1117,$E697,Versuchsdaten!$J$2:$J$1117,1),""))</f>
        <v/>
      </c>
      <c r="N697" s="22">
        <f>IF(LEFT(C697,7)&lt;&gt;"Sprint_",0,IF(IF(ISNUMBER(K697),IF(K697&lt;=0,1,IF(5/K697&gt;10,1,0)),0)+IF(ISNUMBER(L697),IF(ISNUMBER(K697),IF(L697-K697&lt;=0,1,IF(5/(L697-K697)&gt;10,1,0)),IF(L697&lt;=0,1,IF(10/L697&gt;10,1,0))),0)+IF(ISNUMBER(M697),IF(ISNUMBER(L697),IF(M697-L697&lt;=0,1,IF(20/(M697-L697)&gt;10,1,0)),IF(ISNUMBER(K697),IF(M697-K697&lt;=0,1,IF(25/(M697-K697)&gt;10,1,0)),IF(M697&lt;=0,1,IF(30/M697&gt;10,1,0)))),0)&gt;0,1,0))</f>
        <v/>
      </c>
      <c r="O697" s="22">
        <f>IF(AND(J697=1,N697=0),1,0)</f>
        <v/>
      </c>
      <c r="P697" s="22">
        <f>INDEX(Personendaten!$J$2:$J$32,MATCH(A697,Personendaten!$A$2:$A$32,0))</f>
        <v/>
      </c>
      <c r="Q697" s="22">
        <f>IF(O697=1,"",IF(AND(B697="post",P697="nicht angetreten"),"NANG",IF(N697=1,"AUSL",IFERROR(VLOOKUP(H697,Vokabular!$A$2:$B$8,2,FALSE),"UNBEKANNT"))))</f>
        <v/>
      </c>
    </row>
    <row r="698">
      <c r="A698" s="5" t="inlineStr">
        <is>
          <t>BW-09</t>
        </is>
      </c>
      <c r="B698" s="5" t="inlineStr">
        <is>
          <t>post</t>
        </is>
      </c>
      <c r="C698" s="5" t="inlineStr">
        <is>
          <t>COD_505</t>
        </is>
      </c>
      <c r="D698" s="5" t="inlineStr">
        <is>
          <t>L</t>
        </is>
      </c>
      <c r="E698" s="5" t="n">
        <v>1</v>
      </c>
      <c r="F698" s="5" t="n"/>
      <c r="G698" s="5" t="inlineStr">
        <is>
          <t>x</t>
        </is>
      </c>
      <c r="H698" s="5" t="inlineStr">
        <is>
          <t>Fehlversuch</t>
        </is>
      </c>
      <c r="I698" s="22">
        <f>INDEX(Personendaten!$C$2:$C$32,MATCH(A698,Personendaten!$A$2:$A$32,0))</f>
        <v/>
      </c>
      <c r="J698" s="22">
        <f>IF(AND(F698&lt;&gt;"",G698=""),1,0)</f>
        <v/>
      </c>
      <c r="K698" s="22">
        <f>IF(LEFT(C698,7)&lt;&gt;"Sprint_","",IF(COUNTIFS(Versuchsdaten!$A$2:$A$1117,$A698,Versuchsdaten!$B$2:$B$1117,$B698,Versuchsdaten!$C$2:$C$1117,"Sprint_5m",Versuchsdaten!$E$2:$E$1117,$E698,Versuchsdaten!$J$2:$J$1117,1)=1,SUMIFS(Versuchsdaten!$F$2:$F$1117,Versuchsdaten!$A$2:$A$1117,$A698,Versuchsdaten!$B$2:$B$1117,$B698,Versuchsdaten!$C$2:$C$1117,"Sprint_5m",Versuchsdaten!$E$2:$E$1117,$E698,Versuchsdaten!$J$2:$J$1117,1),""))</f>
        <v/>
      </c>
      <c r="L698" s="22">
        <f>IF(LEFT(C698,7)&lt;&gt;"Sprint_","",IF(COUNTIFS(Versuchsdaten!$A$2:$A$1117,$A698,Versuchsdaten!$B$2:$B$1117,$B698,Versuchsdaten!$C$2:$C$1117,"Sprint_10m",Versuchsdaten!$E$2:$E$1117,$E698,Versuchsdaten!$J$2:$J$1117,1)=1,SUMIFS(Versuchsdaten!$F$2:$F$1117,Versuchsdaten!$A$2:$A$1117,$A698,Versuchsdaten!$B$2:$B$1117,$B698,Versuchsdaten!$C$2:$C$1117,"Sprint_10m",Versuchsdaten!$E$2:$E$1117,$E698,Versuchsdaten!$J$2:$J$1117,1),""))</f>
        <v/>
      </c>
      <c r="M698" s="22">
        <f>IF(LEFT(C698,7)&lt;&gt;"Sprint_","",IF(COUNTIFS(Versuchsdaten!$A$2:$A$1117,$A698,Versuchsdaten!$B$2:$B$1117,$B698,Versuchsdaten!$C$2:$C$1117,"Sprint_30m",Versuchsdaten!$E$2:$E$1117,$E698,Versuchsdaten!$J$2:$J$1117,1)=1,SUMIFS(Versuchsdaten!$F$2:$F$1117,Versuchsdaten!$A$2:$A$1117,$A698,Versuchsdaten!$B$2:$B$1117,$B698,Versuchsdaten!$C$2:$C$1117,"Sprint_30m",Versuchsdaten!$E$2:$E$1117,$E698,Versuchsdaten!$J$2:$J$1117,1),""))</f>
        <v/>
      </c>
      <c r="N698" s="22">
        <f>IF(LEFT(C698,7)&lt;&gt;"Sprint_",0,IF(IF(ISNUMBER(K698),IF(K698&lt;=0,1,IF(5/K698&gt;10,1,0)),0)+IF(ISNUMBER(L698),IF(ISNUMBER(K698),IF(L698-K698&lt;=0,1,IF(5/(L698-K698)&gt;10,1,0)),IF(L698&lt;=0,1,IF(10/L698&gt;10,1,0))),0)+IF(ISNUMBER(M698),IF(ISNUMBER(L698),IF(M698-L698&lt;=0,1,IF(20/(M698-L698)&gt;10,1,0)),IF(ISNUMBER(K698),IF(M698-K698&lt;=0,1,IF(25/(M698-K698)&gt;10,1,0)),IF(M698&lt;=0,1,IF(30/M698&gt;10,1,0)))),0)&gt;0,1,0))</f>
        <v/>
      </c>
      <c r="O698" s="22">
        <f>IF(AND(J698=1,N698=0),1,0)</f>
        <v/>
      </c>
      <c r="P698" s="22">
        <f>INDEX(Personendaten!$J$2:$J$32,MATCH(A698,Personendaten!$A$2:$A$32,0))</f>
        <v/>
      </c>
      <c r="Q698" s="22">
        <f>IF(O698=1,"",IF(AND(B698="post",P698="nicht angetreten"),"NANG",IF(N698=1,"AUSL",IFERROR(VLOOKUP(H698,Vokabular!$A$2:$B$8,2,FALSE),"UNBEKANNT"))))</f>
        <v/>
      </c>
    </row>
    <row r="699">
      <c r="A699" s="5" t="inlineStr">
        <is>
          <t>BW-09</t>
        </is>
      </c>
      <c r="B699" s="5" t="inlineStr">
        <is>
          <t>post</t>
        </is>
      </c>
      <c r="C699" s="5" t="inlineStr">
        <is>
          <t>COD_505</t>
        </is>
      </c>
      <c r="D699" s="5" t="inlineStr">
        <is>
          <t>L</t>
        </is>
      </c>
      <c r="E699" s="5" t="n">
        <v>2</v>
      </c>
      <c r="F699" s="5" t="n">
        <v>2.55</v>
      </c>
      <c r="G699" s="5" t="n"/>
      <c r="H699" s="5" t="n"/>
      <c r="I699" s="22">
        <f>INDEX(Personendaten!$C$2:$C$32,MATCH(A699,Personendaten!$A$2:$A$32,0))</f>
        <v/>
      </c>
      <c r="J699" s="22">
        <f>IF(AND(F699&lt;&gt;"",G699=""),1,0)</f>
        <v/>
      </c>
      <c r="K699" s="22">
        <f>IF(LEFT(C699,7)&lt;&gt;"Sprint_","",IF(COUNTIFS(Versuchsdaten!$A$2:$A$1117,$A699,Versuchsdaten!$B$2:$B$1117,$B699,Versuchsdaten!$C$2:$C$1117,"Sprint_5m",Versuchsdaten!$E$2:$E$1117,$E699,Versuchsdaten!$J$2:$J$1117,1)=1,SUMIFS(Versuchsdaten!$F$2:$F$1117,Versuchsdaten!$A$2:$A$1117,$A699,Versuchsdaten!$B$2:$B$1117,$B699,Versuchsdaten!$C$2:$C$1117,"Sprint_5m",Versuchsdaten!$E$2:$E$1117,$E699,Versuchsdaten!$J$2:$J$1117,1),""))</f>
        <v/>
      </c>
      <c r="L699" s="22">
        <f>IF(LEFT(C699,7)&lt;&gt;"Sprint_","",IF(COUNTIFS(Versuchsdaten!$A$2:$A$1117,$A699,Versuchsdaten!$B$2:$B$1117,$B699,Versuchsdaten!$C$2:$C$1117,"Sprint_10m",Versuchsdaten!$E$2:$E$1117,$E699,Versuchsdaten!$J$2:$J$1117,1)=1,SUMIFS(Versuchsdaten!$F$2:$F$1117,Versuchsdaten!$A$2:$A$1117,$A699,Versuchsdaten!$B$2:$B$1117,$B699,Versuchsdaten!$C$2:$C$1117,"Sprint_10m",Versuchsdaten!$E$2:$E$1117,$E699,Versuchsdaten!$J$2:$J$1117,1),""))</f>
        <v/>
      </c>
      <c r="M699" s="22">
        <f>IF(LEFT(C699,7)&lt;&gt;"Sprint_","",IF(COUNTIFS(Versuchsdaten!$A$2:$A$1117,$A699,Versuchsdaten!$B$2:$B$1117,$B699,Versuchsdaten!$C$2:$C$1117,"Sprint_30m",Versuchsdaten!$E$2:$E$1117,$E699,Versuchsdaten!$J$2:$J$1117,1)=1,SUMIFS(Versuchsdaten!$F$2:$F$1117,Versuchsdaten!$A$2:$A$1117,$A699,Versuchsdaten!$B$2:$B$1117,$B699,Versuchsdaten!$C$2:$C$1117,"Sprint_30m",Versuchsdaten!$E$2:$E$1117,$E699,Versuchsdaten!$J$2:$J$1117,1),""))</f>
        <v/>
      </c>
      <c r="N699" s="22">
        <f>IF(LEFT(C699,7)&lt;&gt;"Sprint_",0,IF(IF(ISNUMBER(K699),IF(K699&lt;=0,1,IF(5/K699&gt;10,1,0)),0)+IF(ISNUMBER(L699),IF(ISNUMBER(K699),IF(L699-K699&lt;=0,1,IF(5/(L699-K699)&gt;10,1,0)),IF(L699&lt;=0,1,IF(10/L699&gt;10,1,0))),0)+IF(ISNUMBER(M699),IF(ISNUMBER(L699),IF(M699-L699&lt;=0,1,IF(20/(M699-L699)&gt;10,1,0)),IF(ISNUMBER(K699),IF(M699-K699&lt;=0,1,IF(25/(M699-K699)&gt;10,1,0)),IF(M699&lt;=0,1,IF(30/M699&gt;10,1,0)))),0)&gt;0,1,0))</f>
        <v/>
      </c>
      <c r="O699" s="22">
        <f>IF(AND(J699=1,N699=0),1,0)</f>
        <v/>
      </c>
      <c r="P699" s="22">
        <f>INDEX(Personendaten!$J$2:$J$32,MATCH(A699,Personendaten!$A$2:$A$32,0))</f>
        <v/>
      </c>
      <c r="Q699" s="22">
        <f>IF(O699=1,"",IF(AND(B699="post",P699="nicht angetreten"),"NANG",IF(N699=1,"AUSL",IFERROR(VLOOKUP(H699,Vokabular!$A$2:$B$8,2,FALSE),"UNBEKANNT"))))</f>
        <v/>
      </c>
    </row>
    <row r="700">
      <c r="A700" s="5" t="inlineStr">
        <is>
          <t>BW-09</t>
        </is>
      </c>
      <c r="B700" s="5" t="inlineStr">
        <is>
          <t>post</t>
        </is>
      </c>
      <c r="C700" s="5" t="inlineStr">
        <is>
          <t>COD_505</t>
        </is>
      </c>
      <c r="D700" s="5" t="inlineStr">
        <is>
          <t>L</t>
        </is>
      </c>
      <c r="E700" s="5" t="n">
        <v>3</v>
      </c>
      <c r="F700" s="5" t="n"/>
      <c r="G700" s="5" t="n"/>
      <c r="H700" s="5" t="inlineStr">
        <is>
          <t>Nur 2 Versuche aus Zeitmangel</t>
        </is>
      </c>
      <c r="I700" s="22">
        <f>INDEX(Personendaten!$C$2:$C$32,MATCH(A700,Personendaten!$A$2:$A$32,0))</f>
        <v/>
      </c>
      <c r="J700" s="22">
        <f>IF(AND(F700&lt;&gt;"",G700=""),1,0)</f>
        <v/>
      </c>
      <c r="K700" s="22">
        <f>IF(LEFT(C700,7)&lt;&gt;"Sprint_","",IF(COUNTIFS(Versuchsdaten!$A$2:$A$1117,$A700,Versuchsdaten!$B$2:$B$1117,$B700,Versuchsdaten!$C$2:$C$1117,"Sprint_5m",Versuchsdaten!$E$2:$E$1117,$E700,Versuchsdaten!$J$2:$J$1117,1)=1,SUMIFS(Versuchsdaten!$F$2:$F$1117,Versuchsdaten!$A$2:$A$1117,$A700,Versuchsdaten!$B$2:$B$1117,$B700,Versuchsdaten!$C$2:$C$1117,"Sprint_5m",Versuchsdaten!$E$2:$E$1117,$E700,Versuchsdaten!$J$2:$J$1117,1),""))</f>
        <v/>
      </c>
      <c r="L700" s="22">
        <f>IF(LEFT(C700,7)&lt;&gt;"Sprint_","",IF(COUNTIFS(Versuchsdaten!$A$2:$A$1117,$A700,Versuchsdaten!$B$2:$B$1117,$B700,Versuchsdaten!$C$2:$C$1117,"Sprint_10m",Versuchsdaten!$E$2:$E$1117,$E700,Versuchsdaten!$J$2:$J$1117,1)=1,SUMIFS(Versuchsdaten!$F$2:$F$1117,Versuchsdaten!$A$2:$A$1117,$A700,Versuchsdaten!$B$2:$B$1117,$B700,Versuchsdaten!$C$2:$C$1117,"Sprint_10m",Versuchsdaten!$E$2:$E$1117,$E700,Versuchsdaten!$J$2:$J$1117,1),""))</f>
        <v/>
      </c>
      <c r="M700" s="22">
        <f>IF(LEFT(C700,7)&lt;&gt;"Sprint_","",IF(COUNTIFS(Versuchsdaten!$A$2:$A$1117,$A700,Versuchsdaten!$B$2:$B$1117,$B700,Versuchsdaten!$C$2:$C$1117,"Sprint_30m",Versuchsdaten!$E$2:$E$1117,$E700,Versuchsdaten!$J$2:$J$1117,1)=1,SUMIFS(Versuchsdaten!$F$2:$F$1117,Versuchsdaten!$A$2:$A$1117,$A700,Versuchsdaten!$B$2:$B$1117,$B700,Versuchsdaten!$C$2:$C$1117,"Sprint_30m",Versuchsdaten!$E$2:$E$1117,$E700,Versuchsdaten!$J$2:$J$1117,1),""))</f>
        <v/>
      </c>
      <c r="N700" s="22">
        <f>IF(LEFT(C700,7)&lt;&gt;"Sprint_",0,IF(IF(ISNUMBER(K700),IF(K700&lt;=0,1,IF(5/K700&gt;10,1,0)),0)+IF(ISNUMBER(L700),IF(ISNUMBER(K700),IF(L700-K700&lt;=0,1,IF(5/(L700-K700)&gt;10,1,0)),IF(L700&lt;=0,1,IF(10/L700&gt;10,1,0))),0)+IF(ISNUMBER(M700),IF(ISNUMBER(L700),IF(M700-L700&lt;=0,1,IF(20/(M700-L700)&gt;10,1,0)),IF(ISNUMBER(K700),IF(M700-K700&lt;=0,1,IF(25/(M700-K700)&gt;10,1,0)),IF(M700&lt;=0,1,IF(30/M700&gt;10,1,0)))),0)&gt;0,1,0))</f>
        <v/>
      </c>
      <c r="O700" s="22">
        <f>IF(AND(J700=1,N700=0),1,0)</f>
        <v/>
      </c>
      <c r="P700" s="22">
        <f>INDEX(Personendaten!$J$2:$J$32,MATCH(A700,Personendaten!$A$2:$A$32,0))</f>
        <v/>
      </c>
      <c r="Q700" s="22">
        <f>IF(O700=1,"",IF(AND(B700="post",P700="nicht angetreten"),"NANG",IF(N700=1,"AUSL",IFERROR(VLOOKUP(H700,Vokabular!$A$2:$B$8,2,FALSE),"UNBEKANNT"))))</f>
        <v/>
      </c>
    </row>
    <row r="701">
      <c r="A701" s="5" t="inlineStr">
        <is>
          <t>BW-09</t>
        </is>
      </c>
      <c r="B701" s="5" t="inlineStr">
        <is>
          <t>post</t>
        </is>
      </c>
      <c r="C701" s="5" t="inlineStr">
        <is>
          <t>COD_505</t>
        </is>
      </c>
      <c r="D701" s="5" t="inlineStr">
        <is>
          <t>R</t>
        </is>
      </c>
      <c r="E701" s="5" t="n">
        <v>1</v>
      </c>
      <c r="F701" s="5" t="n">
        <v>2.55</v>
      </c>
      <c r="G701" s="5" t="n"/>
      <c r="H701" s="5" t="n"/>
      <c r="I701" s="22">
        <f>INDEX(Personendaten!$C$2:$C$32,MATCH(A701,Personendaten!$A$2:$A$32,0))</f>
        <v/>
      </c>
      <c r="J701" s="22">
        <f>IF(AND(F701&lt;&gt;"",G701=""),1,0)</f>
        <v/>
      </c>
      <c r="K701" s="22">
        <f>IF(LEFT(C701,7)&lt;&gt;"Sprint_","",IF(COUNTIFS(Versuchsdaten!$A$2:$A$1117,$A701,Versuchsdaten!$B$2:$B$1117,$B701,Versuchsdaten!$C$2:$C$1117,"Sprint_5m",Versuchsdaten!$E$2:$E$1117,$E701,Versuchsdaten!$J$2:$J$1117,1)=1,SUMIFS(Versuchsdaten!$F$2:$F$1117,Versuchsdaten!$A$2:$A$1117,$A701,Versuchsdaten!$B$2:$B$1117,$B701,Versuchsdaten!$C$2:$C$1117,"Sprint_5m",Versuchsdaten!$E$2:$E$1117,$E701,Versuchsdaten!$J$2:$J$1117,1),""))</f>
        <v/>
      </c>
      <c r="L701" s="22">
        <f>IF(LEFT(C701,7)&lt;&gt;"Sprint_","",IF(COUNTIFS(Versuchsdaten!$A$2:$A$1117,$A701,Versuchsdaten!$B$2:$B$1117,$B701,Versuchsdaten!$C$2:$C$1117,"Sprint_10m",Versuchsdaten!$E$2:$E$1117,$E701,Versuchsdaten!$J$2:$J$1117,1)=1,SUMIFS(Versuchsdaten!$F$2:$F$1117,Versuchsdaten!$A$2:$A$1117,$A701,Versuchsdaten!$B$2:$B$1117,$B701,Versuchsdaten!$C$2:$C$1117,"Sprint_10m",Versuchsdaten!$E$2:$E$1117,$E701,Versuchsdaten!$J$2:$J$1117,1),""))</f>
        <v/>
      </c>
      <c r="M701" s="22">
        <f>IF(LEFT(C701,7)&lt;&gt;"Sprint_","",IF(COUNTIFS(Versuchsdaten!$A$2:$A$1117,$A701,Versuchsdaten!$B$2:$B$1117,$B701,Versuchsdaten!$C$2:$C$1117,"Sprint_30m",Versuchsdaten!$E$2:$E$1117,$E701,Versuchsdaten!$J$2:$J$1117,1)=1,SUMIFS(Versuchsdaten!$F$2:$F$1117,Versuchsdaten!$A$2:$A$1117,$A701,Versuchsdaten!$B$2:$B$1117,$B701,Versuchsdaten!$C$2:$C$1117,"Sprint_30m",Versuchsdaten!$E$2:$E$1117,$E701,Versuchsdaten!$J$2:$J$1117,1),""))</f>
        <v/>
      </c>
      <c r="N701" s="22">
        <f>IF(LEFT(C701,7)&lt;&gt;"Sprint_",0,IF(IF(ISNUMBER(K701),IF(K701&lt;=0,1,IF(5/K701&gt;10,1,0)),0)+IF(ISNUMBER(L701),IF(ISNUMBER(K701),IF(L701-K701&lt;=0,1,IF(5/(L701-K701)&gt;10,1,0)),IF(L701&lt;=0,1,IF(10/L701&gt;10,1,0))),0)+IF(ISNUMBER(M701),IF(ISNUMBER(L701),IF(M701-L701&lt;=0,1,IF(20/(M701-L701)&gt;10,1,0)),IF(ISNUMBER(K701),IF(M701-K701&lt;=0,1,IF(25/(M701-K701)&gt;10,1,0)),IF(M701&lt;=0,1,IF(30/M701&gt;10,1,0)))),0)&gt;0,1,0))</f>
        <v/>
      </c>
      <c r="O701" s="22">
        <f>IF(AND(J701=1,N701=0),1,0)</f>
        <v/>
      </c>
      <c r="P701" s="22">
        <f>INDEX(Personendaten!$J$2:$J$32,MATCH(A701,Personendaten!$A$2:$A$32,0))</f>
        <v/>
      </c>
      <c r="Q701" s="22">
        <f>IF(O701=1,"",IF(AND(B701="post",P701="nicht angetreten"),"NANG",IF(N701=1,"AUSL",IFERROR(VLOOKUP(H701,Vokabular!$A$2:$B$8,2,FALSE),"UNBEKANNT"))))</f>
        <v/>
      </c>
    </row>
    <row r="702">
      <c r="A702" s="5" t="inlineStr">
        <is>
          <t>BW-09</t>
        </is>
      </c>
      <c r="B702" s="5" t="inlineStr">
        <is>
          <t>post</t>
        </is>
      </c>
      <c r="C702" s="5" t="inlineStr">
        <is>
          <t>COD_505</t>
        </is>
      </c>
      <c r="D702" s="5" t="inlineStr">
        <is>
          <t>R</t>
        </is>
      </c>
      <c r="E702" s="5" t="n">
        <v>2</v>
      </c>
      <c r="F702" s="5" t="n"/>
      <c r="G702" s="5" t="inlineStr">
        <is>
          <t>x</t>
        </is>
      </c>
      <c r="H702" s="5" t="inlineStr">
        <is>
          <t>Fehlversuch</t>
        </is>
      </c>
      <c r="I702" s="22">
        <f>INDEX(Personendaten!$C$2:$C$32,MATCH(A702,Personendaten!$A$2:$A$32,0))</f>
        <v/>
      </c>
      <c r="J702" s="22">
        <f>IF(AND(F702&lt;&gt;"",G702=""),1,0)</f>
        <v/>
      </c>
      <c r="K702" s="22">
        <f>IF(LEFT(C702,7)&lt;&gt;"Sprint_","",IF(COUNTIFS(Versuchsdaten!$A$2:$A$1117,$A702,Versuchsdaten!$B$2:$B$1117,$B702,Versuchsdaten!$C$2:$C$1117,"Sprint_5m",Versuchsdaten!$E$2:$E$1117,$E702,Versuchsdaten!$J$2:$J$1117,1)=1,SUMIFS(Versuchsdaten!$F$2:$F$1117,Versuchsdaten!$A$2:$A$1117,$A702,Versuchsdaten!$B$2:$B$1117,$B702,Versuchsdaten!$C$2:$C$1117,"Sprint_5m",Versuchsdaten!$E$2:$E$1117,$E702,Versuchsdaten!$J$2:$J$1117,1),""))</f>
        <v/>
      </c>
      <c r="L702" s="22">
        <f>IF(LEFT(C702,7)&lt;&gt;"Sprint_","",IF(COUNTIFS(Versuchsdaten!$A$2:$A$1117,$A702,Versuchsdaten!$B$2:$B$1117,$B702,Versuchsdaten!$C$2:$C$1117,"Sprint_10m",Versuchsdaten!$E$2:$E$1117,$E702,Versuchsdaten!$J$2:$J$1117,1)=1,SUMIFS(Versuchsdaten!$F$2:$F$1117,Versuchsdaten!$A$2:$A$1117,$A702,Versuchsdaten!$B$2:$B$1117,$B702,Versuchsdaten!$C$2:$C$1117,"Sprint_10m",Versuchsdaten!$E$2:$E$1117,$E702,Versuchsdaten!$J$2:$J$1117,1),""))</f>
        <v/>
      </c>
      <c r="M702" s="22">
        <f>IF(LEFT(C702,7)&lt;&gt;"Sprint_","",IF(COUNTIFS(Versuchsdaten!$A$2:$A$1117,$A702,Versuchsdaten!$B$2:$B$1117,$B702,Versuchsdaten!$C$2:$C$1117,"Sprint_30m",Versuchsdaten!$E$2:$E$1117,$E702,Versuchsdaten!$J$2:$J$1117,1)=1,SUMIFS(Versuchsdaten!$F$2:$F$1117,Versuchsdaten!$A$2:$A$1117,$A702,Versuchsdaten!$B$2:$B$1117,$B702,Versuchsdaten!$C$2:$C$1117,"Sprint_30m",Versuchsdaten!$E$2:$E$1117,$E702,Versuchsdaten!$J$2:$J$1117,1),""))</f>
        <v/>
      </c>
      <c r="N702" s="22">
        <f>IF(LEFT(C702,7)&lt;&gt;"Sprint_",0,IF(IF(ISNUMBER(K702),IF(K702&lt;=0,1,IF(5/K702&gt;10,1,0)),0)+IF(ISNUMBER(L702),IF(ISNUMBER(K702),IF(L702-K702&lt;=0,1,IF(5/(L702-K702)&gt;10,1,0)),IF(L702&lt;=0,1,IF(10/L702&gt;10,1,0))),0)+IF(ISNUMBER(M702),IF(ISNUMBER(L702),IF(M702-L702&lt;=0,1,IF(20/(M702-L702)&gt;10,1,0)),IF(ISNUMBER(K702),IF(M702-K702&lt;=0,1,IF(25/(M702-K702)&gt;10,1,0)),IF(M702&lt;=0,1,IF(30/M702&gt;10,1,0)))),0)&gt;0,1,0))</f>
        <v/>
      </c>
      <c r="O702" s="22">
        <f>IF(AND(J702=1,N702=0),1,0)</f>
        <v/>
      </c>
      <c r="P702" s="22">
        <f>INDEX(Personendaten!$J$2:$J$32,MATCH(A702,Personendaten!$A$2:$A$32,0))</f>
        <v/>
      </c>
      <c r="Q702" s="22">
        <f>IF(O702=1,"",IF(AND(B702="post",P702="nicht angetreten"),"NANG",IF(N702=1,"AUSL",IFERROR(VLOOKUP(H702,Vokabular!$A$2:$B$8,2,FALSE),"UNBEKANNT"))))</f>
        <v/>
      </c>
    </row>
    <row r="703">
      <c r="A703" s="5" t="inlineStr">
        <is>
          <t>BW-09</t>
        </is>
      </c>
      <c r="B703" s="5" t="inlineStr">
        <is>
          <t>post</t>
        </is>
      </c>
      <c r="C703" s="5" t="inlineStr">
        <is>
          <t>COD_505</t>
        </is>
      </c>
      <c r="D703" s="5" t="inlineStr">
        <is>
          <t>R</t>
        </is>
      </c>
      <c r="E703" s="5" t="n">
        <v>3</v>
      </c>
      <c r="F703" s="5" t="n"/>
      <c r="G703" s="5" t="n"/>
      <c r="H703" s="5" t="inlineStr">
        <is>
          <t>Nur 2 Versuche aus Zeitmangel</t>
        </is>
      </c>
      <c r="I703" s="22">
        <f>INDEX(Personendaten!$C$2:$C$32,MATCH(A703,Personendaten!$A$2:$A$32,0))</f>
        <v/>
      </c>
      <c r="J703" s="22">
        <f>IF(AND(F703&lt;&gt;"",G703=""),1,0)</f>
        <v/>
      </c>
      <c r="K703" s="22">
        <f>IF(LEFT(C703,7)&lt;&gt;"Sprint_","",IF(COUNTIFS(Versuchsdaten!$A$2:$A$1117,$A703,Versuchsdaten!$B$2:$B$1117,$B703,Versuchsdaten!$C$2:$C$1117,"Sprint_5m",Versuchsdaten!$E$2:$E$1117,$E703,Versuchsdaten!$J$2:$J$1117,1)=1,SUMIFS(Versuchsdaten!$F$2:$F$1117,Versuchsdaten!$A$2:$A$1117,$A703,Versuchsdaten!$B$2:$B$1117,$B703,Versuchsdaten!$C$2:$C$1117,"Sprint_5m",Versuchsdaten!$E$2:$E$1117,$E703,Versuchsdaten!$J$2:$J$1117,1),""))</f>
        <v/>
      </c>
      <c r="L703" s="22">
        <f>IF(LEFT(C703,7)&lt;&gt;"Sprint_","",IF(COUNTIFS(Versuchsdaten!$A$2:$A$1117,$A703,Versuchsdaten!$B$2:$B$1117,$B703,Versuchsdaten!$C$2:$C$1117,"Sprint_10m",Versuchsdaten!$E$2:$E$1117,$E703,Versuchsdaten!$J$2:$J$1117,1)=1,SUMIFS(Versuchsdaten!$F$2:$F$1117,Versuchsdaten!$A$2:$A$1117,$A703,Versuchsdaten!$B$2:$B$1117,$B703,Versuchsdaten!$C$2:$C$1117,"Sprint_10m",Versuchsdaten!$E$2:$E$1117,$E703,Versuchsdaten!$J$2:$J$1117,1),""))</f>
        <v/>
      </c>
      <c r="M703" s="22">
        <f>IF(LEFT(C703,7)&lt;&gt;"Sprint_","",IF(COUNTIFS(Versuchsdaten!$A$2:$A$1117,$A703,Versuchsdaten!$B$2:$B$1117,$B703,Versuchsdaten!$C$2:$C$1117,"Sprint_30m",Versuchsdaten!$E$2:$E$1117,$E703,Versuchsdaten!$J$2:$J$1117,1)=1,SUMIFS(Versuchsdaten!$F$2:$F$1117,Versuchsdaten!$A$2:$A$1117,$A703,Versuchsdaten!$B$2:$B$1117,$B703,Versuchsdaten!$C$2:$C$1117,"Sprint_30m",Versuchsdaten!$E$2:$E$1117,$E703,Versuchsdaten!$J$2:$J$1117,1),""))</f>
        <v/>
      </c>
      <c r="N703" s="22">
        <f>IF(LEFT(C703,7)&lt;&gt;"Sprint_",0,IF(IF(ISNUMBER(K703),IF(K703&lt;=0,1,IF(5/K703&gt;10,1,0)),0)+IF(ISNUMBER(L703),IF(ISNUMBER(K703),IF(L703-K703&lt;=0,1,IF(5/(L703-K703)&gt;10,1,0)),IF(L703&lt;=0,1,IF(10/L703&gt;10,1,0))),0)+IF(ISNUMBER(M703),IF(ISNUMBER(L703),IF(M703-L703&lt;=0,1,IF(20/(M703-L703)&gt;10,1,0)),IF(ISNUMBER(K703),IF(M703-K703&lt;=0,1,IF(25/(M703-K703)&gt;10,1,0)),IF(M703&lt;=0,1,IF(30/M703&gt;10,1,0)))),0)&gt;0,1,0))</f>
        <v/>
      </c>
      <c r="O703" s="22">
        <f>IF(AND(J703=1,N703=0),1,0)</f>
        <v/>
      </c>
      <c r="P703" s="22">
        <f>INDEX(Personendaten!$J$2:$J$32,MATCH(A703,Personendaten!$A$2:$A$32,0))</f>
        <v/>
      </c>
      <c r="Q703" s="22">
        <f>IF(O703=1,"",IF(AND(B703="post",P703="nicht angetreten"),"NANG",IF(N703=1,"AUSL",IFERROR(VLOOKUP(H703,Vokabular!$A$2:$B$8,2,FALSE),"UNBEKANNT"))))</f>
        <v/>
      </c>
    </row>
    <row r="704">
      <c r="A704" s="5" t="inlineStr">
        <is>
          <t>BW-10</t>
        </is>
      </c>
      <c r="B704" s="5" t="inlineStr">
        <is>
          <t>post</t>
        </is>
      </c>
      <c r="C704" s="5" t="inlineStr">
        <is>
          <t>Sprint_5m</t>
        </is>
      </c>
      <c r="D704" s="5" t="inlineStr">
        <is>
          <t>–</t>
        </is>
      </c>
      <c r="E704" s="5" t="n">
        <v>1</v>
      </c>
      <c r="F704" s="5" t="n">
        <v>1.11</v>
      </c>
      <c r="G704" s="5" t="n"/>
      <c r="H704" s="5" t="n"/>
      <c r="I704" s="22">
        <f>INDEX(Personendaten!$C$2:$C$32,MATCH(A704,Personendaten!$A$2:$A$32,0))</f>
        <v/>
      </c>
      <c r="J704" s="22">
        <f>IF(AND(F704&lt;&gt;"",G704=""),1,0)</f>
        <v/>
      </c>
      <c r="K704" s="22">
        <f>IF(LEFT(C704,7)&lt;&gt;"Sprint_","",IF(COUNTIFS(Versuchsdaten!$A$2:$A$1117,$A704,Versuchsdaten!$B$2:$B$1117,$B704,Versuchsdaten!$C$2:$C$1117,"Sprint_5m",Versuchsdaten!$E$2:$E$1117,$E704,Versuchsdaten!$J$2:$J$1117,1)=1,SUMIFS(Versuchsdaten!$F$2:$F$1117,Versuchsdaten!$A$2:$A$1117,$A704,Versuchsdaten!$B$2:$B$1117,$B704,Versuchsdaten!$C$2:$C$1117,"Sprint_5m",Versuchsdaten!$E$2:$E$1117,$E704,Versuchsdaten!$J$2:$J$1117,1),""))</f>
        <v/>
      </c>
      <c r="L704" s="22">
        <f>IF(LEFT(C704,7)&lt;&gt;"Sprint_","",IF(COUNTIFS(Versuchsdaten!$A$2:$A$1117,$A704,Versuchsdaten!$B$2:$B$1117,$B704,Versuchsdaten!$C$2:$C$1117,"Sprint_10m",Versuchsdaten!$E$2:$E$1117,$E704,Versuchsdaten!$J$2:$J$1117,1)=1,SUMIFS(Versuchsdaten!$F$2:$F$1117,Versuchsdaten!$A$2:$A$1117,$A704,Versuchsdaten!$B$2:$B$1117,$B704,Versuchsdaten!$C$2:$C$1117,"Sprint_10m",Versuchsdaten!$E$2:$E$1117,$E704,Versuchsdaten!$J$2:$J$1117,1),""))</f>
        <v/>
      </c>
      <c r="M704" s="22">
        <f>IF(LEFT(C704,7)&lt;&gt;"Sprint_","",IF(COUNTIFS(Versuchsdaten!$A$2:$A$1117,$A704,Versuchsdaten!$B$2:$B$1117,$B704,Versuchsdaten!$C$2:$C$1117,"Sprint_30m",Versuchsdaten!$E$2:$E$1117,$E704,Versuchsdaten!$J$2:$J$1117,1)=1,SUMIFS(Versuchsdaten!$F$2:$F$1117,Versuchsdaten!$A$2:$A$1117,$A704,Versuchsdaten!$B$2:$B$1117,$B704,Versuchsdaten!$C$2:$C$1117,"Sprint_30m",Versuchsdaten!$E$2:$E$1117,$E704,Versuchsdaten!$J$2:$J$1117,1),""))</f>
        <v/>
      </c>
      <c r="N704" s="22">
        <f>IF(LEFT(C704,7)&lt;&gt;"Sprint_",0,IF(IF(ISNUMBER(K704),IF(K704&lt;=0,1,IF(5/K704&gt;10,1,0)),0)+IF(ISNUMBER(L704),IF(ISNUMBER(K704),IF(L704-K704&lt;=0,1,IF(5/(L704-K704)&gt;10,1,0)),IF(L704&lt;=0,1,IF(10/L704&gt;10,1,0))),0)+IF(ISNUMBER(M704),IF(ISNUMBER(L704),IF(M704-L704&lt;=0,1,IF(20/(M704-L704)&gt;10,1,0)),IF(ISNUMBER(K704),IF(M704-K704&lt;=0,1,IF(25/(M704-K704)&gt;10,1,0)),IF(M704&lt;=0,1,IF(30/M704&gt;10,1,0)))),0)&gt;0,1,0))</f>
        <v/>
      </c>
      <c r="O704" s="22">
        <f>IF(AND(J704=1,N704=0),1,0)</f>
        <v/>
      </c>
      <c r="P704" s="22">
        <f>INDEX(Personendaten!$J$2:$J$32,MATCH(A704,Personendaten!$A$2:$A$32,0))</f>
        <v/>
      </c>
      <c r="Q704" s="22">
        <f>IF(O704=1,"",IF(AND(B704="post",P704="nicht angetreten"),"NANG",IF(N704=1,"AUSL",IFERROR(VLOOKUP(H704,Vokabular!$A$2:$B$8,2,FALSE),"UNBEKANNT"))))</f>
        <v/>
      </c>
    </row>
    <row r="705">
      <c r="A705" s="5" t="inlineStr">
        <is>
          <t>BW-10</t>
        </is>
      </c>
      <c r="B705" s="5" t="inlineStr">
        <is>
          <t>post</t>
        </is>
      </c>
      <c r="C705" s="5" t="inlineStr">
        <is>
          <t>Sprint_5m</t>
        </is>
      </c>
      <c r="D705" s="5" t="inlineStr">
        <is>
          <t>–</t>
        </is>
      </c>
      <c r="E705" s="5" t="n">
        <v>2</v>
      </c>
      <c r="F705" s="5" t="n">
        <v>1.09</v>
      </c>
      <c r="G705" s="5" t="n"/>
      <c r="H705" s="5" t="n"/>
      <c r="I705" s="22">
        <f>INDEX(Personendaten!$C$2:$C$32,MATCH(A705,Personendaten!$A$2:$A$32,0))</f>
        <v/>
      </c>
      <c r="J705" s="22">
        <f>IF(AND(F705&lt;&gt;"",G705=""),1,0)</f>
        <v/>
      </c>
      <c r="K705" s="22">
        <f>IF(LEFT(C705,7)&lt;&gt;"Sprint_","",IF(COUNTIFS(Versuchsdaten!$A$2:$A$1117,$A705,Versuchsdaten!$B$2:$B$1117,$B705,Versuchsdaten!$C$2:$C$1117,"Sprint_5m",Versuchsdaten!$E$2:$E$1117,$E705,Versuchsdaten!$J$2:$J$1117,1)=1,SUMIFS(Versuchsdaten!$F$2:$F$1117,Versuchsdaten!$A$2:$A$1117,$A705,Versuchsdaten!$B$2:$B$1117,$B705,Versuchsdaten!$C$2:$C$1117,"Sprint_5m",Versuchsdaten!$E$2:$E$1117,$E705,Versuchsdaten!$J$2:$J$1117,1),""))</f>
        <v/>
      </c>
      <c r="L705" s="22">
        <f>IF(LEFT(C705,7)&lt;&gt;"Sprint_","",IF(COUNTIFS(Versuchsdaten!$A$2:$A$1117,$A705,Versuchsdaten!$B$2:$B$1117,$B705,Versuchsdaten!$C$2:$C$1117,"Sprint_10m",Versuchsdaten!$E$2:$E$1117,$E705,Versuchsdaten!$J$2:$J$1117,1)=1,SUMIFS(Versuchsdaten!$F$2:$F$1117,Versuchsdaten!$A$2:$A$1117,$A705,Versuchsdaten!$B$2:$B$1117,$B705,Versuchsdaten!$C$2:$C$1117,"Sprint_10m",Versuchsdaten!$E$2:$E$1117,$E705,Versuchsdaten!$J$2:$J$1117,1),""))</f>
        <v/>
      </c>
      <c r="M705" s="22">
        <f>IF(LEFT(C705,7)&lt;&gt;"Sprint_","",IF(COUNTIFS(Versuchsdaten!$A$2:$A$1117,$A705,Versuchsdaten!$B$2:$B$1117,$B705,Versuchsdaten!$C$2:$C$1117,"Sprint_30m",Versuchsdaten!$E$2:$E$1117,$E705,Versuchsdaten!$J$2:$J$1117,1)=1,SUMIFS(Versuchsdaten!$F$2:$F$1117,Versuchsdaten!$A$2:$A$1117,$A705,Versuchsdaten!$B$2:$B$1117,$B705,Versuchsdaten!$C$2:$C$1117,"Sprint_30m",Versuchsdaten!$E$2:$E$1117,$E705,Versuchsdaten!$J$2:$J$1117,1),""))</f>
        <v/>
      </c>
      <c r="N705" s="22">
        <f>IF(LEFT(C705,7)&lt;&gt;"Sprint_",0,IF(IF(ISNUMBER(K705),IF(K705&lt;=0,1,IF(5/K705&gt;10,1,0)),0)+IF(ISNUMBER(L705),IF(ISNUMBER(K705),IF(L705-K705&lt;=0,1,IF(5/(L705-K705)&gt;10,1,0)),IF(L705&lt;=0,1,IF(10/L705&gt;10,1,0))),0)+IF(ISNUMBER(M705),IF(ISNUMBER(L705),IF(M705-L705&lt;=0,1,IF(20/(M705-L705)&gt;10,1,0)),IF(ISNUMBER(K705),IF(M705-K705&lt;=0,1,IF(25/(M705-K705)&gt;10,1,0)),IF(M705&lt;=0,1,IF(30/M705&gt;10,1,0)))),0)&gt;0,1,0))</f>
        <v/>
      </c>
      <c r="O705" s="22">
        <f>IF(AND(J705=1,N705=0),1,0)</f>
        <v/>
      </c>
      <c r="P705" s="22">
        <f>INDEX(Personendaten!$J$2:$J$32,MATCH(A705,Personendaten!$A$2:$A$32,0))</f>
        <v/>
      </c>
      <c r="Q705" s="22">
        <f>IF(O705=1,"",IF(AND(B705="post",P705="nicht angetreten"),"NANG",IF(N705=1,"AUSL",IFERROR(VLOOKUP(H705,Vokabular!$A$2:$B$8,2,FALSE),"UNBEKANNT"))))</f>
        <v/>
      </c>
    </row>
    <row r="706">
      <c r="A706" s="5" t="inlineStr">
        <is>
          <t>BW-10</t>
        </is>
      </c>
      <c r="B706" s="5" t="inlineStr">
        <is>
          <t>post</t>
        </is>
      </c>
      <c r="C706" s="5" t="inlineStr">
        <is>
          <t>Sprint_5m</t>
        </is>
      </c>
      <c r="D706" s="5" t="inlineStr">
        <is>
          <t>–</t>
        </is>
      </c>
      <c r="E706" s="5" t="n">
        <v>3</v>
      </c>
      <c r="F706" s="5" t="n"/>
      <c r="G706" s="5" t="n"/>
      <c r="H706" s="5" t="inlineStr">
        <is>
          <t>Nur 2 Versuche aus Zeitmangel</t>
        </is>
      </c>
      <c r="I706" s="22">
        <f>INDEX(Personendaten!$C$2:$C$32,MATCH(A706,Personendaten!$A$2:$A$32,0))</f>
        <v/>
      </c>
      <c r="J706" s="22">
        <f>IF(AND(F706&lt;&gt;"",G706=""),1,0)</f>
        <v/>
      </c>
      <c r="K706" s="22">
        <f>IF(LEFT(C706,7)&lt;&gt;"Sprint_","",IF(COUNTIFS(Versuchsdaten!$A$2:$A$1117,$A706,Versuchsdaten!$B$2:$B$1117,$B706,Versuchsdaten!$C$2:$C$1117,"Sprint_5m",Versuchsdaten!$E$2:$E$1117,$E706,Versuchsdaten!$J$2:$J$1117,1)=1,SUMIFS(Versuchsdaten!$F$2:$F$1117,Versuchsdaten!$A$2:$A$1117,$A706,Versuchsdaten!$B$2:$B$1117,$B706,Versuchsdaten!$C$2:$C$1117,"Sprint_5m",Versuchsdaten!$E$2:$E$1117,$E706,Versuchsdaten!$J$2:$J$1117,1),""))</f>
        <v/>
      </c>
      <c r="L706" s="22">
        <f>IF(LEFT(C706,7)&lt;&gt;"Sprint_","",IF(COUNTIFS(Versuchsdaten!$A$2:$A$1117,$A706,Versuchsdaten!$B$2:$B$1117,$B706,Versuchsdaten!$C$2:$C$1117,"Sprint_10m",Versuchsdaten!$E$2:$E$1117,$E706,Versuchsdaten!$J$2:$J$1117,1)=1,SUMIFS(Versuchsdaten!$F$2:$F$1117,Versuchsdaten!$A$2:$A$1117,$A706,Versuchsdaten!$B$2:$B$1117,$B706,Versuchsdaten!$C$2:$C$1117,"Sprint_10m",Versuchsdaten!$E$2:$E$1117,$E706,Versuchsdaten!$J$2:$J$1117,1),""))</f>
        <v/>
      </c>
      <c r="M706" s="22">
        <f>IF(LEFT(C706,7)&lt;&gt;"Sprint_","",IF(COUNTIFS(Versuchsdaten!$A$2:$A$1117,$A706,Versuchsdaten!$B$2:$B$1117,$B706,Versuchsdaten!$C$2:$C$1117,"Sprint_30m",Versuchsdaten!$E$2:$E$1117,$E706,Versuchsdaten!$J$2:$J$1117,1)=1,SUMIFS(Versuchsdaten!$F$2:$F$1117,Versuchsdaten!$A$2:$A$1117,$A706,Versuchsdaten!$B$2:$B$1117,$B706,Versuchsdaten!$C$2:$C$1117,"Sprint_30m",Versuchsdaten!$E$2:$E$1117,$E706,Versuchsdaten!$J$2:$J$1117,1),""))</f>
        <v/>
      </c>
      <c r="N706" s="22">
        <f>IF(LEFT(C706,7)&lt;&gt;"Sprint_",0,IF(IF(ISNUMBER(K706),IF(K706&lt;=0,1,IF(5/K706&gt;10,1,0)),0)+IF(ISNUMBER(L706),IF(ISNUMBER(K706),IF(L706-K706&lt;=0,1,IF(5/(L706-K706)&gt;10,1,0)),IF(L706&lt;=0,1,IF(10/L706&gt;10,1,0))),0)+IF(ISNUMBER(M706),IF(ISNUMBER(L706),IF(M706-L706&lt;=0,1,IF(20/(M706-L706)&gt;10,1,0)),IF(ISNUMBER(K706),IF(M706-K706&lt;=0,1,IF(25/(M706-K706)&gt;10,1,0)),IF(M706&lt;=0,1,IF(30/M706&gt;10,1,0)))),0)&gt;0,1,0))</f>
        <v/>
      </c>
      <c r="O706" s="22">
        <f>IF(AND(J706=1,N706=0),1,0)</f>
        <v/>
      </c>
      <c r="P706" s="22">
        <f>INDEX(Personendaten!$J$2:$J$32,MATCH(A706,Personendaten!$A$2:$A$32,0))</f>
        <v/>
      </c>
      <c r="Q706" s="22">
        <f>IF(O706=1,"",IF(AND(B706="post",P706="nicht angetreten"),"NANG",IF(N706=1,"AUSL",IFERROR(VLOOKUP(H706,Vokabular!$A$2:$B$8,2,FALSE),"UNBEKANNT"))))</f>
        <v/>
      </c>
    </row>
    <row r="707">
      <c r="A707" s="5" t="inlineStr">
        <is>
          <t>BW-10</t>
        </is>
      </c>
      <c r="B707" s="5" t="inlineStr">
        <is>
          <t>post</t>
        </is>
      </c>
      <c r="C707" s="5" t="inlineStr">
        <is>
          <t>Sprint_10m</t>
        </is>
      </c>
      <c r="D707" s="5" t="inlineStr">
        <is>
          <t>–</t>
        </is>
      </c>
      <c r="E707" s="5" t="n">
        <v>1</v>
      </c>
      <c r="F707" s="5" t="n"/>
      <c r="G707" s="5" t="n"/>
      <c r="H707" s="5" t="inlineStr">
        <is>
          <t>System falsch aufgenommen</t>
        </is>
      </c>
      <c r="I707" s="22">
        <f>INDEX(Personendaten!$C$2:$C$32,MATCH(A707,Personendaten!$A$2:$A$32,0))</f>
        <v/>
      </c>
      <c r="J707" s="22">
        <f>IF(AND(F707&lt;&gt;"",G707=""),1,0)</f>
        <v/>
      </c>
      <c r="K707" s="22">
        <f>IF(LEFT(C707,7)&lt;&gt;"Sprint_","",IF(COUNTIFS(Versuchsdaten!$A$2:$A$1117,$A707,Versuchsdaten!$B$2:$B$1117,$B707,Versuchsdaten!$C$2:$C$1117,"Sprint_5m",Versuchsdaten!$E$2:$E$1117,$E707,Versuchsdaten!$J$2:$J$1117,1)=1,SUMIFS(Versuchsdaten!$F$2:$F$1117,Versuchsdaten!$A$2:$A$1117,$A707,Versuchsdaten!$B$2:$B$1117,$B707,Versuchsdaten!$C$2:$C$1117,"Sprint_5m",Versuchsdaten!$E$2:$E$1117,$E707,Versuchsdaten!$J$2:$J$1117,1),""))</f>
        <v/>
      </c>
      <c r="L707" s="22">
        <f>IF(LEFT(C707,7)&lt;&gt;"Sprint_","",IF(COUNTIFS(Versuchsdaten!$A$2:$A$1117,$A707,Versuchsdaten!$B$2:$B$1117,$B707,Versuchsdaten!$C$2:$C$1117,"Sprint_10m",Versuchsdaten!$E$2:$E$1117,$E707,Versuchsdaten!$J$2:$J$1117,1)=1,SUMIFS(Versuchsdaten!$F$2:$F$1117,Versuchsdaten!$A$2:$A$1117,$A707,Versuchsdaten!$B$2:$B$1117,$B707,Versuchsdaten!$C$2:$C$1117,"Sprint_10m",Versuchsdaten!$E$2:$E$1117,$E707,Versuchsdaten!$J$2:$J$1117,1),""))</f>
        <v/>
      </c>
      <c r="M707" s="22">
        <f>IF(LEFT(C707,7)&lt;&gt;"Sprint_","",IF(COUNTIFS(Versuchsdaten!$A$2:$A$1117,$A707,Versuchsdaten!$B$2:$B$1117,$B707,Versuchsdaten!$C$2:$C$1117,"Sprint_30m",Versuchsdaten!$E$2:$E$1117,$E707,Versuchsdaten!$J$2:$J$1117,1)=1,SUMIFS(Versuchsdaten!$F$2:$F$1117,Versuchsdaten!$A$2:$A$1117,$A707,Versuchsdaten!$B$2:$B$1117,$B707,Versuchsdaten!$C$2:$C$1117,"Sprint_30m",Versuchsdaten!$E$2:$E$1117,$E707,Versuchsdaten!$J$2:$J$1117,1),""))</f>
        <v/>
      </c>
      <c r="N707" s="22">
        <f>IF(LEFT(C707,7)&lt;&gt;"Sprint_",0,IF(IF(ISNUMBER(K707),IF(K707&lt;=0,1,IF(5/K707&gt;10,1,0)),0)+IF(ISNUMBER(L707),IF(ISNUMBER(K707),IF(L707-K707&lt;=0,1,IF(5/(L707-K707)&gt;10,1,0)),IF(L707&lt;=0,1,IF(10/L707&gt;10,1,0))),0)+IF(ISNUMBER(M707),IF(ISNUMBER(L707),IF(M707-L707&lt;=0,1,IF(20/(M707-L707)&gt;10,1,0)),IF(ISNUMBER(K707),IF(M707-K707&lt;=0,1,IF(25/(M707-K707)&gt;10,1,0)),IF(M707&lt;=0,1,IF(30/M707&gt;10,1,0)))),0)&gt;0,1,0))</f>
        <v/>
      </c>
      <c r="O707" s="22">
        <f>IF(AND(J707=1,N707=0),1,0)</f>
        <v/>
      </c>
      <c r="P707" s="22">
        <f>INDEX(Personendaten!$J$2:$J$32,MATCH(A707,Personendaten!$A$2:$A$32,0))</f>
        <v/>
      </c>
      <c r="Q707" s="22">
        <f>IF(O707=1,"",IF(AND(B707="post",P707="nicht angetreten"),"NANG",IF(N707=1,"AUSL",IFERROR(VLOOKUP(H707,Vokabular!$A$2:$B$8,2,FALSE),"UNBEKANNT"))))</f>
        <v/>
      </c>
    </row>
    <row r="708">
      <c r="A708" s="5" t="inlineStr">
        <is>
          <t>BW-10</t>
        </is>
      </c>
      <c r="B708" s="5" t="inlineStr">
        <is>
          <t>post</t>
        </is>
      </c>
      <c r="C708" s="5" t="inlineStr">
        <is>
          <t>Sprint_10m</t>
        </is>
      </c>
      <c r="D708" s="5" t="inlineStr">
        <is>
          <t>–</t>
        </is>
      </c>
      <c r="E708" s="5" t="n">
        <v>2</v>
      </c>
      <c r="F708" s="5" t="n"/>
      <c r="G708" s="5" t="n"/>
      <c r="H708" s="5" t="inlineStr">
        <is>
          <t>System falsch aufgenommen</t>
        </is>
      </c>
      <c r="I708" s="22">
        <f>INDEX(Personendaten!$C$2:$C$32,MATCH(A708,Personendaten!$A$2:$A$32,0))</f>
        <v/>
      </c>
      <c r="J708" s="22">
        <f>IF(AND(F708&lt;&gt;"",G708=""),1,0)</f>
        <v/>
      </c>
      <c r="K708" s="22">
        <f>IF(LEFT(C708,7)&lt;&gt;"Sprint_","",IF(COUNTIFS(Versuchsdaten!$A$2:$A$1117,$A708,Versuchsdaten!$B$2:$B$1117,$B708,Versuchsdaten!$C$2:$C$1117,"Sprint_5m",Versuchsdaten!$E$2:$E$1117,$E708,Versuchsdaten!$J$2:$J$1117,1)=1,SUMIFS(Versuchsdaten!$F$2:$F$1117,Versuchsdaten!$A$2:$A$1117,$A708,Versuchsdaten!$B$2:$B$1117,$B708,Versuchsdaten!$C$2:$C$1117,"Sprint_5m",Versuchsdaten!$E$2:$E$1117,$E708,Versuchsdaten!$J$2:$J$1117,1),""))</f>
        <v/>
      </c>
      <c r="L708" s="22">
        <f>IF(LEFT(C708,7)&lt;&gt;"Sprint_","",IF(COUNTIFS(Versuchsdaten!$A$2:$A$1117,$A708,Versuchsdaten!$B$2:$B$1117,$B708,Versuchsdaten!$C$2:$C$1117,"Sprint_10m",Versuchsdaten!$E$2:$E$1117,$E708,Versuchsdaten!$J$2:$J$1117,1)=1,SUMIFS(Versuchsdaten!$F$2:$F$1117,Versuchsdaten!$A$2:$A$1117,$A708,Versuchsdaten!$B$2:$B$1117,$B708,Versuchsdaten!$C$2:$C$1117,"Sprint_10m",Versuchsdaten!$E$2:$E$1117,$E708,Versuchsdaten!$J$2:$J$1117,1),""))</f>
        <v/>
      </c>
      <c r="M708" s="22">
        <f>IF(LEFT(C708,7)&lt;&gt;"Sprint_","",IF(COUNTIFS(Versuchsdaten!$A$2:$A$1117,$A708,Versuchsdaten!$B$2:$B$1117,$B708,Versuchsdaten!$C$2:$C$1117,"Sprint_30m",Versuchsdaten!$E$2:$E$1117,$E708,Versuchsdaten!$J$2:$J$1117,1)=1,SUMIFS(Versuchsdaten!$F$2:$F$1117,Versuchsdaten!$A$2:$A$1117,$A708,Versuchsdaten!$B$2:$B$1117,$B708,Versuchsdaten!$C$2:$C$1117,"Sprint_30m",Versuchsdaten!$E$2:$E$1117,$E708,Versuchsdaten!$J$2:$J$1117,1),""))</f>
        <v/>
      </c>
      <c r="N708" s="22">
        <f>IF(LEFT(C708,7)&lt;&gt;"Sprint_",0,IF(IF(ISNUMBER(K708),IF(K708&lt;=0,1,IF(5/K708&gt;10,1,0)),0)+IF(ISNUMBER(L708),IF(ISNUMBER(K708),IF(L708-K708&lt;=0,1,IF(5/(L708-K708)&gt;10,1,0)),IF(L708&lt;=0,1,IF(10/L708&gt;10,1,0))),0)+IF(ISNUMBER(M708),IF(ISNUMBER(L708),IF(M708-L708&lt;=0,1,IF(20/(M708-L708)&gt;10,1,0)),IF(ISNUMBER(K708),IF(M708-K708&lt;=0,1,IF(25/(M708-K708)&gt;10,1,0)),IF(M708&lt;=0,1,IF(30/M708&gt;10,1,0)))),0)&gt;0,1,0))</f>
        <v/>
      </c>
      <c r="O708" s="22">
        <f>IF(AND(J708=1,N708=0),1,0)</f>
        <v/>
      </c>
      <c r="P708" s="22">
        <f>INDEX(Personendaten!$J$2:$J$32,MATCH(A708,Personendaten!$A$2:$A$32,0))</f>
        <v/>
      </c>
      <c r="Q708" s="22">
        <f>IF(O708=1,"",IF(AND(B708="post",P708="nicht angetreten"),"NANG",IF(N708=1,"AUSL",IFERROR(VLOOKUP(H708,Vokabular!$A$2:$B$8,2,FALSE),"UNBEKANNT"))))</f>
        <v/>
      </c>
    </row>
    <row r="709">
      <c r="A709" s="5" t="inlineStr">
        <is>
          <t>BW-10</t>
        </is>
      </c>
      <c r="B709" s="5" t="inlineStr">
        <is>
          <t>post</t>
        </is>
      </c>
      <c r="C709" s="5" t="inlineStr">
        <is>
          <t>Sprint_10m</t>
        </is>
      </c>
      <c r="D709" s="5" t="inlineStr">
        <is>
          <t>–</t>
        </is>
      </c>
      <c r="E709" s="5" t="n">
        <v>3</v>
      </c>
      <c r="F709" s="5" t="n"/>
      <c r="G709" s="5" t="n"/>
      <c r="H709" s="5" t="inlineStr">
        <is>
          <t>System falsch aufgenommen</t>
        </is>
      </c>
      <c r="I709" s="22">
        <f>INDEX(Personendaten!$C$2:$C$32,MATCH(A709,Personendaten!$A$2:$A$32,0))</f>
        <v/>
      </c>
      <c r="J709" s="22">
        <f>IF(AND(F709&lt;&gt;"",G709=""),1,0)</f>
        <v/>
      </c>
      <c r="K709" s="22">
        <f>IF(LEFT(C709,7)&lt;&gt;"Sprint_","",IF(COUNTIFS(Versuchsdaten!$A$2:$A$1117,$A709,Versuchsdaten!$B$2:$B$1117,$B709,Versuchsdaten!$C$2:$C$1117,"Sprint_5m",Versuchsdaten!$E$2:$E$1117,$E709,Versuchsdaten!$J$2:$J$1117,1)=1,SUMIFS(Versuchsdaten!$F$2:$F$1117,Versuchsdaten!$A$2:$A$1117,$A709,Versuchsdaten!$B$2:$B$1117,$B709,Versuchsdaten!$C$2:$C$1117,"Sprint_5m",Versuchsdaten!$E$2:$E$1117,$E709,Versuchsdaten!$J$2:$J$1117,1),""))</f>
        <v/>
      </c>
      <c r="L709" s="22">
        <f>IF(LEFT(C709,7)&lt;&gt;"Sprint_","",IF(COUNTIFS(Versuchsdaten!$A$2:$A$1117,$A709,Versuchsdaten!$B$2:$B$1117,$B709,Versuchsdaten!$C$2:$C$1117,"Sprint_10m",Versuchsdaten!$E$2:$E$1117,$E709,Versuchsdaten!$J$2:$J$1117,1)=1,SUMIFS(Versuchsdaten!$F$2:$F$1117,Versuchsdaten!$A$2:$A$1117,$A709,Versuchsdaten!$B$2:$B$1117,$B709,Versuchsdaten!$C$2:$C$1117,"Sprint_10m",Versuchsdaten!$E$2:$E$1117,$E709,Versuchsdaten!$J$2:$J$1117,1),""))</f>
        <v/>
      </c>
      <c r="M709" s="22">
        <f>IF(LEFT(C709,7)&lt;&gt;"Sprint_","",IF(COUNTIFS(Versuchsdaten!$A$2:$A$1117,$A709,Versuchsdaten!$B$2:$B$1117,$B709,Versuchsdaten!$C$2:$C$1117,"Sprint_30m",Versuchsdaten!$E$2:$E$1117,$E709,Versuchsdaten!$J$2:$J$1117,1)=1,SUMIFS(Versuchsdaten!$F$2:$F$1117,Versuchsdaten!$A$2:$A$1117,$A709,Versuchsdaten!$B$2:$B$1117,$B709,Versuchsdaten!$C$2:$C$1117,"Sprint_30m",Versuchsdaten!$E$2:$E$1117,$E709,Versuchsdaten!$J$2:$J$1117,1),""))</f>
        <v/>
      </c>
      <c r="N709" s="22">
        <f>IF(LEFT(C709,7)&lt;&gt;"Sprint_",0,IF(IF(ISNUMBER(K709),IF(K709&lt;=0,1,IF(5/K709&gt;10,1,0)),0)+IF(ISNUMBER(L709),IF(ISNUMBER(K709),IF(L709-K709&lt;=0,1,IF(5/(L709-K709)&gt;10,1,0)),IF(L709&lt;=0,1,IF(10/L709&gt;10,1,0))),0)+IF(ISNUMBER(M709),IF(ISNUMBER(L709),IF(M709-L709&lt;=0,1,IF(20/(M709-L709)&gt;10,1,0)),IF(ISNUMBER(K709),IF(M709-K709&lt;=0,1,IF(25/(M709-K709)&gt;10,1,0)),IF(M709&lt;=0,1,IF(30/M709&gt;10,1,0)))),0)&gt;0,1,0))</f>
        <v/>
      </c>
      <c r="O709" s="22">
        <f>IF(AND(J709=1,N709=0),1,0)</f>
        <v/>
      </c>
      <c r="P709" s="22">
        <f>INDEX(Personendaten!$J$2:$J$32,MATCH(A709,Personendaten!$A$2:$A$32,0))</f>
        <v/>
      </c>
      <c r="Q709" s="22">
        <f>IF(O709=1,"",IF(AND(B709="post",P709="nicht angetreten"),"NANG",IF(N709=1,"AUSL",IFERROR(VLOOKUP(H709,Vokabular!$A$2:$B$8,2,FALSE),"UNBEKANNT"))))</f>
        <v/>
      </c>
    </row>
    <row r="710">
      <c r="A710" s="5" t="inlineStr">
        <is>
          <t>BW-10</t>
        </is>
      </c>
      <c r="B710" s="5" t="inlineStr">
        <is>
          <t>post</t>
        </is>
      </c>
      <c r="C710" s="5" t="inlineStr">
        <is>
          <t>Sprint_30m</t>
        </is>
      </c>
      <c r="D710" s="5" t="inlineStr">
        <is>
          <t>–</t>
        </is>
      </c>
      <c r="E710" s="5" t="n">
        <v>1</v>
      </c>
      <c r="F710" s="5" t="n">
        <v>4.51</v>
      </c>
      <c r="G710" s="5" t="n"/>
      <c r="H710" s="5" t="n"/>
      <c r="I710" s="22">
        <f>INDEX(Personendaten!$C$2:$C$32,MATCH(A710,Personendaten!$A$2:$A$32,0))</f>
        <v/>
      </c>
      <c r="J710" s="22">
        <f>IF(AND(F710&lt;&gt;"",G710=""),1,0)</f>
        <v/>
      </c>
      <c r="K710" s="22">
        <f>IF(LEFT(C710,7)&lt;&gt;"Sprint_","",IF(COUNTIFS(Versuchsdaten!$A$2:$A$1117,$A710,Versuchsdaten!$B$2:$B$1117,$B710,Versuchsdaten!$C$2:$C$1117,"Sprint_5m",Versuchsdaten!$E$2:$E$1117,$E710,Versuchsdaten!$J$2:$J$1117,1)=1,SUMIFS(Versuchsdaten!$F$2:$F$1117,Versuchsdaten!$A$2:$A$1117,$A710,Versuchsdaten!$B$2:$B$1117,$B710,Versuchsdaten!$C$2:$C$1117,"Sprint_5m",Versuchsdaten!$E$2:$E$1117,$E710,Versuchsdaten!$J$2:$J$1117,1),""))</f>
        <v/>
      </c>
      <c r="L710" s="22">
        <f>IF(LEFT(C710,7)&lt;&gt;"Sprint_","",IF(COUNTIFS(Versuchsdaten!$A$2:$A$1117,$A710,Versuchsdaten!$B$2:$B$1117,$B710,Versuchsdaten!$C$2:$C$1117,"Sprint_10m",Versuchsdaten!$E$2:$E$1117,$E710,Versuchsdaten!$J$2:$J$1117,1)=1,SUMIFS(Versuchsdaten!$F$2:$F$1117,Versuchsdaten!$A$2:$A$1117,$A710,Versuchsdaten!$B$2:$B$1117,$B710,Versuchsdaten!$C$2:$C$1117,"Sprint_10m",Versuchsdaten!$E$2:$E$1117,$E710,Versuchsdaten!$J$2:$J$1117,1),""))</f>
        <v/>
      </c>
      <c r="M710" s="22">
        <f>IF(LEFT(C710,7)&lt;&gt;"Sprint_","",IF(COUNTIFS(Versuchsdaten!$A$2:$A$1117,$A710,Versuchsdaten!$B$2:$B$1117,$B710,Versuchsdaten!$C$2:$C$1117,"Sprint_30m",Versuchsdaten!$E$2:$E$1117,$E710,Versuchsdaten!$J$2:$J$1117,1)=1,SUMIFS(Versuchsdaten!$F$2:$F$1117,Versuchsdaten!$A$2:$A$1117,$A710,Versuchsdaten!$B$2:$B$1117,$B710,Versuchsdaten!$C$2:$C$1117,"Sprint_30m",Versuchsdaten!$E$2:$E$1117,$E710,Versuchsdaten!$J$2:$J$1117,1),""))</f>
        <v/>
      </c>
      <c r="N710" s="22">
        <f>IF(LEFT(C710,7)&lt;&gt;"Sprint_",0,IF(IF(ISNUMBER(K710),IF(K710&lt;=0,1,IF(5/K710&gt;10,1,0)),0)+IF(ISNUMBER(L710),IF(ISNUMBER(K710),IF(L710-K710&lt;=0,1,IF(5/(L710-K710)&gt;10,1,0)),IF(L710&lt;=0,1,IF(10/L710&gt;10,1,0))),0)+IF(ISNUMBER(M710),IF(ISNUMBER(L710),IF(M710-L710&lt;=0,1,IF(20/(M710-L710)&gt;10,1,0)),IF(ISNUMBER(K710),IF(M710-K710&lt;=0,1,IF(25/(M710-K710)&gt;10,1,0)),IF(M710&lt;=0,1,IF(30/M710&gt;10,1,0)))),0)&gt;0,1,0))</f>
        <v/>
      </c>
      <c r="O710" s="22">
        <f>IF(AND(J710=1,N710=0),1,0)</f>
        <v/>
      </c>
      <c r="P710" s="22">
        <f>INDEX(Personendaten!$J$2:$J$32,MATCH(A710,Personendaten!$A$2:$A$32,0))</f>
        <v/>
      </c>
      <c r="Q710" s="22">
        <f>IF(O710=1,"",IF(AND(B710="post",P710="nicht angetreten"),"NANG",IF(N710=1,"AUSL",IFERROR(VLOOKUP(H710,Vokabular!$A$2:$B$8,2,FALSE),"UNBEKANNT"))))</f>
        <v/>
      </c>
    </row>
    <row r="711">
      <c r="A711" s="5" t="inlineStr">
        <is>
          <t>BW-10</t>
        </is>
      </c>
      <c r="B711" s="5" t="inlineStr">
        <is>
          <t>post</t>
        </is>
      </c>
      <c r="C711" s="5" t="inlineStr">
        <is>
          <t>Sprint_30m</t>
        </is>
      </c>
      <c r="D711" s="5" t="inlineStr">
        <is>
          <t>–</t>
        </is>
      </c>
      <c r="E711" s="5" t="n">
        <v>2</v>
      </c>
      <c r="F711" s="5" t="n">
        <v>4.51</v>
      </c>
      <c r="G711" s="5" t="n"/>
      <c r="H711" s="5" t="n"/>
      <c r="I711" s="22">
        <f>INDEX(Personendaten!$C$2:$C$32,MATCH(A711,Personendaten!$A$2:$A$32,0))</f>
        <v/>
      </c>
      <c r="J711" s="22">
        <f>IF(AND(F711&lt;&gt;"",G711=""),1,0)</f>
        <v/>
      </c>
      <c r="K711" s="22">
        <f>IF(LEFT(C711,7)&lt;&gt;"Sprint_","",IF(COUNTIFS(Versuchsdaten!$A$2:$A$1117,$A711,Versuchsdaten!$B$2:$B$1117,$B711,Versuchsdaten!$C$2:$C$1117,"Sprint_5m",Versuchsdaten!$E$2:$E$1117,$E711,Versuchsdaten!$J$2:$J$1117,1)=1,SUMIFS(Versuchsdaten!$F$2:$F$1117,Versuchsdaten!$A$2:$A$1117,$A711,Versuchsdaten!$B$2:$B$1117,$B711,Versuchsdaten!$C$2:$C$1117,"Sprint_5m",Versuchsdaten!$E$2:$E$1117,$E711,Versuchsdaten!$J$2:$J$1117,1),""))</f>
        <v/>
      </c>
      <c r="L711" s="22">
        <f>IF(LEFT(C711,7)&lt;&gt;"Sprint_","",IF(COUNTIFS(Versuchsdaten!$A$2:$A$1117,$A711,Versuchsdaten!$B$2:$B$1117,$B711,Versuchsdaten!$C$2:$C$1117,"Sprint_10m",Versuchsdaten!$E$2:$E$1117,$E711,Versuchsdaten!$J$2:$J$1117,1)=1,SUMIFS(Versuchsdaten!$F$2:$F$1117,Versuchsdaten!$A$2:$A$1117,$A711,Versuchsdaten!$B$2:$B$1117,$B711,Versuchsdaten!$C$2:$C$1117,"Sprint_10m",Versuchsdaten!$E$2:$E$1117,$E711,Versuchsdaten!$J$2:$J$1117,1),""))</f>
        <v/>
      </c>
      <c r="M711" s="22">
        <f>IF(LEFT(C711,7)&lt;&gt;"Sprint_","",IF(COUNTIFS(Versuchsdaten!$A$2:$A$1117,$A711,Versuchsdaten!$B$2:$B$1117,$B711,Versuchsdaten!$C$2:$C$1117,"Sprint_30m",Versuchsdaten!$E$2:$E$1117,$E711,Versuchsdaten!$J$2:$J$1117,1)=1,SUMIFS(Versuchsdaten!$F$2:$F$1117,Versuchsdaten!$A$2:$A$1117,$A711,Versuchsdaten!$B$2:$B$1117,$B711,Versuchsdaten!$C$2:$C$1117,"Sprint_30m",Versuchsdaten!$E$2:$E$1117,$E711,Versuchsdaten!$J$2:$J$1117,1),""))</f>
        <v/>
      </c>
      <c r="N711" s="22">
        <f>IF(LEFT(C711,7)&lt;&gt;"Sprint_",0,IF(IF(ISNUMBER(K711),IF(K711&lt;=0,1,IF(5/K711&gt;10,1,0)),0)+IF(ISNUMBER(L711),IF(ISNUMBER(K711),IF(L711-K711&lt;=0,1,IF(5/(L711-K711)&gt;10,1,0)),IF(L711&lt;=0,1,IF(10/L711&gt;10,1,0))),0)+IF(ISNUMBER(M711),IF(ISNUMBER(L711),IF(M711-L711&lt;=0,1,IF(20/(M711-L711)&gt;10,1,0)),IF(ISNUMBER(K711),IF(M711-K711&lt;=0,1,IF(25/(M711-K711)&gt;10,1,0)),IF(M711&lt;=0,1,IF(30/M711&gt;10,1,0)))),0)&gt;0,1,0))</f>
        <v/>
      </c>
      <c r="O711" s="22">
        <f>IF(AND(J711=1,N711=0),1,0)</f>
        <v/>
      </c>
      <c r="P711" s="22">
        <f>INDEX(Personendaten!$J$2:$J$32,MATCH(A711,Personendaten!$A$2:$A$32,0))</f>
        <v/>
      </c>
      <c r="Q711" s="22">
        <f>IF(O711=1,"",IF(AND(B711="post",P711="nicht angetreten"),"NANG",IF(N711=1,"AUSL",IFERROR(VLOOKUP(H711,Vokabular!$A$2:$B$8,2,FALSE),"UNBEKANNT"))))</f>
        <v/>
      </c>
    </row>
    <row r="712">
      <c r="A712" s="5" t="inlineStr">
        <is>
          <t>BW-10</t>
        </is>
      </c>
      <c r="B712" s="5" t="inlineStr">
        <is>
          <t>post</t>
        </is>
      </c>
      <c r="C712" s="5" t="inlineStr">
        <is>
          <t>Sprint_30m</t>
        </is>
      </c>
      <c r="D712" s="5" t="inlineStr">
        <is>
          <t>–</t>
        </is>
      </c>
      <c r="E712" s="5" t="n">
        <v>3</v>
      </c>
      <c r="F712" s="5" t="n"/>
      <c r="G712" s="5" t="n"/>
      <c r="H712" s="5" t="inlineStr">
        <is>
          <t>Nur 2 Versuche aus Zeitmangel</t>
        </is>
      </c>
      <c r="I712" s="22">
        <f>INDEX(Personendaten!$C$2:$C$32,MATCH(A712,Personendaten!$A$2:$A$32,0))</f>
        <v/>
      </c>
      <c r="J712" s="22">
        <f>IF(AND(F712&lt;&gt;"",G712=""),1,0)</f>
        <v/>
      </c>
      <c r="K712" s="22">
        <f>IF(LEFT(C712,7)&lt;&gt;"Sprint_","",IF(COUNTIFS(Versuchsdaten!$A$2:$A$1117,$A712,Versuchsdaten!$B$2:$B$1117,$B712,Versuchsdaten!$C$2:$C$1117,"Sprint_5m",Versuchsdaten!$E$2:$E$1117,$E712,Versuchsdaten!$J$2:$J$1117,1)=1,SUMIFS(Versuchsdaten!$F$2:$F$1117,Versuchsdaten!$A$2:$A$1117,$A712,Versuchsdaten!$B$2:$B$1117,$B712,Versuchsdaten!$C$2:$C$1117,"Sprint_5m",Versuchsdaten!$E$2:$E$1117,$E712,Versuchsdaten!$J$2:$J$1117,1),""))</f>
        <v/>
      </c>
      <c r="L712" s="22">
        <f>IF(LEFT(C712,7)&lt;&gt;"Sprint_","",IF(COUNTIFS(Versuchsdaten!$A$2:$A$1117,$A712,Versuchsdaten!$B$2:$B$1117,$B712,Versuchsdaten!$C$2:$C$1117,"Sprint_10m",Versuchsdaten!$E$2:$E$1117,$E712,Versuchsdaten!$J$2:$J$1117,1)=1,SUMIFS(Versuchsdaten!$F$2:$F$1117,Versuchsdaten!$A$2:$A$1117,$A712,Versuchsdaten!$B$2:$B$1117,$B712,Versuchsdaten!$C$2:$C$1117,"Sprint_10m",Versuchsdaten!$E$2:$E$1117,$E712,Versuchsdaten!$J$2:$J$1117,1),""))</f>
        <v/>
      </c>
      <c r="M712" s="22">
        <f>IF(LEFT(C712,7)&lt;&gt;"Sprint_","",IF(COUNTIFS(Versuchsdaten!$A$2:$A$1117,$A712,Versuchsdaten!$B$2:$B$1117,$B712,Versuchsdaten!$C$2:$C$1117,"Sprint_30m",Versuchsdaten!$E$2:$E$1117,$E712,Versuchsdaten!$J$2:$J$1117,1)=1,SUMIFS(Versuchsdaten!$F$2:$F$1117,Versuchsdaten!$A$2:$A$1117,$A712,Versuchsdaten!$B$2:$B$1117,$B712,Versuchsdaten!$C$2:$C$1117,"Sprint_30m",Versuchsdaten!$E$2:$E$1117,$E712,Versuchsdaten!$J$2:$J$1117,1),""))</f>
        <v/>
      </c>
      <c r="N712" s="22">
        <f>IF(LEFT(C712,7)&lt;&gt;"Sprint_",0,IF(IF(ISNUMBER(K712),IF(K712&lt;=0,1,IF(5/K712&gt;10,1,0)),0)+IF(ISNUMBER(L712),IF(ISNUMBER(K712),IF(L712-K712&lt;=0,1,IF(5/(L712-K712)&gt;10,1,0)),IF(L712&lt;=0,1,IF(10/L712&gt;10,1,0))),0)+IF(ISNUMBER(M712),IF(ISNUMBER(L712),IF(M712-L712&lt;=0,1,IF(20/(M712-L712)&gt;10,1,0)),IF(ISNUMBER(K712),IF(M712-K712&lt;=0,1,IF(25/(M712-K712)&gt;10,1,0)),IF(M712&lt;=0,1,IF(30/M712&gt;10,1,0)))),0)&gt;0,1,0))</f>
        <v/>
      </c>
      <c r="O712" s="22">
        <f>IF(AND(J712=1,N712=0),1,0)</f>
        <v/>
      </c>
      <c r="P712" s="22">
        <f>INDEX(Personendaten!$J$2:$J$32,MATCH(A712,Personendaten!$A$2:$A$32,0))</f>
        <v/>
      </c>
      <c r="Q712" s="22">
        <f>IF(O712=1,"",IF(AND(B712="post",P712="nicht angetreten"),"NANG",IF(N712=1,"AUSL",IFERROR(VLOOKUP(H712,Vokabular!$A$2:$B$8,2,FALSE),"UNBEKANNT"))))</f>
        <v/>
      </c>
    </row>
    <row r="713">
      <c r="A713" s="5" t="inlineStr">
        <is>
          <t>BW-10</t>
        </is>
      </c>
      <c r="B713" s="5" t="inlineStr">
        <is>
          <t>post</t>
        </is>
      </c>
      <c r="C713" s="5" t="inlineStr">
        <is>
          <t>Standweitsprung</t>
        </is>
      </c>
      <c r="D713" s="5" t="inlineStr">
        <is>
          <t>–</t>
        </is>
      </c>
      <c r="E713" s="5" t="n">
        <v>1</v>
      </c>
      <c r="F713" s="5" t="n">
        <v>201</v>
      </c>
      <c r="G713" s="5" t="n"/>
      <c r="H713" s="5" t="n"/>
      <c r="I713" s="22">
        <f>INDEX(Personendaten!$C$2:$C$32,MATCH(A713,Personendaten!$A$2:$A$32,0))</f>
        <v/>
      </c>
      <c r="J713" s="22">
        <f>IF(AND(F713&lt;&gt;"",G713=""),1,0)</f>
        <v/>
      </c>
      <c r="K713" s="22">
        <f>IF(LEFT(C713,7)&lt;&gt;"Sprint_","",IF(COUNTIFS(Versuchsdaten!$A$2:$A$1117,$A713,Versuchsdaten!$B$2:$B$1117,$B713,Versuchsdaten!$C$2:$C$1117,"Sprint_5m",Versuchsdaten!$E$2:$E$1117,$E713,Versuchsdaten!$J$2:$J$1117,1)=1,SUMIFS(Versuchsdaten!$F$2:$F$1117,Versuchsdaten!$A$2:$A$1117,$A713,Versuchsdaten!$B$2:$B$1117,$B713,Versuchsdaten!$C$2:$C$1117,"Sprint_5m",Versuchsdaten!$E$2:$E$1117,$E713,Versuchsdaten!$J$2:$J$1117,1),""))</f>
        <v/>
      </c>
      <c r="L713" s="22">
        <f>IF(LEFT(C713,7)&lt;&gt;"Sprint_","",IF(COUNTIFS(Versuchsdaten!$A$2:$A$1117,$A713,Versuchsdaten!$B$2:$B$1117,$B713,Versuchsdaten!$C$2:$C$1117,"Sprint_10m",Versuchsdaten!$E$2:$E$1117,$E713,Versuchsdaten!$J$2:$J$1117,1)=1,SUMIFS(Versuchsdaten!$F$2:$F$1117,Versuchsdaten!$A$2:$A$1117,$A713,Versuchsdaten!$B$2:$B$1117,$B713,Versuchsdaten!$C$2:$C$1117,"Sprint_10m",Versuchsdaten!$E$2:$E$1117,$E713,Versuchsdaten!$J$2:$J$1117,1),""))</f>
        <v/>
      </c>
      <c r="M713" s="22">
        <f>IF(LEFT(C713,7)&lt;&gt;"Sprint_","",IF(COUNTIFS(Versuchsdaten!$A$2:$A$1117,$A713,Versuchsdaten!$B$2:$B$1117,$B713,Versuchsdaten!$C$2:$C$1117,"Sprint_30m",Versuchsdaten!$E$2:$E$1117,$E713,Versuchsdaten!$J$2:$J$1117,1)=1,SUMIFS(Versuchsdaten!$F$2:$F$1117,Versuchsdaten!$A$2:$A$1117,$A713,Versuchsdaten!$B$2:$B$1117,$B713,Versuchsdaten!$C$2:$C$1117,"Sprint_30m",Versuchsdaten!$E$2:$E$1117,$E713,Versuchsdaten!$J$2:$J$1117,1),""))</f>
        <v/>
      </c>
      <c r="N713" s="22">
        <f>IF(LEFT(C713,7)&lt;&gt;"Sprint_",0,IF(IF(ISNUMBER(K713),IF(K713&lt;=0,1,IF(5/K713&gt;10,1,0)),0)+IF(ISNUMBER(L713),IF(ISNUMBER(K713),IF(L713-K713&lt;=0,1,IF(5/(L713-K713)&gt;10,1,0)),IF(L713&lt;=0,1,IF(10/L713&gt;10,1,0))),0)+IF(ISNUMBER(M713),IF(ISNUMBER(L713),IF(M713-L713&lt;=0,1,IF(20/(M713-L713)&gt;10,1,0)),IF(ISNUMBER(K713),IF(M713-K713&lt;=0,1,IF(25/(M713-K713)&gt;10,1,0)),IF(M713&lt;=0,1,IF(30/M713&gt;10,1,0)))),0)&gt;0,1,0))</f>
        <v/>
      </c>
      <c r="O713" s="22">
        <f>IF(AND(J713=1,N713=0),1,0)</f>
        <v/>
      </c>
      <c r="P713" s="22">
        <f>INDEX(Personendaten!$J$2:$J$32,MATCH(A713,Personendaten!$A$2:$A$32,0))</f>
        <v/>
      </c>
      <c r="Q713" s="22">
        <f>IF(O713=1,"",IF(AND(B713="post",P713="nicht angetreten"),"NANG",IF(N713=1,"AUSL",IFERROR(VLOOKUP(H713,Vokabular!$A$2:$B$8,2,FALSE),"UNBEKANNT"))))</f>
        <v/>
      </c>
    </row>
    <row r="714">
      <c r="A714" s="5" t="inlineStr">
        <is>
          <t>BW-10</t>
        </is>
      </c>
      <c r="B714" s="5" t="inlineStr">
        <is>
          <t>post</t>
        </is>
      </c>
      <c r="C714" s="5" t="inlineStr">
        <is>
          <t>Standweitsprung</t>
        </is>
      </c>
      <c r="D714" s="5" t="inlineStr">
        <is>
          <t>–</t>
        </is>
      </c>
      <c r="E714" s="5" t="n">
        <v>2</v>
      </c>
      <c r="F714" s="5" t="n">
        <v>202</v>
      </c>
      <c r="G714" s="5" t="n"/>
      <c r="H714" s="5" t="n"/>
      <c r="I714" s="22">
        <f>INDEX(Personendaten!$C$2:$C$32,MATCH(A714,Personendaten!$A$2:$A$32,0))</f>
        <v/>
      </c>
      <c r="J714" s="22">
        <f>IF(AND(F714&lt;&gt;"",G714=""),1,0)</f>
        <v/>
      </c>
      <c r="K714" s="22">
        <f>IF(LEFT(C714,7)&lt;&gt;"Sprint_","",IF(COUNTIFS(Versuchsdaten!$A$2:$A$1117,$A714,Versuchsdaten!$B$2:$B$1117,$B714,Versuchsdaten!$C$2:$C$1117,"Sprint_5m",Versuchsdaten!$E$2:$E$1117,$E714,Versuchsdaten!$J$2:$J$1117,1)=1,SUMIFS(Versuchsdaten!$F$2:$F$1117,Versuchsdaten!$A$2:$A$1117,$A714,Versuchsdaten!$B$2:$B$1117,$B714,Versuchsdaten!$C$2:$C$1117,"Sprint_5m",Versuchsdaten!$E$2:$E$1117,$E714,Versuchsdaten!$J$2:$J$1117,1),""))</f>
        <v/>
      </c>
      <c r="L714" s="22">
        <f>IF(LEFT(C714,7)&lt;&gt;"Sprint_","",IF(COUNTIFS(Versuchsdaten!$A$2:$A$1117,$A714,Versuchsdaten!$B$2:$B$1117,$B714,Versuchsdaten!$C$2:$C$1117,"Sprint_10m",Versuchsdaten!$E$2:$E$1117,$E714,Versuchsdaten!$J$2:$J$1117,1)=1,SUMIFS(Versuchsdaten!$F$2:$F$1117,Versuchsdaten!$A$2:$A$1117,$A714,Versuchsdaten!$B$2:$B$1117,$B714,Versuchsdaten!$C$2:$C$1117,"Sprint_10m",Versuchsdaten!$E$2:$E$1117,$E714,Versuchsdaten!$J$2:$J$1117,1),""))</f>
        <v/>
      </c>
      <c r="M714" s="22">
        <f>IF(LEFT(C714,7)&lt;&gt;"Sprint_","",IF(COUNTIFS(Versuchsdaten!$A$2:$A$1117,$A714,Versuchsdaten!$B$2:$B$1117,$B714,Versuchsdaten!$C$2:$C$1117,"Sprint_30m",Versuchsdaten!$E$2:$E$1117,$E714,Versuchsdaten!$J$2:$J$1117,1)=1,SUMIFS(Versuchsdaten!$F$2:$F$1117,Versuchsdaten!$A$2:$A$1117,$A714,Versuchsdaten!$B$2:$B$1117,$B714,Versuchsdaten!$C$2:$C$1117,"Sprint_30m",Versuchsdaten!$E$2:$E$1117,$E714,Versuchsdaten!$J$2:$J$1117,1),""))</f>
        <v/>
      </c>
      <c r="N714" s="22">
        <f>IF(LEFT(C714,7)&lt;&gt;"Sprint_",0,IF(IF(ISNUMBER(K714),IF(K714&lt;=0,1,IF(5/K714&gt;10,1,0)),0)+IF(ISNUMBER(L714),IF(ISNUMBER(K714),IF(L714-K714&lt;=0,1,IF(5/(L714-K714)&gt;10,1,0)),IF(L714&lt;=0,1,IF(10/L714&gt;10,1,0))),0)+IF(ISNUMBER(M714),IF(ISNUMBER(L714),IF(M714-L714&lt;=0,1,IF(20/(M714-L714)&gt;10,1,0)),IF(ISNUMBER(K714),IF(M714-K714&lt;=0,1,IF(25/(M714-K714)&gt;10,1,0)),IF(M714&lt;=0,1,IF(30/M714&gt;10,1,0)))),0)&gt;0,1,0))</f>
        <v/>
      </c>
      <c r="O714" s="22">
        <f>IF(AND(J714=1,N714=0),1,0)</f>
        <v/>
      </c>
      <c r="P714" s="22">
        <f>INDEX(Personendaten!$J$2:$J$32,MATCH(A714,Personendaten!$A$2:$A$32,0))</f>
        <v/>
      </c>
      <c r="Q714" s="22">
        <f>IF(O714=1,"",IF(AND(B714="post",P714="nicht angetreten"),"NANG",IF(N714=1,"AUSL",IFERROR(VLOOKUP(H714,Vokabular!$A$2:$B$8,2,FALSE),"UNBEKANNT"))))</f>
        <v/>
      </c>
    </row>
    <row r="715">
      <c r="A715" s="5" t="inlineStr">
        <is>
          <t>BW-10</t>
        </is>
      </c>
      <c r="B715" s="5" t="inlineStr">
        <is>
          <t>post</t>
        </is>
      </c>
      <c r="C715" s="5" t="inlineStr">
        <is>
          <t>Standweitsprung</t>
        </is>
      </c>
      <c r="D715" s="5" t="inlineStr">
        <is>
          <t>–</t>
        </is>
      </c>
      <c r="E715" s="5" t="n">
        <v>3</v>
      </c>
      <c r="F715" s="5" t="n"/>
      <c r="G715" s="5" t="n"/>
      <c r="H715" s="5" t="inlineStr">
        <is>
          <t>Nur 2 Versuche aus Zeitmangel</t>
        </is>
      </c>
      <c r="I715" s="22">
        <f>INDEX(Personendaten!$C$2:$C$32,MATCH(A715,Personendaten!$A$2:$A$32,0))</f>
        <v/>
      </c>
      <c r="J715" s="22">
        <f>IF(AND(F715&lt;&gt;"",G715=""),1,0)</f>
        <v/>
      </c>
      <c r="K715" s="22">
        <f>IF(LEFT(C715,7)&lt;&gt;"Sprint_","",IF(COUNTIFS(Versuchsdaten!$A$2:$A$1117,$A715,Versuchsdaten!$B$2:$B$1117,$B715,Versuchsdaten!$C$2:$C$1117,"Sprint_5m",Versuchsdaten!$E$2:$E$1117,$E715,Versuchsdaten!$J$2:$J$1117,1)=1,SUMIFS(Versuchsdaten!$F$2:$F$1117,Versuchsdaten!$A$2:$A$1117,$A715,Versuchsdaten!$B$2:$B$1117,$B715,Versuchsdaten!$C$2:$C$1117,"Sprint_5m",Versuchsdaten!$E$2:$E$1117,$E715,Versuchsdaten!$J$2:$J$1117,1),""))</f>
        <v/>
      </c>
      <c r="L715" s="22">
        <f>IF(LEFT(C715,7)&lt;&gt;"Sprint_","",IF(COUNTIFS(Versuchsdaten!$A$2:$A$1117,$A715,Versuchsdaten!$B$2:$B$1117,$B715,Versuchsdaten!$C$2:$C$1117,"Sprint_10m",Versuchsdaten!$E$2:$E$1117,$E715,Versuchsdaten!$J$2:$J$1117,1)=1,SUMIFS(Versuchsdaten!$F$2:$F$1117,Versuchsdaten!$A$2:$A$1117,$A715,Versuchsdaten!$B$2:$B$1117,$B715,Versuchsdaten!$C$2:$C$1117,"Sprint_10m",Versuchsdaten!$E$2:$E$1117,$E715,Versuchsdaten!$J$2:$J$1117,1),""))</f>
        <v/>
      </c>
      <c r="M715" s="22">
        <f>IF(LEFT(C715,7)&lt;&gt;"Sprint_","",IF(COUNTIFS(Versuchsdaten!$A$2:$A$1117,$A715,Versuchsdaten!$B$2:$B$1117,$B715,Versuchsdaten!$C$2:$C$1117,"Sprint_30m",Versuchsdaten!$E$2:$E$1117,$E715,Versuchsdaten!$J$2:$J$1117,1)=1,SUMIFS(Versuchsdaten!$F$2:$F$1117,Versuchsdaten!$A$2:$A$1117,$A715,Versuchsdaten!$B$2:$B$1117,$B715,Versuchsdaten!$C$2:$C$1117,"Sprint_30m",Versuchsdaten!$E$2:$E$1117,$E715,Versuchsdaten!$J$2:$J$1117,1),""))</f>
        <v/>
      </c>
      <c r="N715" s="22">
        <f>IF(LEFT(C715,7)&lt;&gt;"Sprint_",0,IF(IF(ISNUMBER(K715),IF(K715&lt;=0,1,IF(5/K715&gt;10,1,0)),0)+IF(ISNUMBER(L715),IF(ISNUMBER(K715),IF(L715-K715&lt;=0,1,IF(5/(L715-K715)&gt;10,1,0)),IF(L715&lt;=0,1,IF(10/L715&gt;10,1,0))),0)+IF(ISNUMBER(M715),IF(ISNUMBER(L715),IF(M715-L715&lt;=0,1,IF(20/(M715-L715)&gt;10,1,0)),IF(ISNUMBER(K715),IF(M715-K715&lt;=0,1,IF(25/(M715-K715)&gt;10,1,0)),IF(M715&lt;=0,1,IF(30/M715&gt;10,1,0)))),0)&gt;0,1,0))</f>
        <v/>
      </c>
      <c r="O715" s="22">
        <f>IF(AND(J715=1,N715=0),1,0)</f>
        <v/>
      </c>
      <c r="P715" s="22">
        <f>INDEX(Personendaten!$J$2:$J$32,MATCH(A715,Personendaten!$A$2:$A$32,0))</f>
        <v/>
      </c>
      <c r="Q715" s="22">
        <f>IF(O715=1,"",IF(AND(B715="post",P715="nicht angetreten"),"NANG",IF(N715=1,"AUSL",IFERROR(VLOOKUP(H715,Vokabular!$A$2:$B$8,2,FALSE),"UNBEKANNT"))))</f>
        <v/>
      </c>
    </row>
    <row r="716">
      <c r="A716" s="5" t="inlineStr">
        <is>
          <t>BW-10</t>
        </is>
      </c>
      <c r="B716" s="5" t="inlineStr">
        <is>
          <t>post</t>
        </is>
      </c>
      <c r="C716" s="5" t="inlineStr">
        <is>
          <t>COD_505</t>
        </is>
      </c>
      <c r="D716" s="5" t="inlineStr">
        <is>
          <t>L</t>
        </is>
      </c>
      <c r="E716" s="5" t="n">
        <v>1</v>
      </c>
      <c r="F716" s="5" t="n">
        <v>2.4</v>
      </c>
      <c r="G716" s="5" t="n"/>
      <c r="H716" s="5" t="n"/>
      <c r="I716" s="22">
        <f>INDEX(Personendaten!$C$2:$C$32,MATCH(A716,Personendaten!$A$2:$A$32,0))</f>
        <v/>
      </c>
      <c r="J716" s="22">
        <f>IF(AND(F716&lt;&gt;"",G716=""),1,0)</f>
        <v/>
      </c>
      <c r="K716" s="22">
        <f>IF(LEFT(C716,7)&lt;&gt;"Sprint_","",IF(COUNTIFS(Versuchsdaten!$A$2:$A$1117,$A716,Versuchsdaten!$B$2:$B$1117,$B716,Versuchsdaten!$C$2:$C$1117,"Sprint_5m",Versuchsdaten!$E$2:$E$1117,$E716,Versuchsdaten!$J$2:$J$1117,1)=1,SUMIFS(Versuchsdaten!$F$2:$F$1117,Versuchsdaten!$A$2:$A$1117,$A716,Versuchsdaten!$B$2:$B$1117,$B716,Versuchsdaten!$C$2:$C$1117,"Sprint_5m",Versuchsdaten!$E$2:$E$1117,$E716,Versuchsdaten!$J$2:$J$1117,1),""))</f>
        <v/>
      </c>
      <c r="L716" s="22">
        <f>IF(LEFT(C716,7)&lt;&gt;"Sprint_","",IF(COUNTIFS(Versuchsdaten!$A$2:$A$1117,$A716,Versuchsdaten!$B$2:$B$1117,$B716,Versuchsdaten!$C$2:$C$1117,"Sprint_10m",Versuchsdaten!$E$2:$E$1117,$E716,Versuchsdaten!$J$2:$J$1117,1)=1,SUMIFS(Versuchsdaten!$F$2:$F$1117,Versuchsdaten!$A$2:$A$1117,$A716,Versuchsdaten!$B$2:$B$1117,$B716,Versuchsdaten!$C$2:$C$1117,"Sprint_10m",Versuchsdaten!$E$2:$E$1117,$E716,Versuchsdaten!$J$2:$J$1117,1),""))</f>
        <v/>
      </c>
      <c r="M716" s="22">
        <f>IF(LEFT(C716,7)&lt;&gt;"Sprint_","",IF(COUNTIFS(Versuchsdaten!$A$2:$A$1117,$A716,Versuchsdaten!$B$2:$B$1117,$B716,Versuchsdaten!$C$2:$C$1117,"Sprint_30m",Versuchsdaten!$E$2:$E$1117,$E716,Versuchsdaten!$J$2:$J$1117,1)=1,SUMIFS(Versuchsdaten!$F$2:$F$1117,Versuchsdaten!$A$2:$A$1117,$A716,Versuchsdaten!$B$2:$B$1117,$B716,Versuchsdaten!$C$2:$C$1117,"Sprint_30m",Versuchsdaten!$E$2:$E$1117,$E716,Versuchsdaten!$J$2:$J$1117,1),""))</f>
        <v/>
      </c>
      <c r="N716" s="22">
        <f>IF(LEFT(C716,7)&lt;&gt;"Sprint_",0,IF(IF(ISNUMBER(K716),IF(K716&lt;=0,1,IF(5/K716&gt;10,1,0)),0)+IF(ISNUMBER(L716),IF(ISNUMBER(K716),IF(L716-K716&lt;=0,1,IF(5/(L716-K716)&gt;10,1,0)),IF(L716&lt;=0,1,IF(10/L716&gt;10,1,0))),0)+IF(ISNUMBER(M716),IF(ISNUMBER(L716),IF(M716-L716&lt;=0,1,IF(20/(M716-L716)&gt;10,1,0)),IF(ISNUMBER(K716),IF(M716-K716&lt;=0,1,IF(25/(M716-K716)&gt;10,1,0)),IF(M716&lt;=0,1,IF(30/M716&gt;10,1,0)))),0)&gt;0,1,0))</f>
        <v/>
      </c>
      <c r="O716" s="22">
        <f>IF(AND(J716=1,N716=0),1,0)</f>
        <v/>
      </c>
      <c r="P716" s="22">
        <f>INDEX(Personendaten!$J$2:$J$32,MATCH(A716,Personendaten!$A$2:$A$32,0))</f>
        <v/>
      </c>
      <c r="Q716" s="22">
        <f>IF(O716=1,"",IF(AND(B716="post",P716="nicht angetreten"),"NANG",IF(N716=1,"AUSL",IFERROR(VLOOKUP(H716,Vokabular!$A$2:$B$8,2,FALSE),"UNBEKANNT"))))</f>
        <v/>
      </c>
    </row>
    <row r="717">
      <c r="A717" s="5" t="inlineStr">
        <is>
          <t>BW-10</t>
        </is>
      </c>
      <c r="B717" s="5" t="inlineStr">
        <is>
          <t>post</t>
        </is>
      </c>
      <c r="C717" s="5" t="inlineStr">
        <is>
          <t>COD_505</t>
        </is>
      </c>
      <c r="D717" s="5" t="inlineStr">
        <is>
          <t>L</t>
        </is>
      </c>
      <c r="E717" s="5" t="n">
        <v>2</v>
      </c>
      <c r="F717" s="5" t="n">
        <v>2.36</v>
      </c>
      <c r="G717" s="5" t="n"/>
      <c r="H717" s="5" t="n"/>
      <c r="I717" s="22">
        <f>INDEX(Personendaten!$C$2:$C$32,MATCH(A717,Personendaten!$A$2:$A$32,0))</f>
        <v/>
      </c>
      <c r="J717" s="22">
        <f>IF(AND(F717&lt;&gt;"",G717=""),1,0)</f>
        <v/>
      </c>
      <c r="K717" s="22">
        <f>IF(LEFT(C717,7)&lt;&gt;"Sprint_","",IF(COUNTIFS(Versuchsdaten!$A$2:$A$1117,$A717,Versuchsdaten!$B$2:$B$1117,$B717,Versuchsdaten!$C$2:$C$1117,"Sprint_5m",Versuchsdaten!$E$2:$E$1117,$E717,Versuchsdaten!$J$2:$J$1117,1)=1,SUMIFS(Versuchsdaten!$F$2:$F$1117,Versuchsdaten!$A$2:$A$1117,$A717,Versuchsdaten!$B$2:$B$1117,$B717,Versuchsdaten!$C$2:$C$1117,"Sprint_5m",Versuchsdaten!$E$2:$E$1117,$E717,Versuchsdaten!$J$2:$J$1117,1),""))</f>
        <v/>
      </c>
      <c r="L717" s="22">
        <f>IF(LEFT(C717,7)&lt;&gt;"Sprint_","",IF(COUNTIFS(Versuchsdaten!$A$2:$A$1117,$A717,Versuchsdaten!$B$2:$B$1117,$B717,Versuchsdaten!$C$2:$C$1117,"Sprint_10m",Versuchsdaten!$E$2:$E$1117,$E717,Versuchsdaten!$J$2:$J$1117,1)=1,SUMIFS(Versuchsdaten!$F$2:$F$1117,Versuchsdaten!$A$2:$A$1117,$A717,Versuchsdaten!$B$2:$B$1117,$B717,Versuchsdaten!$C$2:$C$1117,"Sprint_10m",Versuchsdaten!$E$2:$E$1117,$E717,Versuchsdaten!$J$2:$J$1117,1),""))</f>
        <v/>
      </c>
      <c r="M717" s="22">
        <f>IF(LEFT(C717,7)&lt;&gt;"Sprint_","",IF(COUNTIFS(Versuchsdaten!$A$2:$A$1117,$A717,Versuchsdaten!$B$2:$B$1117,$B717,Versuchsdaten!$C$2:$C$1117,"Sprint_30m",Versuchsdaten!$E$2:$E$1117,$E717,Versuchsdaten!$J$2:$J$1117,1)=1,SUMIFS(Versuchsdaten!$F$2:$F$1117,Versuchsdaten!$A$2:$A$1117,$A717,Versuchsdaten!$B$2:$B$1117,$B717,Versuchsdaten!$C$2:$C$1117,"Sprint_30m",Versuchsdaten!$E$2:$E$1117,$E717,Versuchsdaten!$J$2:$J$1117,1),""))</f>
        <v/>
      </c>
      <c r="N717" s="22">
        <f>IF(LEFT(C717,7)&lt;&gt;"Sprint_",0,IF(IF(ISNUMBER(K717),IF(K717&lt;=0,1,IF(5/K717&gt;10,1,0)),0)+IF(ISNUMBER(L717),IF(ISNUMBER(K717),IF(L717-K717&lt;=0,1,IF(5/(L717-K717)&gt;10,1,0)),IF(L717&lt;=0,1,IF(10/L717&gt;10,1,0))),0)+IF(ISNUMBER(M717),IF(ISNUMBER(L717),IF(M717-L717&lt;=0,1,IF(20/(M717-L717)&gt;10,1,0)),IF(ISNUMBER(K717),IF(M717-K717&lt;=0,1,IF(25/(M717-K717)&gt;10,1,0)),IF(M717&lt;=0,1,IF(30/M717&gt;10,1,0)))),0)&gt;0,1,0))</f>
        <v/>
      </c>
      <c r="O717" s="22">
        <f>IF(AND(J717=1,N717=0),1,0)</f>
        <v/>
      </c>
      <c r="P717" s="22">
        <f>INDEX(Personendaten!$J$2:$J$32,MATCH(A717,Personendaten!$A$2:$A$32,0))</f>
        <v/>
      </c>
      <c r="Q717" s="22">
        <f>IF(O717=1,"",IF(AND(B717="post",P717="nicht angetreten"),"NANG",IF(N717=1,"AUSL",IFERROR(VLOOKUP(H717,Vokabular!$A$2:$B$8,2,FALSE),"UNBEKANNT"))))</f>
        <v/>
      </c>
    </row>
    <row r="718">
      <c r="A718" s="5" t="inlineStr">
        <is>
          <t>BW-10</t>
        </is>
      </c>
      <c r="B718" s="5" t="inlineStr">
        <is>
          <t>post</t>
        </is>
      </c>
      <c r="C718" s="5" t="inlineStr">
        <is>
          <t>COD_505</t>
        </is>
      </c>
      <c r="D718" s="5" t="inlineStr">
        <is>
          <t>L</t>
        </is>
      </c>
      <c r="E718" s="5" t="n">
        <v>3</v>
      </c>
      <c r="F718" s="5" t="n"/>
      <c r="G718" s="5" t="n"/>
      <c r="H718" s="5" t="inlineStr">
        <is>
          <t>Nur 2 Versuche aus Zeitmangel</t>
        </is>
      </c>
      <c r="I718" s="22">
        <f>INDEX(Personendaten!$C$2:$C$32,MATCH(A718,Personendaten!$A$2:$A$32,0))</f>
        <v/>
      </c>
      <c r="J718" s="22">
        <f>IF(AND(F718&lt;&gt;"",G718=""),1,0)</f>
        <v/>
      </c>
      <c r="K718" s="22">
        <f>IF(LEFT(C718,7)&lt;&gt;"Sprint_","",IF(COUNTIFS(Versuchsdaten!$A$2:$A$1117,$A718,Versuchsdaten!$B$2:$B$1117,$B718,Versuchsdaten!$C$2:$C$1117,"Sprint_5m",Versuchsdaten!$E$2:$E$1117,$E718,Versuchsdaten!$J$2:$J$1117,1)=1,SUMIFS(Versuchsdaten!$F$2:$F$1117,Versuchsdaten!$A$2:$A$1117,$A718,Versuchsdaten!$B$2:$B$1117,$B718,Versuchsdaten!$C$2:$C$1117,"Sprint_5m",Versuchsdaten!$E$2:$E$1117,$E718,Versuchsdaten!$J$2:$J$1117,1),""))</f>
        <v/>
      </c>
      <c r="L718" s="22">
        <f>IF(LEFT(C718,7)&lt;&gt;"Sprint_","",IF(COUNTIFS(Versuchsdaten!$A$2:$A$1117,$A718,Versuchsdaten!$B$2:$B$1117,$B718,Versuchsdaten!$C$2:$C$1117,"Sprint_10m",Versuchsdaten!$E$2:$E$1117,$E718,Versuchsdaten!$J$2:$J$1117,1)=1,SUMIFS(Versuchsdaten!$F$2:$F$1117,Versuchsdaten!$A$2:$A$1117,$A718,Versuchsdaten!$B$2:$B$1117,$B718,Versuchsdaten!$C$2:$C$1117,"Sprint_10m",Versuchsdaten!$E$2:$E$1117,$E718,Versuchsdaten!$J$2:$J$1117,1),""))</f>
        <v/>
      </c>
      <c r="M718" s="22">
        <f>IF(LEFT(C718,7)&lt;&gt;"Sprint_","",IF(COUNTIFS(Versuchsdaten!$A$2:$A$1117,$A718,Versuchsdaten!$B$2:$B$1117,$B718,Versuchsdaten!$C$2:$C$1117,"Sprint_30m",Versuchsdaten!$E$2:$E$1117,$E718,Versuchsdaten!$J$2:$J$1117,1)=1,SUMIFS(Versuchsdaten!$F$2:$F$1117,Versuchsdaten!$A$2:$A$1117,$A718,Versuchsdaten!$B$2:$B$1117,$B718,Versuchsdaten!$C$2:$C$1117,"Sprint_30m",Versuchsdaten!$E$2:$E$1117,$E718,Versuchsdaten!$J$2:$J$1117,1),""))</f>
        <v/>
      </c>
      <c r="N718" s="22">
        <f>IF(LEFT(C718,7)&lt;&gt;"Sprint_",0,IF(IF(ISNUMBER(K718),IF(K718&lt;=0,1,IF(5/K718&gt;10,1,0)),0)+IF(ISNUMBER(L718),IF(ISNUMBER(K718),IF(L718-K718&lt;=0,1,IF(5/(L718-K718)&gt;10,1,0)),IF(L718&lt;=0,1,IF(10/L718&gt;10,1,0))),0)+IF(ISNUMBER(M718),IF(ISNUMBER(L718),IF(M718-L718&lt;=0,1,IF(20/(M718-L718)&gt;10,1,0)),IF(ISNUMBER(K718),IF(M718-K718&lt;=0,1,IF(25/(M718-K718)&gt;10,1,0)),IF(M718&lt;=0,1,IF(30/M718&gt;10,1,0)))),0)&gt;0,1,0))</f>
        <v/>
      </c>
      <c r="O718" s="22">
        <f>IF(AND(J718=1,N718=0),1,0)</f>
        <v/>
      </c>
      <c r="P718" s="22">
        <f>INDEX(Personendaten!$J$2:$J$32,MATCH(A718,Personendaten!$A$2:$A$32,0))</f>
        <v/>
      </c>
      <c r="Q718" s="22">
        <f>IF(O718=1,"",IF(AND(B718="post",P718="nicht angetreten"),"NANG",IF(N718=1,"AUSL",IFERROR(VLOOKUP(H718,Vokabular!$A$2:$B$8,2,FALSE),"UNBEKANNT"))))</f>
        <v/>
      </c>
    </row>
    <row r="719">
      <c r="A719" s="5" t="inlineStr">
        <is>
          <t>BW-10</t>
        </is>
      </c>
      <c r="B719" s="5" t="inlineStr">
        <is>
          <t>post</t>
        </is>
      </c>
      <c r="C719" s="5" t="inlineStr">
        <is>
          <t>COD_505</t>
        </is>
      </c>
      <c r="D719" s="5" t="inlineStr">
        <is>
          <t>R</t>
        </is>
      </c>
      <c r="E719" s="5" t="n">
        <v>1</v>
      </c>
      <c r="F719" s="5" t="n">
        <v>2.49</v>
      </c>
      <c r="G719" s="5" t="n"/>
      <c r="H719" s="5" t="n"/>
      <c r="I719" s="22">
        <f>INDEX(Personendaten!$C$2:$C$32,MATCH(A719,Personendaten!$A$2:$A$32,0))</f>
        <v/>
      </c>
      <c r="J719" s="22">
        <f>IF(AND(F719&lt;&gt;"",G719=""),1,0)</f>
        <v/>
      </c>
      <c r="K719" s="22">
        <f>IF(LEFT(C719,7)&lt;&gt;"Sprint_","",IF(COUNTIFS(Versuchsdaten!$A$2:$A$1117,$A719,Versuchsdaten!$B$2:$B$1117,$B719,Versuchsdaten!$C$2:$C$1117,"Sprint_5m",Versuchsdaten!$E$2:$E$1117,$E719,Versuchsdaten!$J$2:$J$1117,1)=1,SUMIFS(Versuchsdaten!$F$2:$F$1117,Versuchsdaten!$A$2:$A$1117,$A719,Versuchsdaten!$B$2:$B$1117,$B719,Versuchsdaten!$C$2:$C$1117,"Sprint_5m",Versuchsdaten!$E$2:$E$1117,$E719,Versuchsdaten!$J$2:$J$1117,1),""))</f>
        <v/>
      </c>
      <c r="L719" s="22">
        <f>IF(LEFT(C719,7)&lt;&gt;"Sprint_","",IF(COUNTIFS(Versuchsdaten!$A$2:$A$1117,$A719,Versuchsdaten!$B$2:$B$1117,$B719,Versuchsdaten!$C$2:$C$1117,"Sprint_10m",Versuchsdaten!$E$2:$E$1117,$E719,Versuchsdaten!$J$2:$J$1117,1)=1,SUMIFS(Versuchsdaten!$F$2:$F$1117,Versuchsdaten!$A$2:$A$1117,$A719,Versuchsdaten!$B$2:$B$1117,$B719,Versuchsdaten!$C$2:$C$1117,"Sprint_10m",Versuchsdaten!$E$2:$E$1117,$E719,Versuchsdaten!$J$2:$J$1117,1),""))</f>
        <v/>
      </c>
      <c r="M719" s="22">
        <f>IF(LEFT(C719,7)&lt;&gt;"Sprint_","",IF(COUNTIFS(Versuchsdaten!$A$2:$A$1117,$A719,Versuchsdaten!$B$2:$B$1117,$B719,Versuchsdaten!$C$2:$C$1117,"Sprint_30m",Versuchsdaten!$E$2:$E$1117,$E719,Versuchsdaten!$J$2:$J$1117,1)=1,SUMIFS(Versuchsdaten!$F$2:$F$1117,Versuchsdaten!$A$2:$A$1117,$A719,Versuchsdaten!$B$2:$B$1117,$B719,Versuchsdaten!$C$2:$C$1117,"Sprint_30m",Versuchsdaten!$E$2:$E$1117,$E719,Versuchsdaten!$J$2:$J$1117,1),""))</f>
        <v/>
      </c>
      <c r="N719" s="22">
        <f>IF(LEFT(C719,7)&lt;&gt;"Sprint_",0,IF(IF(ISNUMBER(K719),IF(K719&lt;=0,1,IF(5/K719&gt;10,1,0)),0)+IF(ISNUMBER(L719),IF(ISNUMBER(K719),IF(L719-K719&lt;=0,1,IF(5/(L719-K719)&gt;10,1,0)),IF(L719&lt;=0,1,IF(10/L719&gt;10,1,0))),0)+IF(ISNUMBER(M719),IF(ISNUMBER(L719),IF(M719-L719&lt;=0,1,IF(20/(M719-L719)&gt;10,1,0)),IF(ISNUMBER(K719),IF(M719-K719&lt;=0,1,IF(25/(M719-K719)&gt;10,1,0)),IF(M719&lt;=0,1,IF(30/M719&gt;10,1,0)))),0)&gt;0,1,0))</f>
        <v/>
      </c>
      <c r="O719" s="22">
        <f>IF(AND(J719=1,N719=0),1,0)</f>
        <v/>
      </c>
      <c r="P719" s="22">
        <f>INDEX(Personendaten!$J$2:$J$32,MATCH(A719,Personendaten!$A$2:$A$32,0))</f>
        <v/>
      </c>
      <c r="Q719" s="22">
        <f>IF(O719=1,"",IF(AND(B719="post",P719="nicht angetreten"),"NANG",IF(N719=1,"AUSL",IFERROR(VLOOKUP(H719,Vokabular!$A$2:$B$8,2,FALSE),"UNBEKANNT"))))</f>
        <v/>
      </c>
    </row>
    <row r="720">
      <c r="A720" s="5" t="inlineStr">
        <is>
          <t>BW-10</t>
        </is>
      </c>
      <c r="B720" s="5" t="inlineStr">
        <is>
          <t>post</t>
        </is>
      </c>
      <c r="C720" s="5" t="inlineStr">
        <is>
          <t>COD_505</t>
        </is>
      </c>
      <c r="D720" s="5" t="inlineStr">
        <is>
          <t>R</t>
        </is>
      </c>
      <c r="E720" s="5" t="n">
        <v>2</v>
      </c>
      <c r="F720" s="5" t="n">
        <v>2.6</v>
      </c>
      <c r="G720" s="5" t="n"/>
      <c r="H720" s="5" t="n"/>
      <c r="I720" s="22">
        <f>INDEX(Personendaten!$C$2:$C$32,MATCH(A720,Personendaten!$A$2:$A$32,0))</f>
        <v/>
      </c>
      <c r="J720" s="22">
        <f>IF(AND(F720&lt;&gt;"",G720=""),1,0)</f>
        <v/>
      </c>
      <c r="K720" s="22">
        <f>IF(LEFT(C720,7)&lt;&gt;"Sprint_","",IF(COUNTIFS(Versuchsdaten!$A$2:$A$1117,$A720,Versuchsdaten!$B$2:$B$1117,$B720,Versuchsdaten!$C$2:$C$1117,"Sprint_5m",Versuchsdaten!$E$2:$E$1117,$E720,Versuchsdaten!$J$2:$J$1117,1)=1,SUMIFS(Versuchsdaten!$F$2:$F$1117,Versuchsdaten!$A$2:$A$1117,$A720,Versuchsdaten!$B$2:$B$1117,$B720,Versuchsdaten!$C$2:$C$1117,"Sprint_5m",Versuchsdaten!$E$2:$E$1117,$E720,Versuchsdaten!$J$2:$J$1117,1),""))</f>
        <v/>
      </c>
      <c r="L720" s="22">
        <f>IF(LEFT(C720,7)&lt;&gt;"Sprint_","",IF(COUNTIFS(Versuchsdaten!$A$2:$A$1117,$A720,Versuchsdaten!$B$2:$B$1117,$B720,Versuchsdaten!$C$2:$C$1117,"Sprint_10m",Versuchsdaten!$E$2:$E$1117,$E720,Versuchsdaten!$J$2:$J$1117,1)=1,SUMIFS(Versuchsdaten!$F$2:$F$1117,Versuchsdaten!$A$2:$A$1117,$A720,Versuchsdaten!$B$2:$B$1117,$B720,Versuchsdaten!$C$2:$C$1117,"Sprint_10m",Versuchsdaten!$E$2:$E$1117,$E720,Versuchsdaten!$J$2:$J$1117,1),""))</f>
        <v/>
      </c>
      <c r="M720" s="22">
        <f>IF(LEFT(C720,7)&lt;&gt;"Sprint_","",IF(COUNTIFS(Versuchsdaten!$A$2:$A$1117,$A720,Versuchsdaten!$B$2:$B$1117,$B720,Versuchsdaten!$C$2:$C$1117,"Sprint_30m",Versuchsdaten!$E$2:$E$1117,$E720,Versuchsdaten!$J$2:$J$1117,1)=1,SUMIFS(Versuchsdaten!$F$2:$F$1117,Versuchsdaten!$A$2:$A$1117,$A720,Versuchsdaten!$B$2:$B$1117,$B720,Versuchsdaten!$C$2:$C$1117,"Sprint_30m",Versuchsdaten!$E$2:$E$1117,$E720,Versuchsdaten!$J$2:$J$1117,1),""))</f>
        <v/>
      </c>
      <c r="N720" s="22">
        <f>IF(LEFT(C720,7)&lt;&gt;"Sprint_",0,IF(IF(ISNUMBER(K720),IF(K720&lt;=0,1,IF(5/K720&gt;10,1,0)),0)+IF(ISNUMBER(L720),IF(ISNUMBER(K720),IF(L720-K720&lt;=0,1,IF(5/(L720-K720)&gt;10,1,0)),IF(L720&lt;=0,1,IF(10/L720&gt;10,1,0))),0)+IF(ISNUMBER(M720),IF(ISNUMBER(L720),IF(M720-L720&lt;=0,1,IF(20/(M720-L720)&gt;10,1,0)),IF(ISNUMBER(K720),IF(M720-K720&lt;=0,1,IF(25/(M720-K720)&gt;10,1,0)),IF(M720&lt;=0,1,IF(30/M720&gt;10,1,0)))),0)&gt;0,1,0))</f>
        <v/>
      </c>
      <c r="O720" s="22">
        <f>IF(AND(J720=1,N720=0),1,0)</f>
        <v/>
      </c>
      <c r="P720" s="22">
        <f>INDEX(Personendaten!$J$2:$J$32,MATCH(A720,Personendaten!$A$2:$A$32,0))</f>
        <v/>
      </c>
      <c r="Q720" s="22">
        <f>IF(O720=1,"",IF(AND(B720="post",P720="nicht angetreten"),"NANG",IF(N720=1,"AUSL",IFERROR(VLOOKUP(H720,Vokabular!$A$2:$B$8,2,FALSE),"UNBEKANNT"))))</f>
        <v/>
      </c>
    </row>
    <row r="721">
      <c r="A721" s="5" t="inlineStr">
        <is>
          <t>BW-10</t>
        </is>
      </c>
      <c r="B721" s="5" t="inlineStr">
        <is>
          <t>post</t>
        </is>
      </c>
      <c r="C721" s="5" t="inlineStr">
        <is>
          <t>COD_505</t>
        </is>
      </c>
      <c r="D721" s="5" t="inlineStr">
        <is>
          <t>R</t>
        </is>
      </c>
      <c r="E721" s="5" t="n">
        <v>3</v>
      </c>
      <c r="F721" s="5" t="n"/>
      <c r="G721" s="5" t="n"/>
      <c r="H721" s="5" t="inlineStr">
        <is>
          <t>Nur 2 Versuche aus Zeitmangel</t>
        </is>
      </c>
      <c r="I721" s="22">
        <f>INDEX(Personendaten!$C$2:$C$32,MATCH(A721,Personendaten!$A$2:$A$32,0))</f>
        <v/>
      </c>
      <c r="J721" s="22">
        <f>IF(AND(F721&lt;&gt;"",G721=""),1,0)</f>
        <v/>
      </c>
      <c r="K721" s="22">
        <f>IF(LEFT(C721,7)&lt;&gt;"Sprint_","",IF(COUNTIFS(Versuchsdaten!$A$2:$A$1117,$A721,Versuchsdaten!$B$2:$B$1117,$B721,Versuchsdaten!$C$2:$C$1117,"Sprint_5m",Versuchsdaten!$E$2:$E$1117,$E721,Versuchsdaten!$J$2:$J$1117,1)=1,SUMIFS(Versuchsdaten!$F$2:$F$1117,Versuchsdaten!$A$2:$A$1117,$A721,Versuchsdaten!$B$2:$B$1117,$B721,Versuchsdaten!$C$2:$C$1117,"Sprint_5m",Versuchsdaten!$E$2:$E$1117,$E721,Versuchsdaten!$J$2:$J$1117,1),""))</f>
        <v/>
      </c>
      <c r="L721" s="22">
        <f>IF(LEFT(C721,7)&lt;&gt;"Sprint_","",IF(COUNTIFS(Versuchsdaten!$A$2:$A$1117,$A721,Versuchsdaten!$B$2:$B$1117,$B721,Versuchsdaten!$C$2:$C$1117,"Sprint_10m",Versuchsdaten!$E$2:$E$1117,$E721,Versuchsdaten!$J$2:$J$1117,1)=1,SUMIFS(Versuchsdaten!$F$2:$F$1117,Versuchsdaten!$A$2:$A$1117,$A721,Versuchsdaten!$B$2:$B$1117,$B721,Versuchsdaten!$C$2:$C$1117,"Sprint_10m",Versuchsdaten!$E$2:$E$1117,$E721,Versuchsdaten!$J$2:$J$1117,1),""))</f>
        <v/>
      </c>
      <c r="M721" s="22">
        <f>IF(LEFT(C721,7)&lt;&gt;"Sprint_","",IF(COUNTIFS(Versuchsdaten!$A$2:$A$1117,$A721,Versuchsdaten!$B$2:$B$1117,$B721,Versuchsdaten!$C$2:$C$1117,"Sprint_30m",Versuchsdaten!$E$2:$E$1117,$E721,Versuchsdaten!$J$2:$J$1117,1)=1,SUMIFS(Versuchsdaten!$F$2:$F$1117,Versuchsdaten!$A$2:$A$1117,$A721,Versuchsdaten!$B$2:$B$1117,$B721,Versuchsdaten!$C$2:$C$1117,"Sprint_30m",Versuchsdaten!$E$2:$E$1117,$E721,Versuchsdaten!$J$2:$J$1117,1),""))</f>
        <v/>
      </c>
      <c r="N721" s="22">
        <f>IF(LEFT(C721,7)&lt;&gt;"Sprint_",0,IF(IF(ISNUMBER(K721),IF(K721&lt;=0,1,IF(5/K721&gt;10,1,0)),0)+IF(ISNUMBER(L721),IF(ISNUMBER(K721),IF(L721-K721&lt;=0,1,IF(5/(L721-K721)&gt;10,1,0)),IF(L721&lt;=0,1,IF(10/L721&gt;10,1,0))),0)+IF(ISNUMBER(M721),IF(ISNUMBER(L721),IF(M721-L721&lt;=0,1,IF(20/(M721-L721)&gt;10,1,0)),IF(ISNUMBER(K721),IF(M721-K721&lt;=0,1,IF(25/(M721-K721)&gt;10,1,0)),IF(M721&lt;=0,1,IF(30/M721&gt;10,1,0)))),0)&gt;0,1,0))</f>
        <v/>
      </c>
      <c r="O721" s="22">
        <f>IF(AND(J721=1,N721=0),1,0)</f>
        <v/>
      </c>
      <c r="P721" s="22">
        <f>INDEX(Personendaten!$J$2:$J$32,MATCH(A721,Personendaten!$A$2:$A$32,0))</f>
        <v/>
      </c>
      <c r="Q721" s="22">
        <f>IF(O721=1,"",IF(AND(B721="post",P721="nicht angetreten"),"NANG",IF(N721=1,"AUSL",IFERROR(VLOOKUP(H721,Vokabular!$A$2:$B$8,2,FALSE),"UNBEKANNT"))))</f>
        <v/>
      </c>
    </row>
    <row r="722">
      <c r="A722" s="5" t="inlineStr">
        <is>
          <t>BW-11</t>
        </is>
      </c>
      <c r="B722" s="5" t="inlineStr">
        <is>
          <t>post</t>
        </is>
      </c>
      <c r="C722" s="5" t="inlineStr">
        <is>
          <t>Sprint_5m</t>
        </is>
      </c>
      <c r="D722" s="5" t="inlineStr">
        <is>
          <t>–</t>
        </is>
      </c>
      <c r="E722" s="5" t="n">
        <v>1</v>
      </c>
      <c r="F722" s="5" t="n">
        <v>1.18</v>
      </c>
      <c r="G722" s="5" t="n"/>
      <c r="H722" s="5" t="n"/>
      <c r="I722" s="22">
        <f>INDEX(Personendaten!$C$2:$C$32,MATCH(A722,Personendaten!$A$2:$A$32,0))</f>
        <v/>
      </c>
      <c r="J722" s="22">
        <f>IF(AND(F722&lt;&gt;"",G722=""),1,0)</f>
        <v/>
      </c>
      <c r="K722" s="22">
        <f>IF(LEFT(C722,7)&lt;&gt;"Sprint_","",IF(COUNTIFS(Versuchsdaten!$A$2:$A$1117,$A722,Versuchsdaten!$B$2:$B$1117,$B722,Versuchsdaten!$C$2:$C$1117,"Sprint_5m",Versuchsdaten!$E$2:$E$1117,$E722,Versuchsdaten!$J$2:$J$1117,1)=1,SUMIFS(Versuchsdaten!$F$2:$F$1117,Versuchsdaten!$A$2:$A$1117,$A722,Versuchsdaten!$B$2:$B$1117,$B722,Versuchsdaten!$C$2:$C$1117,"Sprint_5m",Versuchsdaten!$E$2:$E$1117,$E722,Versuchsdaten!$J$2:$J$1117,1),""))</f>
        <v/>
      </c>
      <c r="L722" s="22">
        <f>IF(LEFT(C722,7)&lt;&gt;"Sprint_","",IF(COUNTIFS(Versuchsdaten!$A$2:$A$1117,$A722,Versuchsdaten!$B$2:$B$1117,$B722,Versuchsdaten!$C$2:$C$1117,"Sprint_10m",Versuchsdaten!$E$2:$E$1117,$E722,Versuchsdaten!$J$2:$J$1117,1)=1,SUMIFS(Versuchsdaten!$F$2:$F$1117,Versuchsdaten!$A$2:$A$1117,$A722,Versuchsdaten!$B$2:$B$1117,$B722,Versuchsdaten!$C$2:$C$1117,"Sprint_10m",Versuchsdaten!$E$2:$E$1117,$E722,Versuchsdaten!$J$2:$J$1117,1),""))</f>
        <v/>
      </c>
      <c r="M722" s="22">
        <f>IF(LEFT(C722,7)&lt;&gt;"Sprint_","",IF(COUNTIFS(Versuchsdaten!$A$2:$A$1117,$A722,Versuchsdaten!$B$2:$B$1117,$B722,Versuchsdaten!$C$2:$C$1117,"Sprint_30m",Versuchsdaten!$E$2:$E$1117,$E722,Versuchsdaten!$J$2:$J$1117,1)=1,SUMIFS(Versuchsdaten!$F$2:$F$1117,Versuchsdaten!$A$2:$A$1117,$A722,Versuchsdaten!$B$2:$B$1117,$B722,Versuchsdaten!$C$2:$C$1117,"Sprint_30m",Versuchsdaten!$E$2:$E$1117,$E722,Versuchsdaten!$J$2:$J$1117,1),""))</f>
        <v/>
      </c>
      <c r="N722" s="22">
        <f>IF(LEFT(C722,7)&lt;&gt;"Sprint_",0,IF(IF(ISNUMBER(K722),IF(K722&lt;=0,1,IF(5/K722&gt;10,1,0)),0)+IF(ISNUMBER(L722),IF(ISNUMBER(K722),IF(L722-K722&lt;=0,1,IF(5/(L722-K722)&gt;10,1,0)),IF(L722&lt;=0,1,IF(10/L722&gt;10,1,0))),0)+IF(ISNUMBER(M722),IF(ISNUMBER(L722),IF(M722-L722&lt;=0,1,IF(20/(M722-L722)&gt;10,1,0)),IF(ISNUMBER(K722),IF(M722-K722&lt;=0,1,IF(25/(M722-K722)&gt;10,1,0)),IF(M722&lt;=0,1,IF(30/M722&gt;10,1,0)))),0)&gt;0,1,0))</f>
        <v/>
      </c>
      <c r="O722" s="22">
        <f>IF(AND(J722=1,N722=0),1,0)</f>
        <v/>
      </c>
      <c r="P722" s="22">
        <f>INDEX(Personendaten!$J$2:$J$32,MATCH(A722,Personendaten!$A$2:$A$32,0))</f>
        <v/>
      </c>
      <c r="Q722" s="22">
        <f>IF(O722=1,"",IF(AND(B722="post",P722="nicht angetreten"),"NANG",IF(N722=1,"AUSL",IFERROR(VLOOKUP(H722,Vokabular!$A$2:$B$8,2,FALSE),"UNBEKANNT"))))</f>
        <v/>
      </c>
    </row>
    <row r="723">
      <c r="A723" s="5" t="inlineStr">
        <is>
          <t>BW-11</t>
        </is>
      </c>
      <c r="B723" s="5" t="inlineStr">
        <is>
          <t>post</t>
        </is>
      </c>
      <c r="C723" s="5" t="inlineStr">
        <is>
          <t>Sprint_5m</t>
        </is>
      </c>
      <c r="D723" s="5" t="inlineStr">
        <is>
          <t>–</t>
        </is>
      </c>
      <c r="E723" s="5" t="n">
        <v>2</v>
      </c>
      <c r="F723" s="5" t="n">
        <v>1.2</v>
      </c>
      <c r="G723" s="5" t="n"/>
      <c r="H723" s="5" t="n"/>
      <c r="I723" s="22">
        <f>INDEX(Personendaten!$C$2:$C$32,MATCH(A723,Personendaten!$A$2:$A$32,0))</f>
        <v/>
      </c>
      <c r="J723" s="22">
        <f>IF(AND(F723&lt;&gt;"",G723=""),1,0)</f>
        <v/>
      </c>
      <c r="K723" s="22">
        <f>IF(LEFT(C723,7)&lt;&gt;"Sprint_","",IF(COUNTIFS(Versuchsdaten!$A$2:$A$1117,$A723,Versuchsdaten!$B$2:$B$1117,$B723,Versuchsdaten!$C$2:$C$1117,"Sprint_5m",Versuchsdaten!$E$2:$E$1117,$E723,Versuchsdaten!$J$2:$J$1117,1)=1,SUMIFS(Versuchsdaten!$F$2:$F$1117,Versuchsdaten!$A$2:$A$1117,$A723,Versuchsdaten!$B$2:$B$1117,$B723,Versuchsdaten!$C$2:$C$1117,"Sprint_5m",Versuchsdaten!$E$2:$E$1117,$E723,Versuchsdaten!$J$2:$J$1117,1),""))</f>
        <v/>
      </c>
      <c r="L723" s="22">
        <f>IF(LEFT(C723,7)&lt;&gt;"Sprint_","",IF(COUNTIFS(Versuchsdaten!$A$2:$A$1117,$A723,Versuchsdaten!$B$2:$B$1117,$B723,Versuchsdaten!$C$2:$C$1117,"Sprint_10m",Versuchsdaten!$E$2:$E$1117,$E723,Versuchsdaten!$J$2:$J$1117,1)=1,SUMIFS(Versuchsdaten!$F$2:$F$1117,Versuchsdaten!$A$2:$A$1117,$A723,Versuchsdaten!$B$2:$B$1117,$B723,Versuchsdaten!$C$2:$C$1117,"Sprint_10m",Versuchsdaten!$E$2:$E$1117,$E723,Versuchsdaten!$J$2:$J$1117,1),""))</f>
        <v/>
      </c>
      <c r="M723" s="22">
        <f>IF(LEFT(C723,7)&lt;&gt;"Sprint_","",IF(COUNTIFS(Versuchsdaten!$A$2:$A$1117,$A723,Versuchsdaten!$B$2:$B$1117,$B723,Versuchsdaten!$C$2:$C$1117,"Sprint_30m",Versuchsdaten!$E$2:$E$1117,$E723,Versuchsdaten!$J$2:$J$1117,1)=1,SUMIFS(Versuchsdaten!$F$2:$F$1117,Versuchsdaten!$A$2:$A$1117,$A723,Versuchsdaten!$B$2:$B$1117,$B723,Versuchsdaten!$C$2:$C$1117,"Sprint_30m",Versuchsdaten!$E$2:$E$1117,$E723,Versuchsdaten!$J$2:$J$1117,1),""))</f>
        <v/>
      </c>
      <c r="N723" s="22">
        <f>IF(LEFT(C723,7)&lt;&gt;"Sprint_",0,IF(IF(ISNUMBER(K723),IF(K723&lt;=0,1,IF(5/K723&gt;10,1,0)),0)+IF(ISNUMBER(L723),IF(ISNUMBER(K723),IF(L723-K723&lt;=0,1,IF(5/(L723-K723)&gt;10,1,0)),IF(L723&lt;=0,1,IF(10/L723&gt;10,1,0))),0)+IF(ISNUMBER(M723),IF(ISNUMBER(L723),IF(M723-L723&lt;=0,1,IF(20/(M723-L723)&gt;10,1,0)),IF(ISNUMBER(K723),IF(M723-K723&lt;=0,1,IF(25/(M723-K723)&gt;10,1,0)),IF(M723&lt;=0,1,IF(30/M723&gt;10,1,0)))),0)&gt;0,1,0))</f>
        <v/>
      </c>
      <c r="O723" s="22">
        <f>IF(AND(J723=1,N723=0),1,0)</f>
        <v/>
      </c>
      <c r="P723" s="22">
        <f>INDEX(Personendaten!$J$2:$J$32,MATCH(A723,Personendaten!$A$2:$A$32,0))</f>
        <v/>
      </c>
      <c r="Q723" s="22">
        <f>IF(O723=1,"",IF(AND(B723="post",P723="nicht angetreten"),"NANG",IF(N723=1,"AUSL",IFERROR(VLOOKUP(H723,Vokabular!$A$2:$B$8,2,FALSE),"UNBEKANNT"))))</f>
        <v/>
      </c>
    </row>
    <row r="724">
      <c r="A724" s="5" t="inlineStr">
        <is>
          <t>BW-11</t>
        </is>
      </c>
      <c r="B724" s="5" t="inlineStr">
        <is>
          <t>post</t>
        </is>
      </c>
      <c r="C724" s="5" t="inlineStr">
        <is>
          <t>Sprint_5m</t>
        </is>
      </c>
      <c r="D724" s="5" t="inlineStr">
        <is>
          <t>–</t>
        </is>
      </c>
      <c r="E724" s="5" t="n">
        <v>3</v>
      </c>
      <c r="F724" s="5" t="n"/>
      <c r="G724" s="5" t="n"/>
      <c r="H724" s="5" t="inlineStr">
        <is>
          <t>Nur 2 Versuche aus Zeitmangel</t>
        </is>
      </c>
      <c r="I724" s="22">
        <f>INDEX(Personendaten!$C$2:$C$32,MATCH(A724,Personendaten!$A$2:$A$32,0))</f>
        <v/>
      </c>
      <c r="J724" s="22">
        <f>IF(AND(F724&lt;&gt;"",G724=""),1,0)</f>
        <v/>
      </c>
      <c r="K724" s="22">
        <f>IF(LEFT(C724,7)&lt;&gt;"Sprint_","",IF(COUNTIFS(Versuchsdaten!$A$2:$A$1117,$A724,Versuchsdaten!$B$2:$B$1117,$B724,Versuchsdaten!$C$2:$C$1117,"Sprint_5m",Versuchsdaten!$E$2:$E$1117,$E724,Versuchsdaten!$J$2:$J$1117,1)=1,SUMIFS(Versuchsdaten!$F$2:$F$1117,Versuchsdaten!$A$2:$A$1117,$A724,Versuchsdaten!$B$2:$B$1117,$B724,Versuchsdaten!$C$2:$C$1117,"Sprint_5m",Versuchsdaten!$E$2:$E$1117,$E724,Versuchsdaten!$J$2:$J$1117,1),""))</f>
        <v/>
      </c>
      <c r="L724" s="22">
        <f>IF(LEFT(C724,7)&lt;&gt;"Sprint_","",IF(COUNTIFS(Versuchsdaten!$A$2:$A$1117,$A724,Versuchsdaten!$B$2:$B$1117,$B724,Versuchsdaten!$C$2:$C$1117,"Sprint_10m",Versuchsdaten!$E$2:$E$1117,$E724,Versuchsdaten!$J$2:$J$1117,1)=1,SUMIFS(Versuchsdaten!$F$2:$F$1117,Versuchsdaten!$A$2:$A$1117,$A724,Versuchsdaten!$B$2:$B$1117,$B724,Versuchsdaten!$C$2:$C$1117,"Sprint_10m",Versuchsdaten!$E$2:$E$1117,$E724,Versuchsdaten!$J$2:$J$1117,1),""))</f>
        <v/>
      </c>
      <c r="M724" s="22">
        <f>IF(LEFT(C724,7)&lt;&gt;"Sprint_","",IF(COUNTIFS(Versuchsdaten!$A$2:$A$1117,$A724,Versuchsdaten!$B$2:$B$1117,$B724,Versuchsdaten!$C$2:$C$1117,"Sprint_30m",Versuchsdaten!$E$2:$E$1117,$E724,Versuchsdaten!$J$2:$J$1117,1)=1,SUMIFS(Versuchsdaten!$F$2:$F$1117,Versuchsdaten!$A$2:$A$1117,$A724,Versuchsdaten!$B$2:$B$1117,$B724,Versuchsdaten!$C$2:$C$1117,"Sprint_30m",Versuchsdaten!$E$2:$E$1117,$E724,Versuchsdaten!$J$2:$J$1117,1),""))</f>
        <v/>
      </c>
      <c r="N724" s="22">
        <f>IF(LEFT(C724,7)&lt;&gt;"Sprint_",0,IF(IF(ISNUMBER(K724),IF(K724&lt;=0,1,IF(5/K724&gt;10,1,0)),0)+IF(ISNUMBER(L724),IF(ISNUMBER(K724),IF(L724-K724&lt;=0,1,IF(5/(L724-K724)&gt;10,1,0)),IF(L724&lt;=0,1,IF(10/L724&gt;10,1,0))),0)+IF(ISNUMBER(M724),IF(ISNUMBER(L724),IF(M724-L724&lt;=0,1,IF(20/(M724-L724)&gt;10,1,0)),IF(ISNUMBER(K724),IF(M724-K724&lt;=0,1,IF(25/(M724-K724)&gt;10,1,0)),IF(M724&lt;=0,1,IF(30/M724&gt;10,1,0)))),0)&gt;0,1,0))</f>
        <v/>
      </c>
      <c r="O724" s="22">
        <f>IF(AND(J724=1,N724=0),1,0)</f>
        <v/>
      </c>
      <c r="P724" s="22">
        <f>INDEX(Personendaten!$J$2:$J$32,MATCH(A724,Personendaten!$A$2:$A$32,0))</f>
        <v/>
      </c>
      <c r="Q724" s="22">
        <f>IF(O724=1,"",IF(AND(B724="post",P724="nicht angetreten"),"NANG",IF(N724=1,"AUSL",IFERROR(VLOOKUP(H724,Vokabular!$A$2:$B$8,2,FALSE),"UNBEKANNT"))))</f>
        <v/>
      </c>
    </row>
    <row r="725">
      <c r="A725" s="5" t="inlineStr">
        <is>
          <t>BW-11</t>
        </is>
      </c>
      <c r="B725" s="5" t="inlineStr">
        <is>
          <t>post</t>
        </is>
      </c>
      <c r="C725" s="5" t="inlineStr">
        <is>
          <t>Sprint_10m</t>
        </is>
      </c>
      <c r="D725" s="5" t="inlineStr">
        <is>
          <t>–</t>
        </is>
      </c>
      <c r="E725" s="5" t="n">
        <v>1</v>
      </c>
      <c r="F725" s="5" t="n"/>
      <c r="G725" s="5" t="n"/>
      <c r="H725" s="5" t="inlineStr">
        <is>
          <t>System falsch aufgenommen</t>
        </is>
      </c>
      <c r="I725" s="22">
        <f>INDEX(Personendaten!$C$2:$C$32,MATCH(A725,Personendaten!$A$2:$A$32,0))</f>
        <v/>
      </c>
      <c r="J725" s="22">
        <f>IF(AND(F725&lt;&gt;"",G725=""),1,0)</f>
        <v/>
      </c>
      <c r="K725" s="22">
        <f>IF(LEFT(C725,7)&lt;&gt;"Sprint_","",IF(COUNTIFS(Versuchsdaten!$A$2:$A$1117,$A725,Versuchsdaten!$B$2:$B$1117,$B725,Versuchsdaten!$C$2:$C$1117,"Sprint_5m",Versuchsdaten!$E$2:$E$1117,$E725,Versuchsdaten!$J$2:$J$1117,1)=1,SUMIFS(Versuchsdaten!$F$2:$F$1117,Versuchsdaten!$A$2:$A$1117,$A725,Versuchsdaten!$B$2:$B$1117,$B725,Versuchsdaten!$C$2:$C$1117,"Sprint_5m",Versuchsdaten!$E$2:$E$1117,$E725,Versuchsdaten!$J$2:$J$1117,1),""))</f>
        <v/>
      </c>
      <c r="L725" s="22">
        <f>IF(LEFT(C725,7)&lt;&gt;"Sprint_","",IF(COUNTIFS(Versuchsdaten!$A$2:$A$1117,$A725,Versuchsdaten!$B$2:$B$1117,$B725,Versuchsdaten!$C$2:$C$1117,"Sprint_10m",Versuchsdaten!$E$2:$E$1117,$E725,Versuchsdaten!$J$2:$J$1117,1)=1,SUMIFS(Versuchsdaten!$F$2:$F$1117,Versuchsdaten!$A$2:$A$1117,$A725,Versuchsdaten!$B$2:$B$1117,$B725,Versuchsdaten!$C$2:$C$1117,"Sprint_10m",Versuchsdaten!$E$2:$E$1117,$E725,Versuchsdaten!$J$2:$J$1117,1),""))</f>
        <v/>
      </c>
      <c r="M725" s="22">
        <f>IF(LEFT(C725,7)&lt;&gt;"Sprint_","",IF(COUNTIFS(Versuchsdaten!$A$2:$A$1117,$A725,Versuchsdaten!$B$2:$B$1117,$B725,Versuchsdaten!$C$2:$C$1117,"Sprint_30m",Versuchsdaten!$E$2:$E$1117,$E725,Versuchsdaten!$J$2:$J$1117,1)=1,SUMIFS(Versuchsdaten!$F$2:$F$1117,Versuchsdaten!$A$2:$A$1117,$A725,Versuchsdaten!$B$2:$B$1117,$B725,Versuchsdaten!$C$2:$C$1117,"Sprint_30m",Versuchsdaten!$E$2:$E$1117,$E725,Versuchsdaten!$J$2:$J$1117,1),""))</f>
        <v/>
      </c>
      <c r="N725" s="22">
        <f>IF(LEFT(C725,7)&lt;&gt;"Sprint_",0,IF(IF(ISNUMBER(K725),IF(K725&lt;=0,1,IF(5/K725&gt;10,1,0)),0)+IF(ISNUMBER(L725),IF(ISNUMBER(K725),IF(L725-K725&lt;=0,1,IF(5/(L725-K725)&gt;10,1,0)),IF(L725&lt;=0,1,IF(10/L725&gt;10,1,0))),0)+IF(ISNUMBER(M725),IF(ISNUMBER(L725),IF(M725-L725&lt;=0,1,IF(20/(M725-L725)&gt;10,1,0)),IF(ISNUMBER(K725),IF(M725-K725&lt;=0,1,IF(25/(M725-K725)&gt;10,1,0)),IF(M725&lt;=0,1,IF(30/M725&gt;10,1,0)))),0)&gt;0,1,0))</f>
        <v/>
      </c>
      <c r="O725" s="22">
        <f>IF(AND(J725=1,N725=0),1,0)</f>
        <v/>
      </c>
      <c r="P725" s="22">
        <f>INDEX(Personendaten!$J$2:$J$32,MATCH(A725,Personendaten!$A$2:$A$32,0))</f>
        <v/>
      </c>
      <c r="Q725" s="22">
        <f>IF(O725=1,"",IF(AND(B725="post",P725="nicht angetreten"),"NANG",IF(N725=1,"AUSL",IFERROR(VLOOKUP(H725,Vokabular!$A$2:$B$8,2,FALSE),"UNBEKANNT"))))</f>
        <v/>
      </c>
    </row>
    <row r="726">
      <c r="A726" s="5" t="inlineStr">
        <is>
          <t>BW-11</t>
        </is>
      </c>
      <c r="B726" s="5" t="inlineStr">
        <is>
          <t>post</t>
        </is>
      </c>
      <c r="C726" s="5" t="inlineStr">
        <is>
          <t>Sprint_10m</t>
        </is>
      </c>
      <c r="D726" s="5" t="inlineStr">
        <is>
          <t>–</t>
        </is>
      </c>
      <c r="E726" s="5" t="n">
        <v>2</v>
      </c>
      <c r="F726" s="5" t="n"/>
      <c r="G726" s="5" t="n"/>
      <c r="H726" s="5" t="inlineStr">
        <is>
          <t>System falsch aufgenommen</t>
        </is>
      </c>
      <c r="I726" s="22">
        <f>INDEX(Personendaten!$C$2:$C$32,MATCH(A726,Personendaten!$A$2:$A$32,0))</f>
        <v/>
      </c>
      <c r="J726" s="22">
        <f>IF(AND(F726&lt;&gt;"",G726=""),1,0)</f>
        <v/>
      </c>
      <c r="K726" s="22">
        <f>IF(LEFT(C726,7)&lt;&gt;"Sprint_","",IF(COUNTIFS(Versuchsdaten!$A$2:$A$1117,$A726,Versuchsdaten!$B$2:$B$1117,$B726,Versuchsdaten!$C$2:$C$1117,"Sprint_5m",Versuchsdaten!$E$2:$E$1117,$E726,Versuchsdaten!$J$2:$J$1117,1)=1,SUMIFS(Versuchsdaten!$F$2:$F$1117,Versuchsdaten!$A$2:$A$1117,$A726,Versuchsdaten!$B$2:$B$1117,$B726,Versuchsdaten!$C$2:$C$1117,"Sprint_5m",Versuchsdaten!$E$2:$E$1117,$E726,Versuchsdaten!$J$2:$J$1117,1),""))</f>
        <v/>
      </c>
      <c r="L726" s="22">
        <f>IF(LEFT(C726,7)&lt;&gt;"Sprint_","",IF(COUNTIFS(Versuchsdaten!$A$2:$A$1117,$A726,Versuchsdaten!$B$2:$B$1117,$B726,Versuchsdaten!$C$2:$C$1117,"Sprint_10m",Versuchsdaten!$E$2:$E$1117,$E726,Versuchsdaten!$J$2:$J$1117,1)=1,SUMIFS(Versuchsdaten!$F$2:$F$1117,Versuchsdaten!$A$2:$A$1117,$A726,Versuchsdaten!$B$2:$B$1117,$B726,Versuchsdaten!$C$2:$C$1117,"Sprint_10m",Versuchsdaten!$E$2:$E$1117,$E726,Versuchsdaten!$J$2:$J$1117,1),""))</f>
        <v/>
      </c>
      <c r="M726" s="22">
        <f>IF(LEFT(C726,7)&lt;&gt;"Sprint_","",IF(COUNTIFS(Versuchsdaten!$A$2:$A$1117,$A726,Versuchsdaten!$B$2:$B$1117,$B726,Versuchsdaten!$C$2:$C$1117,"Sprint_30m",Versuchsdaten!$E$2:$E$1117,$E726,Versuchsdaten!$J$2:$J$1117,1)=1,SUMIFS(Versuchsdaten!$F$2:$F$1117,Versuchsdaten!$A$2:$A$1117,$A726,Versuchsdaten!$B$2:$B$1117,$B726,Versuchsdaten!$C$2:$C$1117,"Sprint_30m",Versuchsdaten!$E$2:$E$1117,$E726,Versuchsdaten!$J$2:$J$1117,1),""))</f>
        <v/>
      </c>
      <c r="N726" s="22">
        <f>IF(LEFT(C726,7)&lt;&gt;"Sprint_",0,IF(IF(ISNUMBER(K726),IF(K726&lt;=0,1,IF(5/K726&gt;10,1,0)),0)+IF(ISNUMBER(L726),IF(ISNUMBER(K726),IF(L726-K726&lt;=0,1,IF(5/(L726-K726)&gt;10,1,0)),IF(L726&lt;=0,1,IF(10/L726&gt;10,1,0))),0)+IF(ISNUMBER(M726),IF(ISNUMBER(L726),IF(M726-L726&lt;=0,1,IF(20/(M726-L726)&gt;10,1,0)),IF(ISNUMBER(K726),IF(M726-K726&lt;=0,1,IF(25/(M726-K726)&gt;10,1,0)),IF(M726&lt;=0,1,IF(30/M726&gt;10,1,0)))),0)&gt;0,1,0))</f>
        <v/>
      </c>
      <c r="O726" s="22">
        <f>IF(AND(J726=1,N726=0),1,0)</f>
        <v/>
      </c>
      <c r="P726" s="22">
        <f>INDEX(Personendaten!$J$2:$J$32,MATCH(A726,Personendaten!$A$2:$A$32,0))</f>
        <v/>
      </c>
      <c r="Q726" s="22">
        <f>IF(O726=1,"",IF(AND(B726="post",P726="nicht angetreten"),"NANG",IF(N726=1,"AUSL",IFERROR(VLOOKUP(H726,Vokabular!$A$2:$B$8,2,FALSE),"UNBEKANNT"))))</f>
        <v/>
      </c>
    </row>
    <row r="727">
      <c r="A727" s="5" t="inlineStr">
        <is>
          <t>BW-11</t>
        </is>
      </c>
      <c r="B727" s="5" t="inlineStr">
        <is>
          <t>post</t>
        </is>
      </c>
      <c r="C727" s="5" t="inlineStr">
        <is>
          <t>Sprint_10m</t>
        </is>
      </c>
      <c r="D727" s="5" t="inlineStr">
        <is>
          <t>–</t>
        </is>
      </c>
      <c r="E727" s="5" t="n">
        <v>3</v>
      </c>
      <c r="F727" s="5" t="n"/>
      <c r="G727" s="5" t="n"/>
      <c r="H727" s="5" t="inlineStr">
        <is>
          <t>System falsch aufgenommen</t>
        </is>
      </c>
      <c r="I727" s="22">
        <f>INDEX(Personendaten!$C$2:$C$32,MATCH(A727,Personendaten!$A$2:$A$32,0))</f>
        <v/>
      </c>
      <c r="J727" s="22">
        <f>IF(AND(F727&lt;&gt;"",G727=""),1,0)</f>
        <v/>
      </c>
      <c r="K727" s="22">
        <f>IF(LEFT(C727,7)&lt;&gt;"Sprint_","",IF(COUNTIFS(Versuchsdaten!$A$2:$A$1117,$A727,Versuchsdaten!$B$2:$B$1117,$B727,Versuchsdaten!$C$2:$C$1117,"Sprint_5m",Versuchsdaten!$E$2:$E$1117,$E727,Versuchsdaten!$J$2:$J$1117,1)=1,SUMIFS(Versuchsdaten!$F$2:$F$1117,Versuchsdaten!$A$2:$A$1117,$A727,Versuchsdaten!$B$2:$B$1117,$B727,Versuchsdaten!$C$2:$C$1117,"Sprint_5m",Versuchsdaten!$E$2:$E$1117,$E727,Versuchsdaten!$J$2:$J$1117,1),""))</f>
        <v/>
      </c>
      <c r="L727" s="22">
        <f>IF(LEFT(C727,7)&lt;&gt;"Sprint_","",IF(COUNTIFS(Versuchsdaten!$A$2:$A$1117,$A727,Versuchsdaten!$B$2:$B$1117,$B727,Versuchsdaten!$C$2:$C$1117,"Sprint_10m",Versuchsdaten!$E$2:$E$1117,$E727,Versuchsdaten!$J$2:$J$1117,1)=1,SUMIFS(Versuchsdaten!$F$2:$F$1117,Versuchsdaten!$A$2:$A$1117,$A727,Versuchsdaten!$B$2:$B$1117,$B727,Versuchsdaten!$C$2:$C$1117,"Sprint_10m",Versuchsdaten!$E$2:$E$1117,$E727,Versuchsdaten!$J$2:$J$1117,1),""))</f>
        <v/>
      </c>
      <c r="M727" s="22">
        <f>IF(LEFT(C727,7)&lt;&gt;"Sprint_","",IF(COUNTIFS(Versuchsdaten!$A$2:$A$1117,$A727,Versuchsdaten!$B$2:$B$1117,$B727,Versuchsdaten!$C$2:$C$1117,"Sprint_30m",Versuchsdaten!$E$2:$E$1117,$E727,Versuchsdaten!$J$2:$J$1117,1)=1,SUMIFS(Versuchsdaten!$F$2:$F$1117,Versuchsdaten!$A$2:$A$1117,$A727,Versuchsdaten!$B$2:$B$1117,$B727,Versuchsdaten!$C$2:$C$1117,"Sprint_30m",Versuchsdaten!$E$2:$E$1117,$E727,Versuchsdaten!$J$2:$J$1117,1),""))</f>
        <v/>
      </c>
      <c r="N727" s="22">
        <f>IF(LEFT(C727,7)&lt;&gt;"Sprint_",0,IF(IF(ISNUMBER(K727),IF(K727&lt;=0,1,IF(5/K727&gt;10,1,0)),0)+IF(ISNUMBER(L727),IF(ISNUMBER(K727),IF(L727-K727&lt;=0,1,IF(5/(L727-K727)&gt;10,1,0)),IF(L727&lt;=0,1,IF(10/L727&gt;10,1,0))),0)+IF(ISNUMBER(M727),IF(ISNUMBER(L727),IF(M727-L727&lt;=0,1,IF(20/(M727-L727)&gt;10,1,0)),IF(ISNUMBER(K727),IF(M727-K727&lt;=0,1,IF(25/(M727-K727)&gt;10,1,0)),IF(M727&lt;=0,1,IF(30/M727&gt;10,1,0)))),0)&gt;0,1,0))</f>
        <v/>
      </c>
      <c r="O727" s="22">
        <f>IF(AND(J727=1,N727=0),1,0)</f>
        <v/>
      </c>
      <c r="P727" s="22">
        <f>INDEX(Personendaten!$J$2:$J$32,MATCH(A727,Personendaten!$A$2:$A$32,0))</f>
        <v/>
      </c>
      <c r="Q727" s="22">
        <f>IF(O727=1,"",IF(AND(B727="post",P727="nicht angetreten"),"NANG",IF(N727=1,"AUSL",IFERROR(VLOOKUP(H727,Vokabular!$A$2:$B$8,2,FALSE),"UNBEKANNT"))))</f>
        <v/>
      </c>
    </row>
    <row r="728">
      <c r="A728" s="5" t="inlineStr">
        <is>
          <t>BW-11</t>
        </is>
      </c>
      <c r="B728" s="5" t="inlineStr">
        <is>
          <t>post</t>
        </is>
      </c>
      <c r="C728" s="5" t="inlineStr">
        <is>
          <t>Sprint_30m</t>
        </is>
      </c>
      <c r="D728" s="5" t="inlineStr">
        <is>
          <t>–</t>
        </is>
      </c>
      <c r="E728" s="5" t="n">
        <v>1</v>
      </c>
      <c r="F728" s="5" t="n">
        <v>4.89</v>
      </c>
      <c r="G728" s="5" t="n"/>
      <c r="H728" s="5" t="n"/>
      <c r="I728" s="22">
        <f>INDEX(Personendaten!$C$2:$C$32,MATCH(A728,Personendaten!$A$2:$A$32,0))</f>
        <v/>
      </c>
      <c r="J728" s="22">
        <f>IF(AND(F728&lt;&gt;"",G728=""),1,0)</f>
        <v/>
      </c>
      <c r="K728" s="22">
        <f>IF(LEFT(C728,7)&lt;&gt;"Sprint_","",IF(COUNTIFS(Versuchsdaten!$A$2:$A$1117,$A728,Versuchsdaten!$B$2:$B$1117,$B728,Versuchsdaten!$C$2:$C$1117,"Sprint_5m",Versuchsdaten!$E$2:$E$1117,$E728,Versuchsdaten!$J$2:$J$1117,1)=1,SUMIFS(Versuchsdaten!$F$2:$F$1117,Versuchsdaten!$A$2:$A$1117,$A728,Versuchsdaten!$B$2:$B$1117,$B728,Versuchsdaten!$C$2:$C$1117,"Sprint_5m",Versuchsdaten!$E$2:$E$1117,$E728,Versuchsdaten!$J$2:$J$1117,1),""))</f>
        <v/>
      </c>
      <c r="L728" s="22">
        <f>IF(LEFT(C728,7)&lt;&gt;"Sprint_","",IF(COUNTIFS(Versuchsdaten!$A$2:$A$1117,$A728,Versuchsdaten!$B$2:$B$1117,$B728,Versuchsdaten!$C$2:$C$1117,"Sprint_10m",Versuchsdaten!$E$2:$E$1117,$E728,Versuchsdaten!$J$2:$J$1117,1)=1,SUMIFS(Versuchsdaten!$F$2:$F$1117,Versuchsdaten!$A$2:$A$1117,$A728,Versuchsdaten!$B$2:$B$1117,$B728,Versuchsdaten!$C$2:$C$1117,"Sprint_10m",Versuchsdaten!$E$2:$E$1117,$E728,Versuchsdaten!$J$2:$J$1117,1),""))</f>
        <v/>
      </c>
      <c r="M728" s="22">
        <f>IF(LEFT(C728,7)&lt;&gt;"Sprint_","",IF(COUNTIFS(Versuchsdaten!$A$2:$A$1117,$A728,Versuchsdaten!$B$2:$B$1117,$B728,Versuchsdaten!$C$2:$C$1117,"Sprint_30m",Versuchsdaten!$E$2:$E$1117,$E728,Versuchsdaten!$J$2:$J$1117,1)=1,SUMIFS(Versuchsdaten!$F$2:$F$1117,Versuchsdaten!$A$2:$A$1117,$A728,Versuchsdaten!$B$2:$B$1117,$B728,Versuchsdaten!$C$2:$C$1117,"Sprint_30m",Versuchsdaten!$E$2:$E$1117,$E728,Versuchsdaten!$J$2:$J$1117,1),""))</f>
        <v/>
      </c>
      <c r="N728" s="22">
        <f>IF(LEFT(C728,7)&lt;&gt;"Sprint_",0,IF(IF(ISNUMBER(K728),IF(K728&lt;=0,1,IF(5/K728&gt;10,1,0)),0)+IF(ISNUMBER(L728),IF(ISNUMBER(K728),IF(L728-K728&lt;=0,1,IF(5/(L728-K728)&gt;10,1,0)),IF(L728&lt;=0,1,IF(10/L728&gt;10,1,0))),0)+IF(ISNUMBER(M728),IF(ISNUMBER(L728),IF(M728-L728&lt;=0,1,IF(20/(M728-L728)&gt;10,1,0)),IF(ISNUMBER(K728),IF(M728-K728&lt;=0,1,IF(25/(M728-K728)&gt;10,1,0)),IF(M728&lt;=0,1,IF(30/M728&gt;10,1,0)))),0)&gt;0,1,0))</f>
        <v/>
      </c>
      <c r="O728" s="22">
        <f>IF(AND(J728=1,N728=0),1,0)</f>
        <v/>
      </c>
      <c r="P728" s="22">
        <f>INDEX(Personendaten!$J$2:$J$32,MATCH(A728,Personendaten!$A$2:$A$32,0))</f>
        <v/>
      </c>
      <c r="Q728" s="22">
        <f>IF(O728=1,"",IF(AND(B728="post",P728="nicht angetreten"),"NANG",IF(N728=1,"AUSL",IFERROR(VLOOKUP(H728,Vokabular!$A$2:$B$8,2,FALSE),"UNBEKANNT"))))</f>
        <v/>
      </c>
    </row>
    <row r="729">
      <c r="A729" s="5" t="inlineStr">
        <is>
          <t>BW-11</t>
        </is>
      </c>
      <c r="B729" s="5" t="inlineStr">
        <is>
          <t>post</t>
        </is>
      </c>
      <c r="C729" s="5" t="inlineStr">
        <is>
          <t>Sprint_30m</t>
        </is>
      </c>
      <c r="D729" s="5" t="inlineStr">
        <is>
          <t>–</t>
        </is>
      </c>
      <c r="E729" s="5" t="n">
        <v>2</v>
      </c>
      <c r="F729" s="5" t="n">
        <v>4.89</v>
      </c>
      <c r="G729" s="5" t="n"/>
      <c r="H729" s="5" t="n"/>
      <c r="I729" s="22">
        <f>INDEX(Personendaten!$C$2:$C$32,MATCH(A729,Personendaten!$A$2:$A$32,0))</f>
        <v/>
      </c>
      <c r="J729" s="22">
        <f>IF(AND(F729&lt;&gt;"",G729=""),1,0)</f>
        <v/>
      </c>
      <c r="K729" s="22">
        <f>IF(LEFT(C729,7)&lt;&gt;"Sprint_","",IF(COUNTIFS(Versuchsdaten!$A$2:$A$1117,$A729,Versuchsdaten!$B$2:$B$1117,$B729,Versuchsdaten!$C$2:$C$1117,"Sprint_5m",Versuchsdaten!$E$2:$E$1117,$E729,Versuchsdaten!$J$2:$J$1117,1)=1,SUMIFS(Versuchsdaten!$F$2:$F$1117,Versuchsdaten!$A$2:$A$1117,$A729,Versuchsdaten!$B$2:$B$1117,$B729,Versuchsdaten!$C$2:$C$1117,"Sprint_5m",Versuchsdaten!$E$2:$E$1117,$E729,Versuchsdaten!$J$2:$J$1117,1),""))</f>
        <v/>
      </c>
      <c r="L729" s="22">
        <f>IF(LEFT(C729,7)&lt;&gt;"Sprint_","",IF(COUNTIFS(Versuchsdaten!$A$2:$A$1117,$A729,Versuchsdaten!$B$2:$B$1117,$B729,Versuchsdaten!$C$2:$C$1117,"Sprint_10m",Versuchsdaten!$E$2:$E$1117,$E729,Versuchsdaten!$J$2:$J$1117,1)=1,SUMIFS(Versuchsdaten!$F$2:$F$1117,Versuchsdaten!$A$2:$A$1117,$A729,Versuchsdaten!$B$2:$B$1117,$B729,Versuchsdaten!$C$2:$C$1117,"Sprint_10m",Versuchsdaten!$E$2:$E$1117,$E729,Versuchsdaten!$J$2:$J$1117,1),""))</f>
        <v/>
      </c>
      <c r="M729" s="22">
        <f>IF(LEFT(C729,7)&lt;&gt;"Sprint_","",IF(COUNTIFS(Versuchsdaten!$A$2:$A$1117,$A729,Versuchsdaten!$B$2:$B$1117,$B729,Versuchsdaten!$C$2:$C$1117,"Sprint_30m",Versuchsdaten!$E$2:$E$1117,$E729,Versuchsdaten!$J$2:$J$1117,1)=1,SUMIFS(Versuchsdaten!$F$2:$F$1117,Versuchsdaten!$A$2:$A$1117,$A729,Versuchsdaten!$B$2:$B$1117,$B729,Versuchsdaten!$C$2:$C$1117,"Sprint_30m",Versuchsdaten!$E$2:$E$1117,$E729,Versuchsdaten!$J$2:$J$1117,1),""))</f>
        <v/>
      </c>
      <c r="N729" s="22">
        <f>IF(LEFT(C729,7)&lt;&gt;"Sprint_",0,IF(IF(ISNUMBER(K729),IF(K729&lt;=0,1,IF(5/K729&gt;10,1,0)),0)+IF(ISNUMBER(L729),IF(ISNUMBER(K729),IF(L729-K729&lt;=0,1,IF(5/(L729-K729)&gt;10,1,0)),IF(L729&lt;=0,1,IF(10/L729&gt;10,1,0))),0)+IF(ISNUMBER(M729),IF(ISNUMBER(L729),IF(M729-L729&lt;=0,1,IF(20/(M729-L729)&gt;10,1,0)),IF(ISNUMBER(K729),IF(M729-K729&lt;=0,1,IF(25/(M729-K729)&gt;10,1,0)),IF(M729&lt;=0,1,IF(30/M729&gt;10,1,0)))),0)&gt;0,1,0))</f>
        <v/>
      </c>
      <c r="O729" s="22">
        <f>IF(AND(J729=1,N729=0),1,0)</f>
        <v/>
      </c>
      <c r="P729" s="22">
        <f>INDEX(Personendaten!$J$2:$J$32,MATCH(A729,Personendaten!$A$2:$A$32,0))</f>
        <v/>
      </c>
      <c r="Q729" s="22">
        <f>IF(O729=1,"",IF(AND(B729="post",P729="nicht angetreten"),"NANG",IF(N729=1,"AUSL",IFERROR(VLOOKUP(H729,Vokabular!$A$2:$B$8,2,FALSE),"UNBEKANNT"))))</f>
        <v/>
      </c>
    </row>
    <row r="730">
      <c r="A730" s="5" t="inlineStr">
        <is>
          <t>BW-11</t>
        </is>
      </c>
      <c r="B730" s="5" t="inlineStr">
        <is>
          <t>post</t>
        </is>
      </c>
      <c r="C730" s="5" t="inlineStr">
        <is>
          <t>Sprint_30m</t>
        </is>
      </c>
      <c r="D730" s="5" t="inlineStr">
        <is>
          <t>–</t>
        </is>
      </c>
      <c r="E730" s="5" t="n">
        <v>3</v>
      </c>
      <c r="F730" s="5" t="n"/>
      <c r="G730" s="5" t="n"/>
      <c r="H730" s="5" t="inlineStr">
        <is>
          <t>Nur 2 Versuche aus Zeitmangel</t>
        </is>
      </c>
      <c r="I730" s="22">
        <f>INDEX(Personendaten!$C$2:$C$32,MATCH(A730,Personendaten!$A$2:$A$32,0))</f>
        <v/>
      </c>
      <c r="J730" s="22">
        <f>IF(AND(F730&lt;&gt;"",G730=""),1,0)</f>
        <v/>
      </c>
      <c r="K730" s="22">
        <f>IF(LEFT(C730,7)&lt;&gt;"Sprint_","",IF(COUNTIFS(Versuchsdaten!$A$2:$A$1117,$A730,Versuchsdaten!$B$2:$B$1117,$B730,Versuchsdaten!$C$2:$C$1117,"Sprint_5m",Versuchsdaten!$E$2:$E$1117,$E730,Versuchsdaten!$J$2:$J$1117,1)=1,SUMIFS(Versuchsdaten!$F$2:$F$1117,Versuchsdaten!$A$2:$A$1117,$A730,Versuchsdaten!$B$2:$B$1117,$B730,Versuchsdaten!$C$2:$C$1117,"Sprint_5m",Versuchsdaten!$E$2:$E$1117,$E730,Versuchsdaten!$J$2:$J$1117,1),""))</f>
        <v/>
      </c>
      <c r="L730" s="22">
        <f>IF(LEFT(C730,7)&lt;&gt;"Sprint_","",IF(COUNTIFS(Versuchsdaten!$A$2:$A$1117,$A730,Versuchsdaten!$B$2:$B$1117,$B730,Versuchsdaten!$C$2:$C$1117,"Sprint_10m",Versuchsdaten!$E$2:$E$1117,$E730,Versuchsdaten!$J$2:$J$1117,1)=1,SUMIFS(Versuchsdaten!$F$2:$F$1117,Versuchsdaten!$A$2:$A$1117,$A730,Versuchsdaten!$B$2:$B$1117,$B730,Versuchsdaten!$C$2:$C$1117,"Sprint_10m",Versuchsdaten!$E$2:$E$1117,$E730,Versuchsdaten!$J$2:$J$1117,1),""))</f>
        <v/>
      </c>
      <c r="M730" s="22">
        <f>IF(LEFT(C730,7)&lt;&gt;"Sprint_","",IF(COUNTIFS(Versuchsdaten!$A$2:$A$1117,$A730,Versuchsdaten!$B$2:$B$1117,$B730,Versuchsdaten!$C$2:$C$1117,"Sprint_30m",Versuchsdaten!$E$2:$E$1117,$E730,Versuchsdaten!$J$2:$J$1117,1)=1,SUMIFS(Versuchsdaten!$F$2:$F$1117,Versuchsdaten!$A$2:$A$1117,$A730,Versuchsdaten!$B$2:$B$1117,$B730,Versuchsdaten!$C$2:$C$1117,"Sprint_30m",Versuchsdaten!$E$2:$E$1117,$E730,Versuchsdaten!$J$2:$J$1117,1),""))</f>
        <v/>
      </c>
      <c r="N730" s="22">
        <f>IF(LEFT(C730,7)&lt;&gt;"Sprint_",0,IF(IF(ISNUMBER(K730),IF(K730&lt;=0,1,IF(5/K730&gt;10,1,0)),0)+IF(ISNUMBER(L730),IF(ISNUMBER(K730),IF(L730-K730&lt;=0,1,IF(5/(L730-K730)&gt;10,1,0)),IF(L730&lt;=0,1,IF(10/L730&gt;10,1,0))),0)+IF(ISNUMBER(M730),IF(ISNUMBER(L730),IF(M730-L730&lt;=0,1,IF(20/(M730-L730)&gt;10,1,0)),IF(ISNUMBER(K730),IF(M730-K730&lt;=0,1,IF(25/(M730-K730)&gt;10,1,0)),IF(M730&lt;=0,1,IF(30/M730&gt;10,1,0)))),0)&gt;0,1,0))</f>
        <v/>
      </c>
      <c r="O730" s="22">
        <f>IF(AND(J730=1,N730=0),1,0)</f>
        <v/>
      </c>
      <c r="P730" s="22">
        <f>INDEX(Personendaten!$J$2:$J$32,MATCH(A730,Personendaten!$A$2:$A$32,0))</f>
        <v/>
      </c>
      <c r="Q730" s="22">
        <f>IF(O730=1,"",IF(AND(B730="post",P730="nicht angetreten"),"NANG",IF(N730=1,"AUSL",IFERROR(VLOOKUP(H730,Vokabular!$A$2:$B$8,2,FALSE),"UNBEKANNT"))))</f>
        <v/>
      </c>
    </row>
    <row r="731">
      <c r="A731" s="5" t="inlineStr">
        <is>
          <t>BW-11</t>
        </is>
      </c>
      <c r="B731" s="5" t="inlineStr">
        <is>
          <t>post</t>
        </is>
      </c>
      <c r="C731" s="5" t="inlineStr">
        <is>
          <t>Standweitsprung</t>
        </is>
      </c>
      <c r="D731" s="5" t="inlineStr">
        <is>
          <t>–</t>
        </is>
      </c>
      <c r="E731" s="5" t="n">
        <v>1</v>
      </c>
      <c r="F731" s="5" t="n">
        <v>210</v>
      </c>
      <c r="G731" s="5" t="n"/>
      <c r="H731" s="5" t="n"/>
      <c r="I731" s="22">
        <f>INDEX(Personendaten!$C$2:$C$32,MATCH(A731,Personendaten!$A$2:$A$32,0))</f>
        <v/>
      </c>
      <c r="J731" s="22">
        <f>IF(AND(F731&lt;&gt;"",G731=""),1,0)</f>
        <v/>
      </c>
      <c r="K731" s="22">
        <f>IF(LEFT(C731,7)&lt;&gt;"Sprint_","",IF(COUNTIFS(Versuchsdaten!$A$2:$A$1117,$A731,Versuchsdaten!$B$2:$B$1117,$B731,Versuchsdaten!$C$2:$C$1117,"Sprint_5m",Versuchsdaten!$E$2:$E$1117,$E731,Versuchsdaten!$J$2:$J$1117,1)=1,SUMIFS(Versuchsdaten!$F$2:$F$1117,Versuchsdaten!$A$2:$A$1117,$A731,Versuchsdaten!$B$2:$B$1117,$B731,Versuchsdaten!$C$2:$C$1117,"Sprint_5m",Versuchsdaten!$E$2:$E$1117,$E731,Versuchsdaten!$J$2:$J$1117,1),""))</f>
        <v/>
      </c>
      <c r="L731" s="22">
        <f>IF(LEFT(C731,7)&lt;&gt;"Sprint_","",IF(COUNTIFS(Versuchsdaten!$A$2:$A$1117,$A731,Versuchsdaten!$B$2:$B$1117,$B731,Versuchsdaten!$C$2:$C$1117,"Sprint_10m",Versuchsdaten!$E$2:$E$1117,$E731,Versuchsdaten!$J$2:$J$1117,1)=1,SUMIFS(Versuchsdaten!$F$2:$F$1117,Versuchsdaten!$A$2:$A$1117,$A731,Versuchsdaten!$B$2:$B$1117,$B731,Versuchsdaten!$C$2:$C$1117,"Sprint_10m",Versuchsdaten!$E$2:$E$1117,$E731,Versuchsdaten!$J$2:$J$1117,1),""))</f>
        <v/>
      </c>
      <c r="M731" s="22">
        <f>IF(LEFT(C731,7)&lt;&gt;"Sprint_","",IF(COUNTIFS(Versuchsdaten!$A$2:$A$1117,$A731,Versuchsdaten!$B$2:$B$1117,$B731,Versuchsdaten!$C$2:$C$1117,"Sprint_30m",Versuchsdaten!$E$2:$E$1117,$E731,Versuchsdaten!$J$2:$J$1117,1)=1,SUMIFS(Versuchsdaten!$F$2:$F$1117,Versuchsdaten!$A$2:$A$1117,$A731,Versuchsdaten!$B$2:$B$1117,$B731,Versuchsdaten!$C$2:$C$1117,"Sprint_30m",Versuchsdaten!$E$2:$E$1117,$E731,Versuchsdaten!$J$2:$J$1117,1),""))</f>
        <v/>
      </c>
      <c r="N731" s="22">
        <f>IF(LEFT(C731,7)&lt;&gt;"Sprint_",0,IF(IF(ISNUMBER(K731),IF(K731&lt;=0,1,IF(5/K731&gt;10,1,0)),0)+IF(ISNUMBER(L731),IF(ISNUMBER(K731),IF(L731-K731&lt;=0,1,IF(5/(L731-K731)&gt;10,1,0)),IF(L731&lt;=0,1,IF(10/L731&gt;10,1,0))),0)+IF(ISNUMBER(M731),IF(ISNUMBER(L731),IF(M731-L731&lt;=0,1,IF(20/(M731-L731)&gt;10,1,0)),IF(ISNUMBER(K731),IF(M731-K731&lt;=0,1,IF(25/(M731-K731)&gt;10,1,0)),IF(M731&lt;=0,1,IF(30/M731&gt;10,1,0)))),0)&gt;0,1,0))</f>
        <v/>
      </c>
      <c r="O731" s="22">
        <f>IF(AND(J731=1,N731=0),1,0)</f>
        <v/>
      </c>
      <c r="P731" s="22">
        <f>INDEX(Personendaten!$J$2:$J$32,MATCH(A731,Personendaten!$A$2:$A$32,0))</f>
        <v/>
      </c>
      <c r="Q731" s="22">
        <f>IF(O731=1,"",IF(AND(B731="post",P731="nicht angetreten"),"NANG",IF(N731=1,"AUSL",IFERROR(VLOOKUP(H731,Vokabular!$A$2:$B$8,2,FALSE),"UNBEKANNT"))))</f>
        <v/>
      </c>
    </row>
    <row r="732">
      <c r="A732" s="5" t="inlineStr">
        <is>
          <t>BW-11</t>
        </is>
      </c>
      <c r="B732" s="5" t="inlineStr">
        <is>
          <t>post</t>
        </is>
      </c>
      <c r="C732" s="5" t="inlineStr">
        <is>
          <t>Standweitsprung</t>
        </is>
      </c>
      <c r="D732" s="5" t="inlineStr">
        <is>
          <t>–</t>
        </is>
      </c>
      <c r="E732" s="5" t="n">
        <v>2</v>
      </c>
      <c r="F732" s="5" t="n"/>
      <c r="G732" s="5" t="inlineStr">
        <is>
          <t>x</t>
        </is>
      </c>
      <c r="H732" s="5" t="inlineStr">
        <is>
          <t>Fehlversuch</t>
        </is>
      </c>
      <c r="I732" s="22">
        <f>INDEX(Personendaten!$C$2:$C$32,MATCH(A732,Personendaten!$A$2:$A$32,0))</f>
        <v/>
      </c>
      <c r="J732" s="22">
        <f>IF(AND(F732&lt;&gt;"",G732=""),1,0)</f>
        <v/>
      </c>
      <c r="K732" s="22">
        <f>IF(LEFT(C732,7)&lt;&gt;"Sprint_","",IF(COUNTIFS(Versuchsdaten!$A$2:$A$1117,$A732,Versuchsdaten!$B$2:$B$1117,$B732,Versuchsdaten!$C$2:$C$1117,"Sprint_5m",Versuchsdaten!$E$2:$E$1117,$E732,Versuchsdaten!$J$2:$J$1117,1)=1,SUMIFS(Versuchsdaten!$F$2:$F$1117,Versuchsdaten!$A$2:$A$1117,$A732,Versuchsdaten!$B$2:$B$1117,$B732,Versuchsdaten!$C$2:$C$1117,"Sprint_5m",Versuchsdaten!$E$2:$E$1117,$E732,Versuchsdaten!$J$2:$J$1117,1),""))</f>
        <v/>
      </c>
      <c r="L732" s="22">
        <f>IF(LEFT(C732,7)&lt;&gt;"Sprint_","",IF(COUNTIFS(Versuchsdaten!$A$2:$A$1117,$A732,Versuchsdaten!$B$2:$B$1117,$B732,Versuchsdaten!$C$2:$C$1117,"Sprint_10m",Versuchsdaten!$E$2:$E$1117,$E732,Versuchsdaten!$J$2:$J$1117,1)=1,SUMIFS(Versuchsdaten!$F$2:$F$1117,Versuchsdaten!$A$2:$A$1117,$A732,Versuchsdaten!$B$2:$B$1117,$B732,Versuchsdaten!$C$2:$C$1117,"Sprint_10m",Versuchsdaten!$E$2:$E$1117,$E732,Versuchsdaten!$J$2:$J$1117,1),""))</f>
        <v/>
      </c>
      <c r="M732" s="22">
        <f>IF(LEFT(C732,7)&lt;&gt;"Sprint_","",IF(COUNTIFS(Versuchsdaten!$A$2:$A$1117,$A732,Versuchsdaten!$B$2:$B$1117,$B732,Versuchsdaten!$C$2:$C$1117,"Sprint_30m",Versuchsdaten!$E$2:$E$1117,$E732,Versuchsdaten!$J$2:$J$1117,1)=1,SUMIFS(Versuchsdaten!$F$2:$F$1117,Versuchsdaten!$A$2:$A$1117,$A732,Versuchsdaten!$B$2:$B$1117,$B732,Versuchsdaten!$C$2:$C$1117,"Sprint_30m",Versuchsdaten!$E$2:$E$1117,$E732,Versuchsdaten!$J$2:$J$1117,1),""))</f>
        <v/>
      </c>
      <c r="N732" s="22">
        <f>IF(LEFT(C732,7)&lt;&gt;"Sprint_",0,IF(IF(ISNUMBER(K732),IF(K732&lt;=0,1,IF(5/K732&gt;10,1,0)),0)+IF(ISNUMBER(L732),IF(ISNUMBER(K732),IF(L732-K732&lt;=0,1,IF(5/(L732-K732)&gt;10,1,0)),IF(L732&lt;=0,1,IF(10/L732&gt;10,1,0))),0)+IF(ISNUMBER(M732),IF(ISNUMBER(L732),IF(M732-L732&lt;=0,1,IF(20/(M732-L732)&gt;10,1,0)),IF(ISNUMBER(K732),IF(M732-K732&lt;=0,1,IF(25/(M732-K732)&gt;10,1,0)),IF(M732&lt;=0,1,IF(30/M732&gt;10,1,0)))),0)&gt;0,1,0))</f>
        <v/>
      </c>
      <c r="O732" s="22">
        <f>IF(AND(J732=1,N732=0),1,0)</f>
        <v/>
      </c>
      <c r="P732" s="22">
        <f>INDEX(Personendaten!$J$2:$J$32,MATCH(A732,Personendaten!$A$2:$A$32,0))</f>
        <v/>
      </c>
      <c r="Q732" s="22">
        <f>IF(O732=1,"",IF(AND(B732="post",P732="nicht angetreten"),"NANG",IF(N732=1,"AUSL",IFERROR(VLOOKUP(H732,Vokabular!$A$2:$B$8,2,FALSE),"UNBEKANNT"))))</f>
        <v/>
      </c>
    </row>
    <row r="733">
      <c r="A733" s="5" t="inlineStr">
        <is>
          <t>BW-11</t>
        </is>
      </c>
      <c r="B733" s="5" t="inlineStr">
        <is>
          <t>post</t>
        </is>
      </c>
      <c r="C733" s="5" t="inlineStr">
        <is>
          <t>Standweitsprung</t>
        </is>
      </c>
      <c r="D733" s="5" t="inlineStr">
        <is>
          <t>–</t>
        </is>
      </c>
      <c r="E733" s="5" t="n">
        <v>3</v>
      </c>
      <c r="F733" s="5" t="n"/>
      <c r="G733" s="5" t="n"/>
      <c r="H733" s="5" t="inlineStr">
        <is>
          <t>Nur 2 Versuche aus Zeitmangel</t>
        </is>
      </c>
      <c r="I733" s="22">
        <f>INDEX(Personendaten!$C$2:$C$32,MATCH(A733,Personendaten!$A$2:$A$32,0))</f>
        <v/>
      </c>
      <c r="J733" s="22">
        <f>IF(AND(F733&lt;&gt;"",G733=""),1,0)</f>
        <v/>
      </c>
      <c r="K733" s="22">
        <f>IF(LEFT(C733,7)&lt;&gt;"Sprint_","",IF(COUNTIFS(Versuchsdaten!$A$2:$A$1117,$A733,Versuchsdaten!$B$2:$B$1117,$B733,Versuchsdaten!$C$2:$C$1117,"Sprint_5m",Versuchsdaten!$E$2:$E$1117,$E733,Versuchsdaten!$J$2:$J$1117,1)=1,SUMIFS(Versuchsdaten!$F$2:$F$1117,Versuchsdaten!$A$2:$A$1117,$A733,Versuchsdaten!$B$2:$B$1117,$B733,Versuchsdaten!$C$2:$C$1117,"Sprint_5m",Versuchsdaten!$E$2:$E$1117,$E733,Versuchsdaten!$J$2:$J$1117,1),""))</f>
        <v/>
      </c>
      <c r="L733" s="22">
        <f>IF(LEFT(C733,7)&lt;&gt;"Sprint_","",IF(COUNTIFS(Versuchsdaten!$A$2:$A$1117,$A733,Versuchsdaten!$B$2:$B$1117,$B733,Versuchsdaten!$C$2:$C$1117,"Sprint_10m",Versuchsdaten!$E$2:$E$1117,$E733,Versuchsdaten!$J$2:$J$1117,1)=1,SUMIFS(Versuchsdaten!$F$2:$F$1117,Versuchsdaten!$A$2:$A$1117,$A733,Versuchsdaten!$B$2:$B$1117,$B733,Versuchsdaten!$C$2:$C$1117,"Sprint_10m",Versuchsdaten!$E$2:$E$1117,$E733,Versuchsdaten!$J$2:$J$1117,1),""))</f>
        <v/>
      </c>
      <c r="M733" s="22">
        <f>IF(LEFT(C733,7)&lt;&gt;"Sprint_","",IF(COUNTIFS(Versuchsdaten!$A$2:$A$1117,$A733,Versuchsdaten!$B$2:$B$1117,$B733,Versuchsdaten!$C$2:$C$1117,"Sprint_30m",Versuchsdaten!$E$2:$E$1117,$E733,Versuchsdaten!$J$2:$J$1117,1)=1,SUMIFS(Versuchsdaten!$F$2:$F$1117,Versuchsdaten!$A$2:$A$1117,$A733,Versuchsdaten!$B$2:$B$1117,$B733,Versuchsdaten!$C$2:$C$1117,"Sprint_30m",Versuchsdaten!$E$2:$E$1117,$E733,Versuchsdaten!$J$2:$J$1117,1),""))</f>
        <v/>
      </c>
      <c r="N733" s="22">
        <f>IF(LEFT(C733,7)&lt;&gt;"Sprint_",0,IF(IF(ISNUMBER(K733),IF(K733&lt;=0,1,IF(5/K733&gt;10,1,0)),0)+IF(ISNUMBER(L733),IF(ISNUMBER(K733),IF(L733-K733&lt;=0,1,IF(5/(L733-K733)&gt;10,1,0)),IF(L733&lt;=0,1,IF(10/L733&gt;10,1,0))),0)+IF(ISNUMBER(M733),IF(ISNUMBER(L733),IF(M733-L733&lt;=0,1,IF(20/(M733-L733)&gt;10,1,0)),IF(ISNUMBER(K733),IF(M733-K733&lt;=0,1,IF(25/(M733-K733)&gt;10,1,0)),IF(M733&lt;=0,1,IF(30/M733&gt;10,1,0)))),0)&gt;0,1,0))</f>
        <v/>
      </c>
      <c r="O733" s="22">
        <f>IF(AND(J733=1,N733=0),1,0)</f>
        <v/>
      </c>
      <c r="P733" s="22">
        <f>INDEX(Personendaten!$J$2:$J$32,MATCH(A733,Personendaten!$A$2:$A$32,0))</f>
        <v/>
      </c>
      <c r="Q733" s="22">
        <f>IF(O733=1,"",IF(AND(B733="post",P733="nicht angetreten"),"NANG",IF(N733=1,"AUSL",IFERROR(VLOOKUP(H733,Vokabular!$A$2:$B$8,2,FALSE),"UNBEKANNT"))))</f>
        <v/>
      </c>
    </row>
    <row r="734">
      <c r="A734" s="5" t="inlineStr">
        <is>
          <t>BW-11</t>
        </is>
      </c>
      <c r="B734" s="5" t="inlineStr">
        <is>
          <t>post</t>
        </is>
      </c>
      <c r="C734" s="5" t="inlineStr">
        <is>
          <t>COD_505</t>
        </is>
      </c>
      <c r="D734" s="5" t="inlineStr">
        <is>
          <t>L</t>
        </is>
      </c>
      <c r="E734" s="5" t="n">
        <v>1</v>
      </c>
      <c r="F734" s="5" t="n">
        <v>2.53</v>
      </c>
      <c r="G734" s="5" t="n"/>
      <c r="H734" s="5" t="n"/>
      <c r="I734" s="22">
        <f>INDEX(Personendaten!$C$2:$C$32,MATCH(A734,Personendaten!$A$2:$A$32,0))</f>
        <v/>
      </c>
      <c r="J734" s="22">
        <f>IF(AND(F734&lt;&gt;"",G734=""),1,0)</f>
        <v/>
      </c>
      <c r="K734" s="22">
        <f>IF(LEFT(C734,7)&lt;&gt;"Sprint_","",IF(COUNTIFS(Versuchsdaten!$A$2:$A$1117,$A734,Versuchsdaten!$B$2:$B$1117,$B734,Versuchsdaten!$C$2:$C$1117,"Sprint_5m",Versuchsdaten!$E$2:$E$1117,$E734,Versuchsdaten!$J$2:$J$1117,1)=1,SUMIFS(Versuchsdaten!$F$2:$F$1117,Versuchsdaten!$A$2:$A$1117,$A734,Versuchsdaten!$B$2:$B$1117,$B734,Versuchsdaten!$C$2:$C$1117,"Sprint_5m",Versuchsdaten!$E$2:$E$1117,$E734,Versuchsdaten!$J$2:$J$1117,1),""))</f>
        <v/>
      </c>
      <c r="L734" s="22">
        <f>IF(LEFT(C734,7)&lt;&gt;"Sprint_","",IF(COUNTIFS(Versuchsdaten!$A$2:$A$1117,$A734,Versuchsdaten!$B$2:$B$1117,$B734,Versuchsdaten!$C$2:$C$1117,"Sprint_10m",Versuchsdaten!$E$2:$E$1117,$E734,Versuchsdaten!$J$2:$J$1117,1)=1,SUMIFS(Versuchsdaten!$F$2:$F$1117,Versuchsdaten!$A$2:$A$1117,$A734,Versuchsdaten!$B$2:$B$1117,$B734,Versuchsdaten!$C$2:$C$1117,"Sprint_10m",Versuchsdaten!$E$2:$E$1117,$E734,Versuchsdaten!$J$2:$J$1117,1),""))</f>
        <v/>
      </c>
      <c r="M734" s="22">
        <f>IF(LEFT(C734,7)&lt;&gt;"Sprint_","",IF(COUNTIFS(Versuchsdaten!$A$2:$A$1117,$A734,Versuchsdaten!$B$2:$B$1117,$B734,Versuchsdaten!$C$2:$C$1117,"Sprint_30m",Versuchsdaten!$E$2:$E$1117,$E734,Versuchsdaten!$J$2:$J$1117,1)=1,SUMIFS(Versuchsdaten!$F$2:$F$1117,Versuchsdaten!$A$2:$A$1117,$A734,Versuchsdaten!$B$2:$B$1117,$B734,Versuchsdaten!$C$2:$C$1117,"Sprint_30m",Versuchsdaten!$E$2:$E$1117,$E734,Versuchsdaten!$J$2:$J$1117,1),""))</f>
        <v/>
      </c>
      <c r="N734" s="22">
        <f>IF(LEFT(C734,7)&lt;&gt;"Sprint_",0,IF(IF(ISNUMBER(K734),IF(K734&lt;=0,1,IF(5/K734&gt;10,1,0)),0)+IF(ISNUMBER(L734),IF(ISNUMBER(K734),IF(L734-K734&lt;=0,1,IF(5/(L734-K734)&gt;10,1,0)),IF(L734&lt;=0,1,IF(10/L734&gt;10,1,0))),0)+IF(ISNUMBER(M734),IF(ISNUMBER(L734),IF(M734-L734&lt;=0,1,IF(20/(M734-L734)&gt;10,1,0)),IF(ISNUMBER(K734),IF(M734-K734&lt;=0,1,IF(25/(M734-K734)&gt;10,1,0)),IF(M734&lt;=0,1,IF(30/M734&gt;10,1,0)))),0)&gt;0,1,0))</f>
        <v/>
      </c>
      <c r="O734" s="22">
        <f>IF(AND(J734=1,N734=0),1,0)</f>
        <v/>
      </c>
      <c r="P734" s="22">
        <f>INDEX(Personendaten!$J$2:$J$32,MATCH(A734,Personendaten!$A$2:$A$32,0))</f>
        <v/>
      </c>
      <c r="Q734" s="22">
        <f>IF(O734=1,"",IF(AND(B734="post",P734="nicht angetreten"),"NANG",IF(N734=1,"AUSL",IFERROR(VLOOKUP(H734,Vokabular!$A$2:$B$8,2,FALSE),"UNBEKANNT"))))</f>
        <v/>
      </c>
    </row>
    <row r="735">
      <c r="A735" s="5" t="inlineStr">
        <is>
          <t>BW-11</t>
        </is>
      </c>
      <c r="B735" s="5" t="inlineStr">
        <is>
          <t>post</t>
        </is>
      </c>
      <c r="C735" s="5" t="inlineStr">
        <is>
          <t>COD_505</t>
        </is>
      </c>
      <c r="D735" s="5" t="inlineStr">
        <is>
          <t>L</t>
        </is>
      </c>
      <c r="E735" s="5" t="n">
        <v>2</v>
      </c>
      <c r="F735" s="5" t="n">
        <v>2.51</v>
      </c>
      <c r="G735" s="5" t="n"/>
      <c r="H735" s="5" t="n"/>
      <c r="I735" s="22">
        <f>INDEX(Personendaten!$C$2:$C$32,MATCH(A735,Personendaten!$A$2:$A$32,0))</f>
        <v/>
      </c>
      <c r="J735" s="22">
        <f>IF(AND(F735&lt;&gt;"",G735=""),1,0)</f>
        <v/>
      </c>
      <c r="K735" s="22">
        <f>IF(LEFT(C735,7)&lt;&gt;"Sprint_","",IF(COUNTIFS(Versuchsdaten!$A$2:$A$1117,$A735,Versuchsdaten!$B$2:$B$1117,$B735,Versuchsdaten!$C$2:$C$1117,"Sprint_5m",Versuchsdaten!$E$2:$E$1117,$E735,Versuchsdaten!$J$2:$J$1117,1)=1,SUMIFS(Versuchsdaten!$F$2:$F$1117,Versuchsdaten!$A$2:$A$1117,$A735,Versuchsdaten!$B$2:$B$1117,$B735,Versuchsdaten!$C$2:$C$1117,"Sprint_5m",Versuchsdaten!$E$2:$E$1117,$E735,Versuchsdaten!$J$2:$J$1117,1),""))</f>
        <v/>
      </c>
      <c r="L735" s="22">
        <f>IF(LEFT(C735,7)&lt;&gt;"Sprint_","",IF(COUNTIFS(Versuchsdaten!$A$2:$A$1117,$A735,Versuchsdaten!$B$2:$B$1117,$B735,Versuchsdaten!$C$2:$C$1117,"Sprint_10m",Versuchsdaten!$E$2:$E$1117,$E735,Versuchsdaten!$J$2:$J$1117,1)=1,SUMIFS(Versuchsdaten!$F$2:$F$1117,Versuchsdaten!$A$2:$A$1117,$A735,Versuchsdaten!$B$2:$B$1117,$B735,Versuchsdaten!$C$2:$C$1117,"Sprint_10m",Versuchsdaten!$E$2:$E$1117,$E735,Versuchsdaten!$J$2:$J$1117,1),""))</f>
        <v/>
      </c>
      <c r="M735" s="22">
        <f>IF(LEFT(C735,7)&lt;&gt;"Sprint_","",IF(COUNTIFS(Versuchsdaten!$A$2:$A$1117,$A735,Versuchsdaten!$B$2:$B$1117,$B735,Versuchsdaten!$C$2:$C$1117,"Sprint_30m",Versuchsdaten!$E$2:$E$1117,$E735,Versuchsdaten!$J$2:$J$1117,1)=1,SUMIFS(Versuchsdaten!$F$2:$F$1117,Versuchsdaten!$A$2:$A$1117,$A735,Versuchsdaten!$B$2:$B$1117,$B735,Versuchsdaten!$C$2:$C$1117,"Sprint_30m",Versuchsdaten!$E$2:$E$1117,$E735,Versuchsdaten!$J$2:$J$1117,1),""))</f>
        <v/>
      </c>
      <c r="N735" s="22">
        <f>IF(LEFT(C735,7)&lt;&gt;"Sprint_",0,IF(IF(ISNUMBER(K735),IF(K735&lt;=0,1,IF(5/K735&gt;10,1,0)),0)+IF(ISNUMBER(L735),IF(ISNUMBER(K735),IF(L735-K735&lt;=0,1,IF(5/(L735-K735)&gt;10,1,0)),IF(L735&lt;=0,1,IF(10/L735&gt;10,1,0))),0)+IF(ISNUMBER(M735),IF(ISNUMBER(L735),IF(M735-L735&lt;=0,1,IF(20/(M735-L735)&gt;10,1,0)),IF(ISNUMBER(K735),IF(M735-K735&lt;=0,1,IF(25/(M735-K735)&gt;10,1,0)),IF(M735&lt;=0,1,IF(30/M735&gt;10,1,0)))),0)&gt;0,1,0))</f>
        <v/>
      </c>
      <c r="O735" s="22">
        <f>IF(AND(J735=1,N735=0),1,0)</f>
        <v/>
      </c>
      <c r="P735" s="22">
        <f>INDEX(Personendaten!$J$2:$J$32,MATCH(A735,Personendaten!$A$2:$A$32,0))</f>
        <v/>
      </c>
      <c r="Q735" s="22">
        <f>IF(O735=1,"",IF(AND(B735="post",P735="nicht angetreten"),"NANG",IF(N735=1,"AUSL",IFERROR(VLOOKUP(H735,Vokabular!$A$2:$B$8,2,FALSE),"UNBEKANNT"))))</f>
        <v/>
      </c>
    </row>
    <row r="736">
      <c r="A736" s="5" t="inlineStr">
        <is>
          <t>BW-11</t>
        </is>
      </c>
      <c r="B736" s="5" t="inlineStr">
        <is>
          <t>post</t>
        </is>
      </c>
      <c r="C736" s="5" t="inlineStr">
        <is>
          <t>COD_505</t>
        </is>
      </c>
      <c r="D736" s="5" t="inlineStr">
        <is>
          <t>L</t>
        </is>
      </c>
      <c r="E736" s="5" t="n">
        <v>3</v>
      </c>
      <c r="F736" s="5" t="n"/>
      <c r="G736" s="5" t="n"/>
      <c r="H736" s="5" t="inlineStr">
        <is>
          <t>Nur 2 Versuche aus Zeitmangel</t>
        </is>
      </c>
      <c r="I736" s="22">
        <f>INDEX(Personendaten!$C$2:$C$32,MATCH(A736,Personendaten!$A$2:$A$32,0))</f>
        <v/>
      </c>
      <c r="J736" s="22">
        <f>IF(AND(F736&lt;&gt;"",G736=""),1,0)</f>
        <v/>
      </c>
      <c r="K736" s="22">
        <f>IF(LEFT(C736,7)&lt;&gt;"Sprint_","",IF(COUNTIFS(Versuchsdaten!$A$2:$A$1117,$A736,Versuchsdaten!$B$2:$B$1117,$B736,Versuchsdaten!$C$2:$C$1117,"Sprint_5m",Versuchsdaten!$E$2:$E$1117,$E736,Versuchsdaten!$J$2:$J$1117,1)=1,SUMIFS(Versuchsdaten!$F$2:$F$1117,Versuchsdaten!$A$2:$A$1117,$A736,Versuchsdaten!$B$2:$B$1117,$B736,Versuchsdaten!$C$2:$C$1117,"Sprint_5m",Versuchsdaten!$E$2:$E$1117,$E736,Versuchsdaten!$J$2:$J$1117,1),""))</f>
        <v/>
      </c>
      <c r="L736" s="22">
        <f>IF(LEFT(C736,7)&lt;&gt;"Sprint_","",IF(COUNTIFS(Versuchsdaten!$A$2:$A$1117,$A736,Versuchsdaten!$B$2:$B$1117,$B736,Versuchsdaten!$C$2:$C$1117,"Sprint_10m",Versuchsdaten!$E$2:$E$1117,$E736,Versuchsdaten!$J$2:$J$1117,1)=1,SUMIFS(Versuchsdaten!$F$2:$F$1117,Versuchsdaten!$A$2:$A$1117,$A736,Versuchsdaten!$B$2:$B$1117,$B736,Versuchsdaten!$C$2:$C$1117,"Sprint_10m",Versuchsdaten!$E$2:$E$1117,$E736,Versuchsdaten!$J$2:$J$1117,1),""))</f>
        <v/>
      </c>
      <c r="M736" s="22">
        <f>IF(LEFT(C736,7)&lt;&gt;"Sprint_","",IF(COUNTIFS(Versuchsdaten!$A$2:$A$1117,$A736,Versuchsdaten!$B$2:$B$1117,$B736,Versuchsdaten!$C$2:$C$1117,"Sprint_30m",Versuchsdaten!$E$2:$E$1117,$E736,Versuchsdaten!$J$2:$J$1117,1)=1,SUMIFS(Versuchsdaten!$F$2:$F$1117,Versuchsdaten!$A$2:$A$1117,$A736,Versuchsdaten!$B$2:$B$1117,$B736,Versuchsdaten!$C$2:$C$1117,"Sprint_30m",Versuchsdaten!$E$2:$E$1117,$E736,Versuchsdaten!$J$2:$J$1117,1),""))</f>
        <v/>
      </c>
      <c r="N736" s="22">
        <f>IF(LEFT(C736,7)&lt;&gt;"Sprint_",0,IF(IF(ISNUMBER(K736),IF(K736&lt;=0,1,IF(5/K736&gt;10,1,0)),0)+IF(ISNUMBER(L736),IF(ISNUMBER(K736),IF(L736-K736&lt;=0,1,IF(5/(L736-K736)&gt;10,1,0)),IF(L736&lt;=0,1,IF(10/L736&gt;10,1,0))),0)+IF(ISNUMBER(M736),IF(ISNUMBER(L736),IF(M736-L736&lt;=0,1,IF(20/(M736-L736)&gt;10,1,0)),IF(ISNUMBER(K736),IF(M736-K736&lt;=0,1,IF(25/(M736-K736)&gt;10,1,0)),IF(M736&lt;=0,1,IF(30/M736&gt;10,1,0)))),0)&gt;0,1,0))</f>
        <v/>
      </c>
      <c r="O736" s="22">
        <f>IF(AND(J736=1,N736=0),1,0)</f>
        <v/>
      </c>
      <c r="P736" s="22">
        <f>INDEX(Personendaten!$J$2:$J$32,MATCH(A736,Personendaten!$A$2:$A$32,0))</f>
        <v/>
      </c>
      <c r="Q736" s="22">
        <f>IF(O736=1,"",IF(AND(B736="post",P736="nicht angetreten"),"NANG",IF(N736=1,"AUSL",IFERROR(VLOOKUP(H736,Vokabular!$A$2:$B$8,2,FALSE),"UNBEKANNT"))))</f>
        <v/>
      </c>
    </row>
    <row r="737">
      <c r="A737" s="5" t="inlineStr">
        <is>
          <t>BW-11</t>
        </is>
      </c>
      <c r="B737" s="5" t="inlineStr">
        <is>
          <t>post</t>
        </is>
      </c>
      <c r="C737" s="5" t="inlineStr">
        <is>
          <t>COD_505</t>
        </is>
      </c>
      <c r="D737" s="5" t="inlineStr">
        <is>
          <t>R</t>
        </is>
      </c>
      <c r="E737" s="5" t="n">
        <v>1</v>
      </c>
      <c r="F737" s="5" t="n">
        <v>2.64</v>
      </c>
      <c r="G737" s="5" t="n"/>
      <c r="H737" s="5" t="n"/>
      <c r="I737" s="22">
        <f>INDEX(Personendaten!$C$2:$C$32,MATCH(A737,Personendaten!$A$2:$A$32,0))</f>
        <v/>
      </c>
      <c r="J737" s="22">
        <f>IF(AND(F737&lt;&gt;"",G737=""),1,0)</f>
        <v/>
      </c>
      <c r="K737" s="22">
        <f>IF(LEFT(C737,7)&lt;&gt;"Sprint_","",IF(COUNTIFS(Versuchsdaten!$A$2:$A$1117,$A737,Versuchsdaten!$B$2:$B$1117,$B737,Versuchsdaten!$C$2:$C$1117,"Sprint_5m",Versuchsdaten!$E$2:$E$1117,$E737,Versuchsdaten!$J$2:$J$1117,1)=1,SUMIFS(Versuchsdaten!$F$2:$F$1117,Versuchsdaten!$A$2:$A$1117,$A737,Versuchsdaten!$B$2:$B$1117,$B737,Versuchsdaten!$C$2:$C$1117,"Sprint_5m",Versuchsdaten!$E$2:$E$1117,$E737,Versuchsdaten!$J$2:$J$1117,1),""))</f>
        <v/>
      </c>
      <c r="L737" s="22">
        <f>IF(LEFT(C737,7)&lt;&gt;"Sprint_","",IF(COUNTIFS(Versuchsdaten!$A$2:$A$1117,$A737,Versuchsdaten!$B$2:$B$1117,$B737,Versuchsdaten!$C$2:$C$1117,"Sprint_10m",Versuchsdaten!$E$2:$E$1117,$E737,Versuchsdaten!$J$2:$J$1117,1)=1,SUMIFS(Versuchsdaten!$F$2:$F$1117,Versuchsdaten!$A$2:$A$1117,$A737,Versuchsdaten!$B$2:$B$1117,$B737,Versuchsdaten!$C$2:$C$1117,"Sprint_10m",Versuchsdaten!$E$2:$E$1117,$E737,Versuchsdaten!$J$2:$J$1117,1),""))</f>
        <v/>
      </c>
      <c r="M737" s="22">
        <f>IF(LEFT(C737,7)&lt;&gt;"Sprint_","",IF(COUNTIFS(Versuchsdaten!$A$2:$A$1117,$A737,Versuchsdaten!$B$2:$B$1117,$B737,Versuchsdaten!$C$2:$C$1117,"Sprint_30m",Versuchsdaten!$E$2:$E$1117,$E737,Versuchsdaten!$J$2:$J$1117,1)=1,SUMIFS(Versuchsdaten!$F$2:$F$1117,Versuchsdaten!$A$2:$A$1117,$A737,Versuchsdaten!$B$2:$B$1117,$B737,Versuchsdaten!$C$2:$C$1117,"Sprint_30m",Versuchsdaten!$E$2:$E$1117,$E737,Versuchsdaten!$J$2:$J$1117,1),""))</f>
        <v/>
      </c>
      <c r="N737" s="22">
        <f>IF(LEFT(C737,7)&lt;&gt;"Sprint_",0,IF(IF(ISNUMBER(K737),IF(K737&lt;=0,1,IF(5/K737&gt;10,1,0)),0)+IF(ISNUMBER(L737),IF(ISNUMBER(K737),IF(L737-K737&lt;=0,1,IF(5/(L737-K737)&gt;10,1,0)),IF(L737&lt;=0,1,IF(10/L737&gt;10,1,0))),0)+IF(ISNUMBER(M737),IF(ISNUMBER(L737),IF(M737-L737&lt;=0,1,IF(20/(M737-L737)&gt;10,1,0)),IF(ISNUMBER(K737),IF(M737-K737&lt;=0,1,IF(25/(M737-K737)&gt;10,1,0)),IF(M737&lt;=0,1,IF(30/M737&gt;10,1,0)))),0)&gt;0,1,0))</f>
        <v/>
      </c>
      <c r="O737" s="22">
        <f>IF(AND(J737=1,N737=0),1,0)</f>
        <v/>
      </c>
      <c r="P737" s="22">
        <f>INDEX(Personendaten!$J$2:$J$32,MATCH(A737,Personendaten!$A$2:$A$32,0))</f>
        <v/>
      </c>
      <c r="Q737" s="22">
        <f>IF(O737=1,"",IF(AND(B737="post",P737="nicht angetreten"),"NANG",IF(N737=1,"AUSL",IFERROR(VLOOKUP(H737,Vokabular!$A$2:$B$8,2,FALSE),"UNBEKANNT"))))</f>
        <v/>
      </c>
    </row>
    <row r="738">
      <c r="A738" s="5" t="inlineStr">
        <is>
          <t>BW-11</t>
        </is>
      </c>
      <c r="B738" s="5" t="inlineStr">
        <is>
          <t>post</t>
        </is>
      </c>
      <c r="C738" s="5" t="inlineStr">
        <is>
          <t>COD_505</t>
        </is>
      </c>
      <c r="D738" s="5" t="inlineStr">
        <is>
          <t>R</t>
        </is>
      </c>
      <c r="E738" s="5" t="n">
        <v>2</v>
      </c>
      <c r="F738" s="5" t="n">
        <v>2.55</v>
      </c>
      <c r="G738" s="5" t="n"/>
      <c r="H738" s="5" t="n"/>
      <c r="I738" s="22">
        <f>INDEX(Personendaten!$C$2:$C$32,MATCH(A738,Personendaten!$A$2:$A$32,0))</f>
        <v/>
      </c>
      <c r="J738" s="22">
        <f>IF(AND(F738&lt;&gt;"",G738=""),1,0)</f>
        <v/>
      </c>
      <c r="K738" s="22">
        <f>IF(LEFT(C738,7)&lt;&gt;"Sprint_","",IF(COUNTIFS(Versuchsdaten!$A$2:$A$1117,$A738,Versuchsdaten!$B$2:$B$1117,$B738,Versuchsdaten!$C$2:$C$1117,"Sprint_5m",Versuchsdaten!$E$2:$E$1117,$E738,Versuchsdaten!$J$2:$J$1117,1)=1,SUMIFS(Versuchsdaten!$F$2:$F$1117,Versuchsdaten!$A$2:$A$1117,$A738,Versuchsdaten!$B$2:$B$1117,$B738,Versuchsdaten!$C$2:$C$1117,"Sprint_5m",Versuchsdaten!$E$2:$E$1117,$E738,Versuchsdaten!$J$2:$J$1117,1),""))</f>
        <v/>
      </c>
      <c r="L738" s="22">
        <f>IF(LEFT(C738,7)&lt;&gt;"Sprint_","",IF(COUNTIFS(Versuchsdaten!$A$2:$A$1117,$A738,Versuchsdaten!$B$2:$B$1117,$B738,Versuchsdaten!$C$2:$C$1117,"Sprint_10m",Versuchsdaten!$E$2:$E$1117,$E738,Versuchsdaten!$J$2:$J$1117,1)=1,SUMIFS(Versuchsdaten!$F$2:$F$1117,Versuchsdaten!$A$2:$A$1117,$A738,Versuchsdaten!$B$2:$B$1117,$B738,Versuchsdaten!$C$2:$C$1117,"Sprint_10m",Versuchsdaten!$E$2:$E$1117,$E738,Versuchsdaten!$J$2:$J$1117,1),""))</f>
        <v/>
      </c>
      <c r="M738" s="22">
        <f>IF(LEFT(C738,7)&lt;&gt;"Sprint_","",IF(COUNTIFS(Versuchsdaten!$A$2:$A$1117,$A738,Versuchsdaten!$B$2:$B$1117,$B738,Versuchsdaten!$C$2:$C$1117,"Sprint_30m",Versuchsdaten!$E$2:$E$1117,$E738,Versuchsdaten!$J$2:$J$1117,1)=1,SUMIFS(Versuchsdaten!$F$2:$F$1117,Versuchsdaten!$A$2:$A$1117,$A738,Versuchsdaten!$B$2:$B$1117,$B738,Versuchsdaten!$C$2:$C$1117,"Sprint_30m",Versuchsdaten!$E$2:$E$1117,$E738,Versuchsdaten!$J$2:$J$1117,1),""))</f>
        <v/>
      </c>
      <c r="N738" s="22">
        <f>IF(LEFT(C738,7)&lt;&gt;"Sprint_",0,IF(IF(ISNUMBER(K738),IF(K738&lt;=0,1,IF(5/K738&gt;10,1,0)),0)+IF(ISNUMBER(L738),IF(ISNUMBER(K738),IF(L738-K738&lt;=0,1,IF(5/(L738-K738)&gt;10,1,0)),IF(L738&lt;=0,1,IF(10/L738&gt;10,1,0))),0)+IF(ISNUMBER(M738),IF(ISNUMBER(L738),IF(M738-L738&lt;=0,1,IF(20/(M738-L738)&gt;10,1,0)),IF(ISNUMBER(K738),IF(M738-K738&lt;=0,1,IF(25/(M738-K738)&gt;10,1,0)),IF(M738&lt;=0,1,IF(30/M738&gt;10,1,0)))),0)&gt;0,1,0))</f>
        <v/>
      </c>
      <c r="O738" s="22">
        <f>IF(AND(J738=1,N738=0),1,0)</f>
        <v/>
      </c>
      <c r="P738" s="22">
        <f>INDEX(Personendaten!$J$2:$J$32,MATCH(A738,Personendaten!$A$2:$A$32,0))</f>
        <v/>
      </c>
      <c r="Q738" s="22">
        <f>IF(O738=1,"",IF(AND(B738="post",P738="nicht angetreten"),"NANG",IF(N738=1,"AUSL",IFERROR(VLOOKUP(H738,Vokabular!$A$2:$B$8,2,FALSE),"UNBEKANNT"))))</f>
        <v/>
      </c>
    </row>
    <row r="739">
      <c r="A739" s="5" t="inlineStr">
        <is>
          <t>BW-11</t>
        </is>
      </c>
      <c r="B739" s="5" t="inlineStr">
        <is>
          <t>post</t>
        </is>
      </c>
      <c r="C739" s="5" t="inlineStr">
        <is>
          <t>COD_505</t>
        </is>
      </c>
      <c r="D739" s="5" t="inlineStr">
        <is>
          <t>R</t>
        </is>
      </c>
      <c r="E739" s="5" t="n">
        <v>3</v>
      </c>
      <c r="F739" s="5" t="n"/>
      <c r="G739" s="5" t="n"/>
      <c r="H739" s="5" t="inlineStr">
        <is>
          <t>Nur 2 Versuche aus Zeitmangel</t>
        </is>
      </c>
      <c r="I739" s="22">
        <f>INDEX(Personendaten!$C$2:$C$32,MATCH(A739,Personendaten!$A$2:$A$32,0))</f>
        <v/>
      </c>
      <c r="J739" s="22">
        <f>IF(AND(F739&lt;&gt;"",G739=""),1,0)</f>
        <v/>
      </c>
      <c r="K739" s="22">
        <f>IF(LEFT(C739,7)&lt;&gt;"Sprint_","",IF(COUNTIFS(Versuchsdaten!$A$2:$A$1117,$A739,Versuchsdaten!$B$2:$B$1117,$B739,Versuchsdaten!$C$2:$C$1117,"Sprint_5m",Versuchsdaten!$E$2:$E$1117,$E739,Versuchsdaten!$J$2:$J$1117,1)=1,SUMIFS(Versuchsdaten!$F$2:$F$1117,Versuchsdaten!$A$2:$A$1117,$A739,Versuchsdaten!$B$2:$B$1117,$B739,Versuchsdaten!$C$2:$C$1117,"Sprint_5m",Versuchsdaten!$E$2:$E$1117,$E739,Versuchsdaten!$J$2:$J$1117,1),""))</f>
        <v/>
      </c>
      <c r="L739" s="22">
        <f>IF(LEFT(C739,7)&lt;&gt;"Sprint_","",IF(COUNTIFS(Versuchsdaten!$A$2:$A$1117,$A739,Versuchsdaten!$B$2:$B$1117,$B739,Versuchsdaten!$C$2:$C$1117,"Sprint_10m",Versuchsdaten!$E$2:$E$1117,$E739,Versuchsdaten!$J$2:$J$1117,1)=1,SUMIFS(Versuchsdaten!$F$2:$F$1117,Versuchsdaten!$A$2:$A$1117,$A739,Versuchsdaten!$B$2:$B$1117,$B739,Versuchsdaten!$C$2:$C$1117,"Sprint_10m",Versuchsdaten!$E$2:$E$1117,$E739,Versuchsdaten!$J$2:$J$1117,1),""))</f>
        <v/>
      </c>
      <c r="M739" s="22">
        <f>IF(LEFT(C739,7)&lt;&gt;"Sprint_","",IF(COUNTIFS(Versuchsdaten!$A$2:$A$1117,$A739,Versuchsdaten!$B$2:$B$1117,$B739,Versuchsdaten!$C$2:$C$1117,"Sprint_30m",Versuchsdaten!$E$2:$E$1117,$E739,Versuchsdaten!$J$2:$J$1117,1)=1,SUMIFS(Versuchsdaten!$F$2:$F$1117,Versuchsdaten!$A$2:$A$1117,$A739,Versuchsdaten!$B$2:$B$1117,$B739,Versuchsdaten!$C$2:$C$1117,"Sprint_30m",Versuchsdaten!$E$2:$E$1117,$E739,Versuchsdaten!$J$2:$J$1117,1),""))</f>
        <v/>
      </c>
      <c r="N739" s="22">
        <f>IF(LEFT(C739,7)&lt;&gt;"Sprint_",0,IF(IF(ISNUMBER(K739),IF(K739&lt;=0,1,IF(5/K739&gt;10,1,0)),0)+IF(ISNUMBER(L739),IF(ISNUMBER(K739),IF(L739-K739&lt;=0,1,IF(5/(L739-K739)&gt;10,1,0)),IF(L739&lt;=0,1,IF(10/L739&gt;10,1,0))),0)+IF(ISNUMBER(M739),IF(ISNUMBER(L739),IF(M739-L739&lt;=0,1,IF(20/(M739-L739)&gt;10,1,0)),IF(ISNUMBER(K739),IF(M739-K739&lt;=0,1,IF(25/(M739-K739)&gt;10,1,0)),IF(M739&lt;=0,1,IF(30/M739&gt;10,1,0)))),0)&gt;0,1,0))</f>
        <v/>
      </c>
      <c r="O739" s="22">
        <f>IF(AND(J739=1,N739=0),1,0)</f>
        <v/>
      </c>
      <c r="P739" s="22">
        <f>INDEX(Personendaten!$J$2:$J$32,MATCH(A739,Personendaten!$A$2:$A$32,0))</f>
        <v/>
      </c>
      <c r="Q739" s="22">
        <f>IF(O739=1,"",IF(AND(B739="post",P739="nicht angetreten"),"NANG",IF(N739=1,"AUSL",IFERROR(VLOOKUP(H739,Vokabular!$A$2:$B$8,2,FALSE),"UNBEKANNT"))))</f>
        <v/>
      </c>
    </row>
    <row r="740">
      <c r="A740" s="5" t="inlineStr">
        <is>
          <t>BW-21</t>
        </is>
      </c>
      <c r="B740" s="5" t="inlineStr">
        <is>
          <t>post</t>
        </is>
      </c>
      <c r="C740" s="5" t="inlineStr">
        <is>
          <t>Sprint_5m</t>
        </is>
      </c>
      <c r="D740" s="5" t="inlineStr">
        <is>
          <t>–</t>
        </is>
      </c>
      <c r="E740" s="5" t="n">
        <v>1</v>
      </c>
      <c r="F740" s="5" t="n"/>
      <c r="G740" s="5" t="n"/>
      <c r="H740" s="5" t="n"/>
      <c r="I740" s="22">
        <f>INDEX(Personendaten!$C$2:$C$32,MATCH(A740,Personendaten!$A$2:$A$32,0))</f>
        <v/>
      </c>
      <c r="J740" s="22">
        <f>IF(AND(F740&lt;&gt;"",G740=""),1,0)</f>
        <v/>
      </c>
      <c r="K740" s="22">
        <f>IF(LEFT(C740,7)&lt;&gt;"Sprint_","",IF(COUNTIFS(Versuchsdaten!$A$2:$A$1117,$A740,Versuchsdaten!$B$2:$B$1117,$B740,Versuchsdaten!$C$2:$C$1117,"Sprint_5m",Versuchsdaten!$E$2:$E$1117,$E740,Versuchsdaten!$J$2:$J$1117,1)=1,SUMIFS(Versuchsdaten!$F$2:$F$1117,Versuchsdaten!$A$2:$A$1117,$A740,Versuchsdaten!$B$2:$B$1117,$B740,Versuchsdaten!$C$2:$C$1117,"Sprint_5m",Versuchsdaten!$E$2:$E$1117,$E740,Versuchsdaten!$J$2:$J$1117,1),""))</f>
        <v/>
      </c>
      <c r="L740" s="22">
        <f>IF(LEFT(C740,7)&lt;&gt;"Sprint_","",IF(COUNTIFS(Versuchsdaten!$A$2:$A$1117,$A740,Versuchsdaten!$B$2:$B$1117,$B740,Versuchsdaten!$C$2:$C$1117,"Sprint_10m",Versuchsdaten!$E$2:$E$1117,$E740,Versuchsdaten!$J$2:$J$1117,1)=1,SUMIFS(Versuchsdaten!$F$2:$F$1117,Versuchsdaten!$A$2:$A$1117,$A740,Versuchsdaten!$B$2:$B$1117,$B740,Versuchsdaten!$C$2:$C$1117,"Sprint_10m",Versuchsdaten!$E$2:$E$1117,$E740,Versuchsdaten!$J$2:$J$1117,1),""))</f>
        <v/>
      </c>
      <c r="M740" s="22">
        <f>IF(LEFT(C740,7)&lt;&gt;"Sprint_","",IF(COUNTIFS(Versuchsdaten!$A$2:$A$1117,$A740,Versuchsdaten!$B$2:$B$1117,$B740,Versuchsdaten!$C$2:$C$1117,"Sprint_30m",Versuchsdaten!$E$2:$E$1117,$E740,Versuchsdaten!$J$2:$J$1117,1)=1,SUMIFS(Versuchsdaten!$F$2:$F$1117,Versuchsdaten!$A$2:$A$1117,$A740,Versuchsdaten!$B$2:$B$1117,$B740,Versuchsdaten!$C$2:$C$1117,"Sprint_30m",Versuchsdaten!$E$2:$E$1117,$E740,Versuchsdaten!$J$2:$J$1117,1),""))</f>
        <v/>
      </c>
      <c r="N740" s="22">
        <f>IF(LEFT(C740,7)&lt;&gt;"Sprint_",0,IF(IF(ISNUMBER(K740),IF(K740&lt;=0,1,IF(5/K740&gt;10,1,0)),0)+IF(ISNUMBER(L740),IF(ISNUMBER(K740),IF(L740-K740&lt;=0,1,IF(5/(L740-K740)&gt;10,1,0)),IF(L740&lt;=0,1,IF(10/L740&gt;10,1,0))),0)+IF(ISNUMBER(M740),IF(ISNUMBER(L740),IF(M740-L740&lt;=0,1,IF(20/(M740-L740)&gt;10,1,0)),IF(ISNUMBER(K740),IF(M740-K740&lt;=0,1,IF(25/(M740-K740)&gt;10,1,0)),IF(M740&lt;=0,1,IF(30/M740&gt;10,1,0)))),0)&gt;0,1,0))</f>
        <v/>
      </c>
      <c r="O740" s="22">
        <f>IF(AND(J740=1,N740=0),1,0)</f>
        <v/>
      </c>
      <c r="P740" s="22">
        <f>INDEX(Personendaten!$J$2:$J$32,MATCH(A740,Personendaten!$A$2:$A$32,0))</f>
        <v/>
      </c>
      <c r="Q740" s="22">
        <f>IF(O740=1,"",IF(AND(B740="post",P740="nicht angetreten"),"NANG",IF(N740=1,"AUSL",IFERROR(VLOOKUP(H740,Vokabular!$A$2:$B$8,2,FALSE),"UNBEKANNT"))))</f>
        <v/>
      </c>
    </row>
    <row r="741">
      <c r="A741" s="5" t="inlineStr">
        <is>
          <t>BW-21</t>
        </is>
      </c>
      <c r="B741" s="5" t="inlineStr">
        <is>
          <t>post</t>
        </is>
      </c>
      <c r="C741" s="5" t="inlineStr">
        <is>
          <t>Sprint_5m</t>
        </is>
      </c>
      <c r="D741" s="5" t="inlineStr">
        <is>
          <t>–</t>
        </is>
      </c>
      <c r="E741" s="5" t="n">
        <v>2</v>
      </c>
      <c r="F741" s="5" t="n"/>
      <c r="G741" s="5" t="n"/>
      <c r="H741" s="5" t="n"/>
      <c r="I741" s="22">
        <f>INDEX(Personendaten!$C$2:$C$32,MATCH(A741,Personendaten!$A$2:$A$32,0))</f>
        <v/>
      </c>
      <c r="J741" s="22">
        <f>IF(AND(F741&lt;&gt;"",G741=""),1,0)</f>
        <v/>
      </c>
      <c r="K741" s="22">
        <f>IF(LEFT(C741,7)&lt;&gt;"Sprint_","",IF(COUNTIFS(Versuchsdaten!$A$2:$A$1117,$A741,Versuchsdaten!$B$2:$B$1117,$B741,Versuchsdaten!$C$2:$C$1117,"Sprint_5m",Versuchsdaten!$E$2:$E$1117,$E741,Versuchsdaten!$J$2:$J$1117,1)=1,SUMIFS(Versuchsdaten!$F$2:$F$1117,Versuchsdaten!$A$2:$A$1117,$A741,Versuchsdaten!$B$2:$B$1117,$B741,Versuchsdaten!$C$2:$C$1117,"Sprint_5m",Versuchsdaten!$E$2:$E$1117,$E741,Versuchsdaten!$J$2:$J$1117,1),""))</f>
        <v/>
      </c>
      <c r="L741" s="22">
        <f>IF(LEFT(C741,7)&lt;&gt;"Sprint_","",IF(COUNTIFS(Versuchsdaten!$A$2:$A$1117,$A741,Versuchsdaten!$B$2:$B$1117,$B741,Versuchsdaten!$C$2:$C$1117,"Sprint_10m",Versuchsdaten!$E$2:$E$1117,$E741,Versuchsdaten!$J$2:$J$1117,1)=1,SUMIFS(Versuchsdaten!$F$2:$F$1117,Versuchsdaten!$A$2:$A$1117,$A741,Versuchsdaten!$B$2:$B$1117,$B741,Versuchsdaten!$C$2:$C$1117,"Sprint_10m",Versuchsdaten!$E$2:$E$1117,$E741,Versuchsdaten!$J$2:$J$1117,1),""))</f>
        <v/>
      </c>
      <c r="M741" s="22">
        <f>IF(LEFT(C741,7)&lt;&gt;"Sprint_","",IF(COUNTIFS(Versuchsdaten!$A$2:$A$1117,$A741,Versuchsdaten!$B$2:$B$1117,$B741,Versuchsdaten!$C$2:$C$1117,"Sprint_30m",Versuchsdaten!$E$2:$E$1117,$E741,Versuchsdaten!$J$2:$J$1117,1)=1,SUMIFS(Versuchsdaten!$F$2:$F$1117,Versuchsdaten!$A$2:$A$1117,$A741,Versuchsdaten!$B$2:$B$1117,$B741,Versuchsdaten!$C$2:$C$1117,"Sprint_30m",Versuchsdaten!$E$2:$E$1117,$E741,Versuchsdaten!$J$2:$J$1117,1),""))</f>
        <v/>
      </c>
      <c r="N741" s="22">
        <f>IF(LEFT(C741,7)&lt;&gt;"Sprint_",0,IF(IF(ISNUMBER(K741),IF(K741&lt;=0,1,IF(5/K741&gt;10,1,0)),0)+IF(ISNUMBER(L741),IF(ISNUMBER(K741),IF(L741-K741&lt;=0,1,IF(5/(L741-K741)&gt;10,1,0)),IF(L741&lt;=0,1,IF(10/L741&gt;10,1,0))),0)+IF(ISNUMBER(M741),IF(ISNUMBER(L741),IF(M741-L741&lt;=0,1,IF(20/(M741-L741)&gt;10,1,0)),IF(ISNUMBER(K741),IF(M741-K741&lt;=0,1,IF(25/(M741-K741)&gt;10,1,0)),IF(M741&lt;=0,1,IF(30/M741&gt;10,1,0)))),0)&gt;0,1,0))</f>
        <v/>
      </c>
      <c r="O741" s="22">
        <f>IF(AND(J741=1,N741=0),1,0)</f>
        <v/>
      </c>
      <c r="P741" s="22">
        <f>INDEX(Personendaten!$J$2:$J$32,MATCH(A741,Personendaten!$A$2:$A$32,0))</f>
        <v/>
      </c>
      <c r="Q741" s="22">
        <f>IF(O741=1,"",IF(AND(B741="post",P741="nicht angetreten"),"NANG",IF(N741=1,"AUSL",IFERROR(VLOOKUP(H741,Vokabular!$A$2:$B$8,2,FALSE),"UNBEKANNT"))))</f>
        <v/>
      </c>
    </row>
    <row r="742">
      <c r="A742" s="5" t="inlineStr">
        <is>
          <t>BW-21</t>
        </is>
      </c>
      <c r="B742" s="5" t="inlineStr">
        <is>
          <t>post</t>
        </is>
      </c>
      <c r="C742" s="5" t="inlineStr">
        <is>
          <t>Sprint_5m</t>
        </is>
      </c>
      <c r="D742" s="5" t="inlineStr">
        <is>
          <t>–</t>
        </is>
      </c>
      <c r="E742" s="5" t="n">
        <v>3</v>
      </c>
      <c r="F742" s="5" t="n"/>
      <c r="G742" s="5" t="n"/>
      <c r="H742" s="5" t="n"/>
      <c r="I742" s="22">
        <f>INDEX(Personendaten!$C$2:$C$32,MATCH(A742,Personendaten!$A$2:$A$32,0))</f>
        <v/>
      </c>
      <c r="J742" s="22">
        <f>IF(AND(F742&lt;&gt;"",G742=""),1,0)</f>
        <v/>
      </c>
      <c r="K742" s="22">
        <f>IF(LEFT(C742,7)&lt;&gt;"Sprint_","",IF(COUNTIFS(Versuchsdaten!$A$2:$A$1117,$A742,Versuchsdaten!$B$2:$B$1117,$B742,Versuchsdaten!$C$2:$C$1117,"Sprint_5m",Versuchsdaten!$E$2:$E$1117,$E742,Versuchsdaten!$J$2:$J$1117,1)=1,SUMIFS(Versuchsdaten!$F$2:$F$1117,Versuchsdaten!$A$2:$A$1117,$A742,Versuchsdaten!$B$2:$B$1117,$B742,Versuchsdaten!$C$2:$C$1117,"Sprint_5m",Versuchsdaten!$E$2:$E$1117,$E742,Versuchsdaten!$J$2:$J$1117,1),""))</f>
        <v/>
      </c>
      <c r="L742" s="22">
        <f>IF(LEFT(C742,7)&lt;&gt;"Sprint_","",IF(COUNTIFS(Versuchsdaten!$A$2:$A$1117,$A742,Versuchsdaten!$B$2:$B$1117,$B742,Versuchsdaten!$C$2:$C$1117,"Sprint_10m",Versuchsdaten!$E$2:$E$1117,$E742,Versuchsdaten!$J$2:$J$1117,1)=1,SUMIFS(Versuchsdaten!$F$2:$F$1117,Versuchsdaten!$A$2:$A$1117,$A742,Versuchsdaten!$B$2:$B$1117,$B742,Versuchsdaten!$C$2:$C$1117,"Sprint_10m",Versuchsdaten!$E$2:$E$1117,$E742,Versuchsdaten!$J$2:$J$1117,1),""))</f>
        <v/>
      </c>
      <c r="M742" s="22">
        <f>IF(LEFT(C742,7)&lt;&gt;"Sprint_","",IF(COUNTIFS(Versuchsdaten!$A$2:$A$1117,$A742,Versuchsdaten!$B$2:$B$1117,$B742,Versuchsdaten!$C$2:$C$1117,"Sprint_30m",Versuchsdaten!$E$2:$E$1117,$E742,Versuchsdaten!$J$2:$J$1117,1)=1,SUMIFS(Versuchsdaten!$F$2:$F$1117,Versuchsdaten!$A$2:$A$1117,$A742,Versuchsdaten!$B$2:$B$1117,$B742,Versuchsdaten!$C$2:$C$1117,"Sprint_30m",Versuchsdaten!$E$2:$E$1117,$E742,Versuchsdaten!$J$2:$J$1117,1),""))</f>
        <v/>
      </c>
      <c r="N742" s="22">
        <f>IF(LEFT(C742,7)&lt;&gt;"Sprint_",0,IF(IF(ISNUMBER(K742),IF(K742&lt;=0,1,IF(5/K742&gt;10,1,0)),0)+IF(ISNUMBER(L742),IF(ISNUMBER(K742),IF(L742-K742&lt;=0,1,IF(5/(L742-K742)&gt;10,1,0)),IF(L742&lt;=0,1,IF(10/L742&gt;10,1,0))),0)+IF(ISNUMBER(M742),IF(ISNUMBER(L742),IF(M742-L742&lt;=0,1,IF(20/(M742-L742)&gt;10,1,0)),IF(ISNUMBER(K742),IF(M742-K742&lt;=0,1,IF(25/(M742-K742)&gt;10,1,0)),IF(M742&lt;=0,1,IF(30/M742&gt;10,1,0)))),0)&gt;0,1,0))</f>
        <v/>
      </c>
      <c r="O742" s="22">
        <f>IF(AND(J742=1,N742=0),1,0)</f>
        <v/>
      </c>
      <c r="P742" s="22">
        <f>INDEX(Personendaten!$J$2:$J$32,MATCH(A742,Personendaten!$A$2:$A$32,0))</f>
        <v/>
      </c>
      <c r="Q742" s="22">
        <f>IF(O742=1,"",IF(AND(B742="post",P742="nicht angetreten"),"NANG",IF(N742=1,"AUSL",IFERROR(VLOOKUP(H742,Vokabular!$A$2:$B$8,2,FALSE),"UNBEKANNT"))))</f>
        <v/>
      </c>
    </row>
    <row r="743">
      <c r="A743" s="5" t="inlineStr">
        <is>
          <t>BW-21</t>
        </is>
      </c>
      <c r="B743" s="5" t="inlineStr">
        <is>
          <t>post</t>
        </is>
      </c>
      <c r="C743" s="5" t="inlineStr">
        <is>
          <t>Sprint_10m</t>
        </is>
      </c>
      <c r="D743" s="5" t="inlineStr">
        <is>
          <t>–</t>
        </is>
      </c>
      <c r="E743" s="5" t="n">
        <v>1</v>
      </c>
      <c r="F743" s="5" t="n"/>
      <c r="G743" s="5" t="n"/>
      <c r="H743" s="5" t="n"/>
      <c r="I743" s="22">
        <f>INDEX(Personendaten!$C$2:$C$32,MATCH(A743,Personendaten!$A$2:$A$32,0))</f>
        <v/>
      </c>
      <c r="J743" s="22">
        <f>IF(AND(F743&lt;&gt;"",G743=""),1,0)</f>
        <v/>
      </c>
      <c r="K743" s="22">
        <f>IF(LEFT(C743,7)&lt;&gt;"Sprint_","",IF(COUNTIFS(Versuchsdaten!$A$2:$A$1117,$A743,Versuchsdaten!$B$2:$B$1117,$B743,Versuchsdaten!$C$2:$C$1117,"Sprint_5m",Versuchsdaten!$E$2:$E$1117,$E743,Versuchsdaten!$J$2:$J$1117,1)=1,SUMIFS(Versuchsdaten!$F$2:$F$1117,Versuchsdaten!$A$2:$A$1117,$A743,Versuchsdaten!$B$2:$B$1117,$B743,Versuchsdaten!$C$2:$C$1117,"Sprint_5m",Versuchsdaten!$E$2:$E$1117,$E743,Versuchsdaten!$J$2:$J$1117,1),""))</f>
        <v/>
      </c>
      <c r="L743" s="22">
        <f>IF(LEFT(C743,7)&lt;&gt;"Sprint_","",IF(COUNTIFS(Versuchsdaten!$A$2:$A$1117,$A743,Versuchsdaten!$B$2:$B$1117,$B743,Versuchsdaten!$C$2:$C$1117,"Sprint_10m",Versuchsdaten!$E$2:$E$1117,$E743,Versuchsdaten!$J$2:$J$1117,1)=1,SUMIFS(Versuchsdaten!$F$2:$F$1117,Versuchsdaten!$A$2:$A$1117,$A743,Versuchsdaten!$B$2:$B$1117,$B743,Versuchsdaten!$C$2:$C$1117,"Sprint_10m",Versuchsdaten!$E$2:$E$1117,$E743,Versuchsdaten!$J$2:$J$1117,1),""))</f>
        <v/>
      </c>
      <c r="M743" s="22">
        <f>IF(LEFT(C743,7)&lt;&gt;"Sprint_","",IF(COUNTIFS(Versuchsdaten!$A$2:$A$1117,$A743,Versuchsdaten!$B$2:$B$1117,$B743,Versuchsdaten!$C$2:$C$1117,"Sprint_30m",Versuchsdaten!$E$2:$E$1117,$E743,Versuchsdaten!$J$2:$J$1117,1)=1,SUMIFS(Versuchsdaten!$F$2:$F$1117,Versuchsdaten!$A$2:$A$1117,$A743,Versuchsdaten!$B$2:$B$1117,$B743,Versuchsdaten!$C$2:$C$1117,"Sprint_30m",Versuchsdaten!$E$2:$E$1117,$E743,Versuchsdaten!$J$2:$J$1117,1),""))</f>
        <v/>
      </c>
      <c r="N743" s="22">
        <f>IF(LEFT(C743,7)&lt;&gt;"Sprint_",0,IF(IF(ISNUMBER(K743),IF(K743&lt;=0,1,IF(5/K743&gt;10,1,0)),0)+IF(ISNUMBER(L743),IF(ISNUMBER(K743),IF(L743-K743&lt;=0,1,IF(5/(L743-K743)&gt;10,1,0)),IF(L743&lt;=0,1,IF(10/L743&gt;10,1,0))),0)+IF(ISNUMBER(M743),IF(ISNUMBER(L743),IF(M743-L743&lt;=0,1,IF(20/(M743-L743)&gt;10,1,0)),IF(ISNUMBER(K743),IF(M743-K743&lt;=0,1,IF(25/(M743-K743)&gt;10,1,0)),IF(M743&lt;=0,1,IF(30/M743&gt;10,1,0)))),0)&gt;0,1,0))</f>
        <v/>
      </c>
      <c r="O743" s="22">
        <f>IF(AND(J743=1,N743=0),1,0)</f>
        <v/>
      </c>
      <c r="P743" s="22">
        <f>INDEX(Personendaten!$J$2:$J$32,MATCH(A743,Personendaten!$A$2:$A$32,0))</f>
        <v/>
      </c>
      <c r="Q743" s="22">
        <f>IF(O743=1,"",IF(AND(B743="post",P743="nicht angetreten"),"NANG",IF(N743=1,"AUSL",IFERROR(VLOOKUP(H743,Vokabular!$A$2:$B$8,2,FALSE),"UNBEKANNT"))))</f>
        <v/>
      </c>
    </row>
    <row r="744">
      <c r="A744" s="5" t="inlineStr">
        <is>
          <t>BW-21</t>
        </is>
      </c>
      <c r="B744" s="5" t="inlineStr">
        <is>
          <t>post</t>
        </is>
      </c>
      <c r="C744" s="5" t="inlineStr">
        <is>
          <t>Sprint_10m</t>
        </is>
      </c>
      <c r="D744" s="5" t="inlineStr">
        <is>
          <t>–</t>
        </is>
      </c>
      <c r="E744" s="5" t="n">
        <v>2</v>
      </c>
      <c r="F744" s="5" t="n"/>
      <c r="G744" s="5" t="n"/>
      <c r="H744" s="5" t="n"/>
      <c r="I744" s="22">
        <f>INDEX(Personendaten!$C$2:$C$32,MATCH(A744,Personendaten!$A$2:$A$32,0))</f>
        <v/>
      </c>
      <c r="J744" s="22">
        <f>IF(AND(F744&lt;&gt;"",G744=""),1,0)</f>
        <v/>
      </c>
      <c r="K744" s="22">
        <f>IF(LEFT(C744,7)&lt;&gt;"Sprint_","",IF(COUNTIFS(Versuchsdaten!$A$2:$A$1117,$A744,Versuchsdaten!$B$2:$B$1117,$B744,Versuchsdaten!$C$2:$C$1117,"Sprint_5m",Versuchsdaten!$E$2:$E$1117,$E744,Versuchsdaten!$J$2:$J$1117,1)=1,SUMIFS(Versuchsdaten!$F$2:$F$1117,Versuchsdaten!$A$2:$A$1117,$A744,Versuchsdaten!$B$2:$B$1117,$B744,Versuchsdaten!$C$2:$C$1117,"Sprint_5m",Versuchsdaten!$E$2:$E$1117,$E744,Versuchsdaten!$J$2:$J$1117,1),""))</f>
        <v/>
      </c>
      <c r="L744" s="22">
        <f>IF(LEFT(C744,7)&lt;&gt;"Sprint_","",IF(COUNTIFS(Versuchsdaten!$A$2:$A$1117,$A744,Versuchsdaten!$B$2:$B$1117,$B744,Versuchsdaten!$C$2:$C$1117,"Sprint_10m",Versuchsdaten!$E$2:$E$1117,$E744,Versuchsdaten!$J$2:$J$1117,1)=1,SUMIFS(Versuchsdaten!$F$2:$F$1117,Versuchsdaten!$A$2:$A$1117,$A744,Versuchsdaten!$B$2:$B$1117,$B744,Versuchsdaten!$C$2:$C$1117,"Sprint_10m",Versuchsdaten!$E$2:$E$1117,$E744,Versuchsdaten!$J$2:$J$1117,1),""))</f>
        <v/>
      </c>
      <c r="M744" s="22">
        <f>IF(LEFT(C744,7)&lt;&gt;"Sprint_","",IF(COUNTIFS(Versuchsdaten!$A$2:$A$1117,$A744,Versuchsdaten!$B$2:$B$1117,$B744,Versuchsdaten!$C$2:$C$1117,"Sprint_30m",Versuchsdaten!$E$2:$E$1117,$E744,Versuchsdaten!$J$2:$J$1117,1)=1,SUMIFS(Versuchsdaten!$F$2:$F$1117,Versuchsdaten!$A$2:$A$1117,$A744,Versuchsdaten!$B$2:$B$1117,$B744,Versuchsdaten!$C$2:$C$1117,"Sprint_30m",Versuchsdaten!$E$2:$E$1117,$E744,Versuchsdaten!$J$2:$J$1117,1),""))</f>
        <v/>
      </c>
      <c r="N744" s="22">
        <f>IF(LEFT(C744,7)&lt;&gt;"Sprint_",0,IF(IF(ISNUMBER(K744),IF(K744&lt;=0,1,IF(5/K744&gt;10,1,0)),0)+IF(ISNUMBER(L744),IF(ISNUMBER(K744),IF(L744-K744&lt;=0,1,IF(5/(L744-K744)&gt;10,1,0)),IF(L744&lt;=0,1,IF(10/L744&gt;10,1,0))),0)+IF(ISNUMBER(M744),IF(ISNUMBER(L744),IF(M744-L744&lt;=0,1,IF(20/(M744-L744)&gt;10,1,0)),IF(ISNUMBER(K744),IF(M744-K744&lt;=0,1,IF(25/(M744-K744)&gt;10,1,0)),IF(M744&lt;=0,1,IF(30/M744&gt;10,1,0)))),0)&gt;0,1,0))</f>
        <v/>
      </c>
      <c r="O744" s="22">
        <f>IF(AND(J744=1,N744=0),1,0)</f>
        <v/>
      </c>
      <c r="P744" s="22">
        <f>INDEX(Personendaten!$J$2:$J$32,MATCH(A744,Personendaten!$A$2:$A$32,0))</f>
        <v/>
      </c>
      <c r="Q744" s="22">
        <f>IF(O744=1,"",IF(AND(B744="post",P744="nicht angetreten"),"NANG",IF(N744=1,"AUSL",IFERROR(VLOOKUP(H744,Vokabular!$A$2:$B$8,2,FALSE),"UNBEKANNT"))))</f>
        <v/>
      </c>
    </row>
    <row r="745">
      <c r="A745" s="5" t="inlineStr">
        <is>
          <t>BW-21</t>
        </is>
      </c>
      <c r="B745" s="5" t="inlineStr">
        <is>
          <t>post</t>
        </is>
      </c>
      <c r="C745" s="5" t="inlineStr">
        <is>
          <t>Sprint_10m</t>
        </is>
      </c>
      <c r="D745" s="5" t="inlineStr">
        <is>
          <t>–</t>
        </is>
      </c>
      <c r="E745" s="5" t="n">
        <v>3</v>
      </c>
      <c r="F745" s="5" t="n"/>
      <c r="G745" s="5" t="n"/>
      <c r="H745" s="5" t="n"/>
      <c r="I745" s="22">
        <f>INDEX(Personendaten!$C$2:$C$32,MATCH(A745,Personendaten!$A$2:$A$32,0))</f>
        <v/>
      </c>
      <c r="J745" s="22">
        <f>IF(AND(F745&lt;&gt;"",G745=""),1,0)</f>
        <v/>
      </c>
      <c r="K745" s="22">
        <f>IF(LEFT(C745,7)&lt;&gt;"Sprint_","",IF(COUNTIFS(Versuchsdaten!$A$2:$A$1117,$A745,Versuchsdaten!$B$2:$B$1117,$B745,Versuchsdaten!$C$2:$C$1117,"Sprint_5m",Versuchsdaten!$E$2:$E$1117,$E745,Versuchsdaten!$J$2:$J$1117,1)=1,SUMIFS(Versuchsdaten!$F$2:$F$1117,Versuchsdaten!$A$2:$A$1117,$A745,Versuchsdaten!$B$2:$B$1117,$B745,Versuchsdaten!$C$2:$C$1117,"Sprint_5m",Versuchsdaten!$E$2:$E$1117,$E745,Versuchsdaten!$J$2:$J$1117,1),""))</f>
        <v/>
      </c>
      <c r="L745" s="22">
        <f>IF(LEFT(C745,7)&lt;&gt;"Sprint_","",IF(COUNTIFS(Versuchsdaten!$A$2:$A$1117,$A745,Versuchsdaten!$B$2:$B$1117,$B745,Versuchsdaten!$C$2:$C$1117,"Sprint_10m",Versuchsdaten!$E$2:$E$1117,$E745,Versuchsdaten!$J$2:$J$1117,1)=1,SUMIFS(Versuchsdaten!$F$2:$F$1117,Versuchsdaten!$A$2:$A$1117,$A745,Versuchsdaten!$B$2:$B$1117,$B745,Versuchsdaten!$C$2:$C$1117,"Sprint_10m",Versuchsdaten!$E$2:$E$1117,$E745,Versuchsdaten!$J$2:$J$1117,1),""))</f>
        <v/>
      </c>
      <c r="M745" s="22">
        <f>IF(LEFT(C745,7)&lt;&gt;"Sprint_","",IF(COUNTIFS(Versuchsdaten!$A$2:$A$1117,$A745,Versuchsdaten!$B$2:$B$1117,$B745,Versuchsdaten!$C$2:$C$1117,"Sprint_30m",Versuchsdaten!$E$2:$E$1117,$E745,Versuchsdaten!$J$2:$J$1117,1)=1,SUMIFS(Versuchsdaten!$F$2:$F$1117,Versuchsdaten!$A$2:$A$1117,$A745,Versuchsdaten!$B$2:$B$1117,$B745,Versuchsdaten!$C$2:$C$1117,"Sprint_30m",Versuchsdaten!$E$2:$E$1117,$E745,Versuchsdaten!$J$2:$J$1117,1),""))</f>
        <v/>
      </c>
      <c r="N745" s="22">
        <f>IF(LEFT(C745,7)&lt;&gt;"Sprint_",0,IF(IF(ISNUMBER(K745),IF(K745&lt;=0,1,IF(5/K745&gt;10,1,0)),0)+IF(ISNUMBER(L745),IF(ISNUMBER(K745),IF(L745-K745&lt;=0,1,IF(5/(L745-K745)&gt;10,1,0)),IF(L745&lt;=0,1,IF(10/L745&gt;10,1,0))),0)+IF(ISNUMBER(M745),IF(ISNUMBER(L745),IF(M745-L745&lt;=0,1,IF(20/(M745-L745)&gt;10,1,0)),IF(ISNUMBER(K745),IF(M745-K745&lt;=0,1,IF(25/(M745-K745)&gt;10,1,0)),IF(M745&lt;=0,1,IF(30/M745&gt;10,1,0)))),0)&gt;0,1,0))</f>
        <v/>
      </c>
      <c r="O745" s="22">
        <f>IF(AND(J745=1,N745=0),1,0)</f>
        <v/>
      </c>
      <c r="P745" s="22">
        <f>INDEX(Personendaten!$J$2:$J$32,MATCH(A745,Personendaten!$A$2:$A$32,0))</f>
        <v/>
      </c>
      <c r="Q745" s="22">
        <f>IF(O745=1,"",IF(AND(B745="post",P745="nicht angetreten"),"NANG",IF(N745=1,"AUSL",IFERROR(VLOOKUP(H745,Vokabular!$A$2:$B$8,2,FALSE),"UNBEKANNT"))))</f>
        <v/>
      </c>
    </row>
    <row r="746">
      <c r="A746" s="5" t="inlineStr">
        <is>
          <t>BW-21</t>
        </is>
      </c>
      <c r="B746" s="5" t="inlineStr">
        <is>
          <t>post</t>
        </is>
      </c>
      <c r="C746" s="5" t="inlineStr">
        <is>
          <t>Sprint_30m</t>
        </is>
      </c>
      <c r="D746" s="5" t="inlineStr">
        <is>
          <t>–</t>
        </is>
      </c>
      <c r="E746" s="5" t="n">
        <v>1</v>
      </c>
      <c r="F746" s="5" t="n"/>
      <c r="G746" s="5" t="n"/>
      <c r="H746" s="5" t="n"/>
      <c r="I746" s="22">
        <f>INDEX(Personendaten!$C$2:$C$32,MATCH(A746,Personendaten!$A$2:$A$32,0))</f>
        <v/>
      </c>
      <c r="J746" s="22">
        <f>IF(AND(F746&lt;&gt;"",G746=""),1,0)</f>
        <v/>
      </c>
      <c r="K746" s="22">
        <f>IF(LEFT(C746,7)&lt;&gt;"Sprint_","",IF(COUNTIFS(Versuchsdaten!$A$2:$A$1117,$A746,Versuchsdaten!$B$2:$B$1117,$B746,Versuchsdaten!$C$2:$C$1117,"Sprint_5m",Versuchsdaten!$E$2:$E$1117,$E746,Versuchsdaten!$J$2:$J$1117,1)=1,SUMIFS(Versuchsdaten!$F$2:$F$1117,Versuchsdaten!$A$2:$A$1117,$A746,Versuchsdaten!$B$2:$B$1117,$B746,Versuchsdaten!$C$2:$C$1117,"Sprint_5m",Versuchsdaten!$E$2:$E$1117,$E746,Versuchsdaten!$J$2:$J$1117,1),""))</f>
        <v/>
      </c>
      <c r="L746" s="22">
        <f>IF(LEFT(C746,7)&lt;&gt;"Sprint_","",IF(COUNTIFS(Versuchsdaten!$A$2:$A$1117,$A746,Versuchsdaten!$B$2:$B$1117,$B746,Versuchsdaten!$C$2:$C$1117,"Sprint_10m",Versuchsdaten!$E$2:$E$1117,$E746,Versuchsdaten!$J$2:$J$1117,1)=1,SUMIFS(Versuchsdaten!$F$2:$F$1117,Versuchsdaten!$A$2:$A$1117,$A746,Versuchsdaten!$B$2:$B$1117,$B746,Versuchsdaten!$C$2:$C$1117,"Sprint_10m",Versuchsdaten!$E$2:$E$1117,$E746,Versuchsdaten!$J$2:$J$1117,1),""))</f>
        <v/>
      </c>
      <c r="M746" s="22">
        <f>IF(LEFT(C746,7)&lt;&gt;"Sprint_","",IF(COUNTIFS(Versuchsdaten!$A$2:$A$1117,$A746,Versuchsdaten!$B$2:$B$1117,$B746,Versuchsdaten!$C$2:$C$1117,"Sprint_30m",Versuchsdaten!$E$2:$E$1117,$E746,Versuchsdaten!$J$2:$J$1117,1)=1,SUMIFS(Versuchsdaten!$F$2:$F$1117,Versuchsdaten!$A$2:$A$1117,$A746,Versuchsdaten!$B$2:$B$1117,$B746,Versuchsdaten!$C$2:$C$1117,"Sprint_30m",Versuchsdaten!$E$2:$E$1117,$E746,Versuchsdaten!$J$2:$J$1117,1),""))</f>
        <v/>
      </c>
      <c r="N746" s="22">
        <f>IF(LEFT(C746,7)&lt;&gt;"Sprint_",0,IF(IF(ISNUMBER(K746),IF(K746&lt;=0,1,IF(5/K746&gt;10,1,0)),0)+IF(ISNUMBER(L746),IF(ISNUMBER(K746),IF(L746-K746&lt;=0,1,IF(5/(L746-K746)&gt;10,1,0)),IF(L746&lt;=0,1,IF(10/L746&gt;10,1,0))),0)+IF(ISNUMBER(M746),IF(ISNUMBER(L746),IF(M746-L746&lt;=0,1,IF(20/(M746-L746)&gt;10,1,0)),IF(ISNUMBER(K746),IF(M746-K746&lt;=0,1,IF(25/(M746-K746)&gt;10,1,0)),IF(M746&lt;=0,1,IF(30/M746&gt;10,1,0)))),0)&gt;0,1,0))</f>
        <v/>
      </c>
      <c r="O746" s="22">
        <f>IF(AND(J746=1,N746=0),1,0)</f>
        <v/>
      </c>
      <c r="P746" s="22">
        <f>INDEX(Personendaten!$J$2:$J$32,MATCH(A746,Personendaten!$A$2:$A$32,0))</f>
        <v/>
      </c>
      <c r="Q746" s="22">
        <f>IF(O746=1,"",IF(AND(B746="post",P746="nicht angetreten"),"NANG",IF(N746=1,"AUSL",IFERROR(VLOOKUP(H746,Vokabular!$A$2:$B$8,2,FALSE),"UNBEKANNT"))))</f>
        <v/>
      </c>
    </row>
    <row r="747">
      <c r="A747" s="5" t="inlineStr">
        <is>
          <t>BW-21</t>
        </is>
      </c>
      <c r="B747" s="5" t="inlineStr">
        <is>
          <t>post</t>
        </is>
      </c>
      <c r="C747" s="5" t="inlineStr">
        <is>
          <t>Sprint_30m</t>
        </is>
      </c>
      <c r="D747" s="5" t="inlineStr">
        <is>
          <t>–</t>
        </is>
      </c>
      <c r="E747" s="5" t="n">
        <v>2</v>
      </c>
      <c r="F747" s="5" t="n"/>
      <c r="G747" s="5" t="n"/>
      <c r="H747" s="5" t="n"/>
      <c r="I747" s="22">
        <f>INDEX(Personendaten!$C$2:$C$32,MATCH(A747,Personendaten!$A$2:$A$32,0))</f>
        <v/>
      </c>
      <c r="J747" s="22">
        <f>IF(AND(F747&lt;&gt;"",G747=""),1,0)</f>
        <v/>
      </c>
      <c r="K747" s="22">
        <f>IF(LEFT(C747,7)&lt;&gt;"Sprint_","",IF(COUNTIFS(Versuchsdaten!$A$2:$A$1117,$A747,Versuchsdaten!$B$2:$B$1117,$B747,Versuchsdaten!$C$2:$C$1117,"Sprint_5m",Versuchsdaten!$E$2:$E$1117,$E747,Versuchsdaten!$J$2:$J$1117,1)=1,SUMIFS(Versuchsdaten!$F$2:$F$1117,Versuchsdaten!$A$2:$A$1117,$A747,Versuchsdaten!$B$2:$B$1117,$B747,Versuchsdaten!$C$2:$C$1117,"Sprint_5m",Versuchsdaten!$E$2:$E$1117,$E747,Versuchsdaten!$J$2:$J$1117,1),""))</f>
        <v/>
      </c>
      <c r="L747" s="22">
        <f>IF(LEFT(C747,7)&lt;&gt;"Sprint_","",IF(COUNTIFS(Versuchsdaten!$A$2:$A$1117,$A747,Versuchsdaten!$B$2:$B$1117,$B747,Versuchsdaten!$C$2:$C$1117,"Sprint_10m",Versuchsdaten!$E$2:$E$1117,$E747,Versuchsdaten!$J$2:$J$1117,1)=1,SUMIFS(Versuchsdaten!$F$2:$F$1117,Versuchsdaten!$A$2:$A$1117,$A747,Versuchsdaten!$B$2:$B$1117,$B747,Versuchsdaten!$C$2:$C$1117,"Sprint_10m",Versuchsdaten!$E$2:$E$1117,$E747,Versuchsdaten!$J$2:$J$1117,1),""))</f>
        <v/>
      </c>
      <c r="M747" s="22">
        <f>IF(LEFT(C747,7)&lt;&gt;"Sprint_","",IF(COUNTIFS(Versuchsdaten!$A$2:$A$1117,$A747,Versuchsdaten!$B$2:$B$1117,$B747,Versuchsdaten!$C$2:$C$1117,"Sprint_30m",Versuchsdaten!$E$2:$E$1117,$E747,Versuchsdaten!$J$2:$J$1117,1)=1,SUMIFS(Versuchsdaten!$F$2:$F$1117,Versuchsdaten!$A$2:$A$1117,$A747,Versuchsdaten!$B$2:$B$1117,$B747,Versuchsdaten!$C$2:$C$1117,"Sprint_30m",Versuchsdaten!$E$2:$E$1117,$E747,Versuchsdaten!$J$2:$J$1117,1),""))</f>
        <v/>
      </c>
      <c r="N747" s="22">
        <f>IF(LEFT(C747,7)&lt;&gt;"Sprint_",0,IF(IF(ISNUMBER(K747),IF(K747&lt;=0,1,IF(5/K747&gt;10,1,0)),0)+IF(ISNUMBER(L747),IF(ISNUMBER(K747),IF(L747-K747&lt;=0,1,IF(5/(L747-K747)&gt;10,1,0)),IF(L747&lt;=0,1,IF(10/L747&gt;10,1,0))),0)+IF(ISNUMBER(M747),IF(ISNUMBER(L747),IF(M747-L747&lt;=0,1,IF(20/(M747-L747)&gt;10,1,0)),IF(ISNUMBER(K747),IF(M747-K747&lt;=0,1,IF(25/(M747-K747)&gt;10,1,0)),IF(M747&lt;=0,1,IF(30/M747&gt;10,1,0)))),0)&gt;0,1,0))</f>
        <v/>
      </c>
      <c r="O747" s="22">
        <f>IF(AND(J747=1,N747=0),1,0)</f>
        <v/>
      </c>
      <c r="P747" s="22">
        <f>INDEX(Personendaten!$J$2:$J$32,MATCH(A747,Personendaten!$A$2:$A$32,0))</f>
        <v/>
      </c>
      <c r="Q747" s="22">
        <f>IF(O747=1,"",IF(AND(B747="post",P747="nicht angetreten"),"NANG",IF(N747=1,"AUSL",IFERROR(VLOOKUP(H747,Vokabular!$A$2:$B$8,2,FALSE),"UNBEKANNT"))))</f>
        <v/>
      </c>
    </row>
    <row r="748">
      <c r="A748" s="5" t="inlineStr">
        <is>
          <t>BW-21</t>
        </is>
      </c>
      <c r="B748" s="5" t="inlineStr">
        <is>
          <t>post</t>
        </is>
      </c>
      <c r="C748" s="5" t="inlineStr">
        <is>
          <t>Sprint_30m</t>
        </is>
      </c>
      <c r="D748" s="5" t="inlineStr">
        <is>
          <t>–</t>
        </is>
      </c>
      <c r="E748" s="5" t="n">
        <v>3</v>
      </c>
      <c r="F748" s="5" t="n"/>
      <c r="G748" s="5" t="n"/>
      <c r="H748" s="5" t="n"/>
      <c r="I748" s="22">
        <f>INDEX(Personendaten!$C$2:$C$32,MATCH(A748,Personendaten!$A$2:$A$32,0))</f>
        <v/>
      </c>
      <c r="J748" s="22">
        <f>IF(AND(F748&lt;&gt;"",G748=""),1,0)</f>
        <v/>
      </c>
      <c r="K748" s="22">
        <f>IF(LEFT(C748,7)&lt;&gt;"Sprint_","",IF(COUNTIFS(Versuchsdaten!$A$2:$A$1117,$A748,Versuchsdaten!$B$2:$B$1117,$B748,Versuchsdaten!$C$2:$C$1117,"Sprint_5m",Versuchsdaten!$E$2:$E$1117,$E748,Versuchsdaten!$J$2:$J$1117,1)=1,SUMIFS(Versuchsdaten!$F$2:$F$1117,Versuchsdaten!$A$2:$A$1117,$A748,Versuchsdaten!$B$2:$B$1117,$B748,Versuchsdaten!$C$2:$C$1117,"Sprint_5m",Versuchsdaten!$E$2:$E$1117,$E748,Versuchsdaten!$J$2:$J$1117,1),""))</f>
        <v/>
      </c>
      <c r="L748" s="22">
        <f>IF(LEFT(C748,7)&lt;&gt;"Sprint_","",IF(COUNTIFS(Versuchsdaten!$A$2:$A$1117,$A748,Versuchsdaten!$B$2:$B$1117,$B748,Versuchsdaten!$C$2:$C$1117,"Sprint_10m",Versuchsdaten!$E$2:$E$1117,$E748,Versuchsdaten!$J$2:$J$1117,1)=1,SUMIFS(Versuchsdaten!$F$2:$F$1117,Versuchsdaten!$A$2:$A$1117,$A748,Versuchsdaten!$B$2:$B$1117,$B748,Versuchsdaten!$C$2:$C$1117,"Sprint_10m",Versuchsdaten!$E$2:$E$1117,$E748,Versuchsdaten!$J$2:$J$1117,1),""))</f>
        <v/>
      </c>
      <c r="M748" s="22">
        <f>IF(LEFT(C748,7)&lt;&gt;"Sprint_","",IF(COUNTIFS(Versuchsdaten!$A$2:$A$1117,$A748,Versuchsdaten!$B$2:$B$1117,$B748,Versuchsdaten!$C$2:$C$1117,"Sprint_30m",Versuchsdaten!$E$2:$E$1117,$E748,Versuchsdaten!$J$2:$J$1117,1)=1,SUMIFS(Versuchsdaten!$F$2:$F$1117,Versuchsdaten!$A$2:$A$1117,$A748,Versuchsdaten!$B$2:$B$1117,$B748,Versuchsdaten!$C$2:$C$1117,"Sprint_30m",Versuchsdaten!$E$2:$E$1117,$E748,Versuchsdaten!$J$2:$J$1117,1),""))</f>
        <v/>
      </c>
      <c r="N748" s="22">
        <f>IF(LEFT(C748,7)&lt;&gt;"Sprint_",0,IF(IF(ISNUMBER(K748),IF(K748&lt;=0,1,IF(5/K748&gt;10,1,0)),0)+IF(ISNUMBER(L748),IF(ISNUMBER(K748),IF(L748-K748&lt;=0,1,IF(5/(L748-K748)&gt;10,1,0)),IF(L748&lt;=0,1,IF(10/L748&gt;10,1,0))),0)+IF(ISNUMBER(M748),IF(ISNUMBER(L748),IF(M748-L748&lt;=0,1,IF(20/(M748-L748)&gt;10,1,0)),IF(ISNUMBER(K748),IF(M748-K748&lt;=0,1,IF(25/(M748-K748)&gt;10,1,0)),IF(M748&lt;=0,1,IF(30/M748&gt;10,1,0)))),0)&gt;0,1,0))</f>
        <v/>
      </c>
      <c r="O748" s="22">
        <f>IF(AND(J748=1,N748=0),1,0)</f>
        <v/>
      </c>
      <c r="P748" s="22">
        <f>INDEX(Personendaten!$J$2:$J$32,MATCH(A748,Personendaten!$A$2:$A$32,0))</f>
        <v/>
      </c>
      <c r="Q748" s="22">
        <f>IF(O748=1,"",IF(AND(B748="post",P748="nicht angetreten"),"NANG",IF(N748=1,"AUSL",IFERROR(VLOOKUP(H748,Vokabular!$A$2:$B$8,2,FALSE),"UNBEKANNT"))))</f>
        <v/>
      </c>
    </row>
    <row r="749">
      <c r="A749" s="5" t="inlineStr">
        <is>
          <t>BW-21</t>
        </is>
      </c>
      <c r="B749" s="5" t="inlineStr">
        <is>
          <t>post</t>
        </is>
      </c>
      <c r="C749" s="5" t="inlineStr">
        <is>
          <t>Standweitsprung</t>
        </is>
      </c>
      <c r="D749" s="5" t="inlineStr">
        <is>
          <t>–</t>
        </is>
      </c>
      <c r="E749" s="5" t="n">
        <v>1</v>
      </c>
      <c r="F749" s="5" t="n"/>
      <c r="G749" s="5" t="n"/>
      <c r="H749" s="5" t="n"/>
      <c r="I749" s="22">
        <f>INDEX(Personendaten!$C$2:$C$32,MATCH(A749,Personendaten!$A$2:$A$32,0))</f>
        <v/>
      </c>
      <c r="J749" s="22">
        <f>IF(AND(F749&lt;&gt;"",G749=""),1,0)</f>
        <v/>
      </c>
      <c r="K749" s="22">
        <f>IF(LEFT(C749,7)&lt;&gt;"Sprint_","",IF(COUNTIFS(Versuchsdaten!$A$2:$A$1117,$A749,Versuchsdaten!$B$2:$B$1117,$B749,Versuchsdaten!$C$2:$C$1117,"Sprint_5m",Versuchsdaten!$E$2:$E$1117,$E749,Versuchsdaten!$J$2:$J$1117,1)=1,SUMIFS(Versuchsdaten!$F$2:$F$1117,Versuchsdaten!$A$2:$A$1117,$A749,Versuchsdaten!$B$2:$B$1117,$B749,Versuchsdaten!$C$2:$C$1117,"Sprint_5m",Versuchsdaten!$E$2:$E$1117,$E749,Versuchsdaten!$J$2:$J$1117,1),""))</f>
        <v/>
      </c>
      <c r="L749" s="22">
        <f>IF(LEFT(C749,7)&lt;&gt;"Sprint_","",IF(COUNTIFS(Versuchsdaten!$A$2:$A$1117,$A749,Versuchsdaten!$B$2:$B$1117,$B749,Versuchsdaten!$C$2:$C$1117,"Sprint_10m",Versuchsdaten!$E$2:$E$1117,$E749,Versuchsdaten!$J$2:$J$1117,1)=1,SUMIFS(Versuchsdaten!$F$2:$F$1117,Versuchsdaten!$A$2:$A$1117,$A749,Versuchsdaten!$B$2:$B$1117,$B749,Versuchsdaten!$C$2:$C$1117,"Sprint_10m",Versuchsdaten!$E$2:$E$1117,$E749,Versuchsdaten!$J$2:$J$1117,1),""))</f>
        <v/>
      </c>
      <c r="M749" s="22">
        <f>IF(LEFT(C749,7)&lt;&gt;"Sprint_","",IF(COUNTIFS(Versuchsdaten!$A$2:$A$1117,$A749,Versuchsdaten!$B$2:$B$1117,$B749,Versuchsdaten!$C$2:$C$1117,"Sprint_30m",Versuchsdaten!$E$2:$E$1117,$E749,Versuchsdaten!$J$2:$J$1117,1)=1,SUMIFS(Versuchsdaten!$F$2:$F$1117,Versuchsdaten!$A$2:$A$1117,$A749,Versuchsdaten!$B$2:$B$1117,$B749,Versuchsdaten!$C$2:$C$1117,"Sprint_30m",Versuchsdaten!$E$2:$E$1117,$E749,Versuchsdaten!$J$2:$J$1117,1),""))</f>
        <v/>
      </c>
      <c r="N749" s="22">
        <f>IF(LEFT(C749,7)&lt;&gt;"Sprint_",0,IF(IF(ISNUMBER(K749),IF(K749&lt;=0,1,IF(5/K749&gt;10,1,0)),0)+IF(ISNUMBER(L749),IF(ISNUMBER(K749),IF(L749-K749&lt;=0,1,IF(5/(L749-K749)&gt;10,1,0)),IF(L749&lt;=0,1,IF(10/L749&gt;10,1,0))),0)+IF(ISNUMBER(M749),IF(ISNUMBER(L749),IF(M749-L749&lt;=0,1,IF(20/(M749-L749)&gt;10,1,0)),IF(ISNUMBER(K749),IF(M749-K749&lt;=0,1,IF(25/(M749-K749)&gt;10,1,0)),IF(M749&lt;=0,1,IF(30/M749&gt;10,1,0)))),0)&gt;0,1,0))</f>
        <v/>
      </c>
      <c r="O749" s="22">
        <f>IF(AND(J749=1,N749=0),1,0)</f>
        <v/>
      </c>
      <c r="P749" s="22">
        <f>INDEX(Personendaten!$J$2:$J$32,MATCH(A749,Personendaten!$A$2:$A$32,0))</f>
        <v/>
      </c>
      <c r="Q749" s="22">
        <f>IF(O749=1,"",IF(AND(B749="post",P749="nicht angetreten"),"NANG",IF(N749=1,"AUSL",IFERROR(VLOOKUP(H749,Vokabular!$A$2:$B$8,2,FALSE),"UNBEKANNT"))))</f>
        <v/>
      </c>
    </row>
    <row r="750">
      <c r="A750" s="5" t="inlineStr">
        <is>
          <t>BW-21</t>
        </is>
      </c>
      <c r="B750" s="5" t="inlineStr">
        <is>
          <t>post</t>
        </is>
      </c>
      <c r="C750" s="5" t="inlineStr">
        <is>
          <t>Standweitsprung</t>
        </is>
      </c>
      <c r="D750" s="5" t="inlineStr">
        <is>
          <t>–</t>
        </is>
      </c>
      <c r="E750" s="5" t="n">
        <v>2</v>
      </c>
      <c r="F750" s="5" t="n"/>
      <c r="G750" s="5" t="n"/>
      <c r="H750" s="5" t="n"/>
      <c r="I750" s="22">
        <f>INDEX(Personendaten!$C$2:$C$32,MATCH(A750,Personendaten!$A$2:$A$32,0))</f>
        <v/>
      </c>
      <c r="J750" s="22">
        <f>IF(AND(F750&lt;&gt;"",G750=""),1,0)</f>
        <v/>
      </c>
      <c r="K750" s="22">
        <f>IF(LEFT(C750,7)&lt;&gt;"Sprint_","",IF(COUNTIFS(Versuchsdaten!$A$2:$A$1117,$A750,Versuchsdaten!$B$2:$B$1117,$B750,Versuchsdaten!$C$2:$C$1117,"Sprint_5m",Versuchsdaten!$E$2:$E$1117,$E750,Versuchsdaten!$J$2:$J$1117,1)=1,SUMIFS(Versuchsdaten!$F$2:$F$1117,Versuchsdaten!$A$2:$A$1117,$A750,Versuchsdaten!$B$2:$B$1117,$B750,Versuchsdaten!$C$2:$C$1117,"Sprint_5m",Versuchsdaten!$E$2:$E$1117,$E750,Versuchsdaten!$J$2:$J$1117,1),""))</f>
        <v/>
      </c>
      <c r="L750" s="22">
        <f>IF(LEFT(C750,7)&lt;&gt;"Sprint_","",IF(COUNTIFS(Versuchsdaten!$A$2:$A$1117,$A750,Versuchsdaten!$B$2:$B$1117,$B750,Versuchsdaten!$C$2:$C$1117,"Sprint_10m",Versuchsdaten!$E$2:$E$1117,$E750,Versuchsdaten!$J$2:$J$1117,1)=1,SUMIFS(Versuchsdaten!$F$2:$F$1117,Versuchsdaten!$A$2:$A$1117,$A750,Versuchsdaten!$B$2:$B$1117,$B750,Versuchsdaten!$C$2:$C$1117,"Sprint_10m",Versuchsdaten!$E$2:$E$1117,$E750,Versuchsdaten!$J$2:$J$1117,1),""))</f>
        <v/>
      </c>
      <c r="M750" s="22">
        <f>IF(LEFT(C750,7)&lt;&gt;"Sprint_","",IF(COUNTIFS(Versuchsdaten!$A$2:$A$1117,$A750,Versuchsdaten!$B$2:$B$1117,$B750,Versuchsdaten!$C$2:$C$1117,"Sprint_30m",Versuchsdaten!$E$2:$E$1117,$E750,Versuchsdaten!$J$2:$J$1117,1)=1,SUMIFS(Versuchsdaten!$F$2:$F$1117,Versuchsdaten!$A$2:$A$1117,$A750,Versuchsdaten!$B$2:$B$1117,$B750,Versuchsdaten!$C$2:$C$1117,"Sprint_30m",Versuchsdaten!$E$2:$E$1117,$E750,Versuchsdaten!$J$2:$J$1117,1),""))</f>
        <v/>
      </c>
      <c r="N750" s="22">
        <f>IF(LEFT(C750,7)&lt;&gt;"Sprint_",0,IF(IF(ISNUMBER(K750),IF(K750&lt;=0,1,IF(5/K750&gt;10,1,0)),0)+IF(ISNUMBER(L750),IF(ISNUMBER(K750),IF(L750-K750&lt;=0,1,IF(5/(L750-K750)&gt;10,1,0)),IF(L750&lt;=0,1,IF(10/L750&gt;10,1,0))),0)+IF(ISNUMBER(M750),IF(ISNUMBER(L750),IF(M750-L750&lt;=0,1,IF(20/(M750-L750)&gt;10,1,0)),IF(ISNUMBER(K750),IF(M750-K750&lt;=0,1,IF(25/(M750-K750)&gt;10,1,0)),IF(M750&lt;=0,1,IF(30/M750&gt;10,1,0)))),0)&gt;0,1,0))</f>
        <v/>
      </c>
      <c r="O750" s="22">
        <f>IF(AND(J750=1,N750=0),1,0)</f>
        <v/>
      </c>
      <c r="P750" s="22">
        <f>INDEX(Personendaten!$J$2:$J$32,MATCH(A750,Personendaten!$A$2:$A$32,0))</f>
        <v/>
      </c>
      <c r="Q750" s="22">
        <f>IF(O750=1,"",IF(AND(B750="post",P750="nicht angetreten"),"NANG",IF(N750=1,"AUSL",IFERROR(VLOOKUP(H750,Vokabular!$A$2:$B$8,2,FALSE),"UNBEKANNT"))))</f>
        <v/>
      </c>
    </row>
    <row r="751">
      <c r="A751" s="5" t="inlineStr">
        <is>
          <t>BW-21</t>
        </is>
      </c>
      <c r="B751" s="5" t="inlineStr">
        <is>
          <t>post</t>
        </is>
      </c>
      <c r="C751" s="5" t="inlineStr">
        <is>
          <t>Standweitsprung</t>
        </is>
      </c>
      <c r="D751" s="5" t="inlineStr">
        <is>
          <t>–</t>
        </is>
      </c>
      <c r="E751" s="5" t="n">
        <v>3</v>
      </c>
      <c r="F751" s="5" t="n"/>
      <c r="G751" s="5" t="n"/>
      <c r="H751" s="5" t="n"/>
      <c r="I751" s="22">
        <f>INDEX(Personendaten!$C$2:$C$32,MATCH(A751,Personendaten!$A$2:$A$32,0))</f>
        <v/>
      </c>
      <c r="J751" s="22">
        <f>IF(AND(F751&lt;&gt;"",G751=""),1,0)</f>
        <v/>
      </c>
      <c r="K751" s="22">
        <f>IF(LEFT(C751,7)&lt;&gt;"Sprint_","",IF(COUNTIFS(Versuchsdaten!$A$2:$A$1117,$A751,Versuchsdaten!$B$2:$B$1117,$B751,Versuchsdaten!$C$2:$C$1117,"Sprint_5m",Versuchsdaten!$E$2:$E$1117,$E751,Versuchsdaten!$J$2:$J$1117,1)=1,SUMIFS(Versuchsdaten!$F$2:$F$1117,Versuchsdaten!$A$2:$A$1117,$A751,Versuchsdaten!$B$2:$B$1117,$B751,Versuchsdaten!$C$2:$C$1117,"Sprint_5m",Versuchsdaten!$E$2:$E$1117,$E751,Versuchsdaten!$J$2:$J$1117,1),""))</f>
        <v/>
      </c>
      <c r="L751" s="22">
        <f>IF(LEFT(C751,7)&lt;&gt;"Sprint_","",IF(COUNTIFS(Versuchsdaten!$A$2:$A$1117,$A751,Versuchsdaten!$B$2:$B$1117,$B751,Versuchsdaten!$C$2:$C$1117,"Sprint_10m",Versuchsdaten!$E$2:$E$1117,$E751,Versuchsdaten!$J$2:$J$1117,1)=1,SUMIFS(Versuchsdaten!$F$2:$F$1117,Versuchsdaten!$A$2:$A$1117,$A751,Versuchsdaten!$B$2:$B$1117,$B751,Versuchsdaten!$C$2:$C$1117,"Sprint_10m",Versuchsdaten!$E$2:$E$1117,$E751,Versuchsdaten!$J$2:$J$1117,1),""))</f>
        <v/>
      </c>
      <c r="M751" s="22">
        <f>IF(LEFT(C751,7)&lt;&gt;"Sprint_","",IF(COUNTIFS(Versuchsdaten!$A$2:$A$1117,$A751,Versuchsdaten!$B$2:$B$1117,$B751,Versuchsdaten!$C$2:$C$1117,"Sprint_30m",Versuchsdaten!$E$2:$E$1117,$E751,Versuchsdaten!$J$2:$J$1117,1)=1,SUMIFS(Versuchsdaten!$F$2:$F$1117,Versuchsdaten!$A$2:$A$1117,$A751,Versuchsdaten!$B$2:$B$1117,$B751,Versuchsdaten!$C$2:$C$1117,"Sprint_30m",Versuchsdaten!$E$2:$E$1117,$E751,Versuchsdaten!$J$2:$J$1117,1),""))</f>
        <v/>
      </c>
      <c r="N751" s="22">
        <f>IF(LEFT(C751,7)&lt;&gt;"Sprint_",0,IF(IF(ISNUMBER(K751),IF(K751&lt;=0,1,IF(5/K751&gt;10,1,0)),0)+IF(ISNUMBER(L751),IF(ISNUMBER(K751),IF(L751-K751&lt;=0,1,IF(5/(L751-K751)&gt;10,1,0)),IF(L751&lt;=0,1,IF(10/L751&gt;10,1,0))),0)+IF(ISNUMBER(M751),IF(ISNUMBER(L751),IF(M751-L751&lt;=0,1,IF(20/(M751-L751)&gt;10,1,0)),IF(ISNUMBER(K751),IF(M751-K751&lt;=0,1,IF(25/(M751-K751)&gt;10,1,0)),IF(M751&lt;=0,1,IF(30/M751&gt;10,1,0)))),0)&gt;0,1,0))</f>
        <v/>
      </c>
      <c r="O751" s="22">
        <f>IF(AND(J751=1,N751=0),1,0)</f>
        <v/>
      </c>
      <c r="P751" s="22">
        <f>INDEX(Personendaten!$J$2:$J$32,MATCH(A751,Personendaten!$A$2:$A$32,0))</f>
        <v/>
      </c>
      <c r="Q751" s="22">
        <f>IF(O751=1,"",IF(AND(B751="post",P751="nicht angetreten"),"NANG",IF(N751=1,"AUSL",IFERROR(VLOOKUP(H751,Vokabular!$A$2:$B$8,2,FALSE),"UNBEKANNT"))))</f>
        <v/>
      </c>
    </row>
    <row r="752">
      <c r="A752" s="5" t="inlineStr">
        <is>
          <t>BW-21</t>
        </is>
      </c>
      <c r="B752" s="5" t="inlineStr">
        <is>
          <t>post</t>
        </is>
      </c>
      <c r="C752" s="5" t="inlineStr">
        <is>
          <t>COD_505</t>
        </is>
      </c>
      <c r="D752" s="5" t="inlineStr">
        <is>
          <t>L</t>
        </is>
      </c>
      <c r="E752" s="5" t="n">
        <v>1</v>
      </c>
      <c r="F752" s="5" t="n"/>
      <c r="G752" s="5" t="n"/>
      <c r="H752" s="5" t="n"/>
      <c r="I752" s="22">
        <f>INDEX(Personendaten!$C$2:$C$32,MATCH(A752,Personendaten!$A$2:$A$32,0))</f>
        <v/>
      </c>
      <c r="J752" s="22">
        <f>IF(AND(F752&lt;&gt;"",G752=""),1,0)</f>
        <v/>
      </c>
      <c r="K752" s="22">
        <f>IF(LEFT(C752,7)&lt;&gt;"Sprint_","",IF(COUNTIFS(Versuchsdaten!$A$2:$A$1117,$A752,Versuchsdaten!$B$2:$B$1117,$B752,Versuchsdaten!$C$2:$C$1117,"Sprint_5m",Versuchsdaten!$E$2:$E$1117,$E752,Versuchsdaten!$J$2:$J$1117,1)=1,SUMIFS(Versuchsdaten!$F$2:$F$1117,Versuchsdaten!$A$2:$A$1117,$A752,Versuchsdaten!$B$2:$B$1117,$B752,Versuchsdaten!$C$2:$C$1117,"Sprint_5m",Versuchsdaten!$E$2:$E$1117,$E752,Versuchsdaten!$J$2:$J$1117,1),""))</f>
        <v/>
      </c>
      <c r="L752" s="22">
        <f>IF(LEFT(C752,7)&lt;&gt;"Sprint_","",IF(COUNTIFS(Versuchsdaten!$A$2:$A$1117,$A752,Versuchsdaten!$B$2:$B$1117,$B752,Versuchsdaten!$C$2:$C$1117,"Sprint_10m",Versuchsdaten!$E$2:$E$1117,$E752,Versuchsdaten!$J$2:$J$1117,1)=1,SUMIFS(Versuchsdaten!$F$2:$F$1117,Versuchsdaten!$A$2:$A$1117,$A752,Versuchsdaten!$B$2:$B$1117,$B752,Versuchsdaten!$C$2:$C$1117,"Sprint_10m",Versuchsdaten!$E$2:$E$1117,$E752,Versuchsdaten!$J$2:$J$1117,1),""))</f>
        <v/>
      </c>
      <c r="M752" s="22">
        <f>IF(LEFT(C752,7)&lt;&gt;"Sprint_","",IF(COUNTIFS(Versuchsdaten!$A$2:$A$1117,$A752,Versuchsdaten!$B$2:$B$1117,$B752,Versuchsdaten!$C$2:$C$1117,"Sprint_30m",Versuchsdaten!$E$2:$E$1117,$E752,Versuchsdaten!$J$2:$J$1117,1)=1,SUMIFS(Versuchsdaten!$F$2:$F$1117,Versuchsdaten!$A$2:$A$1117,$A752,Versuchsdaten!$B$2:$B$1117,$B752,Versuchsdaten!$C$2:$C$1117,"Sprint_30m",Versuchsdaten!$E$2:$E$1117,$E752,Versuchsdaten!$J$2:$J$1117,1),""))</f>
        <v/>
      </c>
      <c r="N752" s="22">
        <f>IF(LEFT(C752,7)&lt;&gt;"Sprint_",0,IF(IF(ISNUMBER(K752),IF(K752&lt;=0,1,IF(5/K752&gt;10,1,0)),0)+IF(ISNUMBER(L752),IF(ISNUMBER(K752),IF(L752-K752&lt;=0,1,IF(5/(L752-K752)&gt;10,1,0)),IF(L752&lt;=0,1,IF(10/L752&gt;10,1,0))),0)+IF(ISNUMBER(M752),IF(ISNUMBER(L752),IF(M752-L752&lt;=0,1,IF(20/(M752-L752)&gt;10,1,0)),IF(ISNUMBER(K752),IF(M752-K752&lt;=0,1,IF(25/(M752-K752)&gt;10,1,0)),IF(M752&lt;=0,1,IF(30/M752&gt;10,1,0)))),0)&gt;0,1,0))</f>
        <v/>
      </c>
      <c r="O752" s="22">
        <f>IF(AND(J752=1,N752=0),1,0)</f>
        <v/>
      </c>
      <c r="P752" s="22">
        <f>INDEX(Personendaten!$J$2:$J$32,MATCH(A752,Personendaten!$A$2:$A$32,0))</f>
        <v/>
      </c>
      <c r="Q752" s="22">
        <f>IF(O752=1,"",IF(AND(B752="post",P752="nicht angetreten"),"NANG",IF(N752=1,"AUSL",IFERROR(VLOOKUP(H752,Vokabular!$A$2:$B$8,2,FALSE),"UNBEKANNT"))))</f>
        <v/>
      </c>
    </row>
    <row r="753">
      <c r="A753" s="5" t="inlineStr">
        <is>
          <t>BW-21</t>
        </is>
      </c>
      <c r="B753" s="5" t="inlineStr">
        <is>
          <t>post</t>
        </is>
      </c>
      <c r="C753" s="5" t="inlineStr">
        <is>
          <t>COD_505</t>
        </is>
      </c>
      <c r="D753" s="5" t="inlineStr">
        <is>
          <t>L</t>
        </is>
      </c>
      <c r="E753" s="5" t="n">
        <v>2</v>
      </c>
      <c r="F753" s="5" t="n"/>
      <c r="G753" s="5" t="n"/>
      <c r="H753" s="5" t="n"/>
      <c r="I753" s="22">
        <f>INDEX(Personendaten!$C$2:$C$32,MATCH(A753,Personendaten!$A$2:$A$32,0))</f>
        <v/>
      </c>
      <c r="J753" s="22">
        <f>IF(AND(F753&lt;&gt;"",G753=""),1,0)</f>
        <v/>
      </c>
      <c r="K753" s="22">
        <f>IF(LEFT(C753,7)&lt;&gt;"Sprint_","",IF(COUNTIFS(Versuchsdaten!$A$2:$A$1117,$A753,Versuchsdaten!$B$2:$B$1117,$B753,Versuchsdaten!$C$2:$C$1117,"Sprint_5m",Versuchsdaten!$E$2:$E$1117,$E753,Versuchsdaten!$J$2:$J$1117,1)=1,SUMIFS(Versuchsdaten!$F$2:$F$1117,Versuchsdaten!$A$2:$A$1117,$A753,Versuchsdaten!$B$2:$B$1117,$B753,Versuchsdaten!$C$2:$C$1117,"Sprint_5m",Versuchsdaten!$E$2:$E$1117,$E753,Versuchsdaten!$J$2:$J$1117,1),""))</f>
        <v/>
      </c>
      <c r="L753" s="22">
        <f>IF(LEFT(C753,7)&lt;&gt;"Sprint_","",IF(COUNTIFS(Versuchsdaten!$A$2:$A$1117,$A753,Versuchsdaten!$B$2:$B$1117,$B753,Versuchsdaten!$C$2:$C$1117,"Sprint_10m",Versuchsdaten!$E$2:$E$1117,$E753,Versuchsdaten!$J$2:$J$1117,1)=1,SUMIFS(Versuchsdaten!$F$2:$F$1117,Versuchsdaten!$A$2:$A$1117,$A753,Versuchsdaten!$B$2:$B$1117,$B753,Versuchsdaten!$C$2:$C$1117,"Sprint_10m",Versuchsdaten!$E$2:$E$1117,$E753,Versuchsdaten!$J$2:$J$1117,1),""))</f>
        <v/>
      </c>
      <c r="M753" s="22">
        <f>IF(LEFT(C753,7)&lt;&gt;"Sprint_","",IF(COUNTIFS(Versuchsdaten!$A$2:$A$1117,$A753,Versuchsdaten!$B$2:$B$1117,$B753,Versuchsdaten!$C$2:$C$1117,"Sprint_30m",Versuchsdaten!$E$2:$E$1117,$E753,Versuchsdaten!$J$2:$J$1117,1)=1,SUMIFS(Versuchsdaten!$F$2:$F$1117,Versuchsdaten!$A$2:$A$1117,$A753,Versuchsdaten!$B$2:$B$1117,$B753,Versuchsdaten!$C$2:$C$1117,"Sprint_30m",Versuchsdaten!$E$2:$E$1117,$E753,Versuchsdaten!$J$2:$J$1117,1),""))</f>
        <v/>
      </c>
      <c r="N753" s="22">
        <f>IF(LEFT(C753,7)&lt;&gt;"Sprint_",0,IF(IF(ISNUMBER(K753),IF(K753&lt;=0,1,IF(5/K753&gt;10,1,0)),0)+IF(ISNUMBER(L753),IF(ISNUMBER(K753),IF(L753-K753&lt;=0,1,IF(5/(L753-K753)&gt;10,1,0)),IF(L753&lt;=0,1,IF(10/L753&gt;10,1,0))),0)+IF(ISNUMBER(M753),IF(ISNUMBER(L753),IF(M753-L753&lt;=0,1,IF(20/(M753-L753)&gt;10,1,0)),IF(ISNUMBER(K753),IF(M753-K753&lt;=0,1,IF(25/(M753-K753)&gt;10,1,0)),IF(M753&lt;=0,1,IF(30/M753&gt;10,1,0)))),0)&gt;0,1,0))</f>
        <v/>
      </c>
      <c r="O753" s="22">
        <f>IF(AND(J753=1,N753=0),1,0)</f>
        <v/>
      </c>
      <c r="P753" s="22">
        <f>INDEX(Personendaten!$J$2:$J$32,MATCH(A753,Personendaten!$A$2:$A$32,0))</f>
        <v/>
      </c>
      <c r="Q753" s="22">
        <f>IF(O753=1,"",IF(AND(B753="post",P753="nicht angetreten"),"NANG",IF(N753=1,"AUSL",IFERROR(VLOOKUP(H753,Vokabular!$A$2:$B$8,2,FALSE),"UNBEKANNT"))))</f>
        <v/>
      </c>
    </row>
    <row r="754">
      <c r="A754" s="5" t="inlineStr">
        <is>
          <t>BW-21</t>
        </is>
      </c>
      <c r="B754" s="5" t="inlineStr">
        <is>
          <t>post</t>
        </is>
      </c>
      <c r="C754" s="5" t="inlineStr">
        <is>
          <t>COD_505</t>
        </is>
      </c>
      <c r="D754" s="5" t="inlineStr">
        <is>
          <t>L</t>
        </is>
      </c>
      <c r="E754" s="5" t="n">
        <v>3</v>
      </c>
      <c r="F754" s="5" t="n"/>
      <c r="G754" s="5" t="n"/>
      <c r="H754" s="5" t="n"/>
      <c r="I754" s="22">
        <f>INDEX(Personendaten!$C$2:$C$32,MATCH(A754,Personendaten!$A$2:$A$32,0))</f>
        <v/>
      </c>
      <c r="J754" s="22">
        <f>IF(AND(F754&lt;&gt;"",G754=""),1,0)</f>
        <v/>
      </c>
      <c r="K754" s="22">
        <f>IF(LEFT(C754,7)&lt;&gt;"Sprint_","",IF(COUNTIFS(Versuchsdaten!$A$2:$A$1117,$A754,Versuchsdaten!$B$2:$B$1117,$B754,Versuchsdaten!$C$2:$C$1117,"Sprint_5m",Versuchsdaten!$E$2:$E$1117,$E754,Versuchsdaten!$J$2:$J$1117,1)=1,SUMIFS(Versuchsdaten!$F$2:$F$1117,Versuchsdaten!$A$2:$A$1117,$A754,Versuchsdaten!$B$2:$B$1117,$B754,Versuchsdaten!$C$2:$C$1117,"Sprint_5m",Versuchsdaten!$E$2:$E$1117,$E754,Versuchsdaten!$J$2:$J$1117,1),""))</f>
        <v/>
      </c>
      <c r="L754" s="22">
        <f>IF(LEFT(C754,7)&lt;&gt;"Sprint_","",IF(COUNTIFS(Versuchsdaten!$A$2:$A$1117,$A754,Versuchsdaten!$B$2:$B$1117,$B754,Versuchsdaten!$C$2:$C$1117,"Sprint_10m",Versuchsdaten!$E$2:$E$1117,$E754,Versuchsdaten!$J$2:$J$1117,1)=1,SUMIFS(Versuchsdaten!$F$2:$F$1117,Versuchsdaten!$A$2:$A$1117,$A754,Versuchsdaten!$B$2:$B$1117,$B754,Versuchsdaten!$C$2:$C$1117,"Sprint_10m",Versuchsdaten!$E$2:$E$1117,$E754,Versuchsdaten!$J$2:$J$1117,1),""))</f>
        <v/>
      </c>
      <c r="M754" s="22">
        <f>IF(LEFT(C754,7)&lt;&gt;"Sprint_","",IF(COUNTIFS(Versuchsdaten!$A$2:$A$1117,$A754,Versuchsdaten!$B$2:$B$1117,$B754,Versuchsdaten!$C$2:$C$1117,"Sprint_30m",Versuchsdaten!$E$2:$E$1117,$E754,Versuchsdaten!$J$2:$J$1117,1)=1,SUMIFS(Versuchsdaten!$F$2:$F$1117,Versuchsdaten!$A$2:$A$1117,$A754,Versuchsdaten!$B$2:$B$1117,$B754,Versuchsdaten!$C$2:$C$1117,"Sprint_30m",Versuchsdaten!$E$2:$E$1117,$E754,Versuchsdaten!$J$2:$J$1117,1),""))</f>
        <v/>
      </c>
      <c r="N754" s="22">
        <f>IF(LEFT(C754,7)&lt;&gt;"Sprint_",0,IF(IF(ISNUMBER(K754),IF(K754&lt;=0,1,IF(5/K754&gt;10,1,0)),0)+IF(ISNUMBER(L754),IF(ISNUMBER(K754),IF(L754-K754&lt;=0,1,IF(5/(L754-K754)&gt;10,1,0)),IF(L754&lt;=0,1,IF(10/L754&gt;10,1,0))),0)+IF(ISNUMBER(M754),IF(ISNUMBER(L754),IF(M754-L754&lt;=0,1,IF(20/(M754-L754)&gt;10,1,0)),IF(ISNUMBER(K754),IF(M754-K754&lt;=0,1,IF(25/(M754-K754)&gt;10,1,0)),IF(M754&lt;=0,1,IF(30/M754&gt;10,1,0)))),0)&gt;0,1,0))</f>
        <v/>
      </c>
      <c r="O754" s="22">
        <f>IF(AND(J754=1,N754=0),1,0)</f>
        <v/>
      </c>
      <c r="P754" s="22">
        <f>INDEX(Personendaten!$J$2:$J$32,MATCH(A754,Personendaten!$A$2:$A$32,0))</f>
        <v/>
      </c>
      <c r="Q754" s="22">
        <f>IF(O754=1,"",IF(AND(B754="post",P754="nicht angetreten"),"NANG",IF(N754=1,"AUSL",IFERROR(VLOOKUP(H754,Vokabular!$A$2:$B$8,2,FALSE),"UNBEKANNT"))))</f>
        <v/>
      </c>
    </row>
    <row r="755">
      <c r="A755" s="5" t="inlineStr">
        <is>
          <t>BW-21</t>
        </is>
      </c>
      <c r="B755" s="5" t="inlineStr">
        <is>
          <t>post</t>
        </is>
      </c>
      <c r="C755" s="5" t="inlineStr">
        <is>
          <t>COD_505</t>
        </is>
      </c>
      <c r="D755" s="5" t="inlineStr">
        <is>
          <t>R</t>
        </is>
      </c>
      <c r="E755" s="5" t="n">
        <v>1</v>
      </c>
      <c r="F755" s="5" t="n"/>
      <c r="G755" s="5" t="n"/>
      <c r="H755" s="5" t="n"/>
      <c r="I755" s="22">
        <f>INDEX(Personendaten!$C$2:$C$32,MATCH(A755,Personendaten!$A$2:$A$32,0))</f>
        <v/>
      </c>
      <c r="J755" s="22">
        <f>IF(AND(F755&lt;&gt;"",G755=""),1,0)</f>
        <v/>
      </c>
      <c r="K755" s="22">
        <f>IF(LEFT(C755,7)&lt;&gt;"Sprint_","",IF(COUNTIFS(Versuchsdaten!$A$2:$A$1117,$A755,Versuchsdaten!$B$2:$B$1117,$B755,Versuchsdaten!$C$2:$C$1117,"Sprint_5m",Versuchsdaten!$E$2:$E$1117,$E755,Versuchsdaten!$J$2:$J$1117,1)=1,SUMIFS(Versuchsdaten!$F$2:$F$1117,Versuchsdaten!$A$2:$A$1117,$A755,Versuchsdaten!$B$2:$B$1117,$B755,Versuchsdaten!$C$2:$C$1117,"Sprint_5m",Versuchsdaten!$E$2:$E$1117,$E755,Versuchsdaten!$J$2:$J$1117,1),""))</f>
        <v/>
      </c>
      <c r="L755" s="22">
        <f>IF(LEFT(C755,7)&lt;&gt;"Sprint_","",IF(COUNTIFS(Versuchsdaten!$A$2:$A$1117,$A755,Versuchsdaten!$B$2:$B$1117,$B755,Versuchsdaten!$C$2:$C$1117,"Sprint_10m",Versuchsdaten!$E$2:$E$1117,$E755,Versuchsdaten!$J$2:$J$1117,1)=1,SUMIFS(Versuchsdaten!$F$2:$F$1117,Versuchsdaten!$A$2:$A$1117,$A755,Versuchsdaten!$B$2:$B$1117,$B755,Versuchsdaten!$C$2:$C$1117,"Sprint_10m",Versuchsdaten!$E$2:$E$1117,$E755,Versuchsdaten!$J$2:$J$1117,1),""))</f>
        <v/>
      </c>
      <c r="M755" s="22">
        <f>IF(LEFT(C755,7)&lt;&gt;"Sprint_","",IF(COUNTIFS(Versuchsdaten!$A$2:$A$1117,$A755,Versuchsdaten!$B$2:$B$1117,$B755,Versuchsdaten!$C$2:$C$1117,"Sprint_30m",Versuchsdaten!$E$2:$E$1117,$E755,Versuchsdaten!$J$2:$J$1117,1)=1,SUMIFS(Versuchsdaten!$F$2:$F$1117,Versuchsdaten!$A$2:$A$1117,$A755,Versuchsdaten!$B$2:$B$1117,$B755,Versuchsdaten!$C$2:$C$1117,"Sprint_30m",Versuchsdaten!$E$2:$E$1117,$E755,Versuchsdaten!$J$2:$J$1117,1),""))</f>
        <v/>
      </c>
      <c r="N755" s="22">
        <f>IF(LEFT(C755,7)&lt;&gt;"Sprint_",0,IF(IF(ISNUMBER(K755),IF(K755&lt;=0,1,IF(5/K755&gt;10,1,0)),0)+IF(ISNUMBER(L755),IF(ISNUMBER(K755),IF(L755-K755&lt;=0,1,IF(5/(L755-K755)&gt;10,1,0)),IF(L755&lt;=0,1,IF(10/L755&gt;10,1,0))),0)+IF(ISNUMBER(M755),IF(ISNUMBER(L755),IF(M755-L755&lt;=0,1,IF(20/(M755-L755)&gt;10,1,0)),IF(ISNUMBER(K755),IF(M755-K755&lt;=0,1,IF(25/(M755-K755)&gt;10,1,0)),IF(M755&lt;=0,1,IF(30/M755&gt;10,1,0)))),0)&gt;0,1,0))</f>
        <v/>
      </c>
      <c r="O755" s="22">
        <f>IF(AND(J755=1,N755=0),1,0)</f>
        <v/>
      </c>
      <c r="P755" s="22">
        <f>INDEX(Personendaten!$J$2:$J$32,MATCH(A755,Personendaten!$A$2:$A$32,0))</f>
        <v/>
      </c>
      <c r="Q755" s="22">
        <f>IF(O755=1,"",IF(AND(B755="post",P755="nicht angetreten"),"NANG",IF(N755=1,"AUSL",IFERROR(VLOOKUP(H755,Vokabular!$A$2:$B$8,2,FALSE),"UNBEKANNT"))))</f>
        <v/>
      </c>
    </row>
    <row r="756">
      <c r="A756" s="5" t="inlineStr">
        <is>
          <t>BW-21</t>
        </is>
      </c>
      <c r="B756" s="5" t="inlineStr">
        <is>
          <t>post</t>
        </is>
      </c>
      <c r="C756" s="5" t="inlineStr">
        <is>
          <t>COD_505</t>
        </is>
      </c>
      <c r="D756" s="5" t="inlineStr">
        <is>
          <t>R</t>
        </is>
      </c>
      <c r="E756" s="5" t="n">
        <v>2</v>
      </c>
      <c r="F756" s="5" t="n"/>
      <c r="G756" s="5" t="n"/>
      <c r="H756" s="5" t="n"/>
      <c r="I756" s="22">
        <f>INDEX(Personendaten!$C$2:$C$32,MATCH(A756,Personendaten!$A$2:$A$32,0))</f>
        <v/>
      </c>
      <c r="J756" s="22">
        <f>IF(AND(F756&lt;&gt;"",G756=""),1,0)</f>
        <v/>
      </c>
      <c r="K756" s="22">
        <f>IF(LEFT(C756,7)&lt;&gt;"Sprint_","",IF(COUNTIFS(Versuchsdaten!$A$2:$A$1117,$A756,Versuchsdaten!$B$2:$B$1117,$B756,Versuchsdaten!$C$2:$C$1117,"Sprint_5m",Versuchsdaten!$E$2:$E$1117,$E756,Versuchsdaten!$J$2:$J$1117,1)=1,SUMIFS(Versuchsdaten!$F$2:$F$1117,Versuchsdaten!$A$2:$A$1117,$A756,Versuchsdaten!$B$2:$B$1117,$B756,Versuchsdaten!$C$2:$C$1117,"Sprint_5m",Versuchsdaten!$E$2:$E$1117,$E756,Versuchsdaten!$J$2:$J$1117,1),""))</f>
        <v/>
      </c>
      <c r="L756" s="22">
        <f>IF(LEFT(C756,7)&lt;&gt;"Sprint_","",IF(COUNTIFS(Versuchsdaten!$A$2:$A$1117,$A756,Versuchsdaten!$B$2:$B$1117,$B756,Versuchsdaten!$C$2:$C$1117,"Sprint_10m",Versuchsdaten!$E$2:$E$1117,$E756,Versuchsdaten!$J$2:$J$1117,1)=1,SUMIFS(Versuchsdaten!$F$2:$F$1117,Versuchsdaten!$A$2:$A$1117,$A756,Versuchsdaten!$B$2:$B$1117,$B756,Versuchsdaten!$C$2:$C$1117,"Sprint_10m",Versuchsdaten!$E$2:$E$1117,$E756,Versuchsdaten!$J$2:$J$1117,1),""))</f>
        <v/>
      </c>
      <c r="M756" s="22">
        <f>IF(LEFT(C756,7)&lt;&gt;"Sprint_","",IF(COUNTIFS(Versuchsdaten!$A$2:$A$1117,$A756,Versuchsdaten!$B$2:$B$1117,$B756,Versuchsdaten!$C$2:$C$1117,"Sprint_30m",Versuchsdaten!$E$2:$E$1117,$E756,Versuchsdaten!$J$2:$J$1117,1)=1,SUMIFS(Versuchsdaten!$F$2:$F$1117,Versuchsdaten!$A$2:$A$1117,$A756,Versuchsdaten!$B$2:$B$1117,$B756,Versuchsdaten!$C$2:$C$1117,"Sprint_30m",Versuchsdaten!$E$2:$E$1117,$E756,Versuchsdaten!$J$2:$J$1117,1),""))</f>
        <v/>
      </c>
      <c r="N756" s="22">
        <f>IF(LEFT(C756,7)&lt;&gt;"Sprint_",0,IF(IF(ISNUMBER(K756),IF(K756&lt;=0,1,IF(5/K756&gt;10,1,0)),0)+IF(ISNUMBER(L756),IF(ISNUMBER(K756),IF(L756-K756&lt;=0,1,IF(5/(L756-K756)&gt;10,1,0)),IF(L756&lt;=0,1,IF(10/L756&gt;10,1,0))),0)+IF(ISNUMBER(M756),IF(ISNUMBER(L756),IF(M756-L756&lt;=0,1,IF(20/(M756-L756)&gt;10,1,0)),IF(ISNUMBER(K756),IF(M756-K756&lt;=0,1,IF(25/(M756-K756)&gt;10,1,0)),IF(M756&lt;=0,1,IF(30/M756&gt;10,1,0)))),0)&gt;0,1,0))</f>
        <v/>
      </c>
      <c r="O756" s="22">
        <f>IF(AND(J756=1,N756=0),1,0)</f>
        <v/>
      </c>
      <c r="P756" s="22">
        <f>INDEX(Personendaten!$J$2:$J$32,MATCH(A756,Personendaten!$A$2:$A$32,0))</f>
        <v/>
      </c>
      <c r="Q756" s="22">
        <f>IF(O756=1,"",IF(AND(B756="post",P756="nicht angetreten"),"NANG",IF(N756=1,"AUSL",IFERROR(VLOOKUP(H756,Vokabular!$A$2:$B$8,2,FALSE),"UNBEKANNT"))))</f>
        <v/>
      </c>
    </row>
    <row r="757">
      <c r="A757" s="5" t="inlineStr">
        <is>
          <t>BW-21</t>
        </is>
      </c>
      <c r="B757" s="5" t="inlineStr">
        <is>
          <t>post</t>
        </is>
      </c>
      <c r="C757" s="5" t="inlineStr">
        <is>
          <t>COD_505</t>
        </is>
      </c>
      <c r="D757" s="5" t="inlineStr">
        <is>
          <t>R</t>
        </is>
      </c>
      <c r="E757" s="5" t="n">
        <v>3</v>
      </c>
      <c r="F757" s="5" t="n"/>
      <c r="G757" s="5" t="n"/>
      <c r="H757" s="5" t="n"/>
      <c r="I757" s="22">
        <f>INDEX(Personendaten!$C$2:$C$32,MATCH(A757,Personendaten!$A$2:$A$32,0))</f>
        <v/>
      </c>
      <c r="J757" s="22">
        <f>IF(AND(F757&lt;&gt;"",G757=""),1,0)</f>
        <v/>
      </c>
      <c r="K757" s="22">
        <f>IF(LEFT(C757,7)&lt;&gt;"Sprint_","",IF(COUNTIFS(Versuchsdaten!$A$2:$A$1117,$A757,Versuchsdaten!$B$2:$B$1117,$B757,Versuchsdaten!$C$2:$C$1117,"Sprint_5m",Versuchsdaten!$E$2:$E$1117,$E757,Versuchsdaten!$J$2:$J$1117,1)=1,SUMIFS(Versuchsdaten!$F$2:$F$1117,Versuchsdaten!$A$2:$A$1117,$A757,Versuchsdaten!$B$2:$B$1117,$B757,Versuchsdaten!$C$2:$C$1117,"Sprint_5m",Versuchsdaten!$E$2:$E$1117,$E757,Versuchsdaten!$J$2:$J$1117,1),""))</f>
        <v/>
      </c>
      <c r="L757" s="22">
        <f>IF(LEFT(C757,7)&lt;&gt;"Sprint_","",IF(COUNTIFS(Versuchsdaten!$A$2:$A$1117,$A757,Versuchsdaten!$B$2:$B$1117,$B757,Versuchsdaten!$C$2:$C$1117,"Sprint_10m",Versuchsdaten!$E$2:$E$1117,$E757,Versuchsdaten!$J$2:$J$1117,1)=1,SUMIFS(Versuchsdaten!$F$2:$F$1117,Versuchsdaten!$A$2:$A$1117,$A757,Versuchsdaten!$B$2:$B$1117,$B757,Versuchsdaten!$C$2:$C$1117,"Sprint_10m",Versuchsdaten!$E$2:$E$1117,$E757,Versuchsdaten!$J$2:$J$1117,1),""))</f>
        <v/>
      </c>
      <c r="M757" s="22">
        <f>IF(LEFT(C757,7)&lt;&gt;"Sprint_","",IF(COUNTIFS(Versuchsdaten!$A$2:$A$1117,$A757,Versuchsdaten!$B$2:$B$1117,$B757,Versuchsdaten!$C$2:$C$1117,"Sprint_30m",Versuchsdaten!$E$2:$E$1117,$E757,Versuchsdaten!$J$2:$J$1117,1)=1,SUMIFS(Versuchsdaten!$F$2:$F$1117,Versuchsdaten!$A$2:$A$1117,$A757,Versuchsdaten!$B$2:$B$1117,$B757,Versuchsdaten!$C$2:$C$1117,"Sprint_30m",Versuchsdaten!$E$2:$E$1117,$E757,Versuchsdaten!$J$2:$J$1117,1),""))</f>
        <v/>
      </c>
      <c r="N757" s="22">
        <f>IF(LEFT(C757,7)&lt;&gt;"Sprint_",0,IF(IF(ISNUMBER(K757),IF(K757&lt;=0,1,IF(5/K757&gt;10,1,0)),0)+IF(ISNUMBER(L757),IF(ISNUMBER(K757),IF(L757-K757&lt;=0,1,IF(5/(L757-K757)&gt;10,1,0)),IF(L757&lt;=0,1,IF(10/L757&gt;10,1,0))),0)+IF(ISNUMBER(M757),IF(ISNUMBER(L757),IF(M757-L757&lt;=0,1,IF(20/(M757-L757)&gt;10,1,0)),IF(ISNUMBER(K757),IF(M757-K757&lt;=0,1,IF(25/(M757-K757)&gt;10,1,0)),IF(M757&lt;=0,1,IF(30/M757&gt;10,1,0)))),0)&gt;0,1,0))</f>
        <v/>
      </c>
      <c r="O757" s="22">
        <f>IF(AND(J757=1,N757=0),1,0)</f>
        <v/>
      </c>
      <c r="P757" s="22">
        <f>INDEX(Personendaten!$J$2:$J$32,MATCH(A757,Personendaten!$A$2:$A$32,0))</f>
        <v/>
      </c>
      <c r="Q757" s="22">
        <f>IF(O757=1,"",IF(AND(B757="post",P757="nicht angetreten"),"NANG",IF(N757=1,"AUSL",IFERROR(VLOOKUP(H757,Vokabular!$A$2:$B$8,2,FALSE),"UNBEKANNT"))))</f>
        <v/>
      </c>
    </row>
    <row r="758">
      <c r="A758" s="5" t="inlineStr">
        <is>
          <t>HL-01</t>
        </is>
      </c>
      <c r="B758" s="5" t="inlineStr">
        <is>
          <t>post</t>
        </is>
      </c>
      <c r="C758" s="5" t="inlineStr">
        <is>
          <t>Sprint_5m</t>
        </is>
      </c>
      <c r="D758" s="5" t="inlineStr">
        <is>
          <t>–</t>
        </is>
      </c>
      <c r="E758" s="5" t="n">
        <v>1</v>
      </c>
      <c r="F758" s="5" t="n">
        <v>1.16</v>
      </c>
      <c r="G758" s="5" t="n"/>
      <c r="H758" s="5" t="n"/>
      <c r="I758" s="22">
        <f>INDEX(Personendaten!$C$2:$C$32,MATCH(A758,Personendaten!$A$2:$A$32,0))</f>
        <v/>
      </c>
      <c r="J758" s="22">
        <f>IF(AND(F758&lt;&gt;"",G758=""),1,0)</f>
        <v/>
      </c>
      <c r="K758" s="22">
        <f>IF(LEFT(C758,7)&lt;&gt;"Sprint_","",IF(COUNTIFS(Versuchsdaten!$A$2:$A$1117,$A758,Versuchsdaten!$B$2:$B$1117,$B758,Versuchsdaten!$C$2:$C$1117,"Sprint_5m",Versuchsdaten!$E$2:$E$1117,$E758,Versuchsdaten!$J$2:$J$1117,1)=1,SUMIFS(Versuchsdaten!$F$2:$F$1117,Versuchsdaten!$A$2:$A$1117,$A758,Versuchsdaten!$B$2:$B$1117,$B758,Versuchsdaten!$C$2:$C$1117,"Sprint_5m",Versuchsdaten!$E$2:$E$1117,$E758,Versuchsdaten!$J$2:$J$1117,1),""))</f>
        <v/>
      </c>
      <c r="L758" s="22">
        <f>IF(LEFT(C758,7)&lt;&gt;"Sprint_","",IF(COUNTIFS(Versuchsdaten!$A$2:$A$1117,$A758,Versuchsdaten!$B$2:$B$1117,$B758,Versuchsdaten!$C$2:$C$1117,"Sprint_10m",Versuchsdaten!$E$2:$E$1117,$E758,Versuchsdaten!$J$2:$J$1117,1)=1,SUMIFS(Versuchsdaten!$F$2:$F$1117,Versuchsdaten!$A$2:$A$1117,$A758,Versuchsdaten!$B$2:$B$1117,$B758,Versuchsdaten!$C$2:$C$1117,"Sprint_10m",Versuchsdaten!$E$2:$E$1117,$E758,Versuchsdaten!$J$2:$J$1117,1),""))</f>
        <v/>
      </c>
      <c r="M758" s="22">
        <f>IF(LEFT(C758,7)&lt;&gt;"Sprint_","",IF(COUNTIFS(Versuchsdaten!$A$2:$A$1117,$A758,Versuchsdaten!$B$2:$B$1117,$B758,Versuchsdaten!$C$2:$C$1117,"Sprint_30m",Versuchsdaten!$E$2:$E$1117,$E758,Versuchsdaten!$J$2:$J$1117,1)=1,SUMIFS(Versuchsdaten!$F$2:$F$1117,Versuchsdaten!$A$2:$A$1117,$A758,Versuchsdaten!$B$2:$B$1117,$B758,Versuchsdaten!$C$2:$C$1117,"Sprint_30m",Versuchsdaten!$E$2:$E$1117,$E758,Versuchsdaten!$J$2:$J$1117,1),""))</f>
        <v/>
      </c>
      <c r="N758" s="22">
        <f>IF(LEFT(C758,7)&lt;&gt;"Sprint_",0,IF(IF(ISNUMBER(K758),IF(K758&lt;=0,1,IF(5/K758&gt;10,1,0)),0)+IF(ISNUMBER(L758),IF(ISNUMBER(K758),IF(L758-K758&lt;=0,1,IF(5/(L758-K758)&gt;10,1,0)),IF(L758&lt;=0,1,IF(10/L758&gt;10,1,0))),0)+IF(ISNUMBER(M758),IF(ISNUMBER(L758),IF(M758-L758&lt;=0,1,IF(20/(M758-L758)&gt;10,1,0)),IF(ISNUMBER(K758),IF(M758-K758&lt;=0,1,IF(25/(M758-K758)&gt;10,1,0)),IF(M758&lt;=0,1,IF(30/M758&gt;10,1,0)))),0)&gt;0,1,0))</f>
        <v/>
      </c>
      <c r="O758" s="22">
        <f>IF(AND(J758=1,N758=0),1,0)</f>
        <v/>
      </c>
      <c r="P758" s="22">
        <f>INDEX(Personendaten!$J$2:$J$32,MATCH(A758,Personendaten!$A$2:$A$32,0))</f>
        <v/>
      </c>
      <c r="Q758" s="22">
        <f>IF(O758=1,"",IF(AND(B758="post",P758="nicht angetreten"),"NANG",IF(N758=1,"AUSL",IFERROR(VLOOKUP(H758,Vokabular!$A$2:$B$8,2,FALSE),"UNBEKANNT"))))</f>
        <v/>
      </c>
    </row>
    <row r="759">
      <c r="A759" s="5" t="inlineStr">
        <is>
          <t>HL-01</t>
        </is>
      </c>
      <c r="B759" s="5" t="inlineStr">
        <is>
          <t>post</t>
        </is>
      </c>
      <c r="C759" s="5" t="inlineStr">
        <is>
          <t>Sprint_5m</t>
        </is>
      </c>
      <c r="D759" s="5" t="inlineStr">
        <is>
          <t>–</t>
        </is>
      </c>
      <c r="E759" s="5" t="n">
        <v>2</v>
      </c>
      <c r="F759" s="5" t="n">
        <v>1.1</v>
      </c>
      <c r="G759" s="5" t="n"/>
      <c r="H759" s="5" t="n"/>
      <c r="I759" s="22">
        <f>INDEX(Personendaten!$C$2:$C$32,MATCH(A759,Personendaten!$A$2:$A$32,0))</f>
        <v/>
      </c>
      <c r="J759" s="22">
        <f>IF(AND(F759&lt;&gt;"",G759=""),1,0)</f>
        <v/>
      </c>
      <c r="K759" s="22">
        <f>IF(LEFT(C759,7)&lt;&gt;"Sprint_","",IF(COUNTIFS(Versuchsdaten!$A$2:$A$1117,$A759,Versuchsdaten!$B$2:$B$1117,$B759,Versuchsdaten!$C$2:$C$1117,"Sprint_5m",Versuchsdaten!$E$2:$E$1117,$E759,Versuchsdaten!$J$2:$J$1117,1)=1,SUMIFS(Versuchsdaten!$F$2:$F$1117,Versuchsdaten!$A$2:$A$1117,$A759,Versuchsdaten!$B$2:$B$1117,$B759,Versuchsdaten!$C$2:$C$1117,"Sprint_5m",Versuchsdaten!$E$2:$E$1117,$E759,Versuchsdaten!$J$2:$J$1117,1),""))</f>
        <v/>
      </c>
      <c r="L759" s="22">
        <f>IF(LEFT(C759,7)&lt;&gt;"Sprint_","",IF(COUNTIFS(Versuchsdaten!$A$2:$A$1117,$A759,Versuchsdaten!$B$2:$B$1117,$B759,Versuchsdaten!$C$2:$C$1117,"Sprint_10m",Versuchsdaten!$E$2:$E$1117,$E759,Versuchsdaten!$J$2:$J$1117,1)=1,SUMIFS(Versuchsdaten!$F$2:$F$1117,Versuchsdaten!$A$2:$A$1117,$A759,Versuchsdaten!$B$2:$B$1117,$B759,Versuchsdaten!$C$2:$C$1117,"Sprint_10m",Versuchsdaten!$E$2:$E$1117,$E759,Versuchsdaten!$J$2:$J$1117,1),""))</f>
        <v/>
      </c>
      <c r="M759" s="22">
        <f>IF(LEFT(C759,7)&lt;&gt;"Sprint_","",IF(COUNTIFS(Versuchsdaten!$A$2:$A$1117,$A759,Versuchsdaten!$B$2:$B$1117,$B759,Versuchsdaten!$C$2:$C$1117,"Sprint_30m",Versuchsdaten!$E$2:$E$1117,$E759,Versuchsdaten!$J$2:$J$1117,1)=1,SUMIFS(Versuchsdaten!$F$2:$F$1117,Versuchsdaten!$A$2:$A$1117,$A759,Versuchsdaten!$B$2:$B$1117,$B759,Versuchsdaten!$C$2:$C$1117,"Sprint_30m",Versuchsdaten!$E$2:$E$1117,$E759,Versuchsdaten!$J$2:$J$1117,1),""))</f>
        <v/>
      </c>
      <c r="N759" s="22">
        <f>IF(LEFT(C759,7)&lt;&gt;"Sprint_",0,IF(IF(ISNUMBER(K759),IF(K759&lt;=0,1,IF(5/K759&gt;10,1,0)),0)+IF(ISNUMBER(L759),IF(ISNUMBER(K759),IF(L759-K759&lt;=0,1,IF(5/(L759-K759)&gt;10,1,0)),IF(L759&lt;=0,1,IF(10/L759&gt;10,1,0))),0)+IF(ISNUMBER(M759),IF(ISNUMBER(L759),IF(M759-L759&lt;=0,1,IF(20/(M759-L759)&gt;10,1,0)),IF(ISNUMBER(K759),IF(M759-K759&lt;=0,1,IF(25/(M759-K759)&gt;10,1,0)),IF(M759&lt;=0,1,IF(30/M759&gt;10,1,0)))),0)&gt;0,1,0))</f>
        <v/>
      </c>
      <c r="O759" s="22">
        <f>IF(AND(J759=1,N759=0),1,0)</f>
        <v/>
      </c>
      <c r="P759" s="22">
        <f>INDEX(Personendaten!$J$2:$J$32,MATCH(A759,Personendaten!$A$2:$A$32,0))</f>
        <v/>
      </c>
      <c r="Q759" s="22">
        <f>IF(O759=1,"",IF(AND(B759="post",P759="nicht angetreten"),"NANG",IF(N759=1,"AUSL",IFERROR(VLOOKUP(H759,Vokabular!$A$2:$B$8,2,FALSE),"UNBEKANNT"))))</f>
        <v/>
      </c>
    </row>
    <row r="760">
      <c r="A760" s="5" t="inlineStr">
        <is>
          <t>HL-01</t>
        </is>
      </c>
      <c r="B760" s="5" t="inlineStr">
        <is>
          <t>post</t>
        </is>
      </c>
      <c r="C760" s="5" t="inlineStr">
        <is>
          <t>Sprint_5m</t>
        </is>
      </c>
      <c r="D760" s="5" t="inlineStr">
        <is>
          <t>–</t>
        </is>
      </c>
      <c r="E760" s="5" t="n">
        <v>3</v>
      </c>
      <c r="F760" s="5" t="n">
        <v>1.11</v>
      </c>
      <c r="G760" s="5" t="n"/>
      <c r="H760" s="5" t="n"/>
      <c r="I760" s="22">
        <f>INDEX(Personendaten!$C$2:$C$32,MATCH(A760,Personendaten!$A$2:$A$32,0))</f>
        <v/>
      </c>
      <c r="J760" s="22">
        <f>IF(AND(F760&lt;&gt;"",G760=""),1,0)</f>
        <v/>
      </c>
      <c r="K760" s="22">
        <f>IF(LEFT(C760,7)&lt;&gt;"Sprint_","",IF(COUNTIFS(Versuchsdaten!$A$2:$A$1117,$A760,Versuchsdaten!$B$2:$B$1117,$B760,Versuchsdaten!$C$2:$C$1117,"Sprint_5m",Versuchsdaten!$E$2:$E$1117,$E760,Versuchsdaten!$J$2:$J$1117,1)=1,SUMIFS(Versuchsdaten!$F$2:$F$1117,Versuchsdaten!$A$2:$A$1117,$A760,Versuchsdaten!$B$2:$B$1117,$B760,Versuchsdaten!$C$2:$C$1117,"Sprint_5m",Versuchsdaten!$E$2:$E$1117,$E760,Versuchsdaten!$J$2:$J$1117,1),""))</f>
        <v/>
      </c>
      <c r="L760" s="22">
        <f>IF(LEFT(C760,7)&lt;&gt;"Sprint_","",IF(COUNTIFS(Versuchsdaten!$A$2:$A$1117,$A760,Versuchsdaten!$B$2:$B$1117,$B760,Versuchsdaten!$C$2:$C$1117,"Sprint_10m",Versuchsdaten!$E$2:$E$1117,$E760,Versuchsdaten!$J$2:$J$1117,1)=1,SUMIFS(Versuchsdaten!$F$2:$F$1117,Versuchsdaten!$A$2:$A$1117,$A760,Versuchsdaten!$B$2:$B$1117,$B760,Versuchsdaten!$C$2:$C$1117,"Sprint_10m",Versuchsdaten!$E$2:$E$1117,$E760,Versuchsdaten!$J$2:$J$1117,1),""))</f>
        <v/>
      </c>
      <c r="M760" s="22">
        <f>IF(LEFT(C760,7)&lt;&gt;"Sprint_","",IF(COUNTIFS(Versuchsdaten!$A$2:$A$1117,$A760,Versuchsdaten!$B$2:$B$1117,$B760,Versuchsdaten!$C$2:$C$1117,"Sprint_30m",Versuchsdaten!$E$2:$E$1117,$E760,Versuchsdaten!$J$2:$J$1117,1)=1,SUMIFS(Versuchsdaten!$F$2:$F$1117,Versuchsdaten!$A$2:$A$1117,$A760,Versuchsdaten!$B$2:$B$1117,$B760,Versuchsdaten!$C$2:$C$1117,"Sprint_30m",Versuchsdaten!$E$2:$E$1117,$E760,Versuchsdaten!$J$2:$J$1117,1),""))</f>
        <v/>
      </c>
      <c r="N760" s="22">
        <f>IF(LEFT(C760,7)&lt;&gt;"Sprint_",0,IF(IF(ISNUMBER(K760),IF(K760&lt;=0,1,IF(5/K760&gt;10,1,0)),0)+IF(ISNUMBER(L760),IF(ISNUMBER(K760),IF(L760-K760&lt;=0,1,IF(5/(L760-K760)&gt;10,1,0)),IF(L760&lt;=0,1,IF(10/L760&gt;10,1,0))),0)+IF(ISNUMBER(M760),IF(ISNUMBER(L760),IF(M760-L760&lt;=0,1,IF(20/(M760-L760)&gt;10,1,0)),IF(ISNUMBER(K760),IF(M760-K760&lt;=0,1,IF(25/(M760-K760)&gt;10,1,0)),IF(M760&lt;=0,1,IF(30/M760&gt;10,1,0)))),0)&gt;0,1,0))</f>
        <v/>
      </c>
      <c r="O760" s="22">
        <f>IF(AND(J760=1,N760=0),1,0)</f>
        <v/>
      </c>
      <c r="P760" s="22">
        <f>INDEX(Personendaten!$J$2:$J$32,MATCH(A760,Personendaten!$A$2:$A$32,0))</f>
        <v/>
      </c>
      <c r="Q760" s="22">
        <f>IF(O760=1,"",IF(AND(B760="post",P760="nicht angetreten"),"NANG",IF(N760=1,"AUSL",IFERROR(VLOOKUP(H760,Vokabular!$A$2:$B$8,2,FALSE),"UNBEKANNT"))))</f>
        <v/>
      </c>
    </row>
    <row r="761">
      <c r="A761" s="5" t="inlineStr">
        <is>
          <t>HL-01</t>
        </is>
      </c>
      <c r="B761" s="5" t="inlineStr">
        <is>
          <t>post</t>
        </is>
      </c>
      <c r="C761" s="5" t="inlineStr">
        <is>
          <t>Sprint_10m</t>
        </is>
      </c>
      <c r="D761" s="5" t="inlineStr">
        <is>
          <t>–</t>
        </is>
      </c>
      <c r="E761" s="5" t="n">
        <v>1</v>
      </c>
      <c r="F761" s="5" t="n">
        <v>1.98</v>
      </c>
      <c r="G761" s="5" t="n"/>
      <c r="H761" s="5" t="n"/>
      <c r="I761" s="22">
        <f>INDEX(Personendaten!$C$2:$C$32,MATCH(A761,Personendaten!$A$2:$A$32,0))</f>
        <v/>
      </c>
      <c r="J761" s="22">
        <f>IF(AND(F761&lt;&gt;"",G761=""),1,0)</f>
        <v/>
      </c>
      <c r="K761" s="22">
        <f>IF(LEFT(C761,7)&lt;&gt;"Sprint_","",IF(COUNTIFS(Versuchsdaten!$A$2:$A$1117,$A761,Versuchsdaten!$B$2:$B$1117,$B761,Versuchsdaten!$C$2:$C$1117,"Sprint_5m",Versuchsdaten!$E$2:$E$1117,$E761,Versuchsdaten!$J$2:$J$1117,1)=1,SUMIFS(Versuchsdaten!$F$2:$F$1117,Versuchsdaten!$A$2:$A$1117,$A761,Versuchsdaten!$B$2:$B$1117,$B761,Versuchsdaten!$C$2:$C$1117,"Sprint_5m",Versuchsdaten!$E$2:$E$1117,$E761,Versuchsdaten!$J$2:$J$1117,1),""))</f>
        <v/>
      </c>
      <c r="L761" s="22">
        <f>IF(LEFT(C761,7)&lt;&gt;"Sprint_","",IF(COUNTIFS(Versuchsdaten!$A$2:$A$1117,$A761,Versuchsdaten!$B$2:$B$1117,$B761,Versuchsdaten!$C$2:$C$1117,"Sprint_10m",Versuchsdaten!$E$2:$E$1117,$E761,Versuchsdaten!$J$2:$J$1117,1)=1,SUMIFS(Versuchsdaten!$F$2:$F$1117,Versuchsdaten!$A$2:$A$1117,$A761,Versuchsdaten!$B$2:$B$1117,$B761,Versuchsdaten!$C$2:$C$1117,"Sprint_10m",Versuchsdaten!$E$2:$E$1117,$E761,Versuchsdaten!$J$2:$J$1117,1),""))</f>
        <v/>
      </c>
      <c r="M761" s="22">
        <f>IF(LEFT(C761,7)&lt;&gt;"Sprint_","",IF(COUNTIFS(Versuchsdaten!$A$2:$A$1117,$A761,Versuchsdaten!$B$2:$B$1117,$B761,Versuchsdaten!$C$2:$C$1117,"Sprint_30m",Versuchsdaten!$E$2:$E$1117,$E761,Versuchsdaten!$J$2:$J$1117,1)=1,SUMIFS(Versuchsdaten!$F$2:$F$1117,Versuchsdaten!$A$2:$A$1117,$A761,Versuchsdaten!$B$2:$B$1117,$B761,Versuchsdaten!$C$2:$C$1117,"Sprint_30m",Versuchsdaten!$E$2:$E$1117,$E761,Versuchsdaten!$J$2:$J$1117,1),""))</f>
        <v/>
      </c>
      <c r="N761" s="22">
        <f>IF(LEFT(C761,7)&lt;&gt;"Sprint_",0,IF(IF(ISNUMBER(K761),IF(K761&lt;=0,1,IF(5/K761&gt;10,1,0)),0)+IF(ISNUMBER(L761),IF(ISNUMBER(K761),IF(L761-K761&lt;=0,1,IF(5/(L761-K761)&gt;10,1,0)),IF(L761&lt;=0,1,IF(10/L761&gt;10,1,0))),0)+IF(ISNUMBER(M761),IF(ISNUMBER(L761),IF(M761-L761&lt;=0,1,IF(20/(M761-L761)&gt;10,1,0)),IF(ISNUMBER(K761),IF(M761-K761&lt;=0,1,IF(25/(M761-K761)&gt;10,1,0)),IF(M761&lt;=0,1,IF(30/M761&gt;10,1,0)))),0)&gt;0,1,0))</f>
        <v/>
      </c>
      <c r="O761" s="22">
        <f>IF(AND(J761=1,N761=0),1,0)</f>
        <v/>
      </c>
      <c r="P761" s="22">
        <f>INDEX(Personendaten!$J$2:$J$32,MATCH(A761,Personendaten!$A$2:$A$32,0))</f>
        <v/>
      </c>
      <c r="Q761" s="22">
        <f>IF(O761=1,"",IF(AND(B761="post",P761="nicht angetreten"),"NANG",IF(N761=1,"AUSL",IFERROR(VLOOKUP(H761,Vokabular!$A$2:$B$8,2,FALSE),"UNBEKANNT"))))</f>
        <v/>
      </c>
    </row>
    <row r="762">
      <c r="A762" s="5" t="inlineStr">
        <is>
          <t>HL-01</t>
        </is>
      </c>
      <c r="B762" s="5" t="inlineStr">
        <is>
          <t>post</t>
        </is>
      </c>
      <c r="C762" s="5" t="inlineStr">
        <is>
          <t>Sprint_10m</t>
        </is>
      </c>
      <c r="D762" s="5" t="inlineStr">
        <is>
          <t>–</t>
        </is>
      </c>
      <c r="E762" s="5" t="n">
        <v>2</v>
      </c>
      <c r="F762" s="5" t="n">
        <v>1.98</v>
      </c>
      <c r="G762" s="5" t="n"/>
      <c r="H762" s="5" t="n"/>
      <c r="I762" s="22">
        <f>INDEX(Personendaten!$C$2:$C$32,MATCH(A762,Personendaten!$A$2:$A$32,0))</f>
        <v/>
      </c>
      <c r="J762" s="22">
        <f>IF(AND(F762&lt;&gt;"",G762=""),1,0)</f>
        <v/>
      </c>
      <c r="K762" s="22">
        <f>IF(LEFT(C762,7)&lt;&gt;"Sprint_","",IF(COUNTIFS(Versuchsdaten!$A$2:$A$1117,$A762,Versuchsdaten!$B$2:$B$1117,$B762,Versuchsdaten!$C$2:$C$1117,"Sprint_5m",Versuchsdaten!$E$2:$E$1117,$E762,Versuchsdaten!$J$2:$J$1117,1)=1,SUMIFS(Versuchsdaten!$F$2:$F$1117,Versuchsdaten!$A$2:$A$1117,$A762,Versuchsdaten!$B$2:$B$1117,$B762,Versuchsdaten!$C$2:$C$1117,"Sprint_5m",Versuchsdaten!$E$2:$E$1117,$E762,Versuchsdaten!$J$2:$J$1117,1),""))</f>
        <v/>
      </c>
      <c r="L762" s="22">
        <f>IF(LEFT(C762,7)&lt;&gt;"Sprint_","",IF(COUNTIFS(Versuchsdaten!$A$2:$A$1117,$A762,Versuchsdaten!$B$2:$B$1117,$B762,Versuchsdaten!$C$2:$C$1117,"Sprint_10m",Versuchsdaten!$E$2:$E$1117,$E762,Versuchsdaten!$J$2:$J$1117,1)=1,SUMIFS(Versuchsdaten!$F$2:$F$1117,Versuchsdaten!$A$2:$A$1117,$A762,Versuchsdaten!$B$2:$B$1117,$B762,Versuchsdaten!$C$2:$C$1117,"Sprint_10m",Versuchsdaten!$E$2:$E$1117,$E762,Versuchsdaten!$J$2:$J$1117,1),""))</f>
        <v/>
      </c>
      <c r="M762" s="22">
        <f>IF(LEFT(C762,7)&lt;&gt;"Sprint_","",IF(COUNTIFS(Versuchsdaten!$A$2:$A$1117,$A762,Versuchsdaten!$B$2:$B$1117,$B762,Versuchsdaten!$C$2:$C$1117,"Sprint_30m",Versuchsdaten!$E$2:$E$1117,$E762,Versuchsdaten!$J$2:$J$1117,1)=1,SUMIFS(Versuchsdaten!$F$2:$F$1117,Versuchsdaten!$A$2:$A$1117,$A762,Versuchsdaten!$B$2:$B$1117,$B762,Versuchsdaten!$C$2:$C$1117,"Sprint_30m",Versuchsdaten!$E$2:$E$1117,$E762,Versuchsdaten!$J$2:$J$1117,1),""))</f>
        <v/>
      </c>
      <c r="N762" s="22">
        <f>IF(LEFT(C762,7)&lt;&gt;"Sprint_",0,IF(IF(ISNUMBER(K762),IF(K762&lt;=0,1,IF(5/K762&gt;10,1,0)),0)+IF(ISNUMBER(L762),IF(ISNUMBER(K762),IF(L762-K762&lt;=0,1,IF(5/(L762-K762)&gt;10,1,0)),IF(L762&lt;=0,1,IF(10/L762&gt;10,1,0))),0)+IF(ISNUMBER(M762),IF(ISNUMBER(L762),IF(M762-L762&lt;=0,1,IF(20/(M762-L762)&gt;10,1,0)),IF(ISNUMBER(K762),IF(M762-K762&lt;=0,1,IF(25/(M762-K762)&gt;10,1,0)),IF(M762&lt;=0,1,IF(30/M762&gt;10,1,0)))),0)&gt;0,1,0))</f>
        <v/>
      </c>
      <c r="O762" s="22">
        <f>IF(AND(J762=1,N762=0),1,0)</f>
        <v/>
      </c>
      <c r="P762" s="22">
        <f>INDEX(Personendaten!$J$2:$J$32,MATCH(A762,Personendaten!$A$2:$A$32,0))</f>
        <v/>
      </c>
      <c r="Q762" s="22">
        <f>IF(O762=1,"",IF(AND(B762="post",P762="nicht angetreten"),"NANG",IF(N762=1,"AUSL",IFERROR(VLOOKUP(H762,Vokabular!$A$2:$B$8,2,FALSE),"UNBEKANNT"))))</f>
        <v/>
      </c>
    </row>
    <row r="763">
      <c r="A763" s="5" t="inlineStr">
        <is>
          <t>HL-01</t>
        </is>
      </c>
      <c r="B763" s="5" t="inlineStr">
        <is>
          <t>post</t>
        </is>
      </c>
      <c r="C763" s="5" t="inlineStr">
        <is>
          <t>Sprint_10m</t>
        </is>
      </c>
      <c r="D763" s="5" t="inlineStr">
        <is>
          <t>–</t>
        </is>
      </c>
      <c r="E763" s="5" t="n">
        <v>3</v>
      </c>
      <c r="F763" s="5" t="n">
        <v>2.01</v>
      </c>
      <c r="G763" s="5" t="n"/>
      <c r="H763" s="5" t="n"/>
      <c r="I763" s="22">
        <f>INDEX(Personendaten!$C$2:$C$32,MATCH(A763,Personendaten!$A$2:$A$32,0))</f>
        <v/>
      </c>
      <c r="J763" s="22">
        <f>IF(AND(F763&lt;&gt;"",G763=""),1,0)</f>
        <v/>
      </c>
      <c r="K763" s="22">
        <f>IF(LEFT(C763,7)&lt;&gt;"Sprint_","",IF(COUNTIFS(Versuchsdaten!$A$2:$A$1117,$A763,Versuchsdaten!$B$2:$B$1117,$B763,Versuchsdaten!$C$2:$C$1117,"Sprint_5m",Versuchsdaten!$E$2:$E$1117,$E763,Versuchsdaten!$J$2:$J$1117,1)=1,SUMIFS(Versuchsdaten!$F$2:$F$1117,Versuchsdaten!$A$2:$A$1117,$A763,Versuchsdaten!$B$2:$B$1117,$B763,Versuchsdaten!$C$2:$C$1117,"Sprint_5m",Versuchsdaten!$E$2:$E$1117,$E763,Versuchsdaten!$J$2:$J$1117,1),""))</f>
        <v/>
      </c>
      <c r="L763" s="22">
        <f>IF(LEFT(C763,7)&lt;&gt;"Sprint_","",IF(COUNTIFS(Versuchsdaten!$A$2:$A$1117,$A763,Versuchsdaten!$B$2:$B$1117,$B763,Versuchsdaten!$C$2:$C$1117,"Sprint_10m",Versuchsdaten!$E$2:$E$1117,$E763,Versuchsdaten!$J$2:$J$1117,1)=1,SUMIFS(Versuchsdaten!$F$2:$F$1117,Versuchsdaten!$A$2:$A$1117,$A763,Versuchsdaten!$B$2:$B$1117,$B763,Versuchsdaten!$C$2:$C$1117,"Sprint_10m",Versuchsdaten!$E$2:$E$1117,$E763,Versuchsdaten!$J$2:$J$1117,1),""))</f>
        <v/>
      </c>
      <c r="M763" s="22">
        <f>IF(LEFT(C763,7)&lt;&gt;"Sprint_","",IF(COUNTIFS(Versuchsdaten!$A$2:$A$1117,$A763,Versuchsdaten!$B$2:$B$1117,$B763,Versuchsdaten!$C$2:$C$1117,"Sprint_30m",Versuchsdaten!$E$2:$E$1117,$E763,Versuchsdaten!$J$2:$J$1117,1)=1,SUMIFS(Versuchsdaten!$F$2:$F$1117,Versuchsdaten!$A$2:$A$1117,$A763,Versuchsdaten!$B$2:$B$1117,$B763,Versuchsdaten!$C$2:$C$1117,"Sprint_30m",Versuchsdaten!$E$2:$E$1117,$E763,Versuchsdaten!$J$2:$J$1117,1),""))</f>
        <v/>
      </c>
      <c r="N763" s="22">
        <f>IF(LEFT(C763,7)&lt;&gt;"Sprint_",0,IF(IF(ISNUMBER(K763),IF(K763&lt;=0,1,IF(5/K763&gt;10,1,0)),0)+IF(ISNUMBER(L763),IF(ISNUMBER(K763),IF(L763-K763&lt;=0,1,IF(5/(L763-K763)&gt;10,1,0)),IF(L763&lt;=0,1,IF(10/L763&gt;10,1,0))),0)+IF(ISNUMBER(M763),IF(ISNUMBER(L763),IF(M763-L763&lt;=0,1,IF(20/(M763-L763)&gt;10,1,0)),IF(ISNUMBER(K763),IF(M763-K763&lt;=0,1,IF(25/(M763-K763)&gt;10,1,0)),IF(M763&lt;=0,1,IF(30/M763&gt;10,1,0)))),0)&gt;0,1,0))</f>
        <v/>
      </c>
      <c r="O763" s="22">
        <f>IF(AND(J763=1,N763=0),1,0)</f>
        <v/>
      </c>
      <c r="P763" s="22">
        <f>INDEX(Personendaten!$J$2:$J$32,MATCH(A763,Personendaten!$A$2:$A$32,0))</f>
        <v/>
      </c>
      <c r="Q763" s="22">
        <f>IF(O763=1,"",IF(AND(B763="post",P763="nicht angetreten"),"NANG",IF(N763=1,"AUSL",IFERROR(VLOOKUP(H763,Vokabular!$A$2:$B$8,2,FALSE),"UNBEKANNT"))))</f>
        <v/>
      </c>
    </row>
    <row r="764">
      <c r="A764" s="5" t="inlineStr">
        <is>
          <t>HL-01</t>
        </is>
      </c>
      <c r="B764" s="5" t="inlineStr">
        <is>
          <t>post</t>
        </is>
      </c>
      <c r="C764" s="5" t="inlineStr">
        <is>
          <t>Sprint_30m</t>
        </is>
      </c>
      <c r="D764" s="5" t="inlineStr">
        <is>
          <t>–</t>
        </is>
      </c>
      <c r="E764" s="5" t="n">
        <v>1</v>
      </c>
      <c r="F764" s="5" t="n">
        <v>4.72</v>
      </c>
      <c r="G764" s="5" t="n"/>
      <c r="H764" s="5" t="n"/>
      <c r="I764" s="22">
        <f>INDEX(Personendaten!$C$2:$C$32,MATCH(A764,Personendaten!$A$2:$A$32,0))</f>
        <v/>
      </c>
      <c r="J764" s="22">
        <f>IF(AND(F764&lt;&gt;"",G764=""),1,0)</f>
        <v/>
      </c>
      <c r="K764" s="22">
        <f>IF(LEFT(C764,7)&lt;&gt;"Sprint_","",IF(COUNTIFS(Versuchsdaten!$A$2:$A$1117,$A764,Versuchsdaten!$B$2:$B$1117,$B764,Versuchsdaten!$C$2:$C$1117,"Sprint_5m",Versuchsdaten!$E$2:$E$1117,$E764,Versuchsdaten!$J$2:$J$1117,1)=1,SUMIFS(Versuchsdaten!$F$2:$F$1117,Versuchsdaten!$A$2:$A$1117,$A764,Versuchsdaten!$B$2:$B$1117,$B764,Versuchsdaten!$C$2:$C$1117,"Sprint_5m",Versuchsdaten!$E$2:$E$1117,$E764,Versuchsdaten!$J$2:$J$1117,1),""))</f>
        <v/>
      </c>
      <c r="L764" s="22">
        <f>IF(LEFT(C764,7)&lt;&gt;"Sprint_","",IF(COUNTIFS(Versuchsdaten!$A$2:$A$1117,$A764,Versuchsdaten!$B$2:$B$1117,$B764,Versuchsdaten!$C$2:$C$1117,"Sprint_10m",Versuchsdaten!$E$2:$E$1117,$E764,Versuchsdaten!$J$2:$J$1117,1)=1,SUMIFS(Versuchsdaten!$F$2:$F$1117,Versuchsdaten!$A$2:$A$1117,$A764,Versuchsdaten!$B$2:$B$1117,$B764,Versuchsdaten!$C$2:$C$1117,"Sprint_10m",Versuchsdaten!$E$2:$E$1117,$E764,Versuchsdaten!$J$2:$J$1117,1),""))</f>
        <v/>
      </c>
      <c r="M764" s="22">
        <f>IF(LEFT(C764,7)&lt;&gt;"Sprint_","",IF(COUNTIFS(Versuchsdaten!$A$2:$A$1117,$A764,Versuchsdaten!$B$2:$B$1117,$B764,Versuchsdaten!$C$2:$C$1117,"Sprint_30m",Versuchsdaten!$E$2:$E$1117,$E764,Versuchsdaten!$J$2:$J$1117,1)=1,SUMIFS(Versuchsdaten!$F$2:$F$1117,Versuchsdaten!$A$2:$A$1117,$A764,Versuchsdaten!$B$2:$B$1117,$B764,Versuchsdaten!$C$2:$C$1117,"Sprint_30m",Versuchsdaten!$E$2:$E$1117,$E764,Versuchsdaten!$J$2:$J$1117,1),""))</f>
        <v/>
      </c>
      <c r="N764" s="22">
        <f>IF(LEFT(C764,7)&lt;&gt;"Sprint_",0,IF(IF(ISNUMBER(K764),IF(K764&lt;=0,1,IF(5/K764&gt;10,1,0)),0)+IF(ISNUMBER(L764),IF(ISNUMBER(K764),IF(L764-K764&lt;=0,1,IF(5/(L764-K764)&gt;10,1,0)),IF(L764&lt;=0,1,IF(10/L764&gt;10,1,0))),0)+IF(ISNUMBER(M764),IF(ISNUMBER(L764),IF(M764-L764&lt;=0,1,IF(20/(M764-L764)&gt;10,1,0)),IF(ISNUMBER(K764),IF(M764-K764&lt;=0,1,IF(25/(M764-K764)&gt;10,1,0)),IF(M764&lt;=0,1,IF(30/M764&gt;10,1,0)))),0)&gt;0,1,0))</f>
        <v/>
      </c>
      <c r="O764" s="22">
        <f>IF(AND(J764=1,N764=0),1,0)</f>
        <v/>
      </c>
      <c r="P764" s="22">
        <f>INDEX(Personendaten!$J$2:$J$32,MATCH(A764,Personendaten!$A$2:$A$32,0))</f>
        <v/>
      </c>
      <c r="Q764" s="22">
        <f>IF(O764=1,"",IF(AND(B764="post",P764="nicht angetreten"),"NANG",IF(N764=1,"AUSL",IFERROR(VLOOKUP(H764,Vokabular!$A$2:$B$8,2,FALSE),"UNBEKANNT"))))</f>
        <v/>
      </c>
    </row>
    <row r="765">
      <c r="A765" s="5" t="inlineStr">
        <is>
          <t>HL-01</t>
        </is>
      </c>
      <c r="B765" s="5" t="inlineStr">
        <is>
          <t>post</t>
        </is>
      </c>
      <c r="C765" s="5" t="inlineStr">
        <is>
          <t>Sprint_30m</t>
        </is>
      </c>
      <c r="D765" s="5" t="inlineStr">
        <is>
          <t>–</t>
        </is>
      </c>
      <c r="E765" s="5" t="n">
        <v>2</v>
      </c>
      <c r="F765" s="5" t="n"/>
      <c r="G765" s="5" t="n"/>
      <c r="H765" s="5" t="inlineStr">
        <is>
          <t>System nicht aufgenommen</t>
        </is>
      </c>
      <c r="I765" s="22">
        <f>INDEX(Personendaten!$C$2:$C$32,MATCH(A765,Personendaten!$A$2:$A$32,0))</f>
        <v/>
      </c>
      <c r="J765" s="22">
        <f>IF(AND(F765&lt;&gt;"",G765=""),1,0)</f>
        <v/>
      </c>
      <c r="K765" s="22">
        <f>IF(LEFT(C765,7)&lt;&gt;"Sprint_","",IF(COUNTIFS(Versuchsdaten!$A$2:$A$1117,$A765,Versuchsdaten!$B$2:$B$1117,$B765,Versuchsdaten!$C$2:$C$1117,"Sprint_5m",Versuchsdaten!$E$2:$E$1117,$E765,Versuchsdaten!$J$2:$J$1117,1)=1,SUMIFS(Versuchsdaten!$F$2:$F$1117,Versuchsdaten!$A$2:$A$1117,$A765,Versuchsdaten!$B$2:$B$1117,$B765,Versuchsdaten!$C$2:$C$1117,"Sprint_5m",Versuchsdaten!$E$2:$E$1117,$E765,Versuchsdaten!$J$2:$J$1117,1),""))</f>
        <v/>
      </c>
      <c r="L765" s="22">
        <f>IF(LEFT(C765,7)&lt;&gt;"Sprint_","",IF(COUNTIFS(Versuchsdaten!$A$2:$A$1117,$A765,Versuchsdaten!$B$2:$B$1117,$B765,Versuchsdaten!$C$2:$C$1117,"Sprint_10m",Versuchsdaten!$E$2:$E$1117,$E765,Versuchsdaten!$J$2:$J$1117,1)=1,SUMIFS(Versuchsdaten!$F$2:$F$1117,Versuchsdaten!$A$2:$A$1117,$A765,Versuchsdaten!$B$2:$B$1117,$B765,Versuchsdaten!$C$2:$C$1117,"Sprint_10m",Versuchsdaten!$E$2:$E$1117,$E765,Versuchsdaten!$J$2:$J$1117,1),""))</f>
        <v/>
      </c>
      <c r="M765" s="22">
        <f>IF(LEFT(C765,7)&lt;&gt;"Sprint_","",IF(COUNTIFS(Versuchsdaten!$A$2:$A$1117,$A765,Versuchsdaten!$B$2:$B$1117,$B765,Versuchsdaten!$C$2:$C$1117,"Sprint_30m",Versuchsdaten!$E$2:$E$1117,$E765,Versuchsdaten!$J$2:$J$1117,1)=1,SUMIFS(Versuchsdaten!$F$2:$F$1117,Versuchsdaten!$A$2:$A$1117,$A765,Versuchsdaten!$B$2:$B$1117,$B765,Versuchsdaten!$C$2:$C$1117,"Sprint_30m",Versuchsdaten!$E$2:$E$1117,$E765,Versuchsdaten!$J$2:$J$1117,1),""))</f>
        <v/>
      </c>
      <c r="N765" s="22">
        <f>IF(LEFT(C765,7)&lt;&gt;"Sprint_",0,IF(IF(ISNUMBER(K765),IF(K765&lt;=0,1,IF(5/K765&gt;10,1,0)),0)+IF(ISNUMBER(L765),IF(ISNUMBER(K765),IF(L765-K765&lt;=0,1,IF(5/(L765-K765)&gt;10,1,0)),IF(L765&lt;=0,1,IF(10/L765&gt;10,1,0))),0)+IF(ISNUMBER(M765),IF(ISNUMBER(L765),IF(M765-L765&lt;=0,1,IF(20/(M765-L765)&gt;10,1,0)),IF(ISNUMBER(K765),IF(M765-K765&lt;=0,1,IF(25/(M765-K765)&gt;10,1,0)),IF(M765&lt;=0,1,IF(30/M765&gt;10,1,0)))),0)&gt;0,1,0))</f>
        <v/>
      </c>
      <c r="O765" s="22">
        <f>IF(AND(J765=1,N765=0),1,0)</f>
        <v/>
      </c>
      <c r="P765" s="22">
        <f>INDEX(Personendaten!$J$2:$J$32,MATCH(A765,Personendaten!$A$2:$A$32,0))</f>
        <v/>
      </c>
      <c r="Q765" s="22">
        <f>IF(O765=1,"",IF(AND(B765="post",P765="nicht angetreten"),"NANG",IF(N765=1,"AUSL",IFERROR(VLOOKUP(H765,Vokabular!$A$2:$B$8,2,FALSE),"UNBEKANNT"))))</f>
        <v/>
      </c>
    </row>
    <row r="766">
      <c r="A766" s="5" t="inlineStr">
        <is>
          <t>HL-01</t>
        </is>
      </c>
      <c r="B766" s="5" t="inlineStr">
        <is>
          <t>post</t>
        </is>
      </c>
      <c r="C766" s="5" t="inlineStr">
        <is>
          <t>Sprint_30m</t>
        </is>
      </c>
      <c r="D766" s="5" t="inlineStr">
        <is>
          <t>–</t>
        </is>
      </c>
      <c r="E766" s="5" t="n">
        <v>3</v>
      </c>
      <c r="F766" s="5" t="n">
        <v>4.81</v>
      </c>
      <c r="G766" s="5" t="n"/>
      <c r="H766" s="5" t="n"/>
      <c r="I766" s="22">
        <f>INDEX(Personendaten!$C$2:$C$32,MATCH(A766,Personendaten!$A$2:$A$32,0))</f>
        <v/>
      </c>
      <c r="J766" s="22">
        <f>IF(AND(F766&lt;&gt;"",G766=""),1,0)</f>
        <v/>
      </c>
      <c r="K766" s="22">
        <f>IF(LEFT(C766,7)&lt;&gt;"Sprint_","",IF(COUNTIFS(Versuchsdaten!$A$2:$A$1117,$A766,Versuchsdaten!$B$2:$B$1117,$B766,Versuchsdaten!$C$2:$C$1117,"Sprint_5m",Versuchsdaten!$E$2:$E$1117,$E766,Versuchsdaten!$J$2:$J$1117,1)=1,SUMIFS(Versuchsdaten!$F$2:$F$1117,Versuchsdaten!$A$2:$A$1117,$A766,Versuchsdaten!$B$2:$B$1117,$B766,Versuchsdaten!$C$2:$C$1117,"Sprint_5m",Versuchsdaten!$E$2:$E$1117,$E766,Versuchsdaten!$J$2:$J$1117,1),""))</f>
        <v/>
      </c>
      <c r="L766" s="22">
        <f>IF(LEFT(C766,7)&lt;&gt;"Sprint_","",IF(COUNTIFS(Versuchsdaten!$A$2:$A$1117,$A766,Versuchsdaten!$B$2:$B$1117,$B766,Versuchsdaten!$C$2:$C$1117,"Sprint_10m",Versuchsdaten!$E$2:$E$1117,$E766,Versuchsdaten!$J$2:$J$1117,1)=1,SUMIFS(Versuchsdaten!$F$2:$F$1117,Versuchsdaten!$A$2:$A$1117,$A766,Versuchsdaten!$B$2:$B$1117,$B766,Versuchsdaten!$C$2:$C$1117,"Sprint_10m",Versuchsdaten!$E$2:$E$1117,$E766,Versuchsdaten!$J$2:$J$1117,1),""))</f>
        <v/>
      </c>
      <c r="M766" s="22">
        <f>IF(LEFT(C766,7)&lt;&gt;"Sprint_","",IF(COUNTIFS(Versuchsdaten!$A$2:$A$1117,$A766,Versuchsdaten!$B$2:$B$1117,$B766,Versuchsdaten!$C$2:$C$1117,"Sprint_30m",Versuchsdaten!$E$2:$E$1117,$E766,Versuchsdaten!$J$2:$J$1117,1)=1,SUMIFS(Versuchsdaten!$F$2:$F$1117,Versuchsdaten!$A$2:$A$1117,$A766,Versuchsdaten!$B$2:$B$1117,$B766,Versuchsdaten!$C$2:$C$1117,"Sprint_30m",Versuchsdaten!$E$2:$E$1117,$E766,Versuchsdaten!$J$2:$J$1117,1),""))</f>
        <v/>
      </c>
      <c r="N766" s="22">
        <f>IF(LEFT(C766,7)&lt;&gt;"Sprint_",0,IF(IF(ISNUMBER(K766),IF(K766&lt;=0,1,IF(5/K766&gt;10,1,0)),0)+IF(ISNUMBER(L766),IF(ISNUMBER(K766),IF(L766-K766&lt;=0,1,IF(5/(L766-K766)&gt;10,1,0)),IF(L766&lt;=0,1,IF(10/L766&gt;10,1,0))),0)+IF(ISNUMBER(M766),IF(ISNUMBER(L766),IF(M766-L766&lt;=0,1,IF(20/(M766-L766)&gt;10,1,0)),IF(ISNUMBER(K766),IF(M766-K766&lt;=0,1,IF(25/(M766-K766)&gt;10,1,0)),IF(M766&lt;=0,1,IF(30/M766&gt;10,1,0)))),0)&gt;0,1,0))</f>
        <v/>
      </c>
      <c r="O766" s="22">
        <f>IF(AND(J766=1,N766=0),1,0)</f>
        <v/>
      </c>
      <c r="P766" s="22">
        <f>INDEX(Personendaten!$J$2:$J$32,MATCH(A766,Personendaten!$A$2:$A$32,0))</f>
        <v/>
      </c>
      <c r="Q766" s="22">
        <f>IF(O766=1,"",IF(AND(B766="post",P766="nicht angetreten"),"NANG",IF(N766=1,"AUSL",IFERROR(VLOOKUP(H766,Vokabular!$A$2:$B$8,2,FALSE),"UNBEKANNT"))))</f>
        <v/>
      </c>
    </row>
    <row r="767">
      <c r="A767" s="5" t="inlineStr">
        <is>
          <t>HL-01</t>
        </is>
      </c>
      <c r="B767" s="5" t="inlineStr">
        <is>
          <t>post</t>
        </is>
      </c>
      <c r="C767" s="5" t="inlineStr">
        <is>
          <t>Standweitsprung</t>
        </is>
      </c>
      <c r="D767" s="5" t="inlineStr">
        <is>
          <t>–</t>
        </is>
      </c>
      <c r="E767" s="5" t="n">
        <v>1</v>
      </c>
      <c r="F767" s="5" t="n">
        <v>237</v>
      </c>
      <c r="G767" s="5" t="n"/>
      <c r="H767" s="5" t="n"/>
      <c r="I767" s="22">
        <f>INDEX(Personendaten!$C$2:$C$32,MATCH(A767,Personendaten!$A$2:$A$32,0))</f>
        <v/>
      </c>
      <c r="J767" s="22">
        <f>IF(AND(F767&lt;&gt;"",G767=""),1,0)</f>
        <v/>
      </c>
      <c r="K767" s="22">
        <f>IF(LEFT(C767,7)&lt;&gt;"Sprint_","",IF(COUNTIFS(Versuchsdaten!$A$2:$A$1117,$A767,Versuchsdaten!$B$2:$B$1117,$B767,Versuchsdaten!$C$2:$C$1117,"Sprint_5m",Versuchsdaten!$E$2:$E$1117,$E767,Versuchsdaten!$J$2:$J$1117,1)=1,SUMIFS(Versuchsdaten!$F$2:$F$1117,Versuchsdaten!$A$2:$A$1117,$A767,Versuchsdaten!$B$2:$B$1117,$B767,Versuchsdaten!$C$2:$C$1117,"Sprint_5m",Versuchsdaten!$E$2:$E$1117,$E767,Versuchsdaten!$J$2:$J$1117,1),""))</f>
        <v/>
      </c>
      <c r="L767" s="22">
        <f>IF(LEFT(C767,7)&lt;&gt;"Sprint_","",IF(COUNTIFS(Versuchsdaten!$A$2:$A$1117,$A767,Versuchsdaten!$B$2:$B$1117,$B767,Versuchsdaten!$C$2:$C$1117,"Sprint_10m",Versuchsdaten!$E$2:$E$1117,$E767,Versuchsdaten!$J$2:$J$1117,1)=1,SUMIFS(Versuchsdaten!$F$2:$F$1117,Versuchsdaten!$A$2:$A$1117,$A767,Versuchsdaten!$B$2:$B$1117,$B767,Versuchsdaten!$C$2:$C$1117,"Sprint_10m",Versuchsdaten!$E$2:$E$1117,$E767,Versuchsdaten!$J$2:$J$1117,1),""))</f>
        <v/>
      </c>
      <c r="M767" s="22">
        <f>IF(LEFT(C767,7)&lt;&gt;"Sprint_","",IF(COUNTIFS(Versuchsdaten!$A$2:$A$1117,$A767,Versuchsdaten!$B$2:$B$1117,$B767,Versuchsdaten!$C$2:$C$1117,"Sprint_30m",Versuchsdaten!$E$2:$E$1117,$E767,Versuchsdaten!$J$2:$J$1117,1)=1,SUMIFS(Versuchsdaten!$F$2:$F$1117,Versuchsdaten!$A$2:$A$1117,$A767,Versuchsdaten!$B$2:$B$1117,$B767,Versuchsdaten!$C$2:$C$1117,"Sprint_30m",Versuchsdaten!$E$2:$E$1117,$E767,Versuchsdaten!$J$2:$J$1117,1),""))</f>
        <v/>
      </c>
      <c r="N767" s="22">
        <f>IF(LEFT(C767,7)&lt;&gt;"Sprint_",0,IF(IF(ISNUMBER(K767),IF(K767&lt;=0,1,IF(5/K767&gt;10,1,0)),0)+IF(ISNUMBER(L767),IF(ISNUMBER(K767),IF(L767-K767&lt;=0,1,IF(5/(L767-K767)&gt;10,1,0)),IF(L767&lt;=0,1,IF(10/L767&gt;10,1,0))),0)+IF(ISNUMBER(M767),IF(ISNUMBER(L767),IF(M767-L767&lt;=0,1,IF(20/(M767-L767)&gt;10,1,0)),IF(ISNUMBER(K767),IF(M767-K767&lt;=0,1,IF(25/(M767-K767)&gt;10,1,0)),IF(M767&lt;=0,1,IF(30/M767&gt;10,1,0)))),0)&gt;0,1,0))</f>
        <v/>
      </c>
      <c r="O767" s="22">
        <f>IF(AND(J767=1,N767=0),1,0)</f>
        <v/>
      </c>
      <c r="P767" s="22">
        <f>INDEX(Personendaten!$J$2:$J$32,MATCH(A767,Personendaten!$A$2:$A$32,0))</f>
        <v/>
      </c>
      <c r="Q767" s="22">
        <f>IF(O767=1,"",IF(AND(B767="post",P767="nicht angetreten"),"NANG",IF(N767=1,"AUSL",IFERROR(VLOOKUP(H767,Vokabular!$A$2:$B$8,2,FALSE),"UNBEKANNT"))))</f>
        <v/>
      </c>
    </row>
    <row r="768">
      <c r="A768" s="5" t="inlineStr">
        <is>
          <t>HL-01</t>
        </is>
      </c>
      <c r="B768" s="5" t="inlineStr">
        <is>
          <t>post</t>
        </is>
      </c>
      <c r="C768" s="5" t="inlineStr">
        <is>
          <t>Standweitsprung</t>
        </is>
      </c>
      <c r="D768" s="5" t="inlineStr">
        <is>
          <t>–</t>
        </is>
      </c>
      <c r="E768" s="5" t="n">
        <v>2</v>
      </c>
      <c r="F768" s="5" t="n">
        <v>237</v>
      </c>
      <c r="G768" s="5" t="n"/>
      <c r="H768" s="5" t="n"/>
      <c r="I768" s="22">
        <f>INDEX(Personendaten!$C$2:$C$32,MATCH(A768,Personendaten!$A$2:$A$32,0))</f>
        <v/>
      </c>
      <c r="J768" s="22">
        <f>IF(AND(F768&lt;&gt;"",G768=""),1,0)</f>
        <v/>
      </c>
      <c r="K768" s="22">
        <f>IF(LEFT(C768,7)&lt;&gt;"Sprint_","",IF(COUNTIFS(Versuchsdaten!$A$2:$A$1117,$A768,Versuchsdaten!$B$2:$B$1117,$B768,Versuchsdaten!$C$2:$C$1117,"Sprint_5m",Versuchsdaten!$E$2:$E$1117,$E768,Versuchsdaten!$J$2:$J$1117,1)=1,SUMIFS(Versuchsdaten!$F$2:$F$1117,Versuchsdaten!$A$2:$A$1117,$A768,Versuchsdaten!$B$2:$B$1117,$B768,Versuchsdaten!$C$2:$C$1117,"Sprint_5m",Versuchsdaten!$E$2:$E$1117,$E768,Versuchsdaten!$J$2:$J$1117,1),""))</f>
        <v/>
      </c>
      <c r="L768" s="22">
        <f>IF(LEFT(C768,7)&lt;&gt;"Sprint_","",IF(COUNTIFS(Versuchsdaten!$A$2:$A$1117,$A768,Versuchsdaten!$B$2:$B$1117,$B768,Versuchsdaten!$C$2:$C$1117,"Sprint_10m",Versuchsdaten!$E$2:$E$1117,$E768,Versuchsdaten!$J$2:$J$1117,1)=1,SUMIFS(Versuchsdaten!$F$2:$F$1117,Versuchsdaten!$A$2:$A$1117,$A768,Versuchsdaten!$B$2:$B$1117,$B768,Versuchsdaten!$C$2:$C$1117,"Sprint_10m",Versuchsdaten!$E$2:$E$1117,$E768,Versuchsdaten!$J$2:$J$1117,1),""))</f>
        <v/>
      </c>
      <c r="M768" s="22">
        <f>IF(LEFT(C768,7)&lt;&gt;"Sprint_","",IF(COUNTIFS(Versuchsdaten!$A$2:$A$1117,$A768,Versuchsdaten!$B$2:$B$1117,$B768,Versuchsdaten!$C$2:$C$1117,"Sprint_30m",Versuchsdaten!$E$2:$E$1117,$E768,Versuchsdaten!$J$2:$J$1117,1)=1,SUMIFS(Versuchsdaten!$F$2:$F$1117,Versuchsdaten!$A$2:$A$1117,$A768,Versuchsdaten!$B$2:$B$1117,$B768,Versuchsdaten!$C$2:$C$1117,"Sprint_30m",Versuchsdaten!$E$2:$E$1117,$E768,Versuchsdaten!$J$2:$J$1117,1),""))</f>
        <v/>
      </c>
      <c r="N768" s="22">
        <f>IF(LEFT(C768,7)&lt;&gt;"Sprint_",0,IF(IF(ISNUMBER(K768),IF(K768&lt;=0,1,IF(5/K768&gt;10,1,0)),0)+IF(ISNUMBER(L768),IF(ISNUMBER(K768),IF(L768-K768&lt;=0,1,IF(5/(L768-K768)&gt;10,1,0)),IF(L768&lt;=0,1,IF(10/L768&gt;10,1,0))),0)+IF(ISNUMBER(M768),IF(ISNUMBER(L768),IF(M768-L768&lt;=0,1,IF(20/(M768-L768)&gt;10,1,0)),IF(ISNUMBER(K768),IF(M768-K768&lt;=0,1,IF(25/(M768-K768)&gt;10,1,0)),IF(M768&lt;=0,1,IF(30/M768&gt;10,1,0)))),0)&gt;0,1,0))</f>
        <v/>
      </c>
      <c r="O768" s="22">
        <f>IF(AND(J768=1,N768=0),1,0)</f>
        <v/>
      </c>
      <c r="P768" s="22">
        <f>INDEX(Personendaten!$J$2:$J$32,MATCH(A768,Personendaten!$A$2:$A$32,0))</f>
        <v/>
      </c>
      <c r="Q768" s="22">
        <f>IF(O768=1,"",IF(AND(B768="post",P768="nicht angetreten"),"NANG",IF(N768=1,"AUSL",IFERROR(VLOOKUP(H768,Vokabular!$A$2:$B$8,2,FALSE),"UNBEKANNT"))))</f>
        <v/>
      </c>
    </row>
    <row r="769">
      <c r="A769" s="5" t="inlineStr">
        <is>
          <t>HL-01</t>
        </is>
      </c>
      <c r="B769" s="5" t="inlineStr">
        <is>
          <t>post</t>
        </is>
      </c>
      <c r="C769" s="5" t="inlineStr">
        <is>
          <t>Standweitsprung</t>
        </is>
      </c>
      <c r="D769" s="5" t="inlineStr">
        <is>
          <t>–</t>
        </is>
      </c>
      <c r="E769" s="5" t="n">
        <v>3</v>
      </c>
      <c r="F769" s="5" t="n"/>
      <c r="G769" s="5" t="n"/>
      <c r="H769" s="5" t="inlineStr">
        <is>
          <t>Nur 2 Versuche aus Zeitmangel</t>
        </is>
      </c>
      <c r="I769" s="22">
        <f>INDEX(Personendaten!$C$2:$C$32,MATCH(A769,Personendaten!$A$2:$A$32,0))</f>
        <v/>
      </c>
      <c r="J769" s="22">
        <f>IF(AND(F769&lt;&gt;"",G769=""),1,0)</f>
        <v/>
      </c>
      <c r="K769" s="22">
        <f>IF(LEFT(C769,7)&lt;&gt;"Sprint_","",IF(COUNTIFS(Versuchsdaten!$A$2:$A$1117,$A769,Versuchsdaten!$B$2:$B$1117,$B769,Versuchsdaten!$C$2:$C$1117,"Sprint_5m",Versuchsdaten!$E$2:$E$1117,$E769,Versuchsdaten!$J$2:$J$1117,1)=1,SUMIFS(Versuchsdaten!$F$2:$F$1117,Versuchsdaten!$A$2:$A$1117,$A769,Versuchsdaten!$B$2:$B$1117,$B769,Versuchsdaten!$C$2:$C$1117,"Sprint_5m",Versuchsdaten!$E$2:$E$1117,$E769,Versuchsdaten!$J$2:$J$1117,1),""))</f>
        <v/>
      </c>
      <c r="L769" s="22">
        <f>IF(LEFT(C769,7)&lt;&gt;"Sprint_","",IF(COUNTIFS(Versuchsdaten!$A$2:$A$1117,$A769,Versuchsdaten!$B$2:$B$1117,$B769,Versuchsdaten!$C$2:$C$1117,"Sprint_10m",Versuchsdaten!$E$2:$E$1117,$E769,Versuchsdaten!$J$2:$J$1117,1)=1,SUMIFS(Versuchsdaten!$F$2:$F$1117,Versuchsdaten!$A$2:$A$1117,$A769,Versuchsdaten!$B$2:$B$1117,$B769,Versuchsdaten!$C$2:$C$1117,"Sprint_10m",Versuchsdaten!$E$2:$E$1117,$E769,Versuchsdaten!$J$2:$J$1117,1),""))</f>
        <v/>
      </c>
      <c r="M769" s="22">
        <f>IF(LEFT(C769,7)&lt;&gt;"Sprint_","",IF(COUNTIFS(Versuchsdaten!$A$2:$A$1117,$A769,Versuchsdaten!$B$2:$B$1117,$B769,Versuchsdaten!$C$2:$C$1117,"Sprint_30m",Versuchsdaten!$E$2:$E$1117,$E769,Versuchsdaten!$J$2:$J$1117,1)=1,SUMIFS(Versuchsdaten!$F$2:$F$1117,Versuchsdaten!$A$2:$A$1117,$A769,Versuchsdaten!$B$2:$B$1117,$B769,Versuchsdaten!$C$2:$C$1117,"Sprint_30m",Versuchsdaten!$E$2:$E$1117,$E769,Versuchsdaten!$J$2:$J$1117,1),""))</f>
        <v/>
      </c>
      <c r="N769" s="22">
        <f>IF(LEFT(C769,7)&lt;&gt;"Sprint_",0,IF(IF(ISNUMBER(K769),IF(K769&lt;=0,1,IF(5/K769&gt;10,1,0)),0)+IF(ISNUMBER(L769),IF(ISNUMBER(K769),IF(L769-K769&lt;=0,1,IF(5/(L769-K769)&gt;10,1,0)),IF(L769&lt;=0,1,IF(10/L769&gt;10,1,0))),0)+IF(ISNUMBER(M769),IF(ISNUMBER(L769),IF(M769-L769&lt;=0,1,IF(20/(M769-L769)&gt;10,1,0)),IF(ISNUMBER(K769),IF(M769-K769&lt;=0,1,IF(25/(M769-K769)&gt;10,1,0)),IF(M769&lt;=0,1,IF(30/M769&gt;10,1,0)))),0)&gt;0,1,0))</f>
        <v/>
      </c>
      <c r="O769" s="22">
        <f>IF(AND(J769=1,N769=0),1,0)</f>
        <v/>
      </c>
      <c r="P769" s="22">
        <f>INDEX(Personendaten!$J$2:$J$32,MATCH(A769,Personendaten!$A$2:$A$32,0))</f>
        <v/>
      </c>
      <c r="Q769" s="22">
        <f>IF(O769=1,"",IF(AND(B769="post",P769="nicht angetreten"),"NANG",IF(N769=1,"AUSL",IFERROR(VLOOKUP(H769,Vokabular!$A$2:$B$8,2,FALSE),"UNBEKANNT"))))</f>
        <v/>
      </c>
    </row>
    <row r="770">
      <c r="A770" s="5" t="inlineStr">
        <is>
          <t>HL-01</t>
        </is>
      </c>
      <c r="B770" s="5" t="inlineStr">
        <is>
          <t>post</t>
        </is>
      </c>
      <c r="C770" s="5" t="inlineStr">
        <is>
          <t>COD_505</t>
        </is>
      </c>
      <c r="D770" s="5" t="inlineStr">
        <is>
          <t>L</t>
        </is>
      </c>
      <c r="E770" s="5" t="n">
        <v>1</v>
      </c>
      <c r="F770" s="5" t="n">
        <v>2.49</v>
      </c>
      <c r="G770" s="5" t="n"/>
      <c r="H770" s="5" t="n"/>
      <c r="I770" s="22">
        <f>INDEX(Personendaten!$C$2:$C$32,MATCH(A770,Personendaten!$A$2:$A$32,0))</f>
        <v/>
      </c>
      <c r="J770" s="22">
        <f>IF(AND(F770&lt;&gt;"",G770=""),1,0)</f>
        <v/>
      </c>
      <c r="K770" s="22">
        <f>IF(LEFT(C770,7)&lt;&gt;"Sprint_","",IF(COUNTIFS(Versuchsdaten!$A$2:$A$1117,$A770,Versuchsdaten!$B$2:$B$1117,$B770,Versuchsdaten!$C$2:$C$1117,"Sprint_5m",Versuchsdaten!$E$2:$E$1117,$E770,Versuchsdaten!$J$2:$J$1117,1)=1,SUMIFS(Versuchsdaten!$F$2:$F$1117,Versuchsdaten!$A$2:$A$1117,$A770,Versuchsdaten!$B$2:$B$1117,$B770,Versuchsdaten!$C$2:$C$1117,"Sprint_5m",Versuchsdaten!$E$2:$E$1117,$E770,Versuchsdaten!$J$2:$J$1117,1),""))</f>
        <v/>
      </c>
      <c r="L770" s="22">
        <f>IF(LEFT(C770,7)&lt;&gt;"Sprint_","",IF(COUNTIFS(Versuchsdaten!$A$2:$A$1117,$A770,Versuchsdaten!$B$2:$B$1117,$B770,Versuchsdaten!$C$2:$C$1117,"Sprint_10m",Versuchsdaten!$E$2:$E$1117,$E770,Versuchsdaten!$J$2:$J$1117,1)=1,SUMIFS(Versuchsdaten!$F$2:$F$1117,Versuchsdaten!$A$2:$A$1117,$A770,Versuchsdaten!$B$2:$B$1117,$B770,Versuchsdaten!$C$2:$C$1117,"Sprint_10m",Versuchsdaten!$E$2:$E$1117,$E770,Versuchsdaten!$J$2:$J$1117,1),""))</f>
        <v/>
      </c>
      <c r="M770" s="22">
        <f>IF(LEFT(C770,7)&lt;&gt;"Sprint_","",IF(COUNTIFS(Versuchsdaten!$A$2:$A$1117,$A770,Versuchsdaten!$B$2:$B$1117,$B770,Versuchsdaten!$C$2:$C$1117,"Sprint_30m",Versuchsdaten!$E$2:$E$1117,$E770,Versuchsdaten!$J$2:$J$1117,1)=1,SUMIFS(Versuchsdaten!$F$2:$F$1117,Versuchsdaten!$A$2:$A$1117,$A770,Versuchsdaten!$B$2:$B$1117,$B770,Versuchsdaten!$C$2:$C$1117,"Sprint_30m",Versuchsdaten!$E$2:$E$1117,$E770,Versuchsdaten!$J$2:$J$1117,1),""))</f>
        <v/>
      </c>
      <c r="N770" s="22">
        <f>IF(LEFT(C770,7)&lt;&gt;"Sprint_",0,IF(IF(ISNUMBER(K770),IF(K770&lt;=0,1,IF(5/K770&gt;10,1,0)),0)+IF(ISNUMBER(L770),IF(ISNUMBER(K770),IF(L770-K770&lt;=0,1,IF(5/(L770-K770)&gt;10,1,0)),IF(L770&lt;=0,1,IF(10/L770&gt;10,1,0))),0)+IF(ISNUMBER(M770),IF(ISNUMBER(L770),IF(M770-L770&lt;=0,1,IF(20/(M770-L770)&gt;10,1,0)),IF(ISNUMBER(K770),IF(M770-K770&lt;=0,1,IF(25/(M770-K770)&gt;10,1,0)),IF(M770&lt;=0,1,IF(30/M770&gt;10,1,0)))),0)&gt;0,1,0))</f>
        <v/>
      </c>
      <c r="O770" s="22">
        <f>IF(AND(J770=1,N770=0),1,0)</f>
        <v/>
      </c>
      <c r="P770" s="22">
        <f>INDEX(Personendaten!$J$2:$J$32,MATCH(A770,Personendaten!$A$2:$A$32,0))</f>
        <v/>
      </c>
      <c r="Q770" s="22">
        <f>IF(O770=1,"",IF(AND(B770="post",P770="nicht angetreten"),"NANG",IF(N770=1,"AUSL",IFERROR(VLOOKUP(H770,Vokabular!$A$2:$B$8,2,FALSE),"UNBEKANNT"))))</f>
        <v/>
      </c>
    </row>
    <row r="771">
      <c r="A771" s="5" t="inlineStr">
        <is>
          <t>HL-01</t>
        </is>
      </c>
      <c r="B771" s="5" t="inlineStr">
        <is>
          <t>post</t>
        </is>
      </c>
      <c r="C771" s="5" t="inlineStr">
        <is>
          <t>COD_505</t>
        </is>
      </c>
      <c r="D771" s="5" t="inlineStr">
        <is>
          <t>L</t>
        </is>
      </c>
      <c r="E771" s="5" t="n">
        <v>2</v>
      </c>
      <c r="F771" s="5" t="n"/>
      <c r="G771" s="5" t="inlineStr">
        <is>
          <t>x</t>
        </is>
      </c>
      <c r="H771" s="5" t="inlineStr">
        <is>
          <t>Fehlversuch</t>
        </is>
      </c>
      <c r="I771" s="22">
        <f>INDEX(Personendaten!$C$2:$C$32,MATCH(A771,Personendaten!$A$2:$A$32,0))</f>
        <v/>
      </c>
      <c r="J771" s="22">
        <f>IF(AND(F771&lt;&gt;"",G771=""),1,0)</f>
        <v/>
      </c>
      <c r="K771" s="22">
        <f>IF(LEFT(C771,7)&lt;&gt;"Sprint_","",IF(COUNTIFS(Versuchsdaten!$A$2:$A$1117,$A771,Versuchsdaten!$B$2:$B$1117,$B771,Versuchsdaten!$C$2:$C$1117,"Sprint_5m",Versuchsdaten!$E$2:$E$1117,$E771,Versuchsdaten!$J$2:$J$1117,1)=1,SUMIFS(Versuchsdaten!$F$2:$F$1117,Versuchsdaten!$A$2:$A$1117,$A771,Versuchsdaten!$B$2:$B$1117,$B771,Versuchsdaten!$C$2:$C$1117,"Sprint_5m",Versuchsdaten!$E$2:$E$1117,$E771,Versuchsdaten!$J$2:$J$1117,1),""))</f>
        <v/>
      </c>
      <c r="L771" s="22">
        <f>IF(LEFT(C771,7)&lt;&gt;"Sprint_","",IF(COUNTIFS(Versuchsdaten!$A$2:$A$1117,$A771,Versuchsdaten!$B$2:$B$1117,$B771,Versuchsdaten!$C$2:$C$1117,"Sprint_10m",Versuchsdaten!$E$2:$E$1117,$E771,Versuchsdaten!$J$2:$J$1117,1)=1,SUMIFS(Versuchsdaten!$F$2:$F$1117,Versuchsdaten!$A$2:$A$1117,$A771,Versuchsdaten!$B$2:$B$1117,$B771,Versuchsdaten!$C$2:$C$1117,"Sprint_10m",Versuchsdaten!$E$2:$E$1117,$E771,Versuchsdaten!$J$2:$J$1117,1),""))</f>
        <v/>
      </c>
      <c r="M771" s="22">
        <f>IF(LEFT(C771,7)&lt;&gt;"Sprint_","",IF(COUNTIFS(Versuchsdaten!$A$2:$A$1117,$A771,Versuchsdaten!$B$2:$B$1117,$B771,Versuchsdaten!$C$2:$C$1117,"Sprint_30m",Versuchsdaten!$E$2:$E$1117,$E771,Versuchsdaten!$J$2:$J$1117,1)=1,SUMIFS(Versuchsdaten!$F$2:$F$1117,Versuchsdaten!$A$2:$A$1117,$A771,Versuchsdaten!$B$2:$B$1117,$B771,Versuchsdaten!$C$2:$C$1117,"Sprint_30m",Versuchsdaten!$E$2:$E$1117,$E771,Versuchsdaten!$J$2:$J$1117,1),""))</f>
        <v/>
      </c>
      <c r="N771" s="22">
        <f>IF(LEFT(C771,7)&lt;&gt;"Sprint_",0,IF(IF(ISNUMBER(K771),IF(K771&lt;=0,1,IF(5/K771&gt;10,1,0)),0)+IF(ISNUMBER(L771),IF(ISNUMBER(K771),IF(L771-K771&lt;=0,1,IF(5/(L771-K771)&gt;10,1,0)),IF(L771&lt;=0,1,IF(10/L771&gt;10,1,0))),0)+IF(ISNUMBER(M771),IF(ISNUMBER(L771),IF(M771-L771&lt;=0,1,IF(20/(M771-L771)&gt;10,1,0)),IF(ISNUMBER(K771),IF(M771-K771&lt;=0,1,IF(25/(M771-K771)&gt;10,1,0)),IF(M771&lt;=0,1,IF(30/M771&gt;10,1,0)))),0)&gt;0,1,0))</f>
        <v/>
      </c>
      <c r="O771" s="22">
        <f>IF(AND(J771=1,N771=0),1,0)</f>
        <v/>
      </c>
      <c r="P771" s="22">
        <f>INDEX(Personendaten!$J$2:$J$32,MATCH(A771,Personendaten!$A$2:$A$32,0))</f>
        <v/>
      </c>
      <c r="Q771" s="22">
        <f>IF(O771=1,"",IF(AND(B771="post",P771="nicht angetreten"),"NANG",IF(N771=1,"AUSL",IFERROR(VLOOKUP(H771,Vokabular!$A$2:$B$8,2,FALSE),"UNBEKANNT"))))</f>
        <v/>
      </c>
    </row>
    <row r="772">
      <c r="A772" s="5" t="inlineStr">
        <is>
          <t>HL-01</t>
        </is>
      </c>
      <c r="B772" s="5" t="inlineStr">
        <is>
          <t>post</t>
        </is>
      </c>
      <c r="C772" s="5" t="inlineStr">
        <is>
          <t>COD_505</t>
        </is>
      </c>
      <c r="D772" s="5" t="inlineStr">
        <is>
          <t>L</t>
        </is>
      </c>
      <c r="E772" s="5" t="n">
        <v>3</v>
      </c>
      <c r="F772" s="5" t="n"/>
      <c r="G772" s="5" t="n"/>
      <c r="H772" s="5" t="inlineStr">
        <is>
          <t>Nur 2 Versuche aus Zeitmangel</t>
        </is>
      </c>
      <c r="I772" s="22">
        <f>INDEX(Personendaten!$C$2:$C$32,MATCH(A772,Personendaten!$A$2:$A$32,0))</f>
        <v/>
      </c>
      <c r="J772" s="22">
        <f>IF(AND(F772&lt;&gt;"",G772=""),1,0)</f>
        <v/>
      </c>
      <c r="K772" s="22">
        <f>IF(LEFT(C772,7)&lt;&gt;"Sprint_","",IF(COUNTIFS(Versuchsdaten!$A$2:$A$1117,$A772,Versuchsdaten!$B$2:$B$1117,$B772,Versuchsdaten!$C$2:$C$1117,"Sprint_5m",Versuchsdaten!$E$2:$E$1117,$E772,Versuchsdaten!$J$2:$J$1117,1)=1,SUMIFS(Versuchsdaten!$F$2:$F$1117,Versuchsdaten!$A$2:$A$1117,$A772,Versuchsdaten!$B$2:$B$1117,$B772,Versuchsdaten!$C$2:$C$1117,"Sprint_5m",Versuchsdaten!$E$2:$E$1117,$E772,Versuchsdaten!$J$2:$J$1117,1),""))</f>
        <v/>
      </c>
      <c r="L772" s="22">
        <f>IF(LEFT(C772,7)&lt;&gt;"Sprint_","",IF(COUNTIFS(Versuchsdaten!$A$2:$A$1117,$A772,Versuchsdaten!$B$2:$B$1117,$B772,Versuchsdaten!$C$2:$C$1117,"Sprint_10m",Versuchsdaten!$E$2:$E$1117,$E772,Versuchsdaten!$J$2:$J$1117,1)=1,SUMIFS(Versuchsdaten!$F$2:$F$1117,Versuchsdaten!$A$2:$A$1117,$A772,Versuchsdaten!$B$2:$B$1117,$B772,Versuchsdaten!$C$2:$C$1117,"Sprint_10m",Versuchsdaten!$E$2:$E$1117,$E772,Versuchsdaten!$J$2:$J$1117,1),""))</f>
        <v/>
      </c>
      <c r="M772" s="22">
        <f>IF(LEFT(C772,7)&lt;&gt;"Sprint_","",IF(COUNTIFS(Versuchsdaten!$A$2:$A$1117,$A772,Versuchsdaten!$B$2:$B$1117,$B772,Versuchsdaten!$C$2:$C$1117,"Sprint_30m",Versuchsdaten!$E$2:$E$1117,$E772,Versuchsdaten!$J$2:$J$1117,1)=1,SUMIFS(Versuchsdaten!$F$2:$F$1117,Versuchsdaten!$A$2:$A$1117,$A772,Versuchsdaten!$B$2:$B$1117,$B772,Versuchsdaten!$C$2:$C$1117,"Sprint_30m",Versuchsdaten!$E$2:$E$1117,$E772,Versuchsdaten!$J$2:$J$1117,1),""))</f>
        <v/>
      </c>
      <c r="N772" s="22">
        <f>IF(LEFT(C772,7)&lt;&gt;"Sprint_",0,IF(IF(ISNUMBER(K772),IF(K772&lt;=0,1,IF(5/K772&gt;10,1,0)),0)+IF(ISNUMBER(L772),IF(ISNUMBER(K772),IF(L772-K772&lt;=0,1,IF(5/(L772-K772)&gt;10,1,0)),IF(L772&lt;=0,1,IF(10/L772&gt;10,1,0))),0)+IF(ISNUMBER(M772),IF(ISNUMBER(L772),IF(M772-L772&lt;=0,1,IF(20/(M772-L772)&gt;10,1,0)),IF(ISNUMBER(K772),IF(M772-K772&lt;=0,1,IF(25/(M772-K772)&gt;10,1,0)),IF(M772&lt;=0,1,IF(30/M772&gt;10,1,0)))),0)&gt;0,1,0))</f>
        <v/>
      </c>
      <c r="O772" s="22">
        <f>IF(AND(J772=1,N772=0),1,0)</f>
        <v/>
      </c>
      <c r="P772" s="22">
        <f>INDEX(Personendaten!$J$2:$J$32,MATCH(A772,Personendaten!$A$2:$A$32,0))</f>
        <v/>
      </c>
      <c r="Q772" s="22">
        <f>IF(O772=1,"",IF(AND(B772="post",P772="nicht angetreten"),"NANG",IF(N772=1,"AUSL",IFERROR(VLOOKUP(H772,Vokabular!$A$2:$B$8,2,FALSE),"UNBEKANNT"))))</f>
        <v/>
      </c>
    </row>
    <row r="773">
      <c r="A773" s="5" t="inlineStr">
        <is>
          <t>HL-01</t>
        </is>
      </c>
      <c r="B773" s="5" t="inlineStr">
        <is>
          <t>post</t>
        </is>
      </c>
      <c r="C773" s="5" t="inlineStr">
        <is>
          <t>COD_505</t>
        </is>
      </c>
      <c r="D773" s="5" t="inlineStr">
        <is>
          <t>R</t>
        </is>
      </c>
      <c r="E773" s="5" t="n">
        <v>1</v>
      </c>
      <c r="F773" s="5" t="n">
        <v>2.76</v>
      </c>
      <c r="G773" s="5" t="n"/>
      <c r="H773" s="5" t="n"/>
      <c r="I773" s="22">
        <f>INDEX(Personendaten!$C$2:$C$32,MATCH(A773,Personendaten!$A$2:$A$32,0))</f>
        <v/>
      </c>
      <c r="J773" s="22">
        <f>IF(AND(F773&lt;&gt;"",G773=""),1,0)</f>
        <v/>
      </c>
      <c r="K773" s="22">
        <f>IF(LEFT(C773,7)&lt;&gt;"Sprint_","",IF(COUNTIFS(Versuchsdaten!$A$2:$A$1117,$A773,Versuchsdaten!$B$2:$B$1117,$B773,Versuchsdaten!$C$2:$C$1117,"Sprint_5m",Versuchsdaten!$E$2:$E$1117,$E773,Versuchsdaten!$J$2:$J$1117,1)=1,SUMIFS(Versuchsdaten!$F$2:$F$1117,Versuchsdaten!$A$2:$A$1117,$A773,Versuchsdaten!$B$2:$B$1117,$B773,Versuchsdaten!$C$2:$C$1117,"Sprint_5m",Versuchsdaten!$E$2:$E$1117,$E773,Versuchsdaten!$J$2:$J$1117,1),""))</f>
        <v/>
      </c>
      <c r="L773" s="22">
        <f>IF(LEFT(C773,7)&lt;&gt;"Sprint_","",IF(COUNTIFS(Versuchsdaten!$A$2:$A$1117,$A773,Versuchsdaten!$B$2:$B$1117,$B773,Versuchsdaten!$C$2:$C$1117,"Sprint_10m",Versuchsdaten!$E$2:$E$1117,$E773,Versuchsdaten!$J$2:$J$1117,1)=1,SUMIFS(Versuchsdaten!$F$2:$F$1117,Versuchsdaten!$A$2:$A$1117,$A773,Versuchsdaten!$B$2:$B$1117,$B773,Versuchsdaten!$C$2:$C$1117,"Sprint_10m",Versuchsdaten!$E$2:$E$1117,$E773,Versuchsdaten!$J$2:$J$1117,1),""))</f>
        <v/>
      </c>
      <c r="M773" s="22">
        <f>IF(LEFT(C773,7)&lt;&gt;"Sprint_","",IF(COUNTIFS(Versuchsdaten!$A$2:$A$1117,$A773,Versuchsdaten!$B$2:$B$1117,$B773,Versuchsdaten!$C$2:$C$1117,"Sprint_30m",Versuchsdaten!$E$2:$E$1117,$E773,Versuchsdaten!$J$2:$J$1117,1)=1,SUMIFS(Versuchsdaten!$F$2:$F$1117,Versuchsdaten!$A$2:$A$1117,$A773,Versuchsdaten!$B$2:$B$1117,$B773,Versuchsdaten!$C$2:$C$1117,"Sprint_30m",Versuchsdaten!$E$2:$E$1117,$E773,Versuchsdaten!$J$2:$J$1117,1),""))</f>
        <v/>
      </c>
      <c r="N773" s="22">
        <f>IF(LEFT(C773,7)&lt;&gt;"Sprint_",0,IF(IF(ISNUMBER(K773),IF(K773&lt;=0,1,IF(5/K773&gt;10,1,0)),0)+IF(ISNUMBER(L773),IF(ISNUMBER(K773),IF(L773-K773&lt;=0,1,IF(5/(L773-K773)&gt;10,1,0)),IF(L773&lt;=0,1,IF(10/L773&gt;10,1,0))),0)+IF(ISNUMBER(M773),IF(ISNUMBER(L773),IF(M773-L773&lt;=0,1,IF(20/(M773-L773)&gt;10,1,0)),IF(ISNUMBER(K773),IF(M773-K773&lt;=0,1,IF(25/(M773-K773)&gt;10,1,0)),IF(M773&lt;=0,1,IF(30/M773&gt;10,1,0)))),0)&gt;0,1,0))</f>
        <v/>
      </c>
      <c r="O773" s="22">
        <f>IF(AND(J773=1,N773=0),1,0)</f>
        <v/>
      </c>
      <c r="P773" s="22">
        <f>INDEX(Personendaten!$J$2:$J$32,MATCH(A773,Personendaten!$A$2:$A$32,0))</f>
        <v/>
      </c>
      <c r="Q773" s="22">
        <f>IF(O773=1,"",IF(AND(B773="post",P773="nicht angetreten"),"NANG",IF(N773=1,"AUSL",IFERROR(VLOOKUP(H773,Vokabular!$A$2:$B$8,2,FALSE),"UNBEKANNT"))))</f>
        <v/>
      </c>
    </row>
    <row r="774">
      <c r="A774" s="5" t="inlineStr">
        <is>
          <t>HL-01</t>
        </is>
      </c>
      <c r="B774" s="5" t="inlineStr">
        <is>
          <t>post</t>
        </is>
      </c>
      <c r="C774" s="5" t="inlineStr">
        <is>
          <t>COD_505</t>
        </is>
      </c>
      <c r="D774" s="5" t="inlineStr">
        <is>
          <t>R</t>
        </is>
      </c>
      <c r="E774" s="5" t="n">
        <v>2</v>
      </c>
      <c r="F774" s="5" t="n">
        <v>2.61</v>
      </c>
      <c r="G774" s="5" t="n"/>
      <c r="H774" s="5" t="n"/>
      <c r="I774" s="22">
        <f>INDEX(Personendaten!$C$2:$C$32,MATCH(A774,Personendaten!$A$2:$A$32,0))</f>
        <v/>
      </c>
      <c r="J774" s="22">
        <f>IF(AND(F774&lt;&gt;"",G774=""),1,0)</f>
        <v/>
      </c>
      <c r="K774" s="22">
        <f>IF(LEFT(C774,7)&lt;&gt;"Sprint_","",IF(COUNTIFS(Versuchsdaten!$A$2:$A$1117,$A774,Versuchsdaten!$B$2:$B$1117,$B774,Versuchsdaten!$C$2:$C$1117,"Sprint_5m",Versuchsdaten!$E$2:$E$1117,$E774,Versuchsdaten!$J$2:$J$1117,1)=1,SUMIFS(Versuchsdaten!$F$2:$F$1117,Versuchsdaten!$A$2:$A$1117,$A774,Versuchsdaten!$B$2:$B$1117,$B774,Versuchsdaten!$C$2:$C$1117,"Sprint_5m",Versuchsdaten!$E$2:$E$1117,$E774,Versuchsdaten!$J$2:$J$1117,1),""))</f>
        <v/>
      </c>
      <c r="L774" s="22">
        <f>IF(LEFT(C774,7)&lt;&gt;"Sprint_","",IF(COUNTIFS(Versuchsdaten!$A$2:$A$1117,$A774,Versuchsdaten!$B$2:$B$1117,$B774,Versuchsdaten!$C$2:$C$1117,"Sprint_10m",Versuchsdaten!$E$2:$E$1117,$E774,Versuchsdaten!$J$2:$J$1117,1)=1,SUMIFS(Versuchsdaten!$F$2:$F$1117,Versuchsdaten!$A$2:$A$1117,$A774,Versuchsdaten!$B$2:$B$1117,$B774,Versuchsdaten!$C$2:$C$1117,"Sprint_10m",Versuchsdaten!$E$2:$E$1117,$E774,Versuchsdaten!$J$2:$J$1117,1),""))</f>
        <v/>
      </c>
      <c r="M774" s="22">
        <f>IF(LEFT(C774,7)&lt;&gt;"Sprint_","",IF(COUNTIFS(Versuchsdaten!$A$2:$A$1117,$A774,Versuchsdaten!$B$2:$B$1117,$B774,Versuchsdaten!$C$2:$C$1117,"Sprint_30m",Versuchsdaten!$E$2:$E$1117,$E774,Versuchsdaten!$J$2:$J$1117,1)=1,SUMIFS(Versuchsdaten!$F$2:$F$1117,Versuchsdaten!$A$2:$A$1117,$A774,Versuchsdaten!$B$2:$B$1117,$B774,Versuchsdaten!$C$2:$C$1117,"Sprint_30m",Versuchsdaten!$E$2:$E$1117,$E774,Versuchsdaten!$J$2:$J$1117,1),""))</f>
        <v/>
      </c>
      <c r="N774" s="22">
        <f>IF(LEFT(C774,7)&lt;&gt;"Sprint_",0,IF(IF(ISNUMBER(K774),IF(K774&lt;=0,1,IF(5/K774&gt;10,1,0)),0)+IF(ISNUMBER(L774),IF(ISNUMBER(K774),IF(L774-K774&lt;=0,1,IF(5/(L774-K774)&gt;10,1,0)),IF(L774&lt;=0,1,IF(10/L774&gt;10,1,0))),0)+IF(ISNUMBER(M774),IF(ISNUMBER(L774),IF(M774-L774&lt;=0,1,IF(20/(M774-L774)&gt;10,1,0)),IF(ISNUMBER(K774),IF(M774-K774&lt;=0,1,IF(25/(M774-K774)&gt;10,1,0)),IF(M774&lt;=0,1,IF(30/M774&gt;10,1,0)))),0)&gt;0,1,0))</f>
        <v/>
      </c>
      <c r="O774" s="22">
        <f>IF(AND(J774=1,N774=0),1,0)</f>
        <v/>
      </c>
      <c r="P774" s="22">
        <f>INDEX(Personendaten!$J$2:$J$32,MATCH(A774,Personendaten!$A$2:$A$32,0))</f>
        <v/>
      </c>
      <c r="Q774" s="22">
        <f>IF(O774=1,"",IF(AND(B774="post",P774="nicht angetreten"),"NANG",IF(N774=1,"AUSL",IFERROR(VLOOKUP(H774,Vokabular!$A$2:$B$8,2,FALSE),"UNBEKANNT"))))</f>
        <v/>
      </c>
    </row>
    <row r="775">
      <c r="A775" s="5" t="inlineStr">
        <is>
          <t>HL-01</t>
        </is>
      </c>
      <c r="B775" s="5" t="inlineStr">
        <is>
          <t>post</t>
        </is>
      </c>
      <c r="C775" s="5" t="inlineStr">
        <is>
          <t>COD_505</t>
        </is>
      </c>
      <c r="D775" s="5" t="inlineStr">
        <is>
          <t>R</t>
        </is>
      </c>
      <c r="E775" s="5" t="n">
        <v>3</v>
      </c>
      <c r="F775" s="5" t="n"/>
      <c r="G775" s="5" t="n"/>
      <c r="H775" s="5" t="inlineStr">
        <is>
          <t>Nur 2 Versuche aus Zeitmangel</t>
        </is>
      </c>
      <c r="I775" s="22">
        <f>INDEX(Personendaten!$C$2:$C$32,MATCH(A775,Personendaten!$A$2:$A$32,0))</f>
        <v/>
      </c>
      <c r="J775" s="22">
        <f>IF(AND(F775&lt;&gt;"",G775=""),1,0)</f>
        <v/>
      </c>
      <c r="K775" s="22">
        <f>IF(LEFT(C775,7)&lt;&gt;"Sprint_","",IF(COUNTIFS(Versuchsdaten!$A$2:$A$1117,$A775,Versuchsdaten!$B$2:$B$1117,$B775,Versuchsdaten!$C$2:$C$1117,"Sprint_5m",Versuchsdaten!$E$2:$E$1117,$E775,Versuchsdaten!$J$2:$J$1117,1)=1,SUMIFS(Versuchsdaten!$F$2:$F$1117,Versuchsdaten!$A$2:$A$1117,$A775,Versuchsdaten!$B$2:$B$1117,$B775,Versuchsdaten!$C$2:$C$1117,"Sprint_5m",Versuchsdaten!$E$2:$E$1117,$E775,Versuchsdaten!$J$2:$J$1117,1),""))</f>
        <v/>
      </c>
      <c r="L775" s="22">
        <f>IF(LEFT(C775,7)&lt;&gt;"Sprint_","",IF(COUNTIFS(Versuchsdaten!$A$2:$A$1117,$A775,Versuchsdaten!$B$2:$B$1117,$B775,Versuchsdaten!$C$2:$C$1117,"Sprint_10m",Versuchsdaten!$E$2:$E$1117,$E775,Versuchsdaten!$J$2:$J$1117,1)=1,SUMIFS(Versuchsdaten!$F$2:$F$1117,Versuchsdaten!$A$2:$A$1117,$A775,Versuchsdaten!$B$2:$B$1117,$B775,Versuchsdaten!$C$2:$C$1117,"Sprint_10m",Versuchsdaten!$E$2:$E$1117,$E775,Versuchsdaten!$J$2:$J$1117,1),""))</f>
        <v/>
      </c>
      <c r="M775" s="22">
        <f>IF(LEFT(C775,7)&lt;&gt;"Sprint_","",IF(COUNTIFS(Versuchsdaten!$A$2:$A$1117,$A775,Versuchsdaten!$B$2:$B$1117,$B775,Versuchsdaten!$C$2:$C$1117,"Sprint_30m",Versuchsdaten!$E$2:$E$1117,$E775,Versuchsdaten!$J$2:$J$1117,1)=1,SUMIFS(Versuchsdaten!$F$2:$F$1117,Versuchsdaten!$A$2:$A$1117,$A775,Versuchsdaten!$B$2:$B$1117,$B775,Versuchsdaten!$C$2:$C$1117,"Sprint_30m",Versuchsdaten!$E$2:$E$1117,$E775,Versuchsdaten!$J$2:$J$1117,1),""))</f>
        <v/>
      </c>
      <c r="N775" s="22">
        <f>IF(LEFT(C775,7)&lt;&gt;"Sprint_",0,IF(IF(ISNUMBER(K775),IF(K775&lt;=0,1,IF(5/K775&gt;10,1,0)),0)+IF(ISNUMBER(L775),IF(ISNUMBER(K775),IF(L775-K775&lt;=0,1,IF(5/(L775-K775)&gt;10,1,0)),IF(L775&lt;=0,1,IF(10/L775&gt;10,1,0))),0)+IF(ISNUMBER(M775),IF(ISNUMBER(L775),IF(M775-L775&lt;=0,1,IF(20/(M775-L775)&gt;10,1,0)),IF(ISNUMBER(K775),IF(M775-K775&lt;=0,1,IF(25/(M775-K775)&gt;10,1,0)),IF(M775&lt;=0,1,IF(30/M775&gt;10,1,0)))),0)&gt;0,1,0))</f>
        <v/>
      </c>
      <c r="O775" s="22">
        <f>IF(AND(J775=1,N775=0),1,0)</f>
        <v/>
      </c>
      <c r="P775" s="22">
        <f>INDEX(Personendaten!$J$2:$J$32,MATCH(A775,Personendaten!$A$2:$A$32,0))</f>
        <v/>
      </c>
      <c r="Q775" s="22">
        <f>IF(O775=1,"",IF(AND(B775="post",P775="nicht angetreten"),"NANG",IF(N775=1,"AUSL",IFERROR(VLOOKUP(H775,Vokabular!$A$2:$B$8,2,FALSE),"UNBEKANNT"))))</f>
        <v/>
      </c>
    </row>
    <row r="776">
      <c r="A776" s="5" t="inlineStr">
        <is>
          <t>HL-02</t>
        </is>
      </c>
      <c r="B776" s="5" t="inlineStr">
        <is>
          <t>post</t>
        </is>
      </c>
      <c r="C776" s="5" t="inlineStr">
        <is>
          <t>Sprint_5m</t>
        </is>
      </c>
      <c r="D776" s="5" t="inlineStr">
        <is>
          <t>–</t>
        </is>
      </c>
      <c r="E776" s="5" t="n">
        <v>1</v>
      </c>
      <c r="F776" s="5" t="n">
        <v>1.01</v>
      </c>
      <c r="G776" s="5" t="n"/>
      <c r="H776" s="5" t="n"/>
      <c r="I776" s="22">
        <f>INDEX(Personendaten!$C$2:$C$32,MATCH(A776,Personendaten!$A$2:$A$32,0))</f>
        <v/>
      </c>
      <c r="J776" s="22">
        <f>IF(AND(F776&lt;&gt;"",G776=""),1,0)</f>
        <v/>
      </c>
      <c r="K776" s="22">
        <f>IF(LEFT(C776,7)&lt;&gt;"Sprint_","",IF(COUNTIFS(Versuchsdaten!$A$2:$A$1117,$A776,Versuchsdaten!$B$2:$B$1117,$B776,Versuchsdaten!$C$2:$C$1117,"Sprint_5m",Versuchsdaten!$E$2:$E$1117,$E776,Versuchsdaten!$J$2:$J$1117,1)=1,SUMIFS(Versuchsdaten!$F$2:$F$1117,Versuchsdaten!$A$2:$A$1117,$A776,Versuchsdaten!$B$2:$B$1117,$B776,Versuchsdaten!$C$2:$C$1117,"Sprint_5m",Versuchsdaten!$E$2:$E$1117,$E776,Versuchsdaten!$J$2:$J$1117,1),""))</f>
        <v/>
      </c>
      <c r="L776" s="22">
        <f>IF(LEFT(C776,7)&lt;&gt;"Sprint_","",IF(COUNTIFS(Versuchsdaten!$A$2:$A$1117,$A776,Versuchsdaten!$B$2:$B$1117,$B776,Versuchsdaten!$C$2:$C$1117,"Sprint_10m",Versuchsdaten!$E$2:$E$1117,$E776,Versuchsdaten!$J$2:$J$1117,1)=1,SUMIFS(Versuchsdaten!$F$2:$F$1117,Versuchsdaten!$A$2:$A$1117,$A776,Versuchsdaten!$B$2:$B$1117,$B776,Versuchsdaten!$C$2:$C$1117,"Sprint_10m",Versuchsdaten!$E$2:$E$1117,$E776,Versuchsdaten!$J$2:$J$1117,1),""))</f>
        <v/>
      </c>
      <c r="M776" s="22">
        <f>IF(LEFT(C776,7)&lt;&gt;"Sprint_","",IF(COUNTIFS(Versuchsdaten!$A$2:$A$1117,$A776,Versuchsdaten!$B$2:$B$1117,$B776,Versuchsdaten!$C$2:$C$1117,"Sprint_30m",Versuchsdaten!$E$2:$E$1117,$E776,Versuchsdaten!$J$2:$J$1117,1)=1,SUMIFS(Versuchsdaten!$F$2:$F$1117,Versuchsdaten!$A$2:$A$1117,$A776,Versuchsdaten!$B$2:$B$1117,$B776,Versuchsdaten!$C$2:$C$1117,"Sprint_30m",Versuchsdaten!$E$2:$E$1117,$E776,Versuchsdaten!$J$2:$J$1117,1),""))</f>
        <v/>
      </c>
      <c r="N776" s="22">
        <f>IF(LEFT(C776,7)&lt;&gt;"Sprint_",0,IF(IF(ISNUMBER(K776),IF(K776&lt;=0,1,IF(5/K776&gt;10,1,0)),0)+IF(ISNUMBER(L776),IF(ISNUMBER(K776),IF(L776-K776&lt;=0,1,IF(5/(L776-K776)&gt;10,1,0)),IF(L776&lt;=0,1,IF(10/L776&gt;10,1,0))),0)+IF(ISNUMBER(M776),IF(ISNUMBER(L776),IF(M776-L776&lt;=0,1,IF(20/(M776-L776)&gt;10,1,0)),IF(ISNUMBER(K776),IF(M776-K776&lt;=0,1,IF(25/(M776-K776)&gt;10,1,0)),IF(M776&lt;=0,1,IF(30/M776&gt;10,1,0)))),0)&gt;0,1,0))</f>
        <v/>
      </c>
      <c r="O776" s="22">
        <f>IF(AND(J776=1,N776=0),1,0)</f>
        <v/>
      </c>
      <c r="P776" s="22">
        <f>INDEX(Personendaten!$J$2:$J$32,MATCH(A776,Personendaten!$A$2:$A$32,0))</f>
        <v/>
      </c>
      <c r="Q776" s="22">
        <f>IF(O776=1,"",IF(AND(B776="post",P776="nicht angetreten"),"NANG",IF(N776=1,"AUSL",IFERROR(VLOOKUP(H776,Vokabular!$A$2:$B$8,2,FALSE),"UNBEKANNT"))))</f>
        <v/>
      </c>
    </row>
    <row r="777">
      <c r="A777" s="5" t="inlineStr">
        <is>
          <t>HL-02</t>
        </is>
      </c>
      <c r="B777" s="5" t="inlineStr">
        <is>
          <t>post</t>
        </is>
      </c>
      <c r="C777" s="5" t="inlineStr">
        <is>
          <t>Sprint_5m</t>
        </is>
      </c>
      <c r="D777" s="5" t="inlineStr">
        <is>
          <t>–</t>
        </is>
      </c>
      <c r="E777" s="5" t="n">
        <v>2</v>
      </c>
      <c r="F777" s="5" t="n">
        <v>1.02</v>
      </c>
      <c r="G777" s="5" t="n"/>
      <c r="H777" s="5" t="n"/>
      <c r="I777" s="22">
        <f>INDEX(Personendaten!$C$2:$C$32,MATCH(A777,Personendaten!$A$2:$A$32,0))</f>
        <v/>
      </c>
      <c r="J777" s="22">
        <f>IF(AND(F777&lt;&gt;"",G777=""),1,0)</f>
        <v/>
      </c>
      <c r="K777" s="22">
        <f>IF(LEFT(C777,7)&lt;&gt;"Sprint_","",IF(COUNTIFS(Versuchsdaten!$A$2:$A$1117,$A777,Versuchsdaten!$B$2:$B$1117,$B777,Versuchsdaten!$C$2:$C$1117,"Sprint_5m",Versuchsdaten!$E$2:$E$1117,$E777,Versuchsdaten!$J$2:$J$1117,1)=1,SUMIFS(Versuchsdaten!$F$2:$F$1117,Versuchsdaten!$A$2:$A$1117,$A777,Versuchsdaten!$B$2:$B$1117,$B777,Versuchsdaten!$C$2:$C$1117,"Sprint_5m",Versuchsdaten!$E$2:$E$1117,$E777,Versuchsdaten!$J$2:$J$1117,1),""))</f>
        <v/>
      </c>
      <c r="L777" s="22">
        <f>IF(LEFT(C777,7)&lt;&gt;"Sprint_","",IF(COUNTIFS(Versuchsdaten!$A$2:$A$1117,$A777,Versuchsdaten!$B$2:$B$1117,$B777,Versuchsdaten!$C$2:$C$1117,"Sprint_10m",Versuchsdaten!$E$2:$E$1117,$E777,Versuchsdaten!$J$2:$J$1117,1)=1,SUMIFS(Versuchsdaten!$F$2:$F$1117,Versuchsdaten!$A$2:$A$1117,$A777,Versuchsdaten!$B$2:$B$1117,$B777,Versuchsdaten!$C$2:$C$1117,"Sprint_10m",Versuchsdaten!$E$2:$E$1117,$E777,Versuchsdaten!$J$2:$J$1117,1),""))</f>
        <v/>
      </c>
      <c r="M777" s="22">
        <f>IF(LEFT(C777,7)&lt;&gt;"Sprint_","",IF(COUNTIFS(Versuchsdaten!$A$2:$A$1117,$A777,Versuchsdaten!$B$2:$B$1117,$B777,Versuchsdaten!$C$2:$C$1117,"Sprint_30m",Versuchsdaten!$E$2:$E$1117,$E777,Versuchsdaten!$J$2:$J$1117,1)=1,SUMIFS(Versuchsdaten!$F$2:$F$1117,Versuchsdaten!$A$2:$A$1117,$A777,Versuchsdaten!$B$2:$B$1117,$B777,Versuchsdaten!$C$2:$C$1117,"Sprint_30m",Versuchsdaten!$E$2:$E$1117,$E777,Versuchsdaten!$J$2:$J$1117,1),""))</f>
        <v/>
      </c>
      <c r="N777" s="22">
        <f>IF(LEFT(C777,7)&lt;&gt;"Sprint_",0,IF(IF(ISNUMBER(K777),IF(K777&lt;=0,1,IF(5/K777&gt;10,1,0)),0)+IF(ISNUMBER(L777),IF(ISNUMBER(K777),IF(L777-K777&lt;=0,1,IF(5/(L777-K777)&gt;10,1,0)),IF(L777&lt;=0,1,IF(10/L777&gt;10,1,0))),0)+IF(ISNUMBER(M777),IF(ISNUMBER(L777),IF(M777-L777&lt;=0,1,IF(20/(M777-L777)&gt;10,1,0)),IF(ISNUMBER(K777),IF(M777-K777&lt;=0,1,IF(25/(M777-K777)&gt;10,1,0)),IF(M777&lt;=0,1,IF(30/M777&gt;10,1,0)))),0)&gt;0,1,0))</f>
        <v/>
      </c>
      <c r="O777" s="22">
        <f>IF(AND(J777=1,N777=0),1,0)</f>
        <v/>
      </c>
      <c r="P777" s="22">
        <f>INDEX(Personendaten!$J$2:$J$32,MATCH(A777,Personendaten!$A$2:$A$32,0))</f>
        <v/>
      </c>
      <c r="Q777" s="22">
        <f>IF(O777=1,"",IF(AND(B777="post",P777="nicht angetreten"),"NANG",IF(N777=1,"AUSL",IFERROR(VLOOKUP(H777,Vokabular!$A$2:$B$8,2,FALSE),"UNBEKANNT"))))</f>
        <v/>
      </c>
    </row>
    <row r="778">
      <c r="A778" s="5" t="inlineStr">
        <is>
          <t>HL-02</t>
        </is>
      </c>
      <c r="B778" s="5" t="inlineStr">
        <is>
          <t>post</t>
        </is>
      </c>
      <c r="C778" s="5" t="inlineStr">
        <is>
          <t>Sprint_5m</t>
        </is>
      </c>
      <c r="D778" s="5" t="inlineStr">
        <is>
          <t>–</t>
        </is>
      </c>
      <c r="E778" s="5" t="n">
        <v>3</v>
      </c>
      <c r="F778" s="5" t="n">
        <v>1.05</v>
      </c>
      <c r="G778" s="5" t="n"/>
      <c r="H778" s="5" t="n"/>
      <c r="I778" s="22">
        <f>INDEX(Personendaten!$C$2:$C$32,MATCH(A778,Personendaten!$A$2:$A$32,0))</f>
        <v/>
      </c>
      <c r="J778" s="22">
        <f>IF(AND(F778&lt;&gt;"",G778=""),1,0)</f>
        <v/>
      </c>
      <c r="K778" s="22">
        <f>IF(LEFT(C778,7)&lt;&gt;"Sprint_","",IF(COUNTIFS(Versuchsdaten!$A$2:$A$1117,$A778,Versuchsdaten!$B$2:$B$1117,$B778,Versuchsdaten!$C$2:$C$1117,"Sprint_5m",Versuchsdaten!$E$2:$E$1117,$E778,Versuchsdaten!$J$2:$J$1117,1)=1,SUMIFS(Versuchsdaten!$F$2:$F$1117,Versuchsdaten!$A$2:$A$1117,$A778,Versuchsdaten!$B$2:$B$1117,$B778,Versuchsdaten!$C$2:$C$1117,"Sprint_5m",Versuchsdaten!$E$2:$E$1117,$E778,Versuchsdaten!$J$2:$J$1117,1),""))</f>
        <v/>
      </c>
      <c r="L778" s="22">
        <f>IF(LEFT(C778,7)&lt;&gt;"Sprint_","",IF(COUNTIFS(Versuchsdaten!$A$2:$A$1117,$A778,Versuchsdaten!$B$2:$B$1117,$B778,Versuchsdaten!$C$2:$C$1117,"Sprint_10m",Versuchsdaten!$E$2:$E$1117,$E778,Versuchsdaten!$J$2:$J$1117,1)=1,SUMIFS(Versuchsdaten!$F$2:$F$1117,Versuchsdaten!$A$2:$A$1117,$A778,Versuchsdaten!$B$2:$B$1117,$B778,Versuchsdaten!$C$2:$C$1117,"Sprint_10m",Versuchsdaten!$E$2:$E$1117,$E778,Versuchsdaten!$J$2:$J$1117,1),""))</f>
        <v/>
      </c>
      <c r="M778" s="22">
        <f>IF(LEFT(C778,7)&lt;&gt;"Sprint_","",IF(COUNTIFS(Versuchsdaten!$A$2:$A$1117,$A778,Versuchsdaten!$B$2:$B$1117,$B778,Versuchsdaten!$C$2:$C$1117,"Sprint_30m",Versuchsdaten!$E$2:$E$1117,$E778,Versuchsdaten!$J$2:$J$1117,1)=1,SUMIFS(Versuchsdaten!$F$2:$F$1117,Versuchsdaten!$A$2:$A$1117,$A778,Versuchsdaten!$B$2:$B$1117,$B778,Versuchsdaten!$C$2:$C$1117,"Sprint_30m",Versuchsdaten!$E$2:$E$1117,$E778,Versuchsdaten!$J$2:$J$1117,1),""))</f>
        <v/>
      </c>
      <c r="N778" s="22">
        <f>IF(LEFT(C778,7)&lt;&gt;"Sprint_",0,IF(IF(ISNUMBER(K778),IF(K778&lt;=0,1,IF(5/K778&gt;10,1,0)),0)+IF(ISNUMBER(L778),IF(ISNUMBER(K778),IF(L778-K778&lt;=0,1,IF(5/(L778-K778)&gt;10,1,0)),IF(L778&lt;=0,1,IF(10/L778&gt;10,1,0))),0)+IF(ISNUMBER(M778),IF(ISNUMBER(L778),IF(M778-L778&lt;=0,1,IF(20/(M778-L778)&gt;10,1,0)),IF(ISNUMBER(K778),IF(M778-K778&lt;=0,1,IF(25/(M778-K778)&gt;10,1,0)),IF(M778&lt;=0,1,IF(30/M778&gt;10,1,0)))),0)&gt;0,1,0))</f>
        <v/>
      </c>
      <c r="O778" s="22">
        <f>IF(AND(J778=1,N778=0),1,0)</f>
        <v/>
      </c>
      <c r="P778" s="22">
        <f>INDEX(Personendaten!$J$2:$J$32,MATCH(A778,Personendaten!$A$2:$A$32,0))</f>
        <v/>
      </c>
      <c r="Q778" s="22">
        <f>IF(O778=1,"",IF(AND(B778="post",P778="nicht angetreten"),"NANG",IF(N778=1,"AUSL",IFERROR(VLOOKUP(H778,Vokabular!$A$2:$B$8,2,FALSE),"UNBEKANNT"))))</f>
        <v/>
      </c>
    </row>
    <row r="779">
      <c r="A779" s="5" t="inlineStr">
        <is>
          <t>HL-02</t>
        </is>
      </c>
      <c r="B779" s="5" t="inlineStr">
        <is>
          <t>post</t>
        </is>
      </c>
      <c r="C779" s="5" t="inlineStr">
        <is>
          <t>Sprint_10m</t>
        </is>
      </c>
      <c r="D779" s="5" t="inlineStr">
        <is>
          <t>–</t>
        </is>
      </c>
      <c r="E779" s="5" t="n">
        <v>1</v>
      </c>
      <c r="F779" s="5" t="n">
        <v>1.76</v>
      </c>
      <c r="G779" s="5" t="n"/>
      <c r="H779" s="5" t="n"/>
      <c r="I779" s="22">
        <f>INDEX(Personendaten!$C$2:$C$32,MATCH(A779,Personendaten!$A$2:$A$32,0))</f>
        <v/>
      </c>
      <c r="J779" s="22">
        <f>IF(AND(F779&lt;&gt;"",G779=""),1,0)</f>
        <v/>
      </c>
      <c r="K779" s="22">
        <f>IF(LEFT(C779,7)&lt;&gt;"Sprint_","",IF(COUNTIFS(Versuchsdaten!$A$2:$A$1117,$A779,Versuchsdaten!$B$2:$B$1117,$B779,Versuchsdaten!$C$2:$C$1117,"Sprint_5m",Versuchsdaten!$E$2:$E$1117,$E779,Versuchsdaten!$J$2:$J$1117,1)=1,SUMIFS(Versuchsdaten!$F$2:$F$1117,Versuchsdaten!$A$2:$A$1117,$A779,Versuchsdaten!$B$2:$B$1117,$B779,Versuchsdaten!$C$2:$C$1117,"Sprint_5m",Versuchsdaten!$E$2:$E$1117,$E779,Versuchsdaten!$J$2:$J$1117,1),""))</f>
        <v/>
      </c>
      <c r="L779" s="22">
        <f>IF(LEFT(C779,7)&lt;&gt;"Sprint_","",IF(COUNTIFS(Versuchsdaten!$A$2:$A$1117,$A779,Versuchsdaten!$B$2:$B$1117,$B779,Versuchsdaten!$C$2:$C$1117,"Sprint_10m",Versuchsdaten!$E$2:$E$1117,$E779,Versuchsdaten!$J$2:$J$1117,1)=1,SUMIFS(Versuchsdaten!$F$2:$F$1117,Versuchsdaten!$A$2:$A$1117,$A779,Versuchsdaten!$B$2:$B$1117,$B779,Versuchsdaten!$C$2:$C$1117,"Sprint_10m",Versuchsdaten!$E$2:$E$1117,$E779,Versuchsdaten!$J$2:$J$1117,1),""))</f>
        <v/>
      </c>
      <c r="M779" s="22">
        <f>IF(LEFT(C779,7)&lt;&gt;"Sprint_","",IF(COUNTIFS(Versuchsdaten!$A$2:$A$1117,$A779,Versuchsdaten!$B$2:$B$1117,$B779,Versuchsdaten!$C$2:$C$1117,"Sprint_30m",Versuchsdaten!$E$2:$E$1117,$E779,Versuchsdaten!$J$2:$J$1117,1)=1,SUMIFS(Versuchsdaten!$F$2:$F$1117,Versuchsdaten!$A$2:$A$1117,$A779,Versuchsdaten!$B$2:$B$1117,$B779,Versuchsdaten!$C$2:$C$1117,"Sprint_30m",Versuchsdaten!$E$2:$E$1117,$E779,Versuchsdaten!$J$2:$J$1117,1),""))</f>
        <v/>
      </c>
      <c r="N779" s="22">
        <f>IF(LEFT(C779,7)&lt;&gt;"Sprint_",0,IF(IF(ISNUMBER(K779),IF(K779&lt;=0,1,IF(5/K779&gt;10,1,0)),0)+IF(ISNUMBER(L779),IF(ISNUMBER(K779),IF(L779-K779&lt;=0,1,IF(5/(L779-K779)&gt;10,1,0)),IF(L779&lt;=0,1,IF(10/L779&gt;10,1,0))),0)+IF(ISNUMBER(M779),IF(ISNUMBER(L779),IF(M779-L779&lt;=0,1,IF(20/(M779-L779)&gt;10,1,0)),IF(ISNUMBER(K779),IF(M779-K779&lt;=0,1,IF(25/(M779-K779)&gt;10,1,0)),IF(M779&lt;=0,1,IF(30/M779&gt;10,1,0)))),0)&gt;0,1,0))</f>
        <v/>
      </c>
      <c r="O779" s="22">
        <f>IF(AND(J779=1,N779=0),1,0)</f>
        <v/>
      </c>
      <c r="P779" s="22">
        <f>INDEX(Personendaten!$J$2:$J$32,MATCH(A779,Personendaten!$A$2:$A$32,0))</f>
        <v/>
      </c>
      <c r="Q779" s="22">
        <f>IF(O779=1,"",IF(AND(B779="post",P779="nicht angetreten"),"NANG",IF(N779=1,"AUSL",IFERROR(VLOOKUP(H779,Vokabular!$A$2:$B$8,2,FALSE),"UNBEKANNT"))))</f>
        <v/>
      </c>
    </row>
    <row r="780">
      <c r="A780" s="5" t="inlineStr">
        <is>
          <t>HL-02</t>
        </is>
      </c>
      <c r="B780" s="5" t="inlineStr">
        <is>
          <t>post</t>
        </is>
      </c>
      <c r="C780" s="5" t="inlineStr">
        <is>
          <t>Sprint_10m</t>
        </is>
      </c>
      <c r="D780" s="5" t="inlineStr">
        <is>
          <t>–</t>
        </is>
      </c>
      <c r="E780" s="5" t="n">
        <v>2</v>
      </c>
      <c r="F780" s="5" t="n">
        <v>1.78</v>
      </c>
      <c r="G780" s="5" t="n"/>
      <c r="H780" s="5" t="n"/>
      <c r="I780" s="22">
        <f>INDEX(Personendaten!$C$2:$C$32,MATCH(A780,Personendaten!$A$2:$A$32,0))</f>
        <v/>
      </c>
      <c r="J780" s="22">
        <f>IF(AND(F780&lt;&gt;"",G780=""),1,0)</f>
        <v/>
      </c>
      <c r="K780" s="22">
        <f>IF(LEFT(C780,7)&lt;&gt;"Sprint_","",IF(COUNTIFS(Versuchsdaten!$A$2:$A$1117,$A780,Versuchsdaten!$B$2:$B$1117,$B780,Versuchsdaten!$C$2:$C$1117,"Sprint_5m",Versuchsdaten!$E$2:$E$1117,$E780,Versuchsdaten!$J$2:$J$1117,1)=1,SUMIFS(Versuchsdaten!$F$2:$F$1117,Versuchsdaten!$A$2:$A$1117,$A780,Versuchsdaten!$B$2:$B$1117,$B780,Versuchsdaten!$C$2:$C$1117,"Sprint_5m",Versuchsdaten!$E$2:$E$1117,$E780,Versuchsdaten!$J$2:$J$1117,1),""))</f>
        <v/>
      </c>
      <c r="L780" s="22">
        <f>IF(LEFT(C780,7)&lt;&gt;"Sprint_","",IF(COUNTIFS(Versuchsdaten!$A$2:$A$1117,$A780,Versuchsdaten!$B$2:$B$1117,$B780,Versuchsdaten!$C$2:$C$1117,"Sprint_10m",Versuchsdaten!$E$2:$E$1117,$E780,Versuchsdaten!$J$2:$J$1117,1)=1,SUMIFS(Versuchsdaten!$F$2:$F$1117,Versuchsdaten!$A$2:$A$1117,$A780,Versuchsdaten!$B$2:$B$1117,$B780,Versuchsdaten!$C$2:$C$1117,"Sprint_10m",Versuchsdaten!$E$2:$E$1117,$E780,Versuchsdaten!$J$2:$J$1117,1),""))</f>
        <v/>
      </c>
      <c r="M780" s="22">
        <f>IF(LEFT(C780,7)&lt;&gt;"Sprint_","",IF(COUNTIFS(Versuchsdaten!$A$2:$A$1117,$A780,Versuchsdaten!$B$2:$B$1117,$B780,Versuchsdaten!$C$2:$C$1117,"Sprint_30m",Versuchsdaten!$E$2:$E$1117,$E780,Versuchsdaten!$J$2:$J$1117,1)=1,SUMIFS(Versuchsdaten!$F$2:$F$1117,Versuchsdaten!$A$2:$A$1117,$A780,Versuchsdaten!$B$2:$B$1117,$B780,Versuchsdaten!$C$2:$C$1117,"Sprint_30m",Versuchsdaten!$E$2:$E$1117,$E780,Versuchsdaten!$J$2:$J$1117,1),""))</f>
        <v/>
      </c>
      <c r="N780" s="22">
        <f>IF(LEFT(C780,7)&lt;&gt;"Sprint_",0,IF(IF(ISNUMBER(K780),IF(K780&lt;=0,1,IF(5/K780&gt;10,1,0)),0)+IF(ISNUMBER(L780),IF(ISNUMBER(K780),IF(L780-K780&lt;=0,1,IF(5/(L780-K780)&gt;10,1,0)),IF(L780&lt;=0,1,IF(10/L780&gt;10,1,0))),0)+IF(ISNUMBER(M780),IF(ISNUMBER(L780),IF(M780-L780&lt;=0,1,IF(20/(M780-L780)&gt;10,1,0)),IF(ISNUMBER(K780),IF(M780-K780&lt;=0,1,IF(25/(M780-K780)&gt;10,1,0)),IF(M780&lt;=0,1,IF(30/M780&gt;10,1,0)))),0)&gt;0,1,0))</f>
        <v/>
      </c>
      <c r="O780" s="22">
        <f>IF(AND(J780=1,N780=0),1,0)</f>
        <v/>
      </c>
      <c r="P780" s="22">
        <f>INDEX(Personendaten!$J$2:$J$32,MATCH(A780,Personendaten!$A$2:$A$32,0))</f>
        <v/>
      </c>
      <c r="Q780" s="22">
        <f>IF(O780=1,"",IF(AND(B780="post",P780="nicht angetreten"),"NANG",IF(N780=1,"AUSL",IFERROR(VLOOKUP(H780,Vokabular!$A$2:$B$8,2,FALSE),"UNBEKANNT"))))</f>
        <v/>
      </c>
    </row>
    <row r="781">
      <c r="A781" s="5" t="inlineStr">
        <is>
          <t>HL-02</t>
        </is>
      </c>
      <c r="B781" s="5" t="inlineStr">
        <is>
          <t>post</t>
        </is>
      </c>
      <c r="C781" s="5" t="inlineStr">
        <is>
          <t>Sprint_10m</t>
        </is>
      </c>
      <c r="D781" s="5" t="inlineStr">
        <is>
          <t>–</t>
        </is>
      </c>
      <c r="E781" s="5" t="n">
        <v>3</v>
      </c>
      <c r="F781" s="5" t="n">
        <v>1.82</v>
      </c>
      <c r="G781" s="5" t="n"/>
      <c r="H781" s="5" t="n"/>
      <c r="I781" s="22">
        <f>INDEX(Personendaten!$C$2:$C$32,MATCH(A781,Personendaten!$A$2:$A$32,0))</f>
        <v/>
      </c>
      <c r="J781" s="22">
        <f>IF(AND(F781&lt;&gt;"",G781=""),1,0)</f>
        <v/>
      </c>
      <c r="K781" s="22">
        <f>IF(LEFT(C781,7)&lt;&gt;"Sprint_","",IF(COUNTIFS(Versuchsdaten!$A$2:$A$1117,$A781,Versuchsdaten!$B$2:$B$1117,$B781,Versuchsdaten!$C$2:$C$1117,"Sprint_5m",Versuchsdaten!$E$2:$E$1117,$E781,Versuchsdaten!$J$2:$J$1117,1)=1,SUMIFS(Versuchsdaten!$F$2:$F$1117,Versuchsdaten!$A$2:$A$1117,$A781,Versuchsdaten!$B$2:$B$1117,$B781,Versuchsdaten!$C$2:$C$1117,"Sprint_5m",Versuchsdaten!$E$2:$E$1117,$E781,Versuchsdaten!$J$2:$J$1117,1),""))</f>
        <v/>
      </c>
      <c r="L781" s="22">
        <f>IF(LEFT(C781,7)&lt;&gt;"Sprint_","",IF(COUNTIFS(Versuchsdaten!$A$2:$A$1117,$A781,Versuchsdaten!$B$2:$B$1117,$B781,Versuchsdaten!$C$2:$C$1117,"Sprint_10m",Versuchsdaten!$E$2:$E$1117,$E781,Versuchsdaten!$J$2:$J$1117,1)=1,SUMIFS(Versuchsdaten!$F$2:$F$1117,Versuchsdaten!$A$2:$A$1117,$A781,Versuchsdaten!$B$2:$B$1117,$B781,Versuchsdaten!$C$2:$C$1117,"Sprint_10m",Versuchsdaten!$E$2:$E$1117,$E781,Versuchsdaten!$J$2:$J$1117,1),""))</f>
        <v/>
      </c>
      <c r="M781" s="22">
        <f>IF(LEFT(C781,7)&lt;&gt;"Sprint_","",IF(COUNTIFS(Versuchsdaten!$A$2:$A$1117,$A781,Versuchsdaten!$B$2:$B$1117,$B781,Versuchsdaten!$C$2:$C$1117,"Sprint_30m",Versuchsdaten!$E$2:$E$1117,$E781,Versuchsdaten!$J$2:$J$1117,1)=1,SUMIFS(Versuchsdaten!$F$2:$F$1117,Versuchsdaten!$A$2:$A$1117,$A781,Versuchsdaten!$B$2:$B$1117,$B781,Versuchsdaten!$C$2:$C$1117,"Sprint_30m",Versuchsdaten!$E$2:$E$1117,$E781,Versuchsdaten!$J$2:$J$1117,1),""))</f>
        <v/>
      </c>
      <c r="N781" s="22">
        <f>IF(LEFT(C781,7)&lt;&gt;"Sprint_",0,IF(IF(ISNUMBER(K781),IF(K781&lt;=0,1,IF(5/K781&gt;10,1,0)),0)+IF(ISNUMBER(L781),IF(ISNUMBER(K781),IF(L781-K781&lt;=0,1,IF(5/(L781-K781)&gt;10,1,0)),IF(L781&lt;=0,1,IF(10/L781&gt;10,1,0))),0)+IF(ISNUMBER(M781),IF(ISNUMBER(L781),IF(M781-L781&lt;=0,1,IF(20/(M781-L781)&gt;10,1,0)),IF(ISNUMBER(K781),IF(M781-K781&lt;=0,1,IF(25/(M781-K781)&gt;10,1,0)),IF(M781&lt;=0,1,IF(30/M781&gt;10,1,0)))),0)&gt;0,1,0))</f>
        <v/>
      </c>
      <c r="O781" s="22">
        <f>IF(AND(J781=1,N781=0),1,0)</f>
        <v/>
      </c>
      <c r="P781" s="22">
        <f>INDEX(Personendaten!$J$2:$J$32,MATCH(A781,Personendaten!$A$2:$A$32,0))</f>
        <v/>
      </c>
      <c r="Q781" s="22">
        <f>IF(O781=1,"",IF(AND(B781="post",P781="nicht angetreten"),"NANG",IF(N781=1,"AUSL",IFERROR(VLOOKUP(H781,Vokabular!$A$2:$B$8,2,FALSE),"UNBEKANNT"))))</f>
        <v/>
      </c>
    </row>
    <row r="782">
      <c r="A782" s="5" t="inlineStr">
        <is>
          <t>HL-02</t>
        </is>
      </c>
      <c r="B782" s="5" t="inlineStr">
        <is>
          <t>post</t>
        </is>
      </c>
      <c r="C782" s="5" t="inlineStr">
        <is>
          <t>Sprint_30m</t>
        </is>
      </c>
      <c r="D782" s="5" t="inlineStr">
        <is>
          <t>–</t>
        </is>
      </c>
      <c r="E782" s="5" t="n">
        <v>1</v>
      </c>
      <c r="F782" s="5" t="n">
        <v>4.72</v>
      </c>
      <c r="G782" s="5" t="n"/>
      <c r="H782" s="5" t="n"/>
      <c r="I782" s="22">
        <f>INDEX(Personendaten!$C$2:$C$32,MATCH(A782,Personendaten!$A$2:$A$32,0))</f>
        <v/>
      </c>
      <c r="J782" s="22">
        <f>IF(AND(F782&lt;&gt;"",G782=""),1,0)</f>
        <v/>
      </c>
      <c r="K782" s="22">
        <f>IF(LEFT(C782,7)&lt;&gt;"Sprint_","",IF(COUNTIFS(Versuchsdaten!$A$2:$A$1117,$A782,Versuchsdaten!$B$2:$B$1117,$B782,Versuchsdaten!$C$2:$C$1117,"Sprint_5m",Versuchsdaten!$E$2:$E$1117,$E782,Versuchsdaten!$J$2:$J$1117,1)=1,SUMIFS(Versuchsdaten!$F$2:$F$1117,Versuchsdaten!$A$2:$A$1117,$A782,Versuchsdaten!$B$2:$B$1117,$B782,Versuchsdaten!$C$2:$C$1117,"Sprint_5m",Versuchsdaten!$E$2:$E$1117,$E782,Versuchsdaten!$J$2:$J$1117,1),""))</f>
        <v/>
      </c>
      <c r="L782" s="22">
        <f>IF(LEFT(C782,7)&lt;&gt;"Sprint_","",IF(COUNTIFS(Versuchsdaten!$A$2:$A$1117,$A782,Versuchsdaten!$B$2:$B$1117,$B782,Versuchsdaten!$C$2:$C$1117,"Sprint_10m",Versuchsdaten!$E$2:$E$1117,$E782,Versuchsdaten!$J$2:$J$1117,1)=1,SUMIFS(Versuchsdaten!$F$2:$F$1117,Versuchsdaten!$A$2:$A$1117,$A782,Versuchsdaten!$B$2:$B$1117,$B782,Versuchsdaten!$C$2:$C$1117,"Sprint_10m",Versuchsdaten!$E$2:$E$1117,$E782,Versuchsdaten!$J$2:$J$1117,1),""))</f>
        <v/>
      </c>
      <c r="M782" s="22">
        <f>IF(LEFT(C782,7)&lt;&gt;"Sprint_","",IF(COUNTIFS(Versuchsdaten!$A$2:$A$1117,$A782,Versuchsdaten!$B$2:$B$1117,$B782,Versuchsdaten!$C$2:$C$1117,"Sprint_30m",Versuchsdaten!$E$2:$E$1117,$E782,Versuchsdaten!$J$2:$J$1117,1)=1,SUMIFS(Versuchsdaten!$F$2:$F$1117,Versuchsdaten!$A$2:$A$1117,$A782,Versuchsdaten!$B$2:$B$1117,$B782,Versuchsdaten!$C$2:$C$1117,"Sprint_30m",Versuchsdaten!$E$2:$E$1117,$E782,Versuchsdaten!$J$2:$J$1117,1),""))</f>
        <v/>
      </c>
      <c r="N782" s="22">
        <f>IF(LEFT(C782,7)&lt;&gt;"Sprint_",0,IF(IF(ISNUMBER(K782),IF(K782&lt;=0,1,IF(5/K782&gt;10,1,0)),0)+IF(ISNUMBER(L782),IF(ISNUMBER(K782),IF(L782-K782&lt;=0,1,IF(5/(L782-K782)&gt;10,1,0)),IF(L782&lt;=0,1,IF(10/L782&gt;10,1,0))),0)+IF(ISNUMBER(M782),IF(ISNUMBER(L782),IF(M782-L782&lt;=0,1,IF(20/(M782-L782)&gt;10,1,0)),IF(ISNUMBER(K782),IF(M782-K782&lt;=0,1,IF(25/(M782-K782)&gt;10,1,0)),IF(M782&lt;=0,1,IF(30/M782&gt;10,1,0)))),0)&gt;0,1,0))</f>
        <v/>
      </c>
      <c r="O782" s="22">
        <f>IF(AND(J782=1,N782=0),1,0)</f>
        <v/>
      </c>
      <c r="P782" s="22">
        <f>INDEX(Personendaten!$J$2:$J$32,MATCH(A782,Personendaten!$A$2:$A$32,0))</f>
        <v/>
      </c>
      <c r="Q782" s="22">
        <f>IF(O782=1,"",IF(AND(B782="post",P782="nicht angetreten"),"NANG",IF(N782=1,"AUSL",IFERROR(VLOOKUP(H782,Vokabular!$A$2:$B$8,2,FALSE),"UNBEKANNT"))))</f>
        <v/>
      </c>
    </row>
    <row r="783">
      <c r="A783" s="5" t="inlineStr">
        <is>
          <t>HL-02</t>
        </is>
      </c>
      <c r="B783" s="5" t="inlineStr">
        <is>
          <t>post</t>
        </is>
      </c>
      <c r="C783" s="5" t="inlineStr">
        <is>
          <t>Sprint_30m</t>
        </is>
      </c>
      <c r="D783" s="5" t="inlineStr">
        <is>
          <t>–</t>
        </is>
      </c>
      <c r="E783" s="5" t="n">
        <v>2</v>
      </c>
      <c r="F783" s="5" t="n"/>
      <c r="G783" s="5" t="n"/>
      <c r="H783" s="5" t="inlineStr">
        <is>
          <t>System nicht aufgenommen</t>
        </is>
      </c>
      <c r="I783" s="22">
        <f>INDEX(Personendaten!$C$2:$C$32,MATCH(A783,Personendaten!$A$2:$A$32,0))</f>
        <v/>
      </c>
      <c r="J783" s="22">
        <f>IF(AND(F783&lt;&gt;"",G783=""),1,0)</f>
        <v/>
      </c>
      <c r="K783" s="22">
        <f>IF(LEFT(C783,7)&lt;&gt;"Sprint_","",IF(COUNTIFS(Versuchsdaten!$A$2:$A$1117,$A783,Versuchsdaten!$B$2:$B$1117,$B783,Versuchsdaten!$C$2:$C$1117,"Sprint_5m",Versuchsdaten!$E$2:$E$1117,$E783,Versuchsdaten!$J$2:$J$1117,1)=1,SUMIFS(Versuchsdaten!$F$2:$F$1117,Versuchsdaten!$A$2:$A$1117,$A783,Versuchsdaten!$B$2:$B$1117,$B783,Versuchsdaten!$C$2:$C$1117,"Sprint_5m",Versuchsdaten!$E$2:$E$1117,$E783,Versuchsdaten!$J$2:$J$1117,1),""))</f>
        <v/>
      </c>
      <c r="L783" s="22">
        <f>IF(LEFT(C783,7)&lt;&gt;"Sprint_","",IF(COUNTIFS(Versuchsdaten!$A$2:$A$1117,$A783,Versuchsdaten!$B$2:$B$1117,$B783,Versuchsdaten!$C$2:$C$1117,"Sprint_10m",Versuchsdaten!$E$2:$E$1117,$E783,Versuchsdaten!$J$2:$J$1117,1)=1,SUMIFS(Versuchsdaten!$F$2:$F$1117,Versuchsdaten!$A$2:$A$1117,$A783,Versuchsdaten!$B$2:$B$1117,$B783,Versuchsdaten!$C$2:$C$1117,"Sprint_10m",Versuchsdaten!$E$2:$E$1117,$E783,Versuchsdaten!$J$2:$J$1117,1),""))</f>
        <v/>
      </c>
      <c r="M783" s="22">
        <f>IF(LEFT(C783,7)&lt;&gt;"Sprint_","",IF(COUNTIFS(Versuchsdaten!$A$2:$A$1117,$A783,Versuchsdaten!$B$2:$B$1117,$B783,Versuchsdaten!$C$2:$C$1117,"Sprint_30m",Versuchsdaten!$E$2:$E$1117,$E783,Versuchsdaten!$J$2:$J$1117,1)=1,SUMIFS(Versuchsdaten!$F$2:$F$1117,Versuchsdaten!$A$2:$A$1117,$A783,Versuchsdaten!$B$2:$B$1117,$B783,Versuchsdaten!$C$2:$C$1117,"Sprint_30m",Versuchsdaten!$E$2:$E$1117,$E783,Versuchsdaten!$J$2:$J$1117,1),""))</f>
        <v/>
      </c>
      <c r="N783" s="22">
        <f>IF(LEFT(C783,7)&lt;&gt;"Sprint_",0,IF(IF(ISNUMBER(K783),IF(K783&lt;=0,1,IF(5/K783&gt;10,1,0)),0)+IF(ISNUMBER(L783),IF(ISNUMBER(K783),IF(L783-K783&lt;=0,1,IF(5/(L783-K783)&gt;10,1,0)),IF(L783&lt;=0,1,IF(10/L783&gt;10,1,0))),0)+IF(ISNUMBER(M783),IF(ISNUMBER(L783),IF(M783-L783&lt;=0,1,IF(20/(M783-L783)&gt;10,1,0)),IF(ISNUMBER(K783),IF(M783-K783&lt;=0,1,IF(25/(M783-K783)&gt;10,1,0)),IF(M783&lt;=0,1,IF(30/M783&gt;10,1,0)))),0)&gt;0,1,0))</f>
        <v/>
      </c>
      <c r="O783" s="22">
        <f>IF(AND(J783=1,N783=0),1,0)</f>
        <v/>
      </c>
      <c r="P783" s="22">
        <f>INDEX(Personendaten!$J$2:$J$32,MATCH(A783,Personendaten!$A$2:$A$32,0))</f>
        <v/>
      </c>
      <c r="Q783" s="22">
        <f>IF(O783=1,"",IF(AND(B783="post",P783="nicht angetreten"),"NANG",IF(N783=1,"AUSL",IFERROR(VLOOKUP(H783,Vokabular!$A$2:$B$8,2,FALSE),"UNBEKANNT"))))</f>
        <v/>
      </c>
    </row>
    <row r="784">
      <c r="A784" s="5" t="inlineStr">
        <is>
          <t>HL-02</t>
        </is>
      </c>
      <c r="B784" s="5" t="inlineStr">
        <is>
          <t>post</t>
        </is>
      </c>
      <c r="C784" s="5" t="inlineStr">
        <is>
          <t>Sprint_30m</t>
        </is>
      </c>
      <c r="D784" s="5" t="inlineStr">
        <is>
          <t>–</t>
        </is>
      </c>
      <c r="E784" s="5" t="n">
        <v>3</v>
      </c>
      <c r="F784" s="5" t="n">
        <v>4.24</v>
      </c>
      <c r="G784" s="5" t="n"/>
      <c r="H784" s="5" t="n"/>
      <c r="I784" s="22">
        <f>INDEX(Personendaten!$C$2:$C$32,MATCH(A784,Personendaten!$A$2:$A$32,0))</f>
        <v/>
      </c>
      <c r="J784" s="22">
        <f>IF(AND(F784&lt;&gt;"",G784=""),1,0)</f>
        <v/>
      </c>
      <c r="K784" s="22">
        <f>IF(LEFT(C784,7)&lt;&gt;"Sprint_","",IF(COUNTIFS(Versuchsdaten!$A$2:$A$1117,$A784,Versuchsdaten!$B$2:$B$1117,$B784,Versuchsdaten!$C$2:$C$1117,"Sprint_5m",Versuchsdaten!$E$2:$E$1117,$E784,Versuchsdaten!$J$2:$J$1117,1)=1,SUMIFS(Versuchsdaten!$F$2:$F$1117,Versuchsdaten!$A$2:$A$1117,$A784,Versuchsdaten!$B$2:$B$1117,$B784,Versuchsdaten!$C$2:$C$1117,"Sprint_5m",Versuchsdaten!$E$2:$E$1117,$E784,Versuchsdaten!$J$2:$J$1117,1),""))</f>
        <v/>
      </c>
      <c r="L784" s="22">
        <f>IF(LEFT(C784,7)&lt;&gt;"Sprint_","",IF(COUNTIFS(Versuchsdaten!$A$2:$A$1117,$A784,Versuchsdaten!$B$2:$B$1117,$B784,Versuchsdaten!$C$2:$C$1117,"Sprint_10m",Versuchsdaten!$E$2:$E$1117,$E784,Versuchsdaten!$J$2:$J$1117,1)=1,SUMIFS(Versuchsdaten!$F$2:$F$1117,Versuchsdaten!$A$2:$A$1117,$A784,Versuchsdaten!$B$2:$B$1117,$B784,Versuchsdaten!$C$2:$C$1117,"Sprint_10m",Versuchsdaten!$E$2:$E$1117,$E784,Versuchsdaten!$J$2:$J$1117,1),""))</f>
        <v/>
      </c>
      <c r="M784" s="22">
        <f>IF(LEFT(C784,7)&lt;&gt;"Sprint_","",IF(COUNTIFS(Versuchsdaten!$A$2:$A$1117,$A784,Versuchsdaten!$B$2:$B$1117,$B784,Versuchsdaten!$C$2:$C$1117,"Sprint_30m",Versuchsdaten!$E$2:$E$1117,$E784,Versuchsdaten!$J$2:$J$1117,1)=1,SUMIFS(Versuchsdaten!$F$2:$F$1117,Versuchsdaten!$A$2:$A$1117,$A784,Versuchsdaten!$B$2:$B$1117,$B784,Versuchsdaten!$C$2:$C$1117,"Sprint_30m",Versuchsdaten!$E$2:$E$1117,$E784,Versuchsdaten!$J$2:$J$1117,1),""))</f>
        <v/>
      </c>
      <c r="N784" s="22">
        <f>IF(LEFT(C784,7)&lt;&gt;"Sprint_",0,IF(IF(ISNUMBER(K784),IF(K784&lt;=0,1,IF(5/K784&gt;10,1,0)),0)+IF(ISNUMBER(L784),IF(ISNUMBER(K784),IF(L784-K784&lt;=0,1,IF(5/(L784-K784)&gt;10,1,0)),IF(L784&lt;=0,1,IF(10/L784&gt;10,1,0))),0)+IF(ISNUMBER(M784),IF(ISNUMBER(L784),IF(M784-L784&lt;=0,1,IF(20/(M784-L784)&gt;10,1,0)),IF(ISNUMBER(K784),IF(M784-K784&lt;=0,1,IF(25/(M784-K784)&gt;10,1,0)),IF(M784&lt;=0,1,IF(30/M784&gt;10,1,0)))),0)&gt;0,1,0))</f>
        <v/>
      </c>
      <c r="O784" s="22">
        <f>IF(AND(J784=1,N784=0),1,0)</f>
        <v/>
      </c>
      <c r="P784" s="22">
        <f>INDEX(Personendaten!$J$2:$J$32,MATCH(A784,Personendaten!$A$2:$A$32,0))</f>
        <v/>
      </c>
      <c r="Q784" s="22">
        <f>IF(O784=1,"",IF(AND(B784="post",P784="nicht angetreten"),"NANG",IF(N784=1,"AUSL",IFERROR(VLOOKUP(H784,Vokabular!$A$2:$B$8,2,FALSE),"UNBEKANNT"))))</f>
        <v/>
      </c>
    </row>
    <row r="785">
      <c r="A785" s="5" t="inlineStr">
        <is>
          <t>HL-02</t>
        </is>
      </c>
      <c r="B785" s="5" t="inlineStr">
        <is>
          <t>post</t>
        </is>
      </c>
      <c r="C785" s="5" t="inlineStr">
        <is>
          <t>Standweitsprung</t>
        </is>
      </c>
      <c r="D785" s="5" t="inlineStr">
        <is>
          <t>–</t>
        </is>
      </c>
      <c r="E785" s="5" t="n">
        <v>1</v>
      </c>
      <c r="F785" s="5" t="n"/>
      <c r="G785" s="5" t="inlineStr">
        <is>
          <t>x</t>
        </is>
      </c>
      <c r="H785" s="5" t="inlineStr">
        <is>
          <t>Fehlversuch</t>
        </is>
      </c>
      <c r="I785" s="22">
        <f>INDEX(Personendaten!$C$2:$C$32,MATCH(A785,Personendaten!$A$2:$A$32,0))</f>
        <v/>
      </c>
      <c r="J785" s="22">
        <f>IF(AND(F785&lt;&gt;"",G785=""),1,0)</f>
        <v/>
      </c>
      <c r="K785" s="22">
        <f>IF(LEFT(C785,7)&lt;&gt;"Sprint_","",IF(COUNTIFS(Versuchsdaten!$A$2:$A$1117,$A785,Versuchsdaten!$B$2:$B$1117,$B785,Versuchsdaten!$C$2:$C$1117,"Sprint_5m",Versuchsdaten!$E$2:$E$1117,$E785,Versuchsdaten!$J$2:$J$1117,1)=1,SUMIFS(Versuchsdaten!$F$2:$F$1117,Versuchsdaten!$A$2:$A$1117,$A785,Versuchsdaten!$B$2:$B$1117,$B785,Versuchsdaten!$C$2:$C$1117,"Sprint_5m",Versuchsdaten!$E$2:$E$1117,$E785,Versuchsdaten!$J$2:$J$1117,1),""))</f>
        <v/>
      </c>
      <c r="L785" s="22">
        <f>IF(LEFT(C785,7)&lt;&gt;"Sprint_","",IF(COUNTIFS(Versuchsdaten!$A$2:$A$1117,$A785,Versuchsdaten!$B$2:$B$1117,$B785,Versuchsdaten!$C$2:$C$1117,"Sprint_10m",Versuchsdaten!$E$2:$E$1117,$E785,Versuchsdaten!$J$2:$J$1117,1)=1,SUMIFS(Versuchsdaten!$F$2:$F$1117,Versuchsdaten!$A$2:$A$1117,$A785,Versuchsdaten!$B$2:$B$1117,$B785,Versuchsdaten!$C$2:$C$1117,"Sprint_10m",Versuchsdaten!$E$2:$E$1117,$E785,Versuchsdaten!$J$2:$J$1117,1),""))</f>
        <v/>
      </c>
      <c r="M785" s="22">
        <f>IF(LEFT(C785,7)&lt;&gt;"Sprint_","",IF(COUNTIFS(Versuchsdaten!$A$2:$A$1117,$A785,Versuchsdaten!$B$2:$B$1117,$B785,Versuchsdaten!$C$2:$C$1117,"Sprint_30m",Versuchsdaten!$E$2:$E$1117,$E785,Versuchsdaten!$J$2:$J$1117,1)=1,SUMIFS(Versuchsdaten!$F$2:$F$1117,Versuchsdaten!$A$2:$A$1117,$A785,Versuchsdaten!$B$2:$B$1117,$B785,Versuchsdaten!$C$2:$C$1117,"Sprint_30m",Versuchsdaten!$E$2:$E$1117,$E785,Versuchsdaten!$J$2:$J$1117,1),""))</f>
        <v/>
      </c>
      <c r="N785" s="22">
        <f>IF(LEFT(C785,7)&lt;&gt;"Sprint_",0,IF(IF(ISNUMBER(K785),IF(K785&lt;=0,1,IF(5/K785&gt;10,1,0)),0)+IF(ISNUMBER(L785),IF(ISNUMBER(K785),IF(L785-K785&lt;=0,1,IF(5/(L785-K785)&gt;10,1,0)),IF(L785&lt;=0,1,IF(10/L785&gt;10,1,0))),0)+IF(ISNUMBER(M785),IF(ISNUMBER(L785),IF(M785-L785&lt;=0,1,IF(20/(M785-L785)&gt;10,1,0)),IF(ISNUMBER(K785),IF(M785-K785&lt;=0,1,IF(25/(M785-K785)&gt;10,1,0)),IF(M785&lt;=0,1,IF(30/M785&gt;10,1,0)))),0)&gt;0,1,0))</f>
        <v/>
      </c>
      <c r="O785" s="22">
        <f>IF(AND(J785=1,N785=0),1,0)</f>
        <v/>
      </c>
      <c r="P785" s="22">
        <f>INDEX(Personendaten!$J$2:$J$32,MATCH(A785,Personendaten!$A$2:$A$32,0))</f>
        <v/>
      </c>
      <c r="Q785" s="22">
        <f>IF(O785=1,"",IF(AND(B785="post",P785="nicht angetreten"),"NANG",IF(N785=1,"AUSL",IFERROR(VLOOKUP(H785,Vokabular!$A$2:$B$8,2,FALSE),"UNBEKANNT"))))</f>
        <v/>
      </c>
    </row>
    <row r="786">
      <c r="A786" s="5" t="inlineStr">
        <is>
          <t>HL-02</t>
        </is>
      </c>
      <c r="B786" s="5" t="inlineStr">
        <is>
          <t>post</t>
        </is>
      </c>
      <c r="C786" s="5" t="inlineStr">
        <is>
          <t>Standweitsprung</t>
        </is>
      </c>
      <c r="D786" s="5" t="inlineStr">
        <is>
          <t>–</t>
        </is>
      </c>
      <c r="E786" s="5" t="n">
        <v>2</v>
      </c>
      <c r="F786" s="5" t="n">
        <v>238</v>
      </c>
      <c r="G786" s="5" t="n"/>
      <c r="H786" s="5" t="n"/>
      <c r="I786" s="22">
        <f>INDEX(Personendaten!$C$2:$C$32,MATCH(A786,Personendaten!$A$2:$A$32,0))</f>
        <v/>
      </c>
      <c r="J786" s="22">
        <f>IF(AND(F786&lt;&gt;"",G786=""),1,0)</f>
        <v/>
      </c>
      <c r="K786" s="22">
        <f>IF(LEFT(C786,7)&lt;&gt;"Sprint_","",IF(COUNTIFS(Versuchsdaten!$A$2:$A$1117,$A786,Versuchsdaten!$B$2:$B$1117,$B786,Versuchsdaten!$C$2:$C$1117,"Sprint_5m",Versuchsdaten!$E$2:$E$1117,$E786,Versuchsdaten!$J$2:$J$1117,1)=1,SUMIFS(Versuchsdaten!$F$2:$F$1117,Versuchsdaten!$A$2:$A$1117,$A786,Versuchsdaten!$B$2:$B$1117,$B786,Versuchsdaten!$C$2:$C$1117,"Sprint_5m",Versuchsdaten!$E$2:$E$1117,$E786,Versuchsdaten!$J$2:$J$1117,1),""))</f>
        <v/>
      </c>
      <c r="L786" s="22">
        <f>IF(LEFT(C786,7)&lt;&gt;"Sprint_","",IF(COUNTIFS(Versuchsdaten!$A$2:$A$1117,$A786,Versuchsdaten!$B$2:$B$1117,$B786,Versuchsdaten!$C$2:$C$1117,"Sprint_10m",Versuchsdaten!$E$2:$E$1117,$E786,Versuchsdaten!$J$2:$J$1117,1)=1,SUMIFS(Versuchsdaten!$F$2:$F$1117,Versuchsdaten!$A$2:$A$1117,$A786,Versuchsdaten!$B$2:$B$1117,$B786,Versuchsdaten!$C$2:$C$1117,"Sprint_10m",Versuchsdaten!$E$2:$E$1117,$E786,Versuchsdaten!$J$2:$J$1117,1),""))</f>
        <v/>
      </c>
      <c r="M786" s="22">
        <f>IF(LEFT(C786,7)&lt;&gt;"Sprint_","",IF(COUNTIFS(Versuchsdaten!$A$2:$A$1117,$A786,Versuchsdaten!$B$2:$B$1117,$B786,Versuchsdaten!$C$2:$C$1117,"Sprint_30m",Versuchsdaten!$E$2:$E$1117,$E786,Versuchsdaten!$J$2:$J$1117,1)=1,SUMIFS(Versuchsdaten!$F$2:$F$1117,Versuchsdaten!$A$2:$A$1117,$A786,Versuchsdaten!$B$2:$B$1117,$B786,Versuchsdaten!$C$2:$C$1117,"Sprint_30m",Versuchsdaten!$E$2:$E$1117,$E786,Versuchsdaten!$J$2:$J$1117,1),""))</f>
        <v/>
      </c>
      <c r="N786" s="22">
        <f>IF(LEFT(C786,7)&lt;&gt;"Sprint_",0,IF(IF(ISNUMBER(K786),IF(K786&lt;=0,1,IF(5/K786&gt;10,1,0)),0)+IF(ISNUMBER(L786),IF(ISNUMBER(K786),IF(L786-K786&lt;=0,1,IF(5/(L786-K786)&gt;10,1,0)),IF(L786&lt;=0,1,IF(10/L786&gt;10,1,0))),0)+IF(ISNUMBER(M786),IF(ISNUMBER(L786),IF(M786-L786&lt;=0,1,IF(20/(M786-L786)&gt;10,1,0)),IF(ISNUMBER(K786),IF(M786-K786&lt;=0,1,IF(25/(M786-K786)&gt;10,1,0)),IF(M786&lt;=0,1,IF(30/M786&gt;10,1,0)))),0)&gt;0,1,0))</f>
        <v/>
      </c>
      <c r="O786" s="22">
        <f>IF(AND(J786=1,N786=0),1,0)</f>
        <v/>
      </c>
      <c r="P786" s="22">
        <f>INDEX(Personendaten!$J$2:$J$32,MATCH(A786,Personendaten!$A$2:$A$32,0))</f>
        <v/>
      </c>
      <c r="Q786" s="22">
        <f>IF(O786=1,"",IF(AND(B786="post",P786="nicht angetreten"),"NANG",IF(N786=1,"AUSL",IFERROR(VLOOKUP(H786,Vokabular!$A$2:$B$8,2,FALSE),"UNBEKANNT"))))</f>
        <v/>
      </c>
    </row>
    <row r="787">
      <c r="A787" s="5" t="inlineStr">
        <is>
          <t>HL-02</t>
        </is>
      </c>
      <c r="B787" s="5" t="inlineStr">
        <is>
          <t>post</t>
        </is>
      </c>
      <c r="C787" s="5" t="inlineStr">
        <is>
          <t>Standweitsprung</t>
        </is>
      </c>
      <c r="D787" s="5" t="inlineStr">
        <is>
          <t>–</t>
        </is>
      </c>
      <c r="E787" s="5" t="n">
        <v>3</v>
      </c>
      <c r="F787" s="5" t="n"/>
      <c r="G787" s="5" t="n"/>
      <c r="H787" s="5" t="inlineStr">
        <is>
          <t>Nur 2 Versuche aus Zeitmangel</t>
        </is>
      </c>
      <c r="I787" s="22">
        <f>INDEX(Personendaten!$C$2:$C$32,MATCH(A787,Personendaten!$A$2:$A$32,0))</f>
        <v/>
      </c>
      <c r="J787" s="22">
        <f>IF(AND(F787&lt;&gt;"",G787=""),1,0)</f>
        <v/>
      </c>
      <c r="K787" s="22">
        <f>IF(LEFT(C787,7)&lt;&gt;"Sprint_","",IF(COUNTIFS(Versuchsdaten!$A$2:$A$1117,$A787,Versuchsdaten!$B$2:$B$1117,$B787,Versuchsdaten!$C$2:$C$1117,"Sprint_5m",Versuchsdaten!$E$2:$E$1117,$E787,Versuchsdaten!$J$2:$J$1117,1)=1,SUMIFS(Versuchsdaten!$F$2:$F$1117,Versuchsdaten!$A$2:$A$1117,$A787,Versuchsdaten!$B$2:$B$1117,$B787,Versuchsdaten!$C$2:$C$1117,"Sprint_5m",Versuchsdaten!$E$2:$E$1117,$E787,Versuchsdaten!$J$2:$J$1117,1),""))</f>
        <v/>
      </c>
      <c r="L787" s="22">
        <f>IF(LEFT(C787,7)&lt;&gt;"Sprint_","",IF(COUNTIFS(Versuchsdaten!$A$2:$A$1117,$A787,Versuchsdaten!$B$2:$B$1117,$B787,Versuchsdaten!$C$2:$C$1117,"Sprint_10m",Versuchsdaten!$E$2:$E$1117,$E787,Versuchsdaten!$J$2:$J$1117,1)=1,SUMIFS(Versuchsdaten!$F$2:$F$1117,Versuchsdaten!$A$2:$A$1117,$A787,Versuchsdaten!$B$2:$B$1117,$B787,Versuchsdaten!$C$2:$C$1117,"Sprint_10m",Versuchsdaten!$E$2:$E$1117,$E787,Versuchsdaten!$J$2:$J$1117,1),""))</f>
        <v/>
      </c>
      <c r="M787" s="22">
        <f>IF(LEFT(C787,7)&lt;&gt;"Sprint_","",IF(COUNTIFS(Versuchsdaten!$A$2:$A$1117,$A787,Versuchsdaten!$B$2:$B$1117,$B787,Versuchsdaten!$C$2:$C$1117,"Sprint_30m",Versuchsdaten!$E$2:$E$1117,$E787,Versuchsdaten!$J$2:$J$1117,1)=1,SUMIFS(Versuchsdaten!$F$2:$F$1117,Versuchsdaten!$A$2:$A$1117,$A787,Versuchsdaten!$B$2:$B$1117,$B787,Versuchsdaten!$C$2:$C$1117,"Sprint_30m",Versuchsdaten!$E$2:$E$1117,$E787,Versuchsdaten!$J$2:$J$1117,1),""))</f>
        <v/>
      </c>
      <c r="N787" s="22">
        <f>IF(LEFT(C787,7)&lt;&gt;"Sprint_",0,IF(IF(ISNUMBER(K787),IF(K787&lt;=0,1,IF(5/K787&gt;10,1,0)),0)+IF(ISNUMBER(L787),IF(ISNUMBER(K787),IF(L787-K787&lt;=0,1,IF(5/(L787-K787)&gt;10,1,0)),IF(L787&lt;=0,1,IF(10/L787&gt;10,1,0))),0)+IF(ISNUMBER(M787),IF(ISNUMBER(L787),IF(M787-L787&lt;=0,1,IF(20/(M787-L787)&gt;10,1,0)),IF(ISNUMBER(K787),IF(M787-K787&lt;=0,1,IF(25/(M787-K787)&gt;10,1,0)),IF(M787&lt;=0,1,IF(30/M787&gt;10,1,0)))),0)&gt;0,1,0))</f>
        <v/>
      </c>
      <c r="O787" s="22">
        <f>IF(AND(J787=1,N787=0),1,0)</f>
        <v/>
      </c>
      <c r="P787" s="22">
        <f>INDEX(Personendaten!$J$2:$J$32,MATCH(A787,Personendaten!$A$2:$A$32,0))</f>
        <v/>
      </c>
      <c r="Q787" s="22">
        <f>IF(O787=1,"",IF(AND(B787="post",P787="nicht angetreten"),"NANG",IF(N787=1,"AUSL",IFERROR(VLOOKUP(H787,Vokabular!$A$2:$B$8,2,FALSE),"UNBEKANNT"))))</f>
        <v/>
      </c>
    </row>
    <row r="788">
      <c r="A788" s="5" t="inlineStr">
        <is>
          <t>HL-02</t>
        </is>
      </c>
      <c r="B788" s="5" t="inlineStr">
        <is>
          <t>post</t>
        </is>
      </c>
      <c r="C788" s="5" t="inlineStr">
        <is>
          <t>COD_505</t>
        </is>
      </c>
      <c r="D788" s="5" t="inlineStr">
        <is>
          <t>L</t>
        </is>
      </c>
      <c r="E788" s="5" t="n">
        <v>1</v>
      </c>
      <c r="F788" s="5" t="n">
        <v>2.32</v>
      </c>
      <c r="G788" s="5" t="n"/>
      <c r="H788" s="5" t="n"/>
      <c r="I788" s="22">
        <f>INDEX(Personendaten!$C$2:$C$32,MATCH(A788,Personendaten!$A$2:$A$32,0))</f>
        <v/>
      </c>
      <c r="J788" s="22">
        <f>IF(AND(F788&lt;&gt;"",G788=""),1,0)</f>
        <v/>
      </c>
      <c r="K788" s="22">
        <f>IF(LEFT(C788,7)&lt;&gt;"Sprint_","",IF(COUNTIFS(Versuchsdaten!$A$2:$A$1117,$A788,Versuchsdaten!$B$2:$B$1117,$B788,Versuchsdaten!$C$2:$C$1117,"Sprint_5m",Versuchsdaten!$E$2:$E$1117,$E788,Versuchsdaten!$J$2:$J$1117,1)=1,SUMIFS(Versuchsdaten!$F$2:$F$1117,Versuchsdaten!$A$2:$A$1117,$A788,Versuchsdaten!$B$2:$B$1117,$B788,Versuchsdaten!$C$2:$C$1117,"Sprint_5m",Versuchsdaten!$E$2:$E$1117,$E788,Versuchsdaten!$J$2:$J$1117,1),""))</f>
        <v/>
      </c>
      <c r="L788" s="22">
        <f>IF(LEFT(C788,7)&lt;&gt;"Sprint_","",IF(COUNTIFS(Versuchsdaten!$A$2:$A$1117,$A788,Versuchsdaten!$B$2:$B$1117,$B788,Versuchsdaten!$C$2:$C$1117,"Sprint_10m",Versuchsdaten!$E$2:$E$1117,$E788,Versuchsdaten!$J$2:$J$1117,1)=1,SUMIFS(Versuchsdaten!$F$2:$F$1117,Versuchsdaten!$A$2:$A$1117,$A788,Versuchsdaten!$B$2:$B$1117,$B788,Versuchsdaten!$C$2:$C$1117,"Sprint_10m",Versuchsdaten!$E$2:$E$1117,$E788,Versuchsdaten!$J$2:$J$1117,1),""))</f>
        <v/>
      </c>
      <c r="M788" s="22">
        <f>IF(LEFT(C788,7)&lt;&gt;"Sprint_","",IF(COUNTIFS(Versuchsdaten!$A$2:$A$1117,$A788,Versuchsdaten!$B$2:$B$1117,$B788,Versuchsdaten!$C$2:$C$1117,"Sprint_30m",Versuchsdaten!$E$2:$E$1117,$E788,Versuchsdaten!$J$2:$J$1117,1)=1,SUMIFS(Versuchsdaten!$F$2:$F$1117,Versuchsdaten!$A$2:$A$1117,$A788,Versuchsdaten!$B$2:$B$1117,$B788,Versuchsdaten!$C$2:$C$1117,"Sprint_30m",Versuchsdaten!$E$2:$E$1117,$E788,Versuchsdaten!$J$2:$J$1117,1),""))</f>
        <v/>
      </c>
      <c r="N788" s="22">
        <f>IF(LEFT(C788,7)&lt;&gt;"Sprint_",0,IF(IF(ISNUMBER(K788),IF(K788&lt;=0,1,IF(5/K788&gt;10,1,0)),0)+IF(ISNUMBER(L788),IF(ISNUMBER(K788),IF(L788-K788&lt;=0,1,IF(5/(L788-K788)&gt;10,1,0)),IF(L788&lt;=0,1,IF(10/L788&gt;10,1,0))),0)+IF(ISNUMBER(M788),IF(ISNUMBER(L788),IF(M788-L788&lt;=0,1,IF(20/(M788-L788)&gt;10,1,0)),IF(ISNUMBER(K788),IF(M788-K788&lt;=0,1,IF(25/(M788-K788)&gt;10,1,0)),IF(M788&lt;=0,1,IF(30/M788&gt;10,1,0)))),0)&gt;0,1,0))</f>
        <v/>
      </c>
      <c r="O788" s="22">
        <f>IF(AND(J788=1,N788=0),1,0)</f>
        <v/>
      </c>
      <c r="P788" s="22">
        <f>INDEX(Personendaten!$J$2:$J$32,MATCH(A788,Personendaten!$A$2:$A$32,0))</f>
        <v/>
      </c>
      <c r="Q788" s="22">
        <f>IF(O788=1,"",IF(AND(B788="post",P788="nicht angetreten"),"NANG",IF(N788=1,"AUSL",IFERROR(VLOOKUP(H788,Vokabular!$A$2:$B$8,2,FALSE),"UNBEKANNT"))))</f>
        <v/>
      </c>
    </row>
    <row r="789">
      <c r="A789" s="5" t="inlineStr">
        <is>
          <t>HL-02</t>
        </is>
      </c>
      <c r="B789" s="5" t="inlineStr">
        <is>
          <t>post</t>
        </is>
      </c>
      <c r="C789" s="5" t="inlineStr">
        <is>
          <t>COD_505</t>
        </is>
      </c>
      <c r="D789" s="5" t="inlineStr">
        <is>
          <t>L</t>
        </is>
      </c>
      <c r="E789" s="5" t="n">
        <v>2</v>
      </c>
      <c r="F789" s="5" t="n"/>
      <c r="G789" s="5" t="inlineStr">
        <is>
          <t>x</t>
        </is>
      </c>
      <c r="H789" s="5" t="inlineStr">
        <is>
          <t>Fehlversuch</t>
        </is>
      </c>
      <c r="I789" s="22">
        <f>INDEX(Personendaten!$C$2:$C$32,MATCH(A789,Personendaten!$A$2:$A$32,0))</f>
        <v/>
      </c>
      <c r="J789" s="22">
        <f>IF(AND(F789&lt;&gt;"",G789=""),1,0)</f>
        <v/>
      </c>
      <c r="K789" s="22">
        <f>IF(LEFT(C789,7)&lt;&gt;"Sprint_","",IF(COUNTIFS(Versuchsdaten!$A$2:$A$1117,$A789,Versuchsdaten!$B$2:$B$1117,$B789,Versuchsdaten!$C$2:$C$1117,"Sprint_5m",Versuchsdaten!$E$2:$E$1117,$E789,Versuchsdaten!$J$2:$J$1117,1)=1,SUMIFS(Versuchsdaten!$F$2:$F$1117,Versuchsdaten!$A$2:$A$1117,$A789,Versuchsdaten!$B$2:$B$1117,$B789,Versuchsdaten!$C$2:$C$1117,"Sprint_5m",Versuchsdaten!$E$2:$E$1117,$E789,Versuchsdaten!$J$2:$J$1117,1),""))</f>
        <v/>
      </c>
      <c r="L789" s="22">
        <f>IF(LEFT(C789,7)&lt;&gt;"Sprint_","",IF(COUNTIFS(Versuchsdaten!$A$2:$A$1117,$A789,Versuchsdaten!$B$2:$B$1117,$B789,Versuchsdaten!$C$2:$C$1117,"Sprint_10m",Versuchsdaten!$E$2:$E$1117,$E789,Versuchsdaten!$J$2:$J$1117,1)=1,SUMIFS(Versuchsdaten!$F$2:$F$1117,Versuchsdaten!$A$2:$A$1117,$A789,Versuchsdaten!$B$2:$B$1117,$B789,Versuchsdaten!$C$2:$C$1117,"Sprint_10m",Versuchsdaten!$E$2:$E$1117,$E789,Versuchsdaten!$J$2:$J$1117,1),""))</f>
        <v/>
      </c>
      <c r="M789" s="22">
        <f>IF(LEFT(C789,7)&lt;&gt;"Sprint_","",IF(COUNTIFS(Versuchsdaten!$A$2:$A$1117,$A789,Versuchsdaten!$B$2:$B$1117,$B789,Versuchsdaten!$C$2:$C$1117,"Sprint_30m",Versuchsdaten!$E$2:$E$1117,$E789,Versuchsdaten!$J$2:$J$1117,1)=1,SUMIFS(Versuchsdaten!$F$2:$F$1117,Versuchsdaten!$A$2:$A$1117,$A789,Versuchsdaten!$B$2:$B$1117,$B789,Versuchsdaten!$C$2:$C$1117,"Sprint_30m",Versuchsdaten!$E$2:$E$1117,$E789,Versuchsdaten!$J$2:$J$1117,1),""))</f>
        <v/>
      </c>
      <c r="N789" s="22">
        <f>IF(LEFT(C789,7)&lt;&gt;"Sprint_",0,IF(IF(ISNUMBER(K789),IF(K789&lt;=0,1,IF(5/K789&gt;10,1,0)),0)+IF(ISNUMBER(L789),IF(ISNUMBER(K789),IF(L789-K789&lt;=0,1,IF(5/(L789-K789)&gt;10,1,0)),IF(L789&lt;=0,1,IF(10/L789&gt;10,1,0))),0)+IF(ISNUMBER(M789),IF(ISNUMBER(L789),IF(M789-L789&lt;=0,1,IF(20/(M789-L789)&gt;10,1,0)),IF(ISNUMBER(K789),IF(M789-K789&lt;=0,1,IF(25/(M789-K789)&gt;10,1,0)),IF(M789&lt;=0,1,IF(30/M789&gt;10,1,0)))),0)&gt;0,1,0))</f>
        <v/>
      </c>
      <c r="O789" s="22">
        <f>IF(AND(J789=1,N789=0),1,0)</f>
        <v/>
      </c>
      <c r="P789" s="22">
        <f>INDEX(Personendaten!$J$2:$J$32,MATCH(A789,Personendaten!$A$2:$A$32,0))</f>
        <v/>
      </c>
      <c r="Q789" s="22">
        <f>IF(O789=1,"",IF(AND(B789="post",P789="nicht angetreten"),"NANG",IF(N789=1,"AUSL",IFERROR(VLOOKUP(H789,Vokabular!$A$2:$B$8,2,FALSE),"UNBEKANNT"))))</f>
        <v/>
      </c>
    </row>
    <row r="790">
      <c r="A790" s="5" t="inlineStr">
        <is>
          <t>HL-02</t>
        </is>
      </c>
      <c r="B790" s="5" t="inlineStr">
        <is>
          <t>post</t>
        </is>
      </c>
      <c r="C790" s="5" t="inlineStr">
        <is>
          <t>COD_505</t>
        </is>
      </c>
      <c r="D790" s="5" t="inlineStr">
        <is>
          <t>L</t>
        </is>
      </c>
      <c r="E790" s="5" t="n">
        <v>3</v>
      </c>
      <c r="F790" s="5" t="n"/>
      <c r="G790" s="5" t="n"/>
      <c r="H790" s="5" t="inlineStr">
        <is>
          <t>Nur 2 Versuche aus Zeitmangel</t>
        </is>
      </c>
      <c r="I790" s="22">
        <f>INDEX(Personendaten!$C$2:$C$32,MATCH(A790,Personendaten!$A$2:$A$32,0))</f>
        <v/>
      </c>
      <c r="J790" s="22">
        <f>IF(AND(F790&lt;&gt;"",G790=""),1,0)</f>
        <v/>
      </c>
      <c r="K790" s="22">
        <f>IF(LEFT(C790,7)&lt;&gt;"Sprint_","",IF(COUNTIFS(Versuchsdaten!$A$2:$A$1117,$A790,Versuchsdaten!$B$2:$B$1117,$B790,Versuchsdaten!$C$2:$C$1117,"Sprint_5m",Versuchsdaten!$E$2:$E$1117,$E790,Versuchsdaten!$J$2:$J$1117,1)=1,SUMIFS(Versuchsdaten!$F$2:$F$1117,Versuchsdaten!$A$2:$A$1117,$A790,Versuchsdaten!$B$2:$B$1117,$B790,Versuchsdaten!$C$2:$C$1117,"Sprint_5m",Versuchsdaten!$E$2:$E$1117,$E790,Versuchsdaten!$J$2:$J$1117,1),""))</f>
        <v/>
      </c>
      <c r="L790" s="22">
        <f>IF(LEFT(C790,7)&lt;&gt;"Sprint_","",IF(COUNTIFS(Versuchsdaten!$A$2:$A$1117,$A790,Versuchsdaten!$B$2:$B$1117,$B790,Versuchsdaten!$C$2:$C$1117,"Sprint_10m",Versuchsdaten!$E$2:$E$1117,$E790,Versuchsdaten!$J$2:$J$1117,1)=1,SUMIFS(Versuchsdaten!$F$2:$F$1117,Versuchsdaten!$A$2:$A$1117,$A790,Versuchsdaten!$B$2:$B$1117,$B790,Versuchsdaten!$C$2:$C$1117,"Sprint_10m",Versuchsdaten!$E$2:$E$1117,$E790,Versuchsdaten!$J$2:$J$1117,1),""))</f>
        <v/>
      </c>
      <c r="M790" s="22">
        <f>IF(LEFT(C790,7)&lt;&gt;"Sprint_","",IF(COUNTIFS(Versuchsdaten!$A$2:$A$1117,$A790,Versuchsdaten!$B$2:$B$1117,$B790,Versuchsdaten!$C$2:$C$1117,"Sprint_30m",Versuchsdaten!$E$2:$E$1117,$E790,Versuchsdaten!$J$2:$J$1117,1)=1,SUMIFS(Versuchsdaten!$F$2:$F$1117,Versuchsdaten!$A$2:$A$1117,$A790,Versuchsdaten!$B$2:$B$1117,$B790,Versuchsdaten!$C$2:$C$1117,"Sprint_30m",Versuchsdaten!$E$2:$E$1117,$E790,Versuchsdaten!$J$2:$J$1117,1),""))</f>
        <v/>
      </c>
      <c r="N790" s="22">
        <f>IF(LEFT(C790,7)&lt;&gt;"Sprint_",0,IF(IF(ISNUMBER(K790),IF(K790&lt;=0,1,IF(5/K790&gt;10,1,0)),0)+IF(ISNUMBER(L790),IF(ISNUMBER(K790),IF(L790-K790&lt;=0,1,IF(5/(L790-K790)&gt;10,1,0)),IF(L790&lt;=0,1,IF(10/L790&gt;10,1,0))),0)+IF(ISNUMBER(M790),IF(ISNUMBER(L790),IF(M790-L790&lt;=0,1,IF(20/(M790-L790)&gt;10,1,0)),IF(ISNUMBER(K790),IF(M790-K790&lt;=0,1,IF(25/(M790-K790)&gt;10,1,0)),IF(M790&lt;=0,1,IF(30/M790&gt;10,1,0)))),0)&gt;0,1,0))</f>
        <v/>
      </c>
      <c r="O790" s="22">
        <f>IF(AND(J790=1,N790=0),1,0)</f>
        <v/>
      </c>
      <c r="P790" s="22">
        <f>INDEX(Personendaten!$J$2:$J$32,MATCH(A790,Personendaten!$A$2:$A$32,0))</f>
        <v/>
      </c>
      <c r="Q790" s="22">
        <f>IF(O790=1,"",IF(AND(B790="post",P790="nicht angetreten"),"NANG",IF(N790=1,"AUSL",IFERROR(VLOOKUP(H790,Vokabular!$A$2:$B$8,2,FALSE),"UNBEKANNT"))))</f>
        <v/>
      </c>
    </row>
    <row r="791">
      <c r="A791" s="5" t="inlineStr">
        <is>
          <t>HL-02</t>
        </is>
      </c>
      <c r="B791" s="5" t="inlineStr">
        <is>
          <t>post</t>
        </is>
      </c>
      <c r="C791" s="5" t="inlineStr">
        <is>
          <t>COD_505</t>
        </is>
      </c>
      <c r="D791" s="5" t="inlineStr">
        <is>
          <t>R</t>
        </is>
      </c>
      <c r="E791" s="5" t="n">
        <v>1</v>
      </c>
      <c r="F791" s="5" t="n"/>
      <c r="G791" s="5" t="inlineStr">
        <is>
          <t>x</t>
        </is>
      </c>
      <c r="H791" s="5" t="inlineStr">
        <is>
          <t>Fehlversuch</t>
        </is>
      </c>
      <c r="I791" s="22">
        <f>INDEX(Personendaten!$C$2:$C$32,MATCH(A791,Personendaten!$A$2:$A$32,0))</f>
        <v/>
      </c>
      <c r="J791" s="22">
        <f>IF(AND(F791&lt;&gt;"",G791=""),1,0)</f>
        <v/>
      </c>
      <c r="K791" s="22">
        <f>IF(LEFT(C791,7)&lt;&gt;"Sprint_","",IF(COUNTIFS(Versuchsdaten!$A$2:$A$1117,$A791,Versuchsdaten!$B$2:$B$1117,$B791,Versuchsdaten!$C$2:$C$1117,"Sprint_5m",Versuchsdaten!$E$2:$E$1117,$E791,Versuchsdaten!$J$2:$J$1117,1)=1,SUMIFS(Versuchsdaten!$F$2:$F$1117,Versuchsdaten!$A$2:$A$1117,$A791,Versuchsdaten!$B$2:$B$1117,$B791,Versuchsdaten!$C$2:$C$1117,"Sprint_5m",Versuchsdaten!$E$2:$E$1117,$E791,Versuchsdaten!$J$2:$J$1117,1),""))</f>
        <v/>
      </c>
      <c r="L791" s="22">
        <f>IF(LEFT(C791,7)&lt;&gt;"Sprint_","",IF(COUNTIFS(Versuchsdaten!$A$2:$A$1117,$A791,Versuchsdaten!$B$2:$B$1117,$B791,Versuchsdaten!$C$2:$C$1117,"Sprint_10m",Versuchsdaten!$E$2:$E$1117,$E791,Versuchsdaten!$J$2:$J$1117,1)=1,SUMIFS(Versuchsdaten!$F$2:$F$1117,Versuchsdaten!$A$2:$A$1117,$A791,Versuchsdaten!$B$2:$B$1117,$B791,Versuchsdaten!$C$2:$C$1117,"Sprint_10m",Versuchsdaten!$E$2:$E$1117,$E791,Versuchsdaten!$J$2:$J$1117,1),""))</f>
        <v/>
      </c>
      <c r="M791" s="22">
        <f>IF(LEFT(C791,7)&lt;&gt;"Sprint_","",IF(COUNTIFS(Versuchsdaten!$A$2:$A$1117,$A791,Versuchsdaten!$B$2:$B$1117,$B791,Versuchsdaten!$C$2:$C$1117,"Sprint_30m",Versuchsdaten!$E$2:$E$1117,$E791,Versuchsdaten!$J$2:$J$1117,1)=1,SUMIFS(Versuchsdaten!$F$2:$F$1117,Versuchsdaten!$A$2:$A$1117,$A791,Versuchsdaten!$B$2:$B$1117,$B791,Versuchsdaten!$C$2:$C$1117,"Sprint_30m",Versuchsdaten!$E$2:$E$1117,$E791,Versuchsdaten!$J$2:$J$1117,1),""))</f>
        <v/>
      </c>
      <c r="N791" s="22">
        <f>IF(LEFT(C791,7)&lt;&gt;"Sprint_",0,IF(IF(ISNUMBER(K791),IF(K791&lt;=0,1,IF(5/K791&gt;10,1,0)),0)+IF(ISNUMBER(L791),IF(ISNUMBER(K791),IF(L791-K791&lt;=0,1,IF(5/(L791-K791)&gt;10,1,0)),IF(L791&lt;=0,1,IF(10/L791&gt;10,1,0))),0)+IF(ISNUMBER(M791),IF(ISNUMBER(L791),IF(M791-L791&lt;=0,1,IF(20/(M791-L791)&gt;10,1,0)),IF(ISNUMBER(K791),IF(M791-K791&lt;=0,1,IF(25/(M791-K791)&gt;10,1,0)),IF(M791&lt;=0,1,IF(30/M791&gt;10,1,0)))),0)&gt;0,1,0))</f>
        <v/>
      </c>
      <c r="O791" s="22">
        <f>IF(AND(J791=1,N791=0),1,0)</f>
        <v/>
      </c>
      <c r="P791" s="22">
        <f>INDEX(Personendaten!$J$2:$J$32,MATCH(A791,Personendaten!$A$2:$A$32,0))</f>
        <v/>
      </c>
      <c r="Q791" s="22">
        <f>IF(O791=1,"",IF(AND(B791="post",P791="nicht angetreten"),"NANG",IF(N791=1,"AUSL",IFERROR(VLOOKUP(H791,Vokabular!$A$2:$B$8,2,FALSE),"UNBEKANNT"))))</f>
        <v/>
      </c>
    </row>
    <row r="792">
      <c r="A792" s="5" t="inlineStr">
        <is>
          <t>HL-02</t>
        </is>
      </c>
      <c r="B792" s="5" t="inlineStr">
        <is>
          <t>post</t>
        </is>
      </c>
      <c r="C792" s="5" t="inlineStr">
        <is>
          <t>COD_505</t>
        </is>
      </c>
      <c r="D792" s="5" t="inlineStr">
        <is>
          <t>R</t>
        </is>
      </c>
      <c r="E792" s="5" t="n">
        <v>2</v>
      </c>
      <c r="F792" s="5" t="n">
        <v>2.29</v>
      </c>
      <c r="G792" s="5" t="n"/>
      <c r="H792" s="5" t="n"/>
      <c r="I792" s="22">
        <f>INDEX(Personendaten!$C$2:$C$32,MATCH(A792,Personendaten!$A$2:$A$32,0))</f>
        <v/>
      </c>
      <c r="J792" s="22">
        <f>IF(AND(F792&lt;&gt;"",G792=""),1,0)</f>
        <v/>
      </c>
      <c r="K792" s="22">
        <f>IF(LEFT(C792,7)&lt;&gt;"Sprint_","",IF(COUNTIFS(Versuchsdaten!$A$2:$A$1117,$A792,Versuchsdaten!$B$2:$B$1117,$B792,Versuchsdaten!$C$2:$C$1117,"Sprint_5m",Versuchsdaten!$E$2:$E$1117,$E792,Versuchsdaten!$J$2:$J$1117,1)=1,SUMIFS(Versuchsdaten!$F$2:$F$1117,Versuchsdaten!$A$2:$A$1117,$A792,Versuchsdaten!$B$2:$B$1117,$B792,Versuchsdaten!$C$2:$C$1117,"Sprint_5m",Versuchsdaten!$E$2:$E$1117,$E792,Versuchsdaten!$J$2:$J$1117,1),""))</f>
        <v/>
      </c>
      <c r="L792" s="22">
        <f>IF(LEFT(C792,7)&lt;&gt;"Sprint_","",IF(COUNTIFS(Versuchsdaten!$A$2:$A$1117,$A792,Versuchsdaten!$B$2:$B$1117,$B792,Versuchsdaten!$C$2:$C$1117,"Sprint_10m",Versuchsdaten!$E$2:$E$1117,$E792,Versuchsdaten!$J$2:$J$1117,1)=1,SUMIFS(Versuchsdaten!$F$2:$F$1117,Versuchsdaten!$A$2:$A$1117,$A792,Versuchsdaten!$B$2:$B$1117,$B792,Versuchsdaten!$C$2:$C$1117,"Sprint_10m",Versuchsdaten!$E$2:$E$1117,$E792,Versuchsdaten!$J$2:$J$1117,1),""))</f>
        <v/>
      </c>
      <c r="M792" s="22">
        <f>IF(LEFT(C792,7)&lt;&gt;"Sprint_","",IF(COUNTIFS(Versuchsdaten!$A$2:$A$1117,$A792,Versuchsdaten!$B$2:$B$1117,$B792,Versuchsdaten!$C$2:$C$1117,"Sprint_30m",Versuchsdaten!$E$2:$E$1117,$E792,Versuchsdaten!$J$2:$J$1117,1)=1,SUMIFS(Versuchsdaten!$F$2:$F$1117,Versuchsdaten!$A$2:$A$1117,$A792,Versuchsdaten!$B$2:$B$1117,$B792,Versuchsdaten!$C$2:$C$1117,"Sprint_30m",Versuchsdaten!$E$2:$E$1117,$E792,Versuchsdaten!$J$2:$J$1117,1),""))</f>
        <v/>
      </c>
      <c r="N792" s="22">
        <f>IF(LEFT(C792,7)&lt;&gt;"Sprint_",0,IF(IF(ISNUMBER(K792),IF(K792&lt;=0,1,IF(5/K792&gt;10,1,0)),0)+IF(ISNUMBER(L792),IF(ISNUMBER(K792),IF(L792-K792&lt;=0,1,IF(5/(L792-K792)&gt;10,1,0)),IF(L792&lt;=0,1,IF(10/L792&gt;10,1,0))),0)+IF(ISNUMBER(M792),IF(ISNUMBER(L792),IF(M792-L792&lt;=0,1,IF(20/(M792-L792)&gt;10,1,0)),IF(ISNUMBER(K792),IF(M792-K792&lt;=0,1,IF(25/(M792-K792)&gt;10,1,0)),IF(M792&lt;=0,1,IF(30/M792&gt;10,1,0)))),0)&gt;0,1,0))</f>
        <v/>
      </c>
      <c r="O792" s="22">
        <f>IF(AND(J792=1,N792=0),1,0)</f>
        <v/>
      </c>
      <c r="P792" s="22">
        <f>INDEX(Personendaten!$J$2:$J$32,MATCH(A792,Personendaten!$A$2:$A$32,0))</f>
        <v/>
      </c>
      <c r="Q792" s="22">
        <f>IF(O792=1,"",IF(AND(B792="post",P792="nicht angetreten"),"NANG",IF(N792=1,"AUSL",IFERROR(VLOOKUP(H792,Vokabular!$A$2:$B$8,2,FALSE),"UNBEKANNT"))))</f>
        <v/>
      </c>
    </row>
    <row r="793">
      <c r="A793" s="5" t="inlineStr">
        <is>
          <t>HL-02</t>
        </is>
      </c>
      <c r="B793" s="5" t="inlineStr">
        <is>
          <t>post</t>
        </is>
      </c>
      <c r="C793" s="5" t="inlineStr">
        <is>
          <t>COD_505</t>
        </is>
      </c>
      <c r="D793" s="5" t="inlineStr">
        <is>
          <t>R</t>
        </is>
      </c>
      <c r="E793" s="5" t="n">
        <v>3</v>
      </c>
      <c r="F793" s="5" t="n"/>
      <c r="G793" s="5" t="n"/>
      <c r="H793" s="5" t="inlineStr">
        <is>
          <t>Nur 2 Versuche aus Zeitmangel</t>
        </is>
      </c>
      <c r="I793" s="22">
        <f>INDEX(Personendaten!$C$2:$C$32,MATCH(A793,Personendaten!$A$2:$A$32,0))</f>
        <v/>
      </c>
      <c r="J793" s="22">
        <f>IF(AND(F793&lt;&gt;"",G793=""),1,0)</f>
        <v/>
      </c>
      <c r="K793" s="22">
        <f>IF(LEFT(C793,7)&lt;&gt;"Sprint_","",IF(COUNTIFS(Versuchsdaten!$A$2:$A$1117,$A793,Versuchsdaten!$B$2:$B$1117,$B793,Versuchsdaten!$C$2:$C$1117,"Sprint_5m",Versuchsdaten!$E$2:$E$1117,$E793,Versuchsdaten!$J$2:$J$1117,1)=1,SUMIFS(Versuchsdaten!$F$2:$F$1117,Versuchsdaten!$A$2:$A$1117,$A793,Versuchsdaten!$B$2:$B$1117,$B793,Versuchsdaten!$C$2:$C$1117,"Sprint_5m",Versuchsdaten!$E$2:$E$1117,$E793,Versuchsdaten!$J$2:$J$1117,1),""))</f>
        <v/>
      </c>
      <c r="L793" s="22">
        <f>IF(LEFT(C793,7)&lt;&gt;"Sprint_","",IF(COUNTIFS(Versuchsdaten!$A$2:$A$1117,$A793,Versuchsdaten!$B$2:$B$1117,$B793,Versuchsdaten!$C$2:$C$1117,"Sprint_10m",Versuchsdaten!$E$2:$E$1117,$E793,Versuchsdaten!$J$2:$J$1117,1)=1,SUMIFS(Versuchsdaten!$F$2:$F$1117,Versuchsdaten!$A$2:$A$1117,$A793,Versuchsdaten!$B$2:$B$1117,$B793,Versuchsdaten!$C$2:$C$1117,"Sprint_10m",Versuchsdaten!$E$2:$E$1117,$E793,Versuchsdaten!$J$2:$J$1117,1),""))</f>
        <v/>
      </c>
      <c r="M793" s="22">
        <f>IF(LEFT(C793,7)&lt;&gt;"Sprint_","",IF(COUNTIFS(Versuchsdaten!$A$2:$A$1117,$A793,Versuchsdaten!$B$2:$B$1117,$B793,Versuchsdaten!$C$2:$C$1117,"Sprint_30m",Versuchsdaten!$E$2:$E$1117,$E793,Versuchsdaten!$J$2:$J$1117,1)=1,SUMIFS(Versuchsdaten!$F$2:$F$1117,Versuchsdaten!$A$2:$A$1117,$A793,Versuchsdaten!$B$2:$B$1117,$B793,Versuchsdaten!$C$2:$C$1117,"Sprint_30m",Versuchsdaten!$E$2:$E$1117,$E793,Versuchsdaten!$J$2:$J$1117,1),""))</f>
        <v/>
      </c>
      <c r="N793" s="22">
        <f>IF(LEFT(C793,7)&lt;&gt;"Sprint_",0,IF(IF(ISNUMBER(K793),IF(K793&lt;=0,1,IF(5/K793&gt;10,1,0)),0)+IF(ISNUMBER(L793),IF(ISNUMBER(K793),IF(L793-K793&lt;=0,1,IF(5/(L793-K793)&gt;10,1,0)),IF(L793&lt;=0,1,IF(10/L793&gt;10,1,0))),0)+IF(ISNUMBER(M793),IF(ISNUMBER(L793),IF(M793-L793&lt;=0,1,IF(20/(M793-L793)&gt;10,1,0)),IF(ISNUMBER(K793),IF(M793-K793&lt;=0,1,IF(25/(M793-K793)&gt;10,1,0)),IF(M793&lt;=0,1,IF(30/M793&gt;10,1,0)))),0)&gt;0,1,0))</f>
        <v/>
      </c>
      <c r="O793" s="22">
        <f>IF(AND(J793=1,N793=0),1,0)</f>
        <v/>
      </c>
      <c r="P793" s="22">
        <f>INDEX(Personendaten!$J$2:$J$32,MATCH(A793,Personendaten!$A$2:$A$32,0))</f>
        <v/>
      </c>
      <c r="Q793" s="22">
        <f>IF(O793=1,"",IF(AND(B793="post",P793="nicht angetreten"),"NANG",IF(N793=1,"AUSL",IFERROR(VLOOKUP(H793,Vokabular!$A$2:$B$8,2,FALSE),"UNBEKANNT"))))</f>
        <v/>
      </c>
    </row>
    <row r="794">
      <c r="A794" s="5" t="inlineStr">
        <is>
          <t>HL-03</t>
        </is>
      </c>
      <c r="B794" s="5" t="inlineStr">
        <is>
          <t>post</t>
        </is>
      </c>
      <c r="C794" s="5" t="inlineStr">
        <is>
          <t>Sprint_5m</t>
        </is>
      </c>
      <c r="D794" s="5" t="inlineStr">
        <is>
          <t>–</t>
        </is>
      </c>
      <c r="E794" s="5" t="n">
        <v>1</v>
      </c>
      <c r="F794" s="5" t="n">
        <v>1.11</v>
      </c>
      <c r="G794" s="5" t="n"/>
      <c r="H794" s="5" t="n"/>
      <c r="I794" s="22">
        <f>INDEX(Personendaten!$C$2:$C$32,MATCH(A794,Personendaten!$A$2:$A$32,0))</f>
        <v/>
      </c>
      <c r="J794" s="22">
        <f>IF(AND(F794&lt;&gt;"",G794=""),1,0)</f>
        <v/>
      </c>
      <c r="K794" s="22">
        <f>IF(LEFT(C794,7)&lt;&gt;"Sprint_","",IF(COUNTIFS(Versuchsdaten!$A$2:$A$1117,$A794,Versuchsdaten!$B$2:$B$1117,$B794,Versuchsdaten!$C$2:$C$1117,"Sprint_5m",Versuchsdaten!$E$2:$E$1117,$E794,Versuchsdaten!$J$2:$J$1117,1)=1,SUMIFS(Versuchsdaten!$F$2:$F$1117,Versuchsdaten!$A$2:$A$1117,$A794,Versuchsdaten!$B$2:$B$1117,$B794,Versuchsdaten!$C$2:$C$1117,"Sprint_5m",Versuchsdaten!$E$2:$E$1117,$E794,Versuchsdaten!$J$2:$J$1117,1),""))</f>
        <v/>
      </c>
      <c r="L794" s="22">
        <f>IF(LEFT(C794,7)&lt;&gt;"Sprint_","",IF(COUNTIFS(Versuchsdaten!$A$2:$A$1117,$A794,Versuchsdaten!$B$2:$B$1117,$B794,Versuchsdaten!$C$2:$C$1117,"Sprint_10m",Versuchsdaten!$E$2:$E$1117,$E794,Versuchsdaten!$J$2:$J$1117,1)=1,SUMIFS(Versuchsdaten!$F$2:$F$1117,Versuchsdaten!$A$2:$A$1117,$A794,Versuchsdaten!$B$2:$B$1117,$B794,Versuchsdaten!$C$2:$C$1117,"Sprint_10m",Versuchsdaten!$E$2:$E$1117,$E794,Versuchsdaten!$J$2:$J$1117,1),""))</f>
        <v/>
      </c>
      <c r="M794" s="22">
        <f>IF(LEFT(C794,7)&lt;&gt;"Sprint_","",IF(COUNTIFS(Versuchsdaten!$A$2:$A$1117,$A794,Versuchsdaten!$B$2:$B$1117,$B794,Versuchsdaten!$C$2:$C$1117,"Sprint_30m",Versuchsdaten!$E$2:$E$1117,$E794,Versuchsdaten!$J$2:$J$1117,1)=1,SUMIFS(Versuchsdaten!$F$2:$F$1117,Versuchsdaten!$A$2:$A$1117,$A794,Versuchsdaten!$B$2:$B$1117,$B794,Versuchsdaten!$C$2:$C$1117,"Sprint_30m",Versuchsdaten!$E$2:$E$1117,$E794,Versuchsdaten!$J$2:$J$1117,1),""))</f>
        <v/>
      </c>
      <c r="N794" s="22">
        <f>IF(LEFT(C794,7)&lt;&gt;"Sprint_",0,IF(IF(ISNUMBER(K794),IF(K794&lt;=0,1,IF(5/K794&gt;10,1,0)),0)+IF(ISNUMBER(L794),IF(ISNUMBER(K794),IF(L794-K794&lt;=0,1,IF(5/(L794-K794)&gt;10,1,0)),IF(L794&lt;=0,1,IF(10/L794&gt;10,1,0))),0)+IF(ISNUMBER(M794),IF(ISNUMBER(L794),IF(M794-L794&lt;=0,1,IF(20/(M794-L794)&gt;10,1,0)),IF(ISNUMBER(K794),IF(M794-K794&lt;=0,1,IF(25/(M794-K794)&gt;10,1,0)),IF(M794&lt;=0,1,IF(30/M794&gt;10,1,0)))),0)&gt;0,1,0))</f>
        <v/>
      </c>
      <c r="O794" s="22">
        <f>IF(AND(J794=1,N794=0),1,0)</f>
        <v/>
      </c>
      <c r="P794" s="22">
        <f>INDEX(Personendaten!$J$2:$J$32,MATCH(A794,Personendaten!$A$2:$A$32,0))</f>
        <v/>
      </c>
      <c r="Q794" s="22">
        <f>IF(O794=1,"",IF(AND(B794="post",P794="nicht angetreten"),"NANG",IF(N794=1,"AUSL",IFERROR(VLOOKUP(H794,Vokabular!$A$2:$B$8,2,FALSE),"UNBEKANNT"))))</f>
        <v/>
      </c>
    </row>
    <row r="795">
      <c r="A795" s="5" t="inlineStr">
        <is>
          <t>HL-03</t>
        </is>
      </c>
      <c r="B795" s="5" t="inlineStr">
        <is>
          <t>post</t>
        </is>
      </c>
      <c r="C795" s="5" t="inlineStr">
        <is>
          <t>Sprint_5m</t>
        </is>
      </c>
      <c r="D795" s="5" t="inlineStr">
        <is>
          <t>–</t>
        </is>
      </c>
      <c r="E795" s="5" t="n">
        <v>2</v>
      </c>
      <c r="F795" s="5" t="n">
        <v>1.08</v>
      </c>
      <c r="G795" s="5" t="n"/>
      <c r="H795" s="5" t="n"/>
      <c r="I795" s="22">
        <f>INDEX(Personendaten!$C$2:$C$32,MATCH(A795,Personendaten!$A$2:$A$32,0))</f>
        <v/>
      </c>
      <c r="J795" s="22">
        <f>IF(AND(F795&lt;&gt;"",G795=""),1,0)</f>
        <v/>
      </c>
      <c r="K795" s="22">
        <f>IF(LEFT(C795,7)&lt;&gt;"Sprint_","",IF(COUNTIFS(Versuchsdaten!$A$2:$A$1117,$A795,Versuchsdaten!$B$2:$B$1117,$B795,Versuchsdaten!$C$2:$C$1117,"Sprint_5m",Versuchsdaten!$E$2:$E$1117,$E795,Versuchsdaten!$J$2:$J$1117,1)=1,SUMIFS(Versuchsdaten!$F$2:$F$1117,Versuchsdaten!$A$2:$A$1117,$A795,Versuchsdaten!$B$2:$B$1117,$B795,Versuchsdaten!$C$2:$C$1117,"Sprint_5m",Versuchsdaten!$E$2:$E$1117,$E795,Versuchsdaten!$J$2:$J$1117,1),""))</f>
        <v/>
      </c>
      <c r="L795" s="22">
        <f>IF(LEFT(C795,7)&lt;&gt;"Sprint_","",IF(COUNTIFS(Versuchsdaten!$A$2:$A$1117,$A795,Versuchsdaten!$B$2:$B$1117,$B795,Versuchsdaten!$C$2:$C$1117,"Sprint_10m",Versuchsdaten!$E$2:$E$1117,$E795,Versuchsdaten!$J$2:$J$1117,1)=1,SUMIFS(Versuchsdaten!$F$2:$F$1117,Versuchsdaten!$A$2:$A$1117,$A795,Versuchsdaten!$B$2:$B$1117,$B795,Versuchsdaten!$C$2:$C$1117,"Sprint_10m",Versuchsdaten!$E$2:$E$1117,$E795,Versuchsdaten!$J$2:$J$1117,1),""))</f>
        <v/>
      </c>
      <c r="M795" s="22">
        <f>IF(LEFT(C795,7)&lt;&gt;"Sprint_","",IF(COUNTIFS(Versuchsdaten!$A$2:$A$1117,$A795,Versuchsdaten!$B$2:$B$1117,$B795,Versuchsdaten!$C$2:$C$1117,"Sprint_30m",Versuchsdaten!$E$2:$E$1117,$E795,Versuchsdaten!$J$2:$J$1117,1)=1,SUMIFS(Versuchsdaten!$F$2:$F$1117,Versuchsdaten!$A$2:$A$1117,$A795,Versuchsdaten!$B$2:$B$1117,$B795,Versuchsdaten!$C$2:$C$1117,"Sprint_30m",Versuchsdaten!$E$2:$E$1117,$E795,Versuchsdaten!$J$2:$J$1117,1),""))</f>
        <v/>
      </c>
      <c r="N795" s="22">
        <f>IF(LEFT(C795,7)&lt;&gt;"Sprint_",0,IF(IF(ISNUMBER(K795),IF(K795&lt;=0,1,IF(5/K795&gt;10,1,0)),0)+IF(ISNUMBER(L795),IF(ISNUMBER(K795),IF(L795-K795&lt;=0,1,IF(5/(L795-K795)&gt;10,1,0)),IF(L795&lt;=0,1,IF(10/L795&gt;10,1,0))),0)+IF(ISNUMBER(M795),IF(ISNUMBER(L795),IF(M795-L795&lt;=0,1,IF(20/(M795-L795)&gt;10,1,0)),IF(ISNUMBER(K795),IF(M795-K795&lt;=0,1,IF(25/(M795-K795)&gt;10,1,0)),IF(M795&lt;=0,1,IF(30/M795&gt;10,1,0)))),0)&gt;0,1,0))</f>
        <v/>
      </c>
      <c r="O795" s="22">
        <f>IF(AND(J795=1,N795=0),1,0)</f>
        <v/>
      </c>
      <c r="P795" s="22">
        <f>INDEX(Personendaten!$J$2:$J$32,MATCH(A795,Personendaten!$A$2:$A$32,0))</f>
        <v/>
      </c>
      <c r="Q795" s="22">
        <f>IF(O795=1,"",IF(AND(B795="post",P795="nicht angetreten"),"NANG",IF(N795=1,"AUSL",IFERROR(VLOOKUP(H795,Vokabular!$A$2:$B$8,2,FALSE),"UNBEKANNT"))))</f>
        <v/>
      </c>
    </row>
    <row r="796">
      <c r="A796" s="5" t="inlineStr">
        <is>
          <t>HL-03</t>
        </is>
      </c>
      <c r="B796" s="5" t="inlineStr">
        <is>
          <t>post</t>
        </is>
      </c>
      <c r="C796" s="5" t="inlineStr">
        <is>
          <t>Sprint_5m</t>
        </is>
      </c>
      <c r="D796" s="5" t="inlineStr">
        <is>
          <t>–</t>
        </is>
      </c>
      <c r="E796" s="5" t="n">
        <v>3</v>
      </c>
      <c r="F796" s="5" t="n">
        <v>1.09</v>
      </c>
      <c r="G796" s="5" t="n"/>
      <c r="H796" s="5" t="n"/>
      <c r="I796" s="22">
        <f>INDEX(Personendaten!$C$2:$C$32,MATCH(A796,Personendaten!$A$2:$A$32,0))</f>
        <v/>
      </c>
      <c r="J796" s="22">
        <f>IF(AND(F796&lt;&gt;"",G796=""),1,0)</f>
        <v/>
      </c>
      <c r="K796" s="22">
        <f>IF(LEFT(C796,7)&lt;&gt;"Sprint_","",IF(COUNTIFS(Versuchsdaten!$A$2:$A$1117,$A796,Versuchsdaten!$B$2:$B$1117,$B796,Versuchsdaten!$C$2:$C$1117,"Sprint_5m",Versuchsdaten!$E$2:$E$1117,$E796,Versuchsdaten!$J$2:$J$1117,1)=1,SUMIFS(Versuchsdaten!$F$2:$F$1117,Versuchsdaten!$A$2:$A$1117,$A796,Versuchsdaten!$B$2:$B$1117,$B796,Versuchsdaten!$C$2:$C$1117,"Sprint_5m",Versuchsdaten!$E$2:$E$1117,$E796,Versuchsdaten!$J$2:$J$1117,1),""))</f>
        <v/>
      </c>
      <c r="L796" s="22">
        <f>IF(LEFT(C796,7)&lt;&gt;"Sprint_","",IF(COUNTIFS(Versuchsdaten!$A$2:$A$1117,$A796,Versuchsdaten!$B$2:$B$1117,$B796,Versuchsdaten!$C$2:$C$1117,"Sprint_10m",Versuchsdaten!$E$2:$E$1117,$E796,Versuchsdaten!$J$2:$J$1117,1)=1,SUMIFS(Versuchsdaten!$F$2:$F$1117,Versuchsdaten!$A$2:$A$1117,$A796,Versuchsdaten!$B$2:$B$1117,$B796,Versuchsdaten!$C$2:$C$1117,"Sprint_10m",Versuchsdaten!$E$2:$E$1117,$E796,Versuchsdaten!$J$2:$J$1117,1),""))</f>
        <v/>
      </c>
      <c r="M796" s="22">
        <f>IF(LEFT(C796,7)&lt;&gt;"Sprint_","",IF(COUNTIFS(Versuchsdaten!$A$2:$A$1117,$A796,Versuchsdaten!$B$2:$B$1117,$B796,Versuchsdaten!$C$2:$C$1117,"Sprint_30m",Versuchsdaten!$E$2:$E$1117,$E796,Versuchsdaten!$J$2:$J$1117,1)=1,SUMIFS(Versuchsdaten!$F$2:$F$1117,Versuchsdaten!$A$2:$A$1117,$A796,Versuchsdaten!$B$2:$B$1117,$B796,Versuchsdaten!$C$2:$C$1117,"Sprint_30m",Versuchsdaten!$E$2:$E$1117,$E796,Versuchsdaten!$J$2:$J$1117,1),""))</f>
        <v/>
      </c>
      <c r="N796" s="22">
        <f>IF(LEFT(C796,7)&lt;&gt;"Sprint_",0,IF(IF(ISNUMBER(K796),IF(K796&lt;=0,1,IF(5/K796&gt;10,1,0)),0)+IF(ISNUMBER(L796),IF(ISNUMBER(K796),IF(L796-K796&lt;=0,1,IF(5/(L796-K796)&gt;10,1,0)),IF(L796&lt;=0,1,IF(10/L796&gt;10,1,0))),0)+IF(ISNUMBER(M796),IF(ISNUMBER(L796),IF(M796-L796&lt;=0,1,IF(20/(M796-L796)&gt;10,1,0)),IF(ISNUMBER(K796),IF(M796-K796&lt;=0,1,IF(25/(M796-K796)&gt;10,1,0)),IF(M796&lt;=0,1,IF(30/M796&gt;10,1,0)))),0)&gt;0,1,0))</f>
        <v/>
      </c>
      <c r="O796" s="22">
        <f>IF(AND(J796=1,N796=0),1,0)</f>
        <v/>
      </c>
      <c r="P796" s="22">
        <f>INDEX(Personendaten!$J$2:$J$32,MATCH(A796,Personendaten!$A$2:$A$32,0))</f>
        <v/>
      </c>
      <c r="Q796" s="22">
        <f>IF(O796=1,"",IF(AND(B796="post",P796="nicht angetreten"),"NANG",IF(N796=1,"AUSL",IFERROR(VLOOKUP(H796,Vokabular!$A$2:$B$8,2,FALSE),"UNBEKANNT"))))</f>
        <v/>
      </c>
    </row>
    <row r="797">
      <c r="A797" s="5" t="inlineStr">
        <is>
          <t>HL-03</t>
        </is>
      </c>
      <c r="B797" s="5" t="inlineStr">
        <is>
          <t>post</t>
        </is>
      </c>
      <c r="C797" s="5" t="inlineStr">
        <is>
          <t>Sprint_10m</t>
        </is>
      </c>
      <c r="D797" s="5" t="inlineStr">
        <is>
          <t>–</t>
        </is>
      </c>
      <c r="E797" s="5" t="n">
        <v>1</v>
      </c>
      <c r="F797" s="5" t="n">
        <v>1.86</v>
      </c>
      <c r="G797" s="5" t="n"/>
      <c r="H797" s="5" t="n"/>
      <c r="I797" s="22">
        <f>INDEX(Personendaten!$C$2:$C$32,MATCH(A797,Personendaten!$A$2:$A$32,0))</f>
        <v/>
      </c>
      <c r="J797" s="22">
        <f>IF(AND(F797&lt;&gt;"",G797=""),1,0)</f>
        <v/>
      </c>
      <c r="K797" s="22">
        <f>IF(LEFT(C797,7)&lt;&gt;"Sprint_","",IF(COUNTIFS(Versuchsdaten!$A$2:$A$1117,$A797,Versuchsdaten!$B$2:$B$1117,$B797,Versuchsdaten!$C$2:$C$1117,"Sprint_5m",Versuchsdaten!$E$2:$E$1117,$E797,Versuchsdaten!$J$2:$J$1117,1)=1,SUMIFS(Versuchsdaten!$F$2:$F$1117,Versuchsdaten!$A$2:$A$1117,$A797,Versuchsdaten!$B$2:$B$1117,$B797,Versuchsdaten!$C$2:$C$1117,"Sprint_5m",Versuchsdaten!$E$2:$E$1117,$E797,Versuchsdaten!$J$2:$J$1117,1),""))</f>
        <v/>
      </c>
      <c r="L797" s="22">
        <f>IF(LEFT(C797,7)&lt;&gt;"Sprint_","",IF(COUNTIFS(Versuchsdaten!$A$2:$A$1117,$A797,Versuchsdaten!$B$2:$B$1117,$B797,Versuchsdaten!$C$2:$C$1117,"Sprint_10m",Versuchsdaten!$E$2:$E$1117,$E797,Versuchsdaten!$J$2:$J$1117,1)=1,SUMIFS(Versuchsdaten!$F$2:$F$1117,Versuchsdaten!$A$2:$A$1117,$A797,Versuchsdaten!$B$2:$B$1117,$B797,Versuchsdaten!$C$2:$C$1117,"Sprint_10m",Versuchsdaten!$E$2:$E$1117,$E797,Versuchsdaten!$J$2:$J$1117,1),""))</f>
        <v/>
      </c>
      <c r="M797" s="22">
        <f>IF(LEFT(C797,7)&lt;&gt;"Sprint_","",IF(COUNTIFS(Versuchsdaten!$A$2:$A$1117,$A797,Versuchsdaten!$B$2:$B$1117,$B797,Versuchsdaten!$C$2:$C$1117,"Sprint_30m",Versuchsdaten!$E$2:$E$1117,$E797,Versuchsdaten!$J$2:$J$1117,1)=1,SUMIFS(Versuchsdaten!$F$2:$F$1117,Versuchsdaten!$A$2:$A$1117,$A797,Versuchsdaten!$B$2:$B$1117,$B797,Versuchsdaten!$C$2:$C$1117,"Sprint_30m",Versuchsdaten!$E$2:$E$1117,$E797,Versuchsdaten!$J$2:$J$1117,1),""))</f>
        <v/>
      </c>
      <c r="N797" s="22">
        <f>IF(LEFT(C797,7)&lt;&gt;"Sprint_",0,IF(IF(ISNUMBER(K797),IF(K797&lt;=0,1,IF(5/K797&gt;10,1,0)),0)+IF(ISNUMBER(L797),IF(ISNUMBER(K797),IF(L797-K797&lt;=0,1,IF(5/(L797-K797)&gt;10,1,0)),IF(L797&lt;=0,1,IF(10/L797&gt;10,1,0))),0)+IF(ISNUMBER(M797),IF(ISNUMBER(L797),IF(M797-L797&lt;=0,1,IF(20/(M797-L797)&gt;10,1,0)),IF(ISNUMBER(K797),IF(M797-K797&lt;=0,1,IF(25/(M797-K797)&gt;10,1,0)),IF(M797&lt;=0,1,IF(30/M797&gt;10,1,0)))),0)&gt;0,1,0))</f>
        <v/>
      </c>
      <c r="O797" s="22">
        <f>IF(AND(J797=1,N797=0),1,0)</f>
        <v/>
      </c>
      <c r="P797" s="22">
        <f>INDEX(Personendaten!$J$2:$J$32,MATCH(A797,Personendaten!$A$2:$A$32,0))</f>
        <v/>
      </c>
      <c r="Q797" s="22">
        <f>IF(O797=1,"",IF(AND(B797="post",P797="nicht angetreten"),"NANG",IF(N797=1,"AUSL",IFERROR(VLOOKUP(H797,Vokabular!$A$2:$B$8,2,FALSE),"UNBEKANNT"))))</f>
        <v/>
      </c>
    </row>
    <row r="798">
      <c r="A798" s="5" t="inlineStr">
        <is>
          <t>HL-03</t>
        </is>
      </c>
      <c r="B798" s="5" t="inlineStr">
        <is>
          <t>post</t>
        </is>
      </c>
      <c r="C798" s="5" t="inlineStr">
        <is>
          <t>Sprint_10m</t>
        </is>
      </c>
      <c r="D798" s="5" t="inlineStr">
        <is>
          <t>–</t>
        </is>
      </c>
      <c r="E798" s="5" t="n">
        <v>2</v>
      </c>
      <c r="F798" s="5" t="n">
        <v>1.88</v>
      </c>
      <c r="G798" s="5" t="n"/>
      <c r="H798" s="5" t="n"/>
      <c r="I798" s="22">
        <f>INDEX(Personendaten!$C$2:$C$32,MATCH(A798,Personendaten!$A$2:$A$32,0))</f>
        <v/>
      </c>
      <c r="J798" s="22">
        <f>IF(AND(F798&lt;&gt;"",G798=""),1,0)</f>
        <v/>
      </c>
      <c r="K798" s="22">
        <f>IF(LEFT(C798,7)&lt;&gt;"Sprint_","",IF(COUNTIFS(Versuchsdaten!$A$2:$A$1117,$A798,Versuchsdaten!$B$2:$B$1117,$B798,Versuchsdaten!$C$2:$C$1117,"Sprint_5m",Versuchsdaten!$E$2:$E$1117,$E798,Versuchsdaten!$J$2:$J$1117,1)=1,SUMIFS(Versuchsdaten!$F$2:$F$1117,Versuchsdaten!$A$2:$A$1117,$A798,Versuchsdaten!$B$2:$B$1117,$B798,Versuchsdaten!$C$2:$C$1117,"Sprint_5m",Versuchsdaten!$E$2:$E$1117,$E798,Versuchsdaten!$J$2:$J$1117,1),""))</f>
        <v/>
      </c>
      <c r="L798" s="22">
        <f>IF(LEFT(C798,7)&lt;&gt;"Sprint_","",IF(COUNTIFS(Versuchsdaten!$A$2:$A$1117,$A798,Versuchsdaten!$B$2:$B$1117,$B798,Versuchsdaten!$C$2:$C$1117,"Sprint_10m",Versuchsdaten!$E$2:$E$1117,$E798,Versuchsdaten!$J$2:$J$1117,1)=1,SUMIFS(Versuchsdaten!$F$2:$F$1117,Versuchsdaten!$A$2:$A$1117,$A798,Versuchsdaten!$B$2:$B$1117,$B798,Versuchsdaten!$C$2:$C$1117,"Sprint_10m",Versuchsdaten!$E$2:$E$1117,$E798,Versuchsdaten!$J$2:$J$1117,1),""))</f>
        <v/>
      </c>
      <c r="M798" s="22">
        <f>IF(LEFT(C798,7)&lt;&gt;"Sprint_","",IF(COUNTIFS(Versuchsdaten!$A$2:$A$1117,$A798,Versuchsdaten!$B$2:$B$1117,$B798,Versuchsdaten!$C$2:$C$1117,"Sprint_30m",Versuchsdaten!$E$2:$E$1117,$E798,Versuchsdaten!$J$2:$J$1117,1)=1,SUMIFS(Versuchsdaten!$F$2:$F$1117,Versuchsdaten!$A$2:$A$1117,$A798,Versuchsdaten!$B$2:$B$1117,$B798,Versuchsdaten!$C$2:$C$1117,"Sprint_30m",Versuchsdaten!$E$2:$E$1117,$E798,Versuchsdaten!$J$2:$J$1117,1),""))</f>
        <v/>
      </c>
      <c r="N798" s="22">
        <f>IF(LEFT(C798,7)&lt;&gt;"Sprint_",0,IF(IF(ISNUMBER(K798),IF(K798&lt;=0,1,IF(5/K798&gt;10,1,0)),0)+IF(ISNUMBER(L798),IF(ISNUMBER(K798),IF(L798-K798&lt;=0,1,IF(5/(L798-K798)&gt;10,1,0)),IF(L798&lt;=0,1,IF(10/L798&gt;10,1,0))),0)+IF(ISNUMBER(M798),IF(ISNUMBER(L798),IF(M798-L798&lt;=0,1,IF(20/(M798-L798)&gt;10,1,0)),IF(ISNUMBER(K798),IF(M798-K798&lt;=0,1,IF(25/(M798-K798)&gt;10,1,0)),IF(M798&lt;=0,1,IF(30/M798&gt;10,1,0)))),0)&gt;0,1,0))</f>
        <v/>
      </c>
      <c r="O798" s="22">
        <f>IF(AND(J798=1,N798=0),1,0)</f>
        <v/>
      </c>
      <c r="P798" s="22">
        <f>INDEX(Personendaten!$J$2:$J$32,MATCH(A798,Personendaten!$A$2:$A$32,0))</f>
        <v/>
      </c>
      <c r="Q798" s="22">
        <f>IF(O798=1,"",IF(AND(B798="post",P798="nicht angetreten"),"NANG",IF(N798=1,"AUSL",IFERROR(VLOOKUP(H798,Vokabular!$A$2:$B$8,2,FALSE),"UNBEKANNT"))))</f>
        <v/>
      </c>
    </row>
    <row r="799">
      <c r="A799" s="5" t="inlineStr">
        <is>
          <t>HL-03</t>
        </is>
      </c>
      <c r="B799" s="5" t="inlineStr">
        <is>
          <t>post</t>
        </is>
      </c>
      <c r="C799" s="5" t="inlineStr">
        <is>
          <t>Sprint_10m</t>
        </is>
      </c>
      <c r="D799" s="5" t="inlineStr">
        <is>
          <t>–</t>
        </is>
      </c>
      <c r="E799" s="5" t="n">
        <v>3</v>
      </c>
      <c r="F799" s="5" t="n">
        <v>1.83</v>
      </c>
      <c r="G799" s="5" t="n"/>
      <c r="H799" s="5" t="n"/>
      <c r="I799" s="22">
        <f>INDEX(Personendaten!$C$2:$C$32,MATCH(A799,Personendaten!$A$2:$A$32,0))</f>
        <v/>
      </c>
      <c r="J799" s="22">
        <f>IF(AND(F799&lt;&gt;"",G799=""),1,0)</f>
        <v/>
      </c>
      <c r="K799" s="22">
        <f>IF(LEFT(C799,7)&lt;&gt;"Sprint_","",IF(COUNTIFS(Versuchsdaten!$A$2:$A$1117,$A799,Versuchsdaten!$B$2:$B$1117,$B799,Versuchsdaten!$C$2:$C$1117,"Sprint_5m",Versuchsdaten!$E$2:$E$1117,$E799,Versuchsdaten!$J$2:$J$1117,1)=1,SUMIFS(Versuchsdaten!$F$2:$F$1117,Versuchsdaten!$A$2:$A$1117,$A799,Versuchsdaten!$B$2:$B$1117,$B799,Versuchsdaten!$C$2:$C$1117,"Sprint_5m",Versuchsdaten!$E$2:$E$1117,$E799,Versuchsdaten!$J$2:$J$1117,1),""))</f>
        <v/>
      </c>
      <c r="L799" s="22">
        <f>IF(LEFT(C799,7)&lt;&gt;"Sprint_","",IF(COUNTIFS(Versuchsdaten!$A$2:$A$1117,$A799,Versuchsdaten!$B$2:$B$1117,$B799,Versuchsdaten!$C$2:$C$1117,"Sprint_10m",Versuchsdaten!$E$2:$E$1117,$E799,Versuchsdaten!$J$2:$J$1117,1)=1,SUMIFS(Versuchsdaten!$F$2:$F$1117,Versuchsdaten!$A$2:$A$1117,$A799,Versuchsdaten!$B$2:$B$1117,$B799,Versuchsdaten!$C$2:$C$1117,"Sprint_10m",Versuchsdaten!$E$2:$E$1117,$E799,Versuchsdaten!$J$2:$J$1117,1),""))</f>
        <v/>
      </c>
      <c r="M799" s="22">
        <f>IF(LEFT(C799,7)&lt;&gt;"Sprint_","",IF(COUNTIFS(Versuchsdaten!$A$2:$A$1117,$A799,Versuchsdaten!$B$2:$B$1117,$B799,Versuchsdaten!$C$2:$C$1117,"Sprint_30m",Versuchsdaten!$E$2:$E$1117,$E799,Versuchsdaten!$J$2:$J$1117,1)=1,SUMIFS(Versuchsdaten!$F$2:$F$1117,Versuchsdaten!$A$2:$A$1117,$A799,Versuchsdaten!$B$2:$B$1117,$B799,Versuchsdaten!$C$2:$C$1117,"Sprint_30m",Versuchsdaten!$E$2:$E$1117,$E799,Versuchsdaten!$J$2:$J$1117,1),""))</f>
        <v/>
      </c>
      <c r="N799" s="22">
        <f>IF(LEFT(C799,7)&lt;&gt;"Sprint_",0,IF(IF(ISNUMBER(K799),IF(K799&lt;=0,1,IF(5/K799&gt;10,1,0)),0)+IF(ISNUMBER(L799),IF(ISNUMBER(K799),IF(L799-K799&lt;=0,1,IF(5/(L799-K799)&gt;10,1,0)),IF(L799&lt;=0,1,IF(10/L799&gt;10,1,0))),0)+IF(ISNUMBER(M799),IF(ISNUMBER(L799),IF(M799-L799&lt;=0,1,IF(20/(M799-L799)&gt;10,1,0)),IF(ISNUMBER(K799),IF(M799-K799&lt;=0,1,IF(25/(M799-K799)&gt;10,1,0)),IF(M799&lt;=0,1,IF(30/M799&gt;10,1,0)))),0)&gt;0,1,0))</f>
        <v/>
      </c>
      <c r="O799" s="22">
        <f>IF(AND(J799=1,N799=0),1,0)</f>
        <v/>
      </c>
      <c r="P799" s="22">
        <f>INDEX(Personendaten!$J$2:$J$32,MATCH(A799,Personendaten!$A$2:$A$32,0))</f>
        <v/>
      </c>
      <c r="Q799" s="22">
        <f>IF(O799=1,"",IF(AND(B799="post",P799="nicht angetreten"),"NANG",IF(N799=1,"AUSL",IFERROR(VLOOKUP(H799,Vokabular!$A$2:$B$8,2,FALSE),"UNBEKANNT"))))</f>
        <v/>
      </c>
    </row>
    <row r="800">
      <c r="A800" s="5" t="inlineStr">
        <is>
          <t>HL-03</t>
        </is>
      </c>
      <c r="B800" s="5" t="inlineStr">
        <is>
          <t>post</t>
        </is>
      </c>
      <c r="C800" s="5" t="inlineStr">
        <is>
          <t>Sprint_30m</t>
        </is>
      </c>
      <c r="D800" s="5" t="inlineStr">
        <is>
          <t>–</t>
        </is>
      </c>
      <c r="E800" s="5" t="n">
        <v>1</v>
      </c>
      <c r="F800" s="5" t="n">
        <v>4.44</v>
      </c>
      <c r="G800" s="5" t="n"/>
      <c r="H800" s="5" t="n"/>
      <c r="I800" s="22">
        <f>INDEX(Personendaten!$C$2:$C$32,MATCH(A800,Personendaten!$A$2:$A$32,0))</f>
        <v/>
      </c>
      <c r="J800" s="22">
        <f>IF(AND(F800&lt;&gt;"",G800=""),1,0)</f>
        <v/>
      </c>
      <c r="K800" s="22">
        <f>IF(LEFT(C800,7)&lt;&gt;"Sprint_","",IF(COUNTIFS(Versuchsdaten!$A$2:$A$1117,$A800,Versuchsdaten!$B$2:$B$1117,$B800,Versuchsdaten!$C$2:$C$1117,"Sprint_5m",Versuchsdaten!$E$2:$E$1117,$E800,Versuchsdaten!$J$2:$J$1117,1)=1,SUMIFS(Versuchsdaten!$F$2:$F$1117,Versuchsdaten!$A$2:$A$1117,$A800,Versuchsdaten!$B$2:$B$1117,$B800,Versuchsdaten!$C$2:$C$1117,"Sprint_5m",Versuchsdaten!$E$2:$E$1117,$E800,Versuchsdaten!$J$2:$J$1117,1),""))</f>
        <v/>
      </c>
      <c r="L800" s="22">
        <f>IF(LEFT(C800,7)&lt;&gt;"Sprint_","",IF(COUNTIFS(Versuchsdaten!$A$2:$A$1117,$A800,Versuchsdaten!$B$2:$B$1117,$B800,Versuchsdaten!$C$2:$C$1117,"Sprint_10m",Versuchsdaten!$E$2:$E$1117,$E800,Versuchsdaten!$J$2:$J$1117,1)=1,SUMIFS(Versuchsdaten!$F$2:$F$1117,Versuchsdaten!$A$2:$A$1117,$A800,Versuchsdaten!$B$2:$B$1117,$B800,Versuchsdaten!$C$2:$C$1117,"Sprint_10m",Versuchsdaten!$E$2:$E$1117,$E800,Versuchsdaten!$J$2:$J$1117,1),""))</f>
        <v/>
      </c>
      <c r="M800" s="22">
        <f>IF(LEFT(C800,7)&lt;&gt;"Sprint_","",IF(COUNTIFS(Versuchsdaten!$A$2:$A$1117,$A800,Versuchsdaten!$B$2:$B$1117,$B800,Versuchsdaten!$C$2:$C$1117,"Sprint_30m",Versuchsdaten!$E$2:$E$1117,$E800,Versuchsdaten!$J$2:$J$1117,1)=1,SUMIFS(Versuchsdaten!$F$2:$F$1117,Versuchsdaten!$A$2:$A$1117,$A800,Versuchsdaten!$B$2:$B$1117,$B800,Versuchsdaten!$C$2:$C$1117,"Sprint_30m",Versuchsdaten!$E$2:$E$1117,$E800,Versuchsdaten!$J$2:$J$1117,1),""))</f>
        <v/>
      </c>
      <c r="N800" s="22">
        <f>IF(LEFT(C800,7)&lt;&gt;"Sprint_",0,IF(IF(ISNUMBER(K800),IF(K800&lt;=0,1,IF(5/K800&gt;10,1,0)),0)+IF(ISNUMBER(L800),IF(ISNUMBER(K800),IF(L800-K800&lt;=0,1,IF(5/(L800-K800)&gt;10,1,0)),IF(L800&lt;=0,1,IF(10/L800&gt;10,1,0))),0)+IF(ISNUMBER(M800),IF(ISNUMBER(L800),IF(M800-L800&lt;=0,1,IF(20/(M800-L800)&gt;10,1,0)),IF(ISNUMBER(K800),IF(M800-K800&lt;=0,1,IF(25/(M800-K800)&gt;10,1,0)),IF(M800&lt;=0,1,IF(30/M800&gt;10,1,0)))),0)&gt;0,1,0))</f>
        <v/>
      </c>
      <c r="O800" s="22">
        <f>IF(AND(J800=1,N800=0),1,0)</f>
        <v/>
      </c>
      <c r="P800" s="22">
        <f>INDEX(Personendaten!$J$2:$J$32,MATCH(A800,Personendaten!$A$2:$A$32,0))</f>
        <v/>
      </c>
      <c r="Q800" s="22">
        <f>IF(O800=1,"",IF(AND(B800="post",P800="nicht angetreten"),"NANG",IF(N800=1,"AUSL",IFERROR(VLOOKUP(H800,Vokabular!$A$2:$B$8,2,FALSE),"UNBEKANNT"))))</f>
        <v/>
      </c>
    </row>
    <row r="801">
      <c r="A801" s="5" t="inlineStr">
        <is>
          <t>HL-03</t>
        </is>
      </c>
      <c r="B801" s="5" t="inlineStr">
        <is>
          <t>post</t>
        </is>
      </c>
      <c r="C801" s="5" t="inlineStr">
        <is>
          <t>Sprint_30m</t>
        </is>
      </c>
      <c r="D801" s="5" t="inlineStr">
        <is>
          <t>–</t>
        </is>
      </c>
      <c r="E801" s="5" t="n">
        <v>2</v>
      </c>
      <c r="F801" s="5" t="n">
        <v>4.37</v>
      </c>
      <c r="G801" s="5" t="n"/>
      <c r="H801" s="5" t="n"/>
      <c r="I801" s="22">
        <f>INDEX(Personendaten!$C$2:$C$32,MATCH(A801,Personendaten!$A$2:$A$32,0))</f>
        <v/>
      </c>
      <c r="J801" s="22">
        <f>IF(AND(F801&lt;&gt;"",G801=""),1,0)</f>
        <v/>
      </c>
      <c r="K801" s="22">
        <f>IF(LEFT(C801,7)&lt;&gt;"Sprint_","",IF(COUNTIFS(Versuchsdaten!$A$2:$A$1117,$A801,Versuchsdaten!$B$2:$B$1117,$B801,Versuchsdaten!$C$2:$C$1117,"Sprint_5m",Versuchsdaten!$E$2:$E$1117,$E801,Versuchsdaten!$J$2:$J$1117,1)=1,SUMIFS(Versuchsdaten!$F$2:$F$1117,Versuchsdaten!$A$2:$A$1117,$A801,Versuchsdaten!$B$2:$B$1117,$B801,Versuchsdaten!$C$2:$C$1117,"Sprint_5m",Versuchsdaten!$E$2:$E$1117,$E801,Versuchsdaten!$J$2:$J$1117,1),""))</f>
        <v/>
      </c>
      <c r="L801" s="22">
        <f>IF(LEFT(C801,7)&lt;&gt;"Sprint_","",IF(COUNTIFS(Versuchsdaten!$A$2:$A$1117,$A801,Versuchsdaten!$B$2:$B$1117,$B801,Versuchsdaten!$C$2:$C$1117,"Sprint_10m",Versuchsdaten!$E$2:$E$1117,$E801,Versuchsdaten!$J$2:$J$1117,1)=1,SUMIFS(Versuchsdaten!$F$2:$F$1117,Versuchsdaten!$A$2:$A$1117,$A801,Versuchsdaten!$B$2:$B$1117,$B801,Versuchsdaten!$C$2:$C$1117,"Sprint_10m",Versuchsdaten!$E$2:$E$1117,$E801,Versuchsdaten!$J$2:$J$1117,1),""))</f>
        <v/>
      </c>
      <c r="M801" s="22">
        <f>IF(LEFT(C801,7)&lt;&gt;"Sprint_","",IF(COUNTIFS(Versuchsdaten!$A$2:$A$1117,$A801,Versuchsdaten!$B$2:$B$1117,$B801,Versuchsdaten!$C$2:$C$1117,"Sprint_30m",Versuchsdaten!$E$2:$E$1117,$E801,Versuchsdaten!$J$2:$J$1117,1)=1,SUMIFS(Versuchsdaten!$F$2:$F$1117,Versuchsdaten!$A$2:$A$1117,$A801,Versuchsdaten!$B$2:$B$1117,$B801,Versuchsdaten!$C$2:$C$1117,"Sprint_30m",Versuchsdaten!$E$2:$E$1117,$E801,Versuchsdaten!$J$2:$J$1117,1),""))</f>
        <v/>
      </c>
      <c r="N801" s="22">
        <f>IF(LEFT(C801,7)&lt;&gt;"Sprint_",0,IF(IF(ISNUMBER(K801),IF(K801&lt;=0,1,IF(5/K801&gt;10,1,0)),0)+IF(ISNUMBER(L801),IF(ISNUMBER(K801),IF(L801-K801&lt;=0,1,IF(5/(L801-K801)&gt;10,1,0)),IF(L801&lt;=0,1,IF(10/L801&gt;10,1,0))),0)+IF(ISNUMBER(M801),IF(ISNUMBER(L801),IF(M801-L801&lt;=0,1,IF(20/(M801-L801)&gt;10,1,0)),IF(ISNUMBER(K801),IF(M801-K801&lt;=0,1,IF(25/(M801-K801)&gt;10,1,0)),IF(M801&lt;=0,1,IF(30/M801&gt;10,1,0)))),0)&gt;0,1,0))</f>
        <v/>
      </c>
      <c r="O801" s="22">
        <f>IF(AND(J801=1,N801=0),1,0)</f>
        <v/>
      </c>
      <c r="P801" s="22">
        <f>INDEX(Personendaten!$J$2:$J$32,MATCH(A801,Personendaten!$A$2:$A$32,0))</f>
        <v/>
      </c>
      <c r="Q801" s="22">
        <f>IF(O801=1,"",IF(AND(B801="post",P801="nicht angetreten"),"NANG",IF(N801=1,"AUSL",IFERROR(VLOOKUP(H801,Vokabular!$A$2:$B$8,2,FALSE),"UNBEKANNT"))))</f>
        <v/>
      </c>
    </row>
    <row r="802">
      <c r="A802" s="5" t="inlineStr">
        <is>
          <t>HL-03</t>
        </is>
      </c>
      <c r="B802" s="5" t="inlineStr">
        <is>
          <t>post</t>
        </is>
      </c>
      <c r="C802" s="5" t="inlineStr">
        <is>
          <t>Sprint_30m</t>
        </is>
      </c>
      <c r="D802" s="5" t="inlineStr">
        <is>
          <t>–</t>
        </is>
      </c>
      <c r="E802" s="5" t="n">
        <v>3</v>
      </c>
      <c r="F802" s="5" t="n">
        <v>4.35</v>
      </c>
      <c r="G802" s="5" t="n"/>
      <c r="H802" s="5" t="n"/>
      <c r="I802" s="22">
        <f>INDEX(Personendaten!$C$2:$C$32,MATCH(A802,Personendaten!$A$2:$A$32,0))</f>
        <v/>
      </c>
      <c r="J802" s="22">
        <f>IF(AND(F802&lt;&gt;"",G802=""),1,0)</f>
        <v/>
      </c>
      <c r="K802" s="22">
        <f>IF(LEFT(C802,7)&lt;&gt;"Sprint_","",IF(COUNTIFS(Versuchsdaten!$A$2:$A$1117,$A802,Versuchsdaten!$B$2:$B$1117,$B802,Versuchsdaten!$C$2:$C$1117,"Sprint_5m",Versuchsdaten!$E$2:$E$1117,$E802,Versuchsdaten!$J$2:$J$1117,1)=1,SUMIFS(Versuchsdaten!$F$2:$F$1117,Versuchsdaten!$A$2:$A$1117,$A802,Versuchsdaten!$B$2:$B$1117,$B802,Versuchsdaten!$C$2:$C$1117,"Sprint_5m",Versuchsdaten!$E$2:$E$1117,$E802,Versuchsdaten!$J$2:$J$1117,1),""))</f>
        <v/>
      </c>
      <c r="L802" s="22">
        <f>IF(LEFT(C802,7)&lt;&gt;"Sprint_","",IF(COUNTIFS(Versuchsdaten!$A$2:$A$1117,$A802,Versuchsdaten!$B$2:$B$1117,$B802,Versuchsdaten!$C$2:$C$1117,"Sprint_10m",Versuchsdaten!$E$2:$E$1117,$E802,Versuchsdaten!$J$2:$J$1117,1)=1,SUMIFS(Versuchsdaten!$F$2:$F$1117,Versuchsdaten!$A$2:$A$1117,$A802,Versuchsdaten!$B$2:$B$1117,$B802,Versuchsdaten!$C$2:$C$1117,"Sprint_10m",Versuchsdaten!$E$2:$E$1117,$E802,Versuchsdaten!$J$2:$J$1117,1),""))</f>
        <v/>
      </c>
      <c r="M802" s="22">
        <f>IF(LEFT(C802,7)&lt;&gt;"Sprint_","",IF(COUNTIFS(Versuchsdaten!$A$2:$A$1117,$A802,Versuchsdaten!$B$2:$B$1117,$B802,Versuchsdaten!$C$2:$C$1117,"Sprint_30m",Versuchsdaten!$E$2:$E$1117,$E802,Versuchsdaten!$J$2:$J$1117,1)=1,SUMIFS(Versuchsdaten!$F$2:$F$1117,Versuchsdaten!$A$2:$A$1117,$A802,Versuchsdaten!$B$2:$B$1117,$B802,Versuchsdaten!$C$2:$C$1117,"Sprint_30m",Versuchsdaten!$E$2:$E$1117,$E802,Versuchsdaten!$J$2:$J$1117,1),""))</f>
        <v/>
      </c>
      <c r="N802" s="22">
        <f>IF(LEFT(C802,7)&lt;&gt;"Sprint_",0,IF(IF(ISNUMBER(K802),IF(K802&lt;=0,1,IF(5/K802&gt;10,1,0)),0)+IF(ISNUMBER(L802),IF(ISNUMBER(K802),IF(L802-K802&lt;=0,1,IF(5/(L802-K802)&gt;10,1,0)),IF(L802&lt;=0,1,IF(10/L802&gt;10,1,0))),0)+IF(ISNUMBER(M802),IF(ISNUMBER(L802),IF(M802-L802&lt;=0,1,IF(20/(M802-L802)&gt;10,1,0)),IF(ISNUMBER(K802),IF(M802-K802&lt;=0,1,IF(25/(M802-K802)&gt;10,1,0)),IF(M802&lt;=0,1,IF(30/M802&gt;10,1,0)))),0)&gt;0,1,0))</f>
        <v/>
      </c>
      <c r="O802" s="22">
        <f>IF(AND(J802=1,N802=0),1,0)</f>
        <v/>
      </c>
      <c r="P802" s="22">
        <f>INDEX(Personendaten!$J$2:$J$32,MATCH(A802,Personendaten!$A$2:$A$32,0))</f>
        <v/>
      </c>
      <c r="Q802" s="22">
        <f>IF(O802=1,"",IF(AND(B802="post",P802="nicht angetreten"),"NANG",IF(N802=1,"AUSL",IFERROR(VLOOKUP(H802,Vokabular!$A$2:$B$8,2,FALSE),"UNBEKANNT"))))</f>
        <v/>
      </c>
    </row>
    <row r="803">
      <c r="A803" s="5" t="inlineStr">
        <is>
          <t>HL-03</t>
        </is>
      </c>
      <c r="B803" s="5" t="inlineStr">
        <is>
          <t>post</t>
        </is>
      </c>
      <c r="C803" s="5" t="inlineStr">
        <is>
          <t>Standweitsprung</t>
        </is>
      </c>
      <c r="D803" s="5" t="inlineStr">
        <is>
          <t>–</t>
        </is>
      </c>
      <c r="E803" s="5" t="n">
        <v>1</v>
      </c>
      <c r="F803" s="5" t="n">
        <v>233</v>
      </c>
      <c r="G803" s="5" t="n"/>
      <c r="H803" s="5" t="n"/>
      <c r="I803" s="22">
        <f>INDEX(Personendaten!$C$2:$C$32,MATCH(A803,Personendaten!$A$2:$A$32,0))</f>
        <v/>
      </c>
      <c r="J803" s="22">
        <f>IF(AND(F803&lt;&gt;"",G803=""),1,0)</f>
        <v/>
      </c>
      <c r="K803" s="22">
        <f>IF(LEFT(C803,7)&lt;&gt;"Sprint_","",IF(COUNTIFS(Versuchsdaten!$A$2:$A$1117,$A803,Versuchsdaten!$B$2:$B$1117,$B803,Versuchsdaten!$C$2:$C$1117,"Sprint_5m",Versuchsdaten!$E$2:$E$1117,$E803,Versuchsdaten!$J$2:$J$1117,1)=1,SUMIFS(Versuchsdaten!$F$2:$F$1117,Versuchsdaten!$A$2:$A$1117,$A803,Versuchsdaten!$B$2:$B$1117,$B803,Versuchsdaten!$C$2:$C$1117,"Sprint_5m",Versuchsdaten!$E$2:$E$1117,$E803,Versuchsdaten!$J$2:$J$1117,1),""))</f>
        <v/>
      </c>
      <c r="L803" s="22">
        <f>IF(LEFT(C803,7)&lt;&gt;"Sprint_","",IF(COUNTIFS(Versuchsdaten!$A$2:$A$1117,$A803,Versuchsdaten!$B$2:$B$1117,$B803,Versuchsdaten!$C$2:$C$1117,"Sprint_10m",Versuchsdaten!$E$2:$E$1117,$E803,Versuchsdaten!$J$2:$J$1117,1)=1,SUMIFS(Versuchsdaten!$F$2:$F$1117,Versuchsdaten!$A$2:$A$1117,$A803,Versuchsdaten!$B$2:$B$1117,$B803,Versuchsdaten!$C$2:$C$1117,"Sprint_10m",Versuchsdaten!$E$2:$E$1117,$E803,Versuchsdaten!$J$2:$J$1117,1),""))</f>
        <v/>
      </c>
      <c r="M803" s="22">
        <f>IF(LEFT(C803,7)&lt;&gt;"Sprint_","",IF(COUNTIFS(Versuchsdaten!$A$2:$A$1117,$A803,Versuchsdaten!$B$2:$B$1117,$B803,Versuchsdaten!$C$2:$C$1117,"Sprint_30m",Versuchsdaten!$E$2:$E$1117,$E803,Versuchsdaten!$J$2:$J$1117,1)=1,SUMIFS(Versuchsdaten!$F$2:$F$1117,Versuchsdaten!$A$2:$A$1117,$A803,Versuchsdaten!$B$2:$B$1117,$B803,Versuchsdaten!$C$2:$C$1117,"Sprint_30m",Versuchsdaten!$E$2:$E$1117,$E803,Versuchsdaten!$J$2:$J$1117,1),""))</f>
        <v/>
      </c>
      <c r="N803" s="22">
        <f>IF(LEFT(C803,7)&lt;&gt;"Sprint_",0,IF(IF(ISNUMBER(K803),IF(K803&lt;=0,1,IF(5/K803&gt;10,1,0)),0)+IF(ISNUMBER(L803),IF(ISNUMBER(K803),IF(L803-K803&lt;=0,1,IF(5/(L803-K803)&gt;10,1,0)),IF(L803&lt;=0,1,IF(10/L803&gt;10,1,0))),0)+IF(ISNUMBER(M803),IF(ISNUMBER(L803),IF(M803-L803&lt;=0,1,IF(20/(M803-L803)&gt;10,1,0)),IF(ISNUMBER(K803),IF(M803-K803&lt;=0,1,IF(25/(M803-K803)&gt;10,1,0)),IF(M803&lt;=0,1,IF(30/M803&gt;10,1,0)))),0)&gt;0,1,0))</f>
        <v/>
      </c>
      <c r="O803" s="22">
        <f>IF(AND(J803=1,N803=0),1,0)</f>
        <v/>
      </c>
      <c r="P803" s="22">
        <f>INDEX(Personendaten!$J$2:$J$32,MATCH(A803,Personendaten!$A$2:$A$32,0))</f>
        <v/>
      </c>
      <c r="Q803" s="22">
        <f>IF(O803=1,"",IF(AND(B803="post",P803="nicht angetreten"),"NANG",IF(N803=1,"AUSL",IFERROR(VLOOKUP(H803,Vokabular!$A$2:$B$8,2,FALSE),"UNBEKANNT"))))</f>
        <v/>
      </c>
    </row>
    <row r="804">
      <c r="A804" s="5" t="inlineStr">
        <is>
          <t>HL-03</t>
        </is>
      </c>
      <c r="B804" s="5" t="inlineStr">
        <is>
          <t>post</t>
        </is>
      </c>
      <c r="C804" s="5" t="inlineStr">
        <is>
          <t>Standweitsprung</t>
        </is>
      </c>
      <c r="D804" s="5" t="inlineStr">
        <is>
          <t>–</t>
        </is>
      </c>
      <c r="E804" s="5" t="n">
        <v>2</v>
      </c>
      <c r="F804" s="5" t="n">
        <v>240</v>
      </c>
      <c r="G804" s="5" t="n"/>
      <c r="H804" s="5" t="n"/>
      <c r="I804" s="22">
        <f>INDEX(Personendaten!$C$2:$C$32,MATCH(A804,Personendaten!$A$2:$A$32,0))</f>
        <v/>
      </c>
      <c r="J804" s="22">
        <f>IF(AND(F804&lt;&gt;"",G804=""),1,0)</f>
        <v/>
      </c>
      <c r="K804" s="22">
        <f>IF(LEFT(C804,7)&lt;&gt;"Sprint_","",IF(COUNTIFS(Versuchsdaten!$A$2:$A$1117,$A804,Versuchsdaten!$B$2:$B$1117,$B804,Versuchsdaten!$C$2:$C$1117,"Sprint_5m",Versuchsdaten!$E$2:$E$1117,$E804,Versuchsdaten!$J$2:$J$1117,1)=1,SUMIFS(Versuchsdaten!$F$2:$F$1117,Versuchsdaten!$A$2:$A$1117,$A804,Versuchsdaten!$B$2:$B$1117,$B804,Versuchsdaten!$C$2:$C$1117,"Sprint_5m",Versuchsdaten!$E$2:$E$1117,$E804,Versuchsdaten!$J$2:$J$1117,1),""))</f>
        <v/>
      </c>
      <c r="L804" s="22">
        <f>IF(LEFT(C804,7)&lt;&gt;"Sprint_","",IF(COUNTIFS(Versuchsdaten!$A$2:$A$1117,$A804,Versuchsdaten!$B$2:$B$1117,$B804,Versuchsdaten!$C$2:$C$1117,"Sprint_10m",Versuchsdaten!$E$2:$E$1117,$E804,Versuchsdaten!$J$2:$J$1117,1)=1,SUMIFS(Versuchsdaten!$F$2:$F$1117,Versuchsdaten!$A$2:$A$1117,$A804,Versuchsdaten!$B$2:$B$1117,$B804,Versuchsdaten!$C$2:$C$1117,"Sprint_10m",Versuchsdaten!$E$2:$E$1117,$E804,Versuchsdaten!$J$2:$J$1117,1),""))</f>
        <v/>
      </c>
      <c r="M804" s="22">
        <f>IF(LEFT(C804,7)&lt;&gt;"Sprint_","",IF(COUNTIFS(Versuchsdaten!$A$2:$A$1117,$A804,Versuchsdaten!$B$2:$B$1117,$B804,Versuchsdaten!$C$2:$C$1117,"Sprint_30m",Versuchsdaten!$E$2:$E$1117,$E804,Versuchsdaten!$J$2:$J$1117,1)=1,SUMIFS(Versuchsdaten!$F$2:$F$1117,Versuchsdaten!$A$2:$A$1117,$A804,Versuchsdaten!$B$2:$B$1117,$B804,Versuchsdaten!$C$2:$C$1117,"Sprint_30m",Versuchsdaten!$E$2:$E$1117,$E804,Versuchsdaten!$J$2:$J$1117,1),""))</f>
        <v/>
      </c>
      <c r="N804" s="22">
        <f>IF(LEFT(C804,7)&lt;&gt;"Sprint_",0,IF(IF(ISNUMBER(K804),IF(K804&lt;=0,1,IF(5/K804&gt;10,1,0)),0)+IF(ISNUMBER(L804),IF(ISNUMBER(K804),IF(L804-K804&lt;=0,1,IF(5/(L804-K804)&gt;10,1,0)),IF(L804&lt;=0,1,IF(10/L804&gt;10,1,0))),0)+IF(ISNUMBER(M804),IF(ISNUMBER(L804),IF(M804-L804&lt;=0,1,IF(20/(M804-L804)&gt;10,1,0)),IF(ISNUMBER(K804),IF(M804-K804&lt;=0,1,IF(25/(M804-K804)&gt;10,1,0)),IF(M804&lt;=0,1,IF(30/M804&gt;10,1,0)))),0)&gt;0,1,0))</f>
        <v/>
      </c>
      <c r="O804" s="22">
        <f>IF(AND(J804=1,N804=0),1,0)</f>
        <v/>
      </c>
      <c r="P804" s="22">
        <f>INDEX(Personendaten!$J$2:$J$32,MATCH(A804,Personendaten!$A$2:$A$32,0))</f>
        <v/>
      </c>
      <c r="Q804" s="22">
        <f>IF(O804=1,"",IF(AND(B804="post",P804="nicht angetreten"),"NANG",IF(N804=1,"AUSL",IFERROR(VLOOKUP(H804,Vokabular!$A$2:$B$8,2,FALSE),"UNBEKANNT"))))</f>
        <v/>
      </c>
    </row>
    <row r="805">
      <c r="A805" s="5" t="inlineStr">
        <is>
          <t>HL-03</t>
        </is>
      </c>
      <c r="B805" s="5" t="inlineStr">
        <is>
          <t>post</t>
        </is>
      </c>
      <c r="C805" s="5" t="inlineStr">
        <is>
          <t>Standweitsprung</t>
        </is>
      </c>
      <c r="D805" s="5" t="inlineStr">
        <is>
          <t>–</t>
        </is>
      </c>
      <c r="E805" s="5" t="n">
        <v>3</v>
      </c>
      <c r="F805" s="5" t="n"/>
      <c r="G805" s="5" t="n"/>
      <c r="H805" s="5" t="inlineStr">
        <is>
          <t>Nur 2 Versuche aus Zeitmangel</t>
        </is>
      </c>
      <c r="I805" s="22">
        <f>INDEX(Personendaten!$C$2:$C$32,MATCH(A805,Personendaten!$A$2:$A$32,0))</f>
        <v/>
      </c>
      <c r="J805" s="22">
        <f>IF(AND(F805&lt;&gt;"",G805=""),1,0)</f>
        <v/>
      </c>
      <c r="K805" s="22">
        <f>IF(LEFT(C805,7)&lt;&gt;"Sprint_","",IF(COUNTIFS(Versuchsdaten!$A$2:$A$1117,$A805,Versuchsdaten!$B$2:$B$1117,$B805,Versuchsdaten!$C$2:$C$1117,"Sprint_5m",Versuchsdaten!$E$2:$E$1117,$E805,Versuchsdaten!$J$2:$J$1117,1)=1,SUMIFS(Versuchsdaten!$F$2:$F$1117,Versuchsdaten!$A$2:$A$1117,$A805,Versuchsdaten!$B$2:$B$1117,$B805,Versuchsdaten!$C$2:$C$1117,"Sprint_5m",Versuchsdaten!$E$2:$E$1117,$E805,Versuchsdaten!$J$2:$J$1117,1),""))</f>
        <v/>
      </c>
      <c r="L805" s="22">
        <f>IF(LEFT(C805,7)&lt;&gt;"Sprint_","",IF(COUNTIFS(Versuchsdaten!$A$2:$A$1117,$A805,Versuchsdaten!$B$2:$B$1117,$B805,Versuchsdaten!$C$2:$C$1117,"Sprint_10m",Versuchsdaten!$E$2:$E$1117,$E805,Versuchsdaten!$J$2:$J$1117,1)=1,SUMIFS(Versuchsdaten!$F$2:$F$1117,Versuchsdaten!$A$2:$A$1117,$A805,Versuchsdaten!$B$2:$B$1117,$B805,Versuchsdaten!$C$2:$C$1117,"Sprint_10m",Versuchsdaten!$E$2:$E$1117,$E805,Versuchsdaten!$J$2:$J$1117,1),""))</f>
        <v/>
      </c>
      <c r="M805" s="22">
        <f>IF(LEFT(C805,7)&lt;&gt;"Sprint_","",IF(COUNTIFS(Versuchsdaten!$A$2:$A$1117,$A805,Versuchsdaten!$B$2:$B$1117,$B805,Versuchsdaten!$C$2:$C$1117,"Sprint_30m",Versuchsdaten!$E$2:$E$1117,$E805,Versuchsdaten!$J$2:$J$1117,1)=1,SUMIFS(Versuchsdaten!$F$2:$F$1117,Versuchsdaten!$A$2:$A$1117,$A805,Versuchsdaten!$B$2:$B$1117,$B805,Versuchsdaten!$C$2:$C$1117,"Sprint_30m",Versuchsdaten!$E$2:$E$1117,$E805,Versuchsdaten!$J$2:$J$1117,1),""))</f>
        <v/>
      </c>
      <c r="N805" s="22">
        <f>IF(LEFT(C805,7)&lt;&gt;"Sprint_",0,IF(IF(ISNUMBER(K805),IF(K805&lt;=0,1,IF(5/K805&gt;10,1,0)),0)+IF(ISNUMBER(L805),IF(ISNUMBER(K805),IF(L805-K805&lt;=0,1,IF(5/(L805-K805)&gt;10,1,0)),IF(L805&lt;=0,1,IF(10/L805&gt;10,1,0))),0)+IF(ISNUMBER(M805),IF(ISNUMBER(L805),IF(M805-L805&lt;=0,1,IF(20/(M805-L805)&gt;10,1,0)),IF(ISNUMBER(K805),IF(M805-K805&lt;=0,1,IF(25/(M805-K805)&gt;10,1,0)),IF(M805&lt;=0,1,IF(30/M805&gt;10,1,0)))),0)&gt;0,1,0))</f>
        <v/>
      </c>
      <c r="O805" s="22">
        <f>IF(AND(J805=1,N805=0),1,0)</f>
        <v/>
      </c>
      <c r="P805" s="22">
        <f>INDEX(Personendaten!$J$2:$J$32,MATCH(A805,Personendaten!$A$2:$A$32,0))</f>
        <v/>
      </c>
      <c r="Q805" s="22">
        <f>IF(O805=1,"",IF(AND(B805="post",P805="nicht angetreten"),"NANG",IF(N805=1,"AUSL",IFERROR(VLOOKUP(H805,Vokabular!$A$2:$B$8,2,FALSE),"UNBEKANNT"))))</f>
        <v/>
      </c>
    </row>
    <row r="806">
      <c r="A806" s="5" t="inlineStr">
        <is>
          <t>HL-03</t>
        </is>
      </c>
      <c r="B806" s="5" t="inlineStr">
        <is>
          <t>post</t>
        </is>
      </c>
      <c r="C806" s="5" t="inlineStr">
        <is>
          <t>COD_505</t>
        </is>
      </c>
      <c r="D806" s="5" t="inlineStr">
        <is>
          <t>L</t>
        </is>
      </c>
      <c r="E806" s="5" t="n">
        <v>1</v>
      </c>
      <c r="F806" s="5" t="n">
        <v>2.58</v>
      </c>
      <c r="G806" s="5" t="n"/>
      <c r="H806" s="5" t="n"/>
      <c r="I806" s="22">
        <f>INDEX(Personendaten!$C$2:$C$32,MATCH(A806,Personendaten!$A$2:$A$32,0))</f>
        <v/>
      </c>
      <c r="J806" s="22">
        <f>IF(AND(F806&lt;&gt;"",G806=""),1,0)</f>
        <v/>
      </c>
      <c r="K806" s="22">
        <f>IF(LEFT(C806,7)&lt;&gt;"Sprint_","",IF(COUNTIFS(Versuchsdaten!$A$2:$A$1117,$A806,Versuchsdaten!$B$2:$B$1117,$B806,Versuchsdaten!$C$2:$C$1117,"Sprint_5m",Versuchsdaten!$E$2:$E$1117,$E806,Versuchsdaten!$J$2:$J$1117,1)=1,SUMIFS(Versuchsdaten!$F$2:$F$1117,Versuchsdaten!$A$2:$A$1117,$A806,Versuchsdaten!$B$2:$B$1117,$B806,Versuchsdaten!$C$2:$C$1117,"Sprint_5m",Versuchsdaten!$E$2:$E$1117,$E806,Versuchsdaten!$J$2:$J$1117,1),""))</f>
        <v/>
      </c>
      <c r="L806" s="22">
        <f>IF(LEFT(C806,7)&lt;&gt;"Sprint_","",IF(COUNTIFS(Versuchsdaten!$A$2:$A$1117,$A806,Versuchsdaten!$B$2:$B$1117,$B806,Versuchsdaten!$C$2:$C$1117,"Sprint_10m",Versuchsdaten!$E$2:$E$1117,$E806,Versuchsdaten!$J$2:$J$1117,1)=1,SUMIFS(Versuchsdaten!$F$2:$F$1117,Versuchsdaten!$A$2:$A$1117,$A806,Versuchsdaten!$B$2:$B$1117,$B806,Versuchsdaten!$C$2:$C$1117,"Sprint_10m",Versuchsdaten!$E$2:$E$1117,$E806,Versuchsdaten!$J$2:$J$1117,1),""))</f>
        <v/>
      </c>
      <c r="M806" s="22">
        <f>IF(LEFT(C806,7)&lt;&gt;"Sprint_","",IF(COUNTIFS(Versuchsdaten!$A$2:$A$1117,$A806,Versuchsdaten!$B$2:$B$1117,$B806,Versuchsdaten!$C$2:$C$1117,"Sprint_30m",Versuchsdaten!$E$2:$E$1117,$E806,Versuchsdaten!$J$2:$J$1117,1)=1,SUMIFS(Versuchsdaten!$F$2:$F$1117,Versuchsdaten!$A$2:$A$1117,$A806,Versuchsdaten!$B$2:$B$1117,$B806,Versuchsdaten!$C$2:$C$1117,"Sprint_30m",Versuchsdaten!$E$2:$E$1117,$E806,Versuchsdaten!$J$2:$J$1117,1),""))</f>
        <v/>
      </c>
      <c r="N806" s="22">
        <f>IF(LEFT(C806,7)&lt;&gt;"Sprint_",0,IF(IF(ISNUMBER(K806),IF(K806&lt;=0,1,IF(5/K806&gt;10,1,0)),0)+IF(ISNUMBER(L806),IF(ISNUMBER(K806),IF(L806-K806&lt;=0,1,IF(5/(L806-K806)&gt;10,1,0)),IF(L806&lt;=0,1,IF(10/L806&gt;10,1,0))),0)+IF(ISNUMBER(M806),IF(ISNUMBER(L806),IF(M806-L806&lt;=0,1,IF(20/(M806-L806)&gt;10,1,0)),IF(ISNUMBER(K806),IF(M806-K806&lt;=0,1,IF(25/(M806-K806)&gt;10,1,0)),IF(M806&lt;=0,1,IF(30/M806&gt;10,1,0)))),0)&gt;0,1,0))</f>
        <v/>
      </c>
      <c r="O806" s="22">
        <f>IF(AND(J806=1,N806=0),1,0)</f>
        <v/>
      </c>
      <c r="P806" s="22">
        <f>INDEX(Personendaten!$J$2:$J$32,MATCH(A806,Personendaten!$A$2:$A$32,0))</f>
        <v/>
      </c>
      <c r="Q806" s="22">
        <f>IF(O806=1,"",IF(AND(B806="post",P806="nicht angetreten"),"NANG",IF(N806=1,"AUSL",IFERROR(VLOOKUP(H806,Vokabular!$A$2:$B$8,2,FALSE),"UNBEKANNT"))))</f>
        <v/>
      </c>
    </row>
    <row r="807">
      <c r="A807" s="5" t="inlineStr">
        <is>
          <t>HL-03</t>
        </is>
      </c>
      <c r="B807" s="5" t="inlineStr">
        <is>
          <t>post</t>
        </is>
      </c>
      <c r="C807" s="5" t="inlineStr">
        <is>
          <t>COD_505</t>
        </is>
      </c>
      <c r="D807" s="5" t="inlineStr">
        <is>
          <t>L</t>
        </is>
      </c>
      <c r="E807" s="5" t="n">
        <v>2</v>
      </c>
      <c r="F807" s="5" t="n">
        <v>2.49</v>
      </c>
      <c r="G807" s="5" t="n"/>
      <c r="H807" s="5" t="n"/>
      <c r="I807" s="22">
        <f>INDEX(Personendaten!$C$2:$C$32,MATCH(A807,Personendaten!$A$2:$A$32,0))</f>
        <v/>
      </c>
      <c r="J807" s="22">
        <f>IF(AND(F807&lt;&gt;"",G807=""),1,0)</f>
        <v/>
      </c>
      <c r="K807" s="22">
        <f>IF(LEFT(C807,7)&lt;&gt;"Sprint_","",IF(COUNTIFS(Versuchsdaten!$A$2:$A$1117,$A807,Versuchsdaten!$B$2:$B$1117,$B807,Versuchsdaten!$C$2:$C$1117,"Sprint_5m",Versuchsdaten!$E$2:$E$1117,$E807,Versuchsdaten!$J$2:$J$1117,1)=1,SUMIFS(Versuchsdaten!$F$2:$F$1117,Versuchsdaten!$A$2:$A$1117,$A807,Versuchsdaten!$B$2:$B$1117,$B807,Versuchsdaten!$C$2:$C$1117,"Sprint_5m",Versuchsdaten!$E$2:$E$1117,$E807,Versuchsdaten!$J$2:$J$1117,1),""))</f>
        <v/>
      </c>
      <c r="L807" s="22">
        <f>IF(LEFT(C807,7)&lt;&gt;"Sprint_","",IF(COUNTIFS(Versuchsdaten!$A$2:$A$1117,$A807,Versuchsdaten!$B$2:$B$1117,$B807,Versuchsdaten!$C$2:$C$1117,"Sprint_10m",Versuchsdaten!$E$2:$E$1117,$E807,Versuchsdaten!$J$2:$J$1117,1)=1,SUMIFS(Versuchsdaten!$F$2:$F$1117,Versuchsdaten!$A$2:$A$1117,$A807,Versuchsdaten!$B$2:$B$1117,$B807,Versuchsdaten!$C$2:$C$1117,"Sprint_10m",Versuchsdaten!$E$2:$E$1117,$E807,Versuchsdaten!$J$2:$J$1117,1),""))</f>
        <v/>
      </c>
      <c r="M807" s="22">
        <f>IF(LEFT(C807,7)&lt;&gt;"Sprint_","",IF(COUNTIFS(Versuchsdaten!$A$2:$A$1117,$A807,Versuchsdaten!$B$2:$B$1117,$B807,Versuchsdaten!$C$2:$C$1117,"Sprint_30m",Versuchsdaten!$E$2:$E$1117,$E807,Versuchsdaten!$J$2:$J$1117,1)=1,SUMIFS(Versuchsdaten!$F$2:$F$1117,Versuchsdaten!$A$2:$A$1117,$A807,Versuchsdaten!$B$2:$B$1117,$B807,Versuchsdaten!$C$2:$C$1117,"Sprint_30m",Versuchsdaten!$E$2:$E$1117,$E807,Versuchsdaten!$J$2:$J$1117,1),""))</f>
        <v/>
      </c>
      <c r="N807" s="22">
        <f>IF(LEFT(C807,7)&lt;&gt;"Sprint_",0,IF(IF(ISNUMBER(K807),IF(K807&lt;=0,1,IF(5/K807&gt;10,1,0)),0)+IF(ISNUMBER(L807),IF(ISNUMBER(K807),IF(L807-K807&lt;=0,1,IF(5/(L807-K807)&gt;10,1,0)),IF(L807&lt;=0,1,IF(10/L807&gt;10,1,0))),0)+IF(ISNUMBER(M807),IF(ISNUMBER(L807),IF(M807-L807&lt;=0,1,IF(20/(M807-L807)&gt;10,1,0)),IF(ISNUMBER(K807),IF(M807-K807&lt;=0,1,IF(25/(M807-K807)&gt;10,1,0)),IF(M807&lt;=0,1,IF(30/M807&gt;10,1,0)))),0)&gt;0,1,0))</f>
        <v/>
      </c>
      <c r="O807" s="22">
        <f>IF(AND(J807=1,N807=0),1,0)</f>
        <v/>
      </c>
      <c r="P807" s="22">
        <f>INDEX(Personendaten!$J$2:$J$32,MATCH(A807,Personendaten!$A$2:$A$32,0))</f>
        <v/>
      </c>
      <c r="Q807" s="22">
        <f>IF(O807=1,"",IF(AND(B807="post",P807="nicht angetreten"),"NANG",IF(N807=1,"AUSL",IFERROR(VLOOKUP(H807,Vokabular!$A$2:$B$8,2,FALSE),"UNBEKANNT"))))</f>
        <v/>
      </c>
    </row>
    <row r="808">
      <c r="A808" s="5" t="inlineStr">
        <is>
          <t>HL-03</t>
        </is>
      </c>
      <c r="B808" s="5" t="inlineStr">
        <is>
          <t>post</t>
        </is>
      </c>
      <c r="C808" s="5" t="inlineStr">
        <is>
          <t>COD_505</t>
        </is>
      </c>
      <c r="D808" s="5" t="inlineStr">
        <is>
          <t>L</t>
        </is>
      </c>
      <c r="E808" s="5" t="n">
        <v>3</v>
      </c>
      <c r="F808" s="5" t="n"/>
      <c r="G808" s="5" t="n"/>
      <c r="H808" s="5" t="inlineStr">
        <is>
          <t>Nur 2 Versuche aus Zeitmangel</t>
        </is>
      </c>
      <c r="I808" s="22">
        <f>INDEX(Personendaten!$C$2:$C$32,MATCH(A808,Personendaten!$A$2:$A$32,0))</f>
        <v/>
      </c>
      <c r="J808" s="22">
        <f>IF(AND(F808&lt;&gt;"",G808=""),1,0)</f>
        <v/>
      </c>
      <c r="K808" s="22">
        <f>IF(LEFT(C808,7)&lt;&gt;"Sprint_","",IF(COUNTIFS(Versuchsdaten!$A$2:$A$1117,$A808,Versuchsdaten!$B$2:$B$1117,$B808,Versuchsdaten!$C$2:$C$1117,"Sprint_5m",Versuchsdaten!$E$2:$E$1117,$E808,Versuchsdaten!$J$2:$J$1117,1)=1,SUMIFS(Versuchsdaten!$F$2:$F$1117,Versuchsdaten!$A$2:$A$1117,$A808,Versuchsdaten!$B$2:$B$1117,$B808,Versuchsdaten!$C$2:$C$1117,"Sprint_5m",Versuchsdaten!$E$2:$E$1117,$E808,Versuchsdaten!$J$2:$J$1117,1),""))</f>
        <v/>
      </c>
      <c r="L808" s="22">
        <f>IF(LEFT(C808,7)&lt;&gt;"Sprint_","",IF(COUNTIFS(Versuchsdaten!$A$2:$A$1117,$A808,Versuchsdaten!$B$2:$B$1117,$B808,Versuchsdaten!$C$2:$C$1117,"Sprint_10m",Versuchsdaten!$E$2:$E$1117,$E808,Versuchsdaten!$J$2:$J$1117,1)=1,SUMIFS(Versuchsdaten!$F$2:$F$1117,Versuchsdaten!$A$2:$A$1117,$A808,Versuchsdaten!$B$2:$B$1117,$B808,Versuchsdaten!$C$2:$C$1117,"Sprint_10m",Versuchsdaten!$E$2:$E$1117,$E808,Versuchsdaten!$J$2:$J$1117,1),""))</f>
        <v/>
      </c>
      <c r="M808" s="22">
        <f>IF(LEFT(C808,7)&lt;&gt;"Sprint_","",IF(COUNTIFS(Versuchsdaten!$A$2:$A$1117,$A808,Versuchsdaten!$B$2:$B$1117,$B808,Versuchsdaten!$C$2:$C$1117,"Sprint_30m",Versuchsdaten!$E$2:$E$1117,$E808,Versuchsdaten!$J$2:$J$1117,1)=1,SUMIFS(Versuchsdaten!$F$2:$F$1117,Versuchsdaten!$A$2:$A$1117,$A808,Versuchsdaten!$B$2:$B$1117,$B808,Versuchsdaten!$C$2:$C$1117,"Sprint_30m",Versuchsdaten!$E$2:$E$1117,$E808,Versuchsdaten!$J$2:$J$1117,1),""))</f>
        <v/>
      </c>
      <c r="N808" s="22">
        <f>IF(LEFT(C808,7)&lt;&gt;"Sprint_",0,IF(IF(ISNUMBER(K808),IF(K808&lt;=0,1,IF(5/K808&gt;10,1,0)),0)+IF(ISNUMBER(L808),IF(ISNUMBER(K808),IF(L808-K808&lt;=0,1,IF(5/(L808-K808)&gt;10,1,0)),IF(L808&lt;=0,1,IF(10/L808&gt;10,1,0))),0)+IF(ISNUMBER(M808),IF(ISNUMBER(L808),IF(M808-L808&lt;=0,1,IF(20/(M808-L808)&gt;10,1,0)),IF(ISNUMBER(K808),IF(M808-K808&lt;=0,1,IF(25/(M808-K808)&gt;10,1,0)),IF(M808&lt;=0,1,IF(30/M808&gt;10,1,0)))),0)&gt;0,1,0))</f>
        <v/>
      </c>
      <c r="O808" s="22">
        <f>IF(AND(J808=1,N808=0),1,0)</f>
        <v/>
      </c>
      <c r="P808" s="22">
        <f>INDEX(Personendaten!$J$2:$J$32,MATCH(A808,Personendaten!$A$2:$A$32,0))</f>
        <v/>
      </c>
      <c r="Q808" s="22">
        <f>IF(O808=1,"",IF(AND(B808="post",P808="nicht angetreten"),"NANG",IF(N808=1,"AUSL",IFERROR(VLOOKUP(H808,Vokabular!$A$2:$B$8,2,FALSE),"UNBEKANNT"))))</f>
        <v/>
      </c>
    </row>
    <row r="809">
      <c r="A809" s="5" t="inlineStr">
        <is>
          <t>HL-03</t>
        </is>
      </c>
      <c r="B809" s="5" t="inlineStr">
        <is>
          <t>post</t>
        </is>
      </c>
      <c r="C809" s="5" t="inlineStr">
        <is>
          <t>COD_505</t>
        </is>
      </c>
      <c r="D809" s="5" t="inlineStr">
        <is>
          <t>R</t>
        </is>
      </c>
      <c r="E809" s="5" t="n">
        <v>1</v>
      </c>
      <c r="F809" s="5" t="n"/>
      <c r="G809" s="5" t="inlineStr">
        <is>
          <t>x</t>
        </is>
      </c>
      <c r="H809" s="5" t="inlineStr">
        <is>
          <t>Fehlversuch</t>
        </is>
      </c>
      <c r="I809" s="22">
        <f>INDEX(Personendaten!$C$2:$C$32,MATCH(A809,Personendaten!$A$2:$A$32,0))</f>
        <v/>
      </c>
      <c r="J809" s="22">
        <f>IF(AND(F809&lt;&gt;"",G809=""),1,0)</f>
        <v/>
      </c>
      <c r="K809" s="22">
        <f>IF(LEFT(C809,7)&lt;&gt;"Sprint_","",IF(COUNTIFS(Versuchsdaten!$A$2:$A$1117,$A809,Versuchsdaten!$B$2:$B$1117,$B809,Versuchsdaten!$C$2:$C$1117,"Sprint_5m",Versuchsdaten!$E$2:$E$1117,$E809,Versuchsdaten!$J$2:$J$1117,1)=1,SUMIFS(Versuchsdaten!$F$2:$F$1117,Versuchsdaten!$A$2:$A$1117,$A809,Versuchsdaten!$B$2:$B$1117,$B809,Versuchsdaten!$C$2:$C$1117,"Sprint_5m",Versuchsdaten!$E$2:$E$1117,$E809,Versuchsdaten!$J$2:$J$1117,1),""))</f>
        <v/>
      </c>
      <c r="L809" s="22">
        <f>IF(LEFT(C809,7)&lt;&gt;"Sprint_","",IF(COUNTIFS(Versuchsdaten!$A$2:$A$1117,$A809,Versuchsdaten!$B$2:$B$1117,$B809,Versuchsdaten!$C$2:$C$1117,"Sprint_10m",Versuchsdaten!$E$2:$E$1117,$E809,Versuchsdaten!$J$2:$J$1117,1)=1,SUMIFS(Versuchsdaten!$F$2:$F$1117,Versuchsdaten!$A$2:$A$1117,$A809,Versuchsdaten!$B$2:$B$1117,$B809,Versuchsdaten!$C$2:$C$1117,"Sprint_10m",Versuchsdaten!$E$2:$E$1117,$E809,Versuchsdaten!$J$2:$J$1117,1),""))</f>
        <v/>
      </c>
      <c r="M809" s="22">
        <f>IF(LEFT(C809,7)&lt;&gt;"Sprint_","",IF(COUNTIFS(Versuchsdaten!$A$2:$A$1117,$A809,Versuchsdaten!$B$2:$B$1117,$B809,Versuchsdaten!$C$2:$C$1117,"Sprint_30m",Versuchsdaten!$E$2:$E$1117,$E809,Versuchsdaten!$J$2:$J$1117,1)=1,SUMIFS(Versuchsdaten!$F$2:$F$1117,Versuchsdaten!$A$2:$A$1117,$A809,Versuchsdaten!$B$2:$B$1117,$B809,Versuchsdaten!$C$2:$C$1117,"Sprint_30m",Versuchsdaten!$E$2:$E$1117,$E809,Versuchsdaten!$J$2:$J$1117,1),""))</f>
        <v/>
      </c>
      <c r="N809" s="22">
        <f>IF(LEFT(C809,7)&lt;&gt;"Sprint_",0,IF(IF(ISNUMBER(K809),IF(K809&lt;=0,1,IF(5/K809&gt;10,1,0)),0)+IF(ISNUMBER(L809),IF(ISNUMBER(K809),IF(L809-K809&lt;=0,1,IF(5/(L809-K809)&gt;10,1,0)),IF(L809&lt;=0,1,IF(10/L809&gt;10,1,0))),0)+IF(ISNUMBER(M809),IF(ISNUMBER(L809),IF(M809-L809&lt;=0,1,IF(20/(M809-L809)&gt;10,1,0)),IF(ISNUMBER(K809),IF(M809-K809&lt;=0,1,IF(25/(M809-K809)&gt;10,1,0)),IF(M809&lt;=0,1,IF(30/M809&gt;10,1,0)))),0)&gt;0,1,0))</f>
        <v/>
      </c>
      <c r="O809" s="22">
        <f>IF(AND(J809=1,N809=0),1,0)</f>
        <v/>
      </c>
      <c r="P809" s="22">
        <f>INDEX(Personendaten!$J$2:$J$32,MATCH(A809,Personendaten!$A$2:$A$32,0))</f>
        <v/>
      </c>
      <c r="Q809" s="22">
        <f>IF(O809=1,"",IF(AND(B809="post",P809="nicht angetreten"),"NANG",IF(N809=1,"AUSL",IFERROR(VLOOKUP(H809,Vokabular!$A$2:$B$8,2,FALSE),"UNBEKANNT"))))</f>
        <v/>
      </c>
    </row>
    <row r="810">
      <c r="A810" s="5" t="inlineStr">
        <is>
          <t>HL-03</t>
        </is>
      </c>
      <c r="B810" s="5" t="inlineStr">
        <is>
          <t>post</t>
        </is>
      </c>
      <c r="C810" s="5" t="inlineStr">
        <is>
          <t>COD_505</t>
        </is>
      </c>
      <c r="D810" s="5" t="inlineStr">
        <is>
          <t>R</t>
        </is>
      </c>
      <c r="E810" s="5" t="n">
        <v>2</v>
      </c>
      <c r="F810" s="5" t="n">
        <v>2.52</v>
      </c>
      <c r="G810" s="5" t="n"/>
      <c r="H810" s="5" t="n"/>
      <c r="I810" s="22">
        <f>INDEX(Personendaten!$C$2:$C$32,MATCH(A810,Personendaten!$A$2:$A$32,0))</f>
        <v/>
      </c>
      <c r="J810" s="22">
        <f>IF(AND(F810&lt;&gt;"",G810=""),1,0)</f>
        <v/>
      </c>
      <c r="K810" s="22">
        <f>IF(LEFT(C810,7)&lt;&gt;"Sprint_","",IF(COUNTIFS(Versuchsdaten!$A$2:$A$1117,$A810,Versuchsdaten!$B$2:$B$1117,$B810,Versuchsdaten!$C$2:$C$1117,"Sprint_5m",Versuchsdaten!$E$2:$E$1117,$E810,Versuchsdaten!$J$2:$J$1117,1)=1,SUMIFS(Versuchsdaten!$F$2:$F$1117,Versuchsdaten!$A$2:$A$1117,$A810,Versuchsdaten!$B$2:$B$1117,$B810,Versuchsdaten!$C$2:$C$1117,"Sprint_5m",Versuchsdaten!$E$2:$E$1117,$E810,Versuchsdaten!$J$2:$J$1117,1),""))</f>
        <v/>
      </c>
      <c r="L810" s="22">
        <f>IF(LEFT(C810,7)&lt;&gt;"Sprint_","",IF(COUNTIFS(Versuchsdaten!$A$2:$A$1117,$A810,Versuchsdaten!$B$2:$B$1117,$B810,Versuchsdaten!$C$2:$C$1117,"Sprint_10m",Versuchsdaten!$E$2:$E$1117,$E810,Versuchsdaten!$J$2:$J$1117,1)=1,SUMIFS(Versuchsdaten!$F$2:$F$1117,Versuchsdaten!$A$2:$A$1117,$A810,Versuchsdaten!$B$2:$B$1117,$B810,Versuchsdaten!$C$2:$C$1117,"Sprint_10m",Versuchsdaten!$E$2:$E$1117,$E810,Versuchsdaten!$J$2:$J$1117,1),""))</f>
        <v/>
      </c>
      <c r="M810" s="22">
        <f>IF(LEFT(C810,7)&lt;&gt;"Sprint_","",IF(COUNTIFS(Versuchsdaten!$A$2:$A$1117,$A810,Versuchsdaten!$B$2:$B$1117,$B810,Versuchsdaten!$C$2:$C$1117,"Sprint_30m",Versuchsdaten!$E$2:$E$1117,$E810,Versuchsdaten!$J$2:$J$1117,1)=1,SUMIFS(Versuchsdaten!$F$2:$F$1117,Versuchsdaten!$A$2:$A$1117,$A810,Versuchsdaten!$B$2:$B$1117,$B810,Versuchsdaten!$C$2:$C$1117,"Sprint_30m",Versuchsdaten!$E$2:$E$1117,$E810,Versuchsdaten!$J$2:$J$1117,1),""))</f>
        <v/>
      </c>
      <c r="N810" s="22">
        <f>IF(LEFT(C810,7)&lt;&gt;"Sprint_",0,IF(IF(ISNUMBER(K810),IF(K810&lt;=0,1,IF(5/K810&gt;10,1,0)),0)+IF(ISNUMBER(L810),IF(ISNUMBER(K810),IF(L810-K810&lt;=0,1,IF(5/(L810-K810)&gt;10,1,0)),IF(L810&lt;=0,1,IF(10/L810&gt;10,1,0))),0)+IF(ISNUMBER(M810),IF(ISNUMBER(L810),IF(M810-L810&lt;=0,1,IF(20/(M810-L810)&gt;10,1,0)),IF(ISNUMBER(K810),IF(M810-K810&lt;=0,1,IF(25/(M810-K810)&gt;10,1,0)),IF(M810&lt;=0,1,IF(30/M810&gt;10,1,0)))),0)&gt;0,1,0))</f>
        <v/>
      </c>
      <c r="O810" s="22">
        <f>IF(AND(J810=1,N810=0),1,0)</f>
        <v/>
      </c>
      <c r="P810" s="22">
        <f>INDEX(Personendaten!$J$2:$J$32,MATCH(A810,Personendaten!$A$2:$A$32,0))</f>
        <v/>
      </c>
      <c r="Q810" s="22">
        <f>IF(O810=1,"",IF(AND(B810="post",P810="nicht angetreten"),"NANG",IF(N810=1,"AUSL",IFERROR(VLOOKUP(H810,Vokabular!$A$2:$B$8,2,FALSE),"UNBEKANNT"))))</f>
        <v/>
      </c>
    </row>
    <row r="811">
      <c r="A811" s="5" t="inlineStr">
        <is>
          <t>HL-03</t>
        </is>
      </c>
      <c r="B811" s="5" t="inlineStr">
        <is>
          <t>post</t>
        </is>
      </c>
      <c r="C811" s="5" t="inlineStr">
        <is>
          <t>COD_505</t>
        </is>
      </c>
      <c r="D811" s="5" t="inlineStr">
        <is>
          <t>R</t>
        </is>
      </c>
      <c r="E811" s="5" t="n">
        <v>3</v>
      </c>
      <c r="F811" s="5" t="n"/>
      <c r="G811" s="5" t="n"/>
      <c r="H811" s="5" t="inlineStr">
        <is>
          <t>Nur 2 Versuche aus Zeitmangel</t>
        </is>
      </c>
      <c r="I811" s="22">
        <f>INDEX(Personendaten!$C$2:$C$32,MATCH(A811,Personendaten!$A$2:$A$32,0))</f>
        <v/>
      </c>
      <c r="J811" s="22">
        <f>IF(AND(F811&lt;&gt;"",G811=""),1,0)</f>
        <v/>
      </c>
      <c r="K811" s="22">
        <f>IF(LEFT(C811,7)&lt;&gt;"Sprint_","",IF(COUNTIFS(Versuchsdaten!$A$2:$A$1117,$A811,Versuchsdaten!$B$2:$B$1117,$B811,Versuchsdaten!$C$2:$C$1117,"Sprint_5m",Versuchsdaten!$E$2:$E$1117,$E811,Versuchsdaten!$J$2:$J$1117,1)=1,SUMIFS(Versuchsdaten!$F$2:$F$1117,Versuchsdaten!$A$2:$A$1117,$A811,Versuchsdaten!$B$2:$B$1117,$B811,Versuchsdaten!$C$2:$C$1117,"Sprint_5m",Versuchsdaten!$E$2:$E$1117,$E811,Versuchsdaten!$J$2:$J$1117,1),""))</f>
        <v/>
      </c>
      <c r="L811" s="22">
        <f>IF(LEFT(C811,7)&lt;&gt;"Sprint_","",IF(COUNTIFS(Versuchsdaten!$A$2:$A$1117,$A811,Versuchsdaten!$B$2:$B$1117,$B811,Versuchsdaten!$C$2:$C$1117,"Sprint_10m",Versuchsdaten!$E$2:$E$1117,$E811,Versuchsdaten!$J$2:$J$1117,1)=1,SUMIFS(Versuchsdaten!$F$2:$F$1117,Versuchsdaten!$A$2:$A$1117,$A811,Versuchsdaten!$B$2:$B$1117,$B811,Versuchsdaten!$C$2:$C$1117,"Sprint_10m",Versuchsdaten!$E$2:$E$1117,$E811,Versuchsdaten!$J$2:$J$1117,1),""))</f>
        <v/>
      </c>
      <c r="M811" s="22">
        <f>IF(LEFT(C811,7)&lt;&gt;"Sprint_","",IF(COUNTIFS(Versuchsdaten!$A$2:$A$1117,$A811,Versuchsdaten!$B$2:$B$1117,$B811,Versuchsdaten!$C$2:$C$1117,"Sprint_30m",Versuchsdaten!$E$2:$E$1117,$E811,Versuchsdaten!$J$2:$J$1117,1)=1,SUMIFS(Versuchsdaten!$F$2:$F$1117,Versuchsdaten!$A$2:$A$1117,$A811,Versuchsdaten!$B$2:$B$1117,$B811,Versuchsdaten!$C$2:$C$1117,"Sprint_30m",Versuchsdaten!$E$2:$E$1117,$E811,Versuchsdaten!$J$2:$J$1117,1),""))</f>
        <v/>
      </c>
      <c r="N811" s="22">
        <f>IF(LEFT(C811,7)&lt;&gt;"Sprint_",0,IF(IF(ISNUMBER(K811),IF(K811&lt;=0,1,IF(5/K811&gt;10,1,0)),0)+IF(ISNUMBER(L811),IF(ISNUMBER(K811),IF(L811-K811&lt;=0,1,IF(5/(L811-K811)&gt;10,1,0)),IF(L811&lt;=0,1,IF(10/L811&gt;10,1,0))),0)+IF(ISNUMBER(M811),IF(ISNUMBER(L811),IF(M811-L811&lt;=0,1,IF(20/(M811-L811)&gt;10,1,0)),IF(ISNUMBER(K811),IF(M811-K811&lt;=0,1,IF(25/(M811-K811)&gt;10,1,0)),IF(M811&lt;=0,1,IF(30/M811&gt;10,1,0)))),0)&gt;0,1,0))</f>
        <v/>
      </c>
      <c r="O811" s="22">
        <f>IF(AND(J811=1,N811=0),1,0)</f>
        <v/>
      </c>
      <c r="P811" s="22">
        <f>INDEX(Personendaten!$J$2:$J$32,MATCH(A811,Personendaten!$A$2:$A$32,0))</f>
        <v/>
      </c>
      <c r="Q811" s="22">
        <f>IF(O811=1,"",IF(AND(B811="post",P811="nicht angetreten"),"NANG",IF(N811=1,"AUSL",IFERROR(VLOOKUP(H811,Vokabular!$A$2:$B$8,2,FALSE),"UNBEKANNT"))))</f>
        <v/>
      </c>
    </row>
    <row r="812">
      <c r="A812" s="5" t="inlineStr">
        <is>
          <t>HL-05</t>
        </is>
      </c>
      <c r="B812" s="5" t="inlineStr">
        <is>
          <t>post</t>
        </is>
      </c>
      <c r="C812" s="5" t="inlineStr">
        <is>
          <t>Sprint_5m</t>
        </is>
      </c>
      <c r="D812" s="5" t="inlineStr">
        <is>
          <t>–</t>
        </is>
      </c>
      <c r="E812" s="5" t="n">
        <v>1</v>
      </c>
      <c r="F812" s="5" t="n">
        <v>1.11</v>
      </c>
      <c r="G812" s="5" t="n"/>
      <c r="H812" s="5" t="n"/>
      <c r="I812" s="22">
        <f>INDEX(Personendaten!$C$2:$C$32,MATCH(A812,Personendaten!$A$2:$A$32,0))</f>
        <v/>
      </c>
      <c r="J812" s="22">
        <f>IF(AND(F812&lt;&gt;"",G812=""),1,0)</f>
        <v/>
      </c>
      <c r="K812" s="22">
        <f>IF(LEFT(C812,7)&lt;&gt;"Sprint_","",IF(COUNTIFS(Versuchsdaten!$A$2:$A$1117,$A812,Versuchsdaten!$B$2:$B$1117,$B812,Versuchsdaten!$C$2:$C$1117,"Sprint_5m",Versuchsdaten!$E$2:$E$1117,$E812,Versuchsdaten!$J$2:$J$1117,1)=1,SUMIFS(Versuchsdaten!$F$2:$F$1117,Versuchsdaten!$A$2:$A$1117,$A812,Versuchsdaten!$B$2:$B$1117,$B812,Versuchsdaten!$C$2:$C$1117,"Sprint_5m",Versuchsdaten!$E$2:$E$1117,$E812,Versuchsdaten!$J$2:$J$1117,1),""))</f>
        <v/>
      </c>
      <c r="L812" s="22">
        <f>IF(LEFT(C812,7)&lt;&gt;"Sprint_","",IF(COUNTIFS(Versuchsdaten!$A$2:$A$1117,$A812,Versuchsdaten!$B$2:$B$1117,$B812,Versuchsdaten!$C$2:$C$1117,"Sprint_10m",Versuchsdaten!$E$2:$E$1117,$E812,Versuchsdaten!$J$2:$J$1117,1)=1,SUMIFS(Versuchsdaten!$F$2:$F$1117,Versuchsdaten!$A$2:$A$1117,$A812,Versuchsdaten!$B$2:$B$1117,$B812,Versuchsdaten!$C$2:$C$1117,"Sprint_10m",Versuchsdaten!$E$2:$E$1117,$E812,Versuchsdaten!$J$2:$J$1117,1),""))</f>
        <v/>
      </c>
      <c r="M812" s="22">
        <f>IF(LEFT(C812,7)&lt;&gt;"Sprint_","",IF(COUNTIFS(Versuchsdaten!$A$2:$A$1117,$A812,Versuchsdaten!$B$2:$B$1117,$B812,Versuchsdaten!$C$2:$C$1117,"Sprint_30m",Versuchsdaten!$E$2:$E$1117,$E812,Versuchsdaten!$J$2:$J$1117,1)=1,SUMIFS(Versuchsdaten!$F$2:$F$1117,Versuchsdaten!$A$2:$A$1117,$A812,Versuchsdaten!$B$2:$B$1117,$B812,Versuchsdaten!$C$2:$C$1117,"Sprint_30m",Versuchsdaten!$E$2:$E$1117,$E812,Versuchsdaten!$J$2:$J$1117,1),""))</f>
        <v/>
      </c>
      <c r="N812" s="22">
        <f>IF(LEFT(C812,7)&lt;&gt;"Sprint_",0,IF(IF(ISNUMBER(K812),IF(K812&lt;=0,1,IF(5/K812&gt;10,1,0)),0)+IF(ISNUMBER(L812),IF(ISNUMBER(K812),IF(L812-K812&lt;=0,1,IF(5/(L812-K812)&gt;10,1,0)),IF(L812&lt;=0,1,IF(10/L812&gt;10,1,0))),0)+IF(ISNUMBER(M812),IF(ISNUMBER(L812),IF(M812-L812&lt;=0,1,IF(20/(M812-L812)&gt;10,1,0)),IF(ISNUMBER(K812),IF(M812-K812&lt;=0,1,IF(25/(M812-K812)&gt;10,1,0)),IF(M812&lt;=0,1,IF(30/M812&gt;10,1,0)))),0)&gt;0,1,0))</f>
        <v/>
      </c>
      <c r="O812" s="22">
        <f>IF(AND(J812=1,N812=0),1,0)</f>
        <v/>
      </c>
      <c r="P812" s="22">
        <f>INDEX(Personendaten!$J$2:$J$32,MATCH(A812,Personendaten!$A$2:$A$32,0))</f>
        <v/>
      </c>
      <c r="Q812" s="22">
        <f>IF(O812=1,"",IF(AND(B812="post",P812="nicht angetreten"),"NANG",IF(N812=1,"AUSL",IFERROR(VLOOKUP(H812,Vokabular!$A$2:$B$8,2,FALSE),"UNBEKANNT"))))</f>
        <v/>
      </c>
    </row>
    <row r="813">
      <c r="A813" s="5" t="inlineStr">
        <is>
          <t>HL-05</t>
        </is>
      </c>
      <c r="B813" s="5" t="inlineStr">
        <is>
          <t>post</t>
        </is>
      </c>
      <c r="C813" s="5" t="inlineStr">
        <is>
          <t>Sprint_5m</t>
        </is>
      </c>
      <c r="D813" s="5" t="inlineStr">
        <is>
          <t>–</t>
        </is>
      </c>
      <c r="E813" s="5" t="n">
        <v>2</v>
      </c>
      <c r="F813" s="5" t="n">
        <v>1.1</v>
      </c>
      <c r="G813" s="5" t="n"/>
      <c r="H813" s="5" t="n"/>
      <c r="I813" s="22">
        <f>INDEX(Personendaten!$C$2:$C$32,MATCH(A813,Personendaten!$A$2:$A$32,0))</f>
        <v/>
      </c>
      <c r="J813" s="22">
        <f>IF(AND(F813&lt;&gt;"",G813=""),1,0)</f>
        <v/>
      </c>
      <c r="K813" s="22">
        <f>IF(LEFT(C813,7)&lt;&gt;"Sprint_","",IF(COUNTIFS(Versuchsdaten!$A$2:$A$1117,$A813,Versuchsdaten!$B$2:$B$1117,$B813,Versuchsdaten!$C$2:$C$1117,"Sprint_5m",Versuchsdaten!$E$2:$E$1117,$E813,Versuchsdaten!$J$2:$J$1117,1)=1,SUMIFS(Versuchsdaten!$F$2:$F$1117,Versuchsdaten!$A$2:$A$1117,$A813,Versuchsdaten!$B$2:$B$1117,$B813,Versuchsdaten!$C$2:$C$1117,"Sprint_5m",Versuchsdaten!$E$2:$E$1117,$E813,Versuchsdaten!$J$2:$J$1117,1),""))</f>
        <v/>
      </c>
      <c r="L813" s="22">
        <f>IF(LEFT(C813,7)&lt;&gt;"Sprint_","",IF(COUNTIFS(Versuchsdaten!$A$2:$A$1117,$A813,Versuchsdaten!$B$2:$B$1117,$B813,Versuchsdaten!$C$2:$C$1117,"Sprint_10m",Versuchsdaten!$E$2:$E$1117,$E813,Versuchsdaten!$J$2:$J$1117,1)=1,SUMIFS(Versuchsdaten!$F$2:$F$1117,Versuchsdaten!$A$2:$A$1117,$A813,Versuchsdaten!$B$2:$B$1117,$B813,Versuchsdaten!$C$2:$C$1117,"Sprint_10m",Versuchsdaten!$E$2:$E$1117,$E813,Versuchsdaten!$J$2:$J$1117,1),""))</f>
        <v/>
      </c>
      <c r="M813" s="22">
        <f>IF(LEFT(C813,7)&lt;&gt;"Sprint_","",IF(COUNTIFS(Versuchsdaten!$A$2:$A$1117,$A813,Versuchsdaten!$B$2:$B$1117,$B813,Versuchsdaten!$C$2:$C$1117,"Sprint_30m",Versuchsdaten!$E$2:$E$1117,$E813,Versuchsdaten!$J$2:$J$1117,1)=1,SUMIFS(Versuchsdaten!$F$2:$F$1117,Versuchsdaten!$A$2:$A$1117,$A813,Versuchsdaten!$B$2:$B$1117,$B813,Versuchsdaten!$C$2:$C$1117,"Sprint_30m",Versuchsdaten!$E$2:$E$1117,$E813,Versuchsdaten!$J$2:$J$1117,1),""))</f>
        <v/>
      </c>
      <c r="N813" s="22">
        <f>IF(LEFT(C813,7)&lt;&gt;"Sprint_",0,IF(IF(ISNUMBER(K813),IF(K813&lt;=0,1,IF(5/K813&gt;10,1,0)),0)+IF(ISNUMBER(L813),IF(ISNUMBER(K813),IF(L813-K813&lt;=0,1,IF(5/(L813-K813)&gt;10,1,0)),IF(L813&lt;=0,1,IF(10/L813&gt;10,1,0))),0)+IF(ISNUMBER(M813),IF(ISNUMBER(L813),IF(M813-L813&lt;=0,1,IF(20/(M813-L813)&gt;10,1,0)),IF(ISNUMBER(K813),IF(M813-K813&lt;=0,1,IF(25/(M813-K813)&gt;10,1,0)),IF(M813&lt;=0,1,IF(30/M813&gt;10,1,0)))),0)&gt;0,1,0))</f>
        <v/>
      </c>
      <c r="O813" s="22">
        <f>IF(AND(J813=1,N813=0),1,0)</f>
        <v/>
      </c>
      <c r="P813" s="22">
        <f>INDEX(Personendaten!$J$2:$J$32,MATCH(A813,Personendaten!$A$2:$A$32,0))</f>
        <v/>
      </c>
      <c r="Q813" s="22">
        <f>IF(O813=1,"",IF(AND(B813="post",P813="nicht angetreten"),"NANG",IF(N813=1,"AUSL",IFERROR(VLOOKUP(H813,Vokabular!$A$2:$B$8,2,FALSE),"UNBEKANNT"))))</f>
        <v/>
      </c>
    </row>
    <row r="814">
      <c r="A814" s="5" t="inlineStr">
        <is>
          <t>HL-05</t>
        </is>
      </c>
      <c r="B814" s="5" t="inlineStr">
        <is>
          <t>post</t>
        </is>
      </c>
      <c r="C814" s="5" t="inlineStr">
        <is>
          <t>Sprint_5m</t>
        </is>
      </c>
      <c r="D814" s="5" t="inlineStr">
        <is>
          <t>–</t>
        </is>
      </c>
      <c r="E814" s="5" t="n">
        <v>3</v>
      </c>
      <c r="F814" s="5" t="n">
        <v>1.07</v>
      </c>
      <c r="G814" s="5" t="n"/>
      <c r="H814" s="5" t="n"/>
      <c r="I814" s="22">
        <f>INDEX(Personendaten!$C$2:$C$32,MATCH(A814,Personendaten!$A$2:$A$32,0))</f>
        <v/>
      </c>
      <c r="J814" s="22">
        <f>IF(AND(F814&lt;&gt;"",G814=""),1,0)</f>
        <v/>
      </c>
      <c r="K814" s="22">
        <f>IF(LEFT(C814,7)&lt;&gt;"Sprint_","",IF(COUNTIFS(Versuchsdaten!$A$2:$A$1117,$A814,Versuchsdaten!$B$2:$B$1117,$B814,Versuchsdaten!$C$2:$C$1117,"Sprint_5m",Versuchsdaten!$E$2:$E$1117,$E814,Versuchsdaten!$J$2:$J$1117,1)=1,SUMIFS(Versuchsdaten!$F$2:$F$1117,Versuchsdaten!$A$2:$A$1117,$A814,Versuchsdaten!$B$2:$B$1117,$B814,Versuchsdaten!$C$2:$C$1117,"Sprint_5m",Versuchsdaten!$E$2:$E$1117,$E814,Versuchsdaten!$J$2:$J$1117,1),""))</f>
        <v/>
      </c>
      <c r="L814" s="22">
        <f>IF(LEFT(C814,7)&lt;&gt;"Sprint_","",IF(COUNTIFS(Versuchsdaten!$A$2:$A$1117,$A814,Versuchsdaten!$B$2:$B$1117,$B814,Versuchsdaten!$C$2:$C$1117,"Sprint_10m",Versuchsdaten!$E$2:$E$1117,$E814,Versuchsdaten!$J$2:$J$1117,1)=1,SUMIFS(Versuchsdaten!$F$2:$F$1117,Versuchsdaten!$A$2:$A$1117,$A814,Versuchsdaten!$B$2:$B$1117,$B814,Versuchsdaten!$C$2:$C$1117,"Sprint_10m",Versuchsdaten!$E$2:$E$1117,$E814,Versuchsdaten!$J$2:$J$1117,1),""))</f>
        <v/>
      </c>
      <c r="M814" s="22">
        <f>IF(LEFT(C814,7)&lt;&gt;"Sprint_","",IF(COUNTIFS(Versuchsdaten!$A$2:$A$1117,$A814,Versuchsdaten!$B$2:$B$1117,$B814,Versuchsdaten!$C$2:$C$1117,"Sprint_30m",Versuchsdaten!$E$2:$E$1117,$E814,Versuchsdaten!$J$2:$J$1117,1)=1,SUMIFS(Versuchsdaten!$F$2:$F$1117,Versuchsdaten!$A$2:$A$1117,$A814,Versuchsdaten!$B$2:$B$1117,$B814,Versuchsdaten!$C$2:$C$1117,"Sprint_30m",Versuchsdaten!$E$2:$E$1117,$E814,Versuchsdaten!$J$2:$J$1117,1),""))</f>
        <v/>
      </c>
      <c r="N814" s="22">
        <f>IF(LEFT(C814,7)&lt;&gt;"Sprint_",0,IF(IF(ISNUMBER(K814),IF(K814&lt;=0,1,IF(5/K814&gt;10,1,0)),0)+IF(ISNUMBER(L814),IF(ISNUMBER(K814),IF(L814-K814&lt;=0,1,IF(5/(L814-K814)&gt;10,1,0)),IF(L814&lt;=0,1,IF(10/L814&gt;10,1,0))),0)+IF(ISNUMBER(M814),IF(ISNUMBER(L814),IF(M814-L814&lt;=0,1,IF(20/(M814-L814)&gt;10,1,0)),IF(ISNUMBER(K814),IF(M814-K814&lt;=0,1,IF(25/(M814-K814)&gt;10,1,0)),IF(M814&lt;=0,1,IF(30/M814&gt;10,1,0)))),0)&gt;0,1,0))</f>
        <v/>
      </c>
      <c r="O814" s="22">
        <f>IF(AND(J814=1,N814=0),1,0)</f>
        <v/>
      </c>
      <c r="P814" s="22">
        <f>INDEX(Personendaten!$J$2:$J$32,MATCH(A814,Personendaten!$A$2:$A$32,0))</f>
        <v/>
      </c>
      <c r="Q814" s="22">
        <f>IF(O814=1,"",IF(AND(B814="post",P814="nicht angetreten"),"NANG",IF(N814=1,"AUSL",IFERROR(VLOOKUP(H814,Vokabular!$A$2:$B$8,2,FALSE),"UNBEKANNT"))))</f>
        <v/>
      </c>
    </row>
    <row r="815">
      <c r="A815" s="5" t="inlineStr">
        <is>
          <t>HL-05</t>
        </is>
      </c>
      <c r="B815" s="5" t="inlineStr">
        <is>
          <t>post</t>
        </is>
      </c>
      <c r="C815" s="5" t="inlineStr">
        <is>
          <t>Sprint_10m</t>
        </is>
      </c>
      <c r="D815" s="5" t="inlineStr">
        <is>
          <t>–</t>
        </is>
      </c>
      <c r="E815" s="5" t="n">
        <v>1</v>
      </c>
      <c r="F815" s="5" t="n">
        <v>1.84</v>
      </c>
      <c r="G815" s="5" t="n"/>
      <c r="H815" s="5" t="n"/>
      <c r="I815" s="22">
        <f>INDEX(Personendaten!$C$2:$C$32,MATCH(A815,Personendaten!$A$2:$A$32,0))</f>
        <v/>
      </c>
      <c r="J815" s="22">
        <f>IF(AND(F815&lt;&gt;"",G815=""),1,0)</f>
        <v/>
      </c>
      <c r="K815" s="22">
        <f>IF(LEFT(C815,7)&lt;&gt;"Sprint_","",IF(COUNTIFS(Versuchsdaten!$A$2:$A$1117,$A815,Versuchsdaten!$B$2:$B$1117,$B815,Versuchsdaten!$C$2:$C$1117,"Sprint_5m",Versuchsdaten!$E$2:$E$1117,$E815,Versuchsdaten!$J$2:$J$1117,1)=1,SUMIFS(Versuchsdaten!$F$2:$F$1117,Versuchsdaten!$A$2:$A$1117,$A815,Versuchsdaten!$B$2:$B$1117,$B815,Versuchsdaten!$C$2:$C$1117,"Sprint_5m",Versuchsdaten!$E$2:$E$1117,$E815,Versuchsdaten!$J$2:$J$1117,1),""))</f>
        <v/>
      </c>
      <c r="L815" s="22">
        <f>IF(LEFT(C815,7)&lt;&gt;"Sprint_","",IF(COUNTIFS(Versuchsdaten!$A$2:$A$1117,$A815,Versuchsdaten!$B$2:$B$1117,$B815,Versuchsdaten!$C$2:$C$1117,"Sprint_10m",Versuchsdaten!$E$2:$E$1117,$E815,Versuchsdaten!$J$2:$J$1117,1)=1,SUMIFS(Versuchsdaten!$F$2:$F$1117,Versuchsdaten!$A$2:$A$1117,$A815,Versuchsdaten!$B$2:$B$1117,$B815,Versuchsdaten!$C$2:$C$1117,"Sprint_10m",Versuchsdaten!$E$2:$E$1117,$E815,Versuchsdaten!$J$2:$J$1117,1),""))</f>
        <v/>
      </c>
      <c r="M815" s="22">
        <f>IF(LEFT(C815,7)&lt;&gt;"Sprint_","",IF(COUNTIFS(Versuchsdaten!$A$2:$A$1117,$A815,Versuchsdaten!$B$2:$B$1117,$B815,Versuchsdaten!$C$2:$C$1117,"Sprint_30m",Versuchsdaten!$E$2:$E$1117,$E815,Versuchsdaten!$J$2:$J$1117,1)=1,SUMIFS(Versuchsdaten!$F$2:$F$1117,Versuchsdaten!$A$2:$A$1117,$A815,Versuchsdaten!$B$2:$B$1117,$B815,Versuchsdaten!$C$2:$C$1117,"Sprint_30m",Versuchsdaten!$E$2:$E$1117,$E815,Versuchsdaten!$J$2:$J$1117,1),""))</f>
        <v/>
      </c>
      <c r="N815" s="22">
        <f>IF(LEFT(C815,7)&lt;&gt;"Sprint_",0,IF(IF(ISNUMBER(K815),IF(K815&lt;=0,1,IF(5/K815&gt;10,1,0)),0)+IF(ISNUMBER(L815),IF(ISNUMBER(K815),IF(L815-K815&lt;=0,1,IF(5/(L815-K815)&gt;10,1,0)),IF(L815&lt;=0,1,IF(10/L815&gt;10,1,0))),0)+IF(ISNUMBER(M815),IF(ISNUMBER(L815),IF(M815-L815&lt;=0,1,IF(20/(M815-L815)&gt;10,1,0)),IF(ISNUMBER(K815),IF(M815-K815&lt;=0,1,IF(25/(M815-K815)&gt;10,1,0)),IF(M815&lt;=0,1,IF(30/M815&gt;10,1,0)))),0)&gt;0,1,0))</f>
        <v/>
      </c>
      <c r="O815" s="22">
        <f>IF(AND(J815=1,N815=0),1,0)</f>
        <v/>
      </c>
      <c r="P815" s="22">
        <f>INDEX(Personendaten!$J$2:$J$32,MATCH(A815,Personendaten!$A$2:$A$32,0))</f>
        <v/>
      </c>
      <c r="Q815" s="22">
        <f>IF(O815=1,"",IF(AND(B815="post",P815="nicht angetreten"),"NANG",IF(N815=1,"AUSL",IFERROR(VLOOKUP(H815,Vokabular!$A$2:$B$8,2,FALSE),"UNBEKANNT"))))</f>
        <v/>
      </c>
    </row>
    <row r="816">
      <c r="A816" s="5" t="inlineStr">
        <is>
          <t>HL-05</t>
        </is>
      </c>
      <c r="B816" s="5" t="inlineStr">
        <is>
          <t>post</t>
        </is>
      </c>
      <c r="C816" s="5" t="inlineStr">
        <is>
          <t>Sprint_10m</t>
        </is>
      </c>
      <c r="D816" s="5" t="inlineStr">
        <is>
          <t>–</t>
        </is>
      </c>
      <c r="E816" s="5" t="n">
        <v>2</v>
      </c>
      <c r="F816" s="5" t="n">
        <v>1.83</v>
      </c>
      <c r="G816" s="5" t="n"/>
      <c r="H816" s="5" t="n"/>
      <c r="I816" s="22">
        <f>INDEX(Personendaten!$C$2:$C$32,MATCH(A816,Personendaten!$A$2:$A$32,0))</f>
        <v/>
      </c>
      <c r="J816" s="22">
        <f>IF(AND(F816&lt;&gt;"",G816=""),1,0)</f>
        <v/>
      </c>
      <c r="K816" s="22">
        <f>IF(LEFT(C816,7)&lt;&gt;"Sprint_","",IF(COUNTIFS(Versuchsdaten!$A$2:$A$1117,$A816,Versuchsdaten!$B$2:$B$1117,$B816,Versuchsdaten!$C$2:$C$1117,"Sprint_5m",Versuchsdaten!$E$2:$E$1117,$E816,Versuchsdaten!$J$2:$J$1117,1)=1,SUMIFS(Versuchsdaten!$F$2:$F$1117,Versuchsdaten!$A$2:$A$1117,$A816,Versuchsdaten!$B$2:$B$1117,$B816,Versuchsdaten!$C$2:$C$1117,"Sprint_5m",Versuchsdaten!$E$2:$E$1117,$E816,Versuchsdaten!$J$2:$J$1117,1),""))</f>
        <v/>
      </c>
      <c r="L816" s="22">
        <f>IF(LEFT(C816,7)&lt;&gt;"Sprint_","",IF(COUNTIFS(Versuchsdaten!$A$2:$A$1117,$A816,Versuchsdaten!$B$2:$B$1117,$B816,Versuchsdaten!$C$2:$C$1117,"Sprint_10m",Versuchsdaten!$E$2:$E$1117,$E816,Versuchsdaten!$J$2:$J$1117,1)=1,SUMIFS(Versuchsdaten!$F$2:$F$1117,Versuchsdaten!$A$2:$A$1117,$A816,Versuchsdaten!$B$2:$B$1117,$B816,Versuchsdaten!$C$2:$C$1117,"Sprint_10m",Versuchsdaten!$E$2:$E$1117,$E816,Versuchsdaten!$J$2:$J$1117,1),""))</f>
        <v/>
      </c>
      <c r="M816" s="22">
        <f>IF(LEFT(C816,7)&lt;&gt;"Sprint_","",IF(COUNTIFS(Versuchsdaten!$A$2:$A$1117,$A816,Versuchsdaten!$B$2:$B$1117,$B816,Versuchsdaten!$C$2:$C$1117,"Sprint_30m",Versuchsdaten!$E$2:$E$1117,$E816,Versuchsdaten!$J$2:$J$1117,1)=1,SUMIFS(Versuchsdaten!$F$2:$F$1117,Versuchsdaten!$A$2:$A$1117,$A816,Versuchsdaten!$B$2:$B$1117,$B816,Versuchsdaten!$C$2:$C$1117,"Sprint_30m",Versuchsdaten!$E$2:$E$1117,$E816,Versuchsdaten!$J$2:$J$1117,1),""))</f>
        <v/>
      </c>
      <c r="N816" s="22">
        <f>IF(LEFT(C816,7)&lt;&gt;"Sprint_",0,IF(IF(ISNUMBER(K816),IF(K816&lt;=0,1,IF(5/K816&gt;10,1,0)),0)+IF(ISNUMBER(L816),IF(ISNUMBER(K816),IF(L816-K816&lt;=0,1,IF(5/(L816-K816)&gt;10,1,0)),IF(L816&lt;=0,1,IF(10/L816&gt;10,1,0))),0)+IF(ISNUMBER(M816),IF(ISNUMBER(L816),IF(M816-L816&lt;=0,1,IF(20/(M816-L816)&gt;10,1,0)),IF(ISNUMBER(K816),IF(M816-K816&lt;=0,1,IF(25/(M816-K816)&gt;10,1,0)),IF(M816&lt;=0,1,IF(30/M816&gt;10,1,0)))),0)&gt;0,1,0))</f>
        <v/>
      </c>
      <c r="O816" s="22">
        <f>IF(AND(J816=1,N816=0),1,0)</f>
        <v/>
      </c>
      <c r="P816" s="22">
        <f>INDEX(Personendaten!$J$2:$J$32,MATCH(A816,Personendaten!$A$2:$A$32,0))</f>
        <v/>
      </c>
      <c r="Q816" s="22">
        <f>IF(O816=1,"",IF(AND(B816="post",P816="nicht angetreten"),"NANG",IF(N816=1,"AUSL",IFERROR(VLOOKUP(H816,Vokabular!$A$2:$B$8,2,FALSE),"UNBEKANNT"))))</f>
        <v/>
      </c>
    </row>
    <row r="817">
      <c r="A817" s="5" t="inlineStr">
        <is>
          <t>HL-05</t>
        </is>
      </c>
      <c r="B817" s="5" t="inlineStr">
        <is>
          <t>post</t>
        </is>
      </c>
      <c r="C817" s="5" t="inlineStr">
        <is>
          <t>Sprint_10m</t>
        </is>
      </c>
      <c r="D817" s="5" t="inlineStr">
        <is>
          <t>–</t>
        </is>
      </c>
      <c r="E817" s="5" t="n">
        <v>3</v>
      </c>
      <c r="F817" s="5" t="n">
        <v>1.86</v>
      </c>
      <c r="G817" s="5" t="n"/>
      <c r="H817" s="5" t="n"/>
      <c r="I817" s="22">
        <f>INDEX(Personendaten!$C$2:$C$32,MATCH(A817,Personendaten!$A$2:$A$32,0))</f>
        <v/>
      </c>
      <c r="J817" s="22">
        <f>IF(AND(F817&lt;&gt;"",G817=""),1,0)</f>
        <v/>
      </c>
      <c r="K817" s="22">
        <f>IF(LEFT(C817,7)&lt;&gt;"Sprint_","",IF(COUNTIFS(Versuchsdaten!$A$2:$A$1117,$A817,Versuchsdaten!$B$2:$B$1117,$B817,Versuchsdaten!$C$2:$C$1117,"Sprint_5m",Versuchsdaten!$E$2:$E$1117,$E817,Versuchsdaten!$J$2:$J$1117,1)=1,SUMIFS(Versuchsdaten!$F$2:$F$1117,Versuchsdaten!$A$2:$A$1117,$A817,Versuchsdaten!$B$2:$B$1117,$B817,Versuchsdaten!$C$2:$C$1117,"Sprint_5m",Versuchsdaten!$E$2:$E$1117,$E817,Versuchsdaten!$J$2:$J$1117,1),""))</f>
        <v/>
      </c>
      <c r="L817" s="22">
        <f>IF(LEFT(C817,7)&lt;&gt;"Sprint_","",IF(COUNTIFS(Versuchsdaten!$A$2:$A$1117,$A817,Versuchsdaten!$B$2:$B$1117,$B817,Versuchsdaten!$C$2:$C$1117,"Sprint_10m",Versuchsdaten!$E$2:$E$1117,$E817,Versuchsdaten!$J$2:$J$1117,1)=1,SUMIFS(Versuchsdaten!$F$2:$F$1117,Versuchsdaten!$A$2:$A$1117,$A817,Versuchsdaten!$B$2:$B$1117,$B817,Versuchsdaten!$C$2:$C$1117,"Sprint_10m",Versuchsdaten!$E$2:$E$1117,$E817,Versuchsdaten!$J$2:$J$1117,1),""))</f>
        <v/>
      </c>
      <c r="M817" s="22">
        <f>IF(LEFT(C817,7)&lt;&gt;"Sprint_","",IF(COUNTIFS(Versuchsdaten!$A$2:$A$1117,$A817,Versuchsdaten!$B$2:$B$1117,$B817,Versuchsdaten!$C$2:$C$1117,"Sprint_30m",Versuchsdaten!$E$2:$E$1117,$E817,Versuchsdaten!$J$2:$J$1117,1)=1,SUMIFS(Versuchsdaten!$F$2:$F$1117,Versuchsdaten!$A$2:$A$1117,$A817,Versuchsdaten!$B$2:$B$1117,$B817,Versuchsdaten!$C$2:$C$1117,"Sprint_30m",Versuchsdaten!$E$2:$E$1117,$E817,Versuchsdaten!$J$2:$J$1117,1),""))</f>
        <v/>
      </c>
      <c r="N817" s="22">
        <f>IF(LEFT(C817,7)&lt;&gt;"Sprint_",0,IF(IF(ISNUMBER(K817),IF(K817&lt;=0,1,IF(5/K817&gt;10,1,0)),0)+IF(ISNUMBER(L817),IF(ISNUMBER(K817),IF(L817-K817&lt;=0,1,IF(5/(L817-K817)&gt;10,1,0)),IF(L817&lt;=0,1,IF(10/L817&gt;10,1,0))),0)+IF(ISNUMBER(M817),IF(ISNUMBER(L817),IF(M817-L817&lt;=0,1,IF(20/(M817-L817)&gt;10,1,0)),IF(ISNUMBER(K817),IF(M817-K817&lt;=0,1,IF(25/(M817-K817)&gt;10,1,0)),IF(M817&lt;=0,1,IF(30/M817&gt;10,1,0)))),0)&gt;0,1,0))</f>
        <v/>
      </c>
      <c r="O817" s="22">
        <f>IF(AND(J817=1,N817=0),1,0)</f>
        <v/>
      </c>
      <c r="P817" s="22">
        <f>INDEX(Personendaten!$J$2:$J$32,MATCH(A817,Personendaten!$A$2:$A$32,0))</f>
        <v/>
      </c>
      <c r="Q817" s="22">
        <f>IF(O817=1,"",IF(AND(B817="post",P817="nicht angetreten"),"NANG",IF(N817=1,"AUSL",IFERROR(VLOOKUP(H817,Vokabular!$A$2:$B$8,2,FALSE),"UNBEKANNT"))))</f>
        <v/>
      </c>
    </row>
    <row r="818">
      <c r="A818" s="5" t="inlineStr">
        <is>
          <t>HL-05</t>
        </is>
      </c>
      <c r="B818" s="5" t="inlineStr">
        <is>
          <t>post</t>
        </is>
      </c>
      <c r="C818" s="5" t="inlineStr">
        <is>
          <t>Sprint_30m</t>
        </is>
      </c>
      <c r="D818" s="5" t="inlineStr">
        <is>
          <t>–</t>
        </is>
      </c>
      <c r="E818" s="5" t="n">
        <v>1</v>
      </c>
      <c r="F818" s="5" t="n">
        <v>4.3</v>
      </c>
      <c r="G818" s="5" t="n"/>
      <c r="H818" s="5" t="n"/>
      <c r="I818" s="22">
        <f>INDEX(Personendaten!$C$2:$C$32,MATCH(A818,Personendaten!$A$2:$A$32,0))</f>
        <v/>
      </c>
      <c r="J818" s="22">
        <f>IF(AND(F818&lt;&gt;"",G818=""),1,0)</f>
        <v/>
      </c>
      <c r="K818" s="22">
        <f>IF(LEFT(C818,7)&lt;&gt;"Sprint_","",IF(COUNTIFS(Versuchsdaten!$A$2:$A$1117,$A818,Versuchsdaten!$B$2:$B$1117,$B818,Versuchsdaten!$C$2:$C$1117,"Sprint_5m",Versuchsdaten!$E$2:$E$1117,$E818,Versuchsdaten!$J$2:$J$1117,1)=1,SUMIFS(Versuchsdaten!$F$2:$F$1117,Versuchsdaten!$A$2:$A$1117,$A818,Versuchsdaten!$B$2:$B$1117,$B818,Versuchsdaten!$C$2:$C$1117,"Sprint_5m",Versuchsdaten!$E$2:$E$1117,$E818,Versuchsdaten!$J$2:$J$1117,1),""))</f>
        <v/>
      </c>
      <c r="L818" s="22">
        <f>IF(LEFT(C818,7)&lt;&gt;"Sprint_","",IF(COUNTIFS(Versuchsdaten!$A$2:$A$1117,$A818,Versuchsdaten!$B$2:$B$1117,$B818,Versuchsdaten!$C$2:$C$1117,"Sprint_10m",Versuchsdaten!$E$2:$E$1117,$E818,Versuchsdaten!$J$2:$J$1117,1)=1,SUMIFS(Versuchsdaten!$F$2:$F$1117,Versuchsdaten!$A$2:$A$1117,$A818,Versuchsdaten!$B$2:$B$1117,$B818,Versuchsdaten!$C$2:$C$1117,"Sprint_10m",Versuchsdaten!$E$2:$E$1117,$E818,Versuchsdaten!$J$2:$J$1117,1),""))</f>
        <v/>
      </c>
      <c r="M818" s="22">
        <f>IF(LEFT(C818,7)&lt;&gt;"Sprint_","",IF(COUNTIFS(Versuchsdaten!$A$2:$A$1117,$A818,Versuchsdaten!$B$2:$B$1117,$B818,Versuchsdaten!$C$2:$C$1117,"Sprint_30m",Versuchsdaten!$E$2:$E$1117,$E818,Versuchsdaten!$J$2:$J$1117,1)=1,SUMIFS(Versuchsdaten!$F$2:$F$1117,Versuchsdaten!$A$2:$A$1117,$A818,Versuchsdaten!$B$2:$B$1117,$B818,Versuchsdaten!$C$2:$C$1117,"Sprint_30m",Versuchsdaten!$E$2:$E$1117,$E818,Versuchsdaten!$J$2:$J$1117,1),""))</f>
        <v/>
      </c>
      <c r="N818" s="22">
        <f>IF(LEFT(C818,7)&lt;&gt;"Sprint_",0,IF(IF(ISNUMBER(K818),IF(K818&lt;=0,1,IF(5/K818&gt;10,1,0)),0)+IF(ISNUMBER(L818),IF(ISNUMBER(K818),IF(L818-K818&lt;=0,1,IF(5/(L818-K818)&gt;10,1,0)),IF(L818&lt;=0,1,IF(10/L818&gt;10,1,0))),0)+IF(ISNUMBER(M818),IF(ISNUMBER(L818),IF(M818-L818&lt;=0,1,IF(20/(M818-L818)&gt;10,1,0)),IF(ISNUMBER(K818),IF(M818-K818&lt;=0,1,IF(25/(M818-K818)&gt;10,1,0)),IF(M818&lt;=0,1,IF(30/M818&gt;10,1,0)))),0)&gt;0,1,0))</f>
        <v/>
      </c>
      <c r="O818" s="22">
        <f>IF(AND(J818=1,N818=0),1,0)</f>
        <v/>
      </c>
      <c r="P818" s="22">
        <f>INDEX(Personendaten!$J$2:$J$32,MATCH(A818,Personendaten!$A$2:$A$32,0))</f>
        <v/>
      </c>
      <c r="Q818" s="22">
        <f>IF(O818=1,"",IF(AND(B818="post",P818="nicht angetreten"),"NANG",IF(N818=1,"AUSL",IFERROR(VLOOKUP(H818,Vokabular!$A$2:$B$8,2,FALSE),"UNBEKANNT"))))</f>
        <v/>
      </c>
    </row>
    <row r="819">
      <c r="A819" s="5" t="inlineStr">
        <is>
          <t>HL-05</t>
        </is>
      </c>
      <c r="B819" s="5" t="inlineStr">
        <is>
          <t>post</t>
        </is>
      </c>
      <c r="C819" s="5" t="inlineStr">
        <is>
          <t>Sprint_30m</t>
        </is>
      </c>
      <c r="D819" s="5" t="inlineStr">
        <is>
          <t>–</t>
        </is>
      </c>
      <c r="E819" s="5" t="n">
        <v>2</v>
      </c>
      <c r="F819" s="5" t="n">
        <v>4.49</v>
      </c>
      <c r="G819" s="5" t="n"/>
      <c r="H819" s="5" t="n"/>
      <c r="I819" s="22">
        <f>INDEX(Personendaten!$C$2:$C$32,MATCH(A819,Personendaten!$A$2:$A$32,0))</f>
        <v/>
      </c>
      <c r="J819" s="22">
        <f>IF(AND(F819&lt;&gt;"",G819=""),1,0)</f>
        <v/>
      </c>
      <c r="K819" s="22">
        <f>IF(LEFT(C819,7)&lt;&gt;"Sprint_","",IF(COUNTIFS(Versuchsdaten!$A$2:$A$1117,$A819,Versuchsdaten!$B$2:$B$1117,$B819,Versuchsdaten!$C$2:$C$1117,"Sprint_5m",Versuchsdaten!$E$2:$E$1117,$E819,Versuchsdaten!$J$2:$J$1117,1)=1,SUMIFS(Versuchsdaten!$F$2:$F$1117,Versuchsdaten!$A$2:$A$1117,$A819,Versuchsdaten!$B$2:$B$1117,$B819,Versuchsdaten!$C$2:$C$1117,"Sprint_5m",Versuchsdaten!$E$2:$E$1117,$E819,Versuchsdaten!$J$2:$J$1117,1),""))</f>
        <v/>
      </c>
      <c r="L819" s="22">
        <f>IF(LEFT(C819,7)&lt;&gt;"Sprint_","",IF(COUNTIFS(Versuchsdaten!$A$2:$A$1117,$A819,Versuchsdaten!$B$2:$B$1117,$B819,Versuchsdaten!$C$2:$C$1117,"Sprint_10m",Versuchsdaten!$E$2:$E$1117,$E819,Versuchsdaten!$J$2:$J$1117,1)=1,SUMIFS(Versuchsdaten!$F$2:$F$1117,Versuchsdaten!$A$2:$A$1117,$A819,Versuchsdaten!$B$2:$B$1117,$B819,Versuchsdaten!$C$2:$C$1117,"Sprint_10m",Versuchsdaten!$E$2:$E$1117,$E819,Versuchsdaten!$J$2:$J$1117,1),""))</f>
        <v/>
      </c>
      <c r="M819" s="22">
        <f>IF(LEFT(C819,7)&lt;&gt;"Sprint_","",IF(COUNTIFS(Versuchsdaten!$A$2:$A$1117,$A819,Versuchsdaten!$B$2:$B$1117,$B819,Versuchsdaten!$C$2:$C$1117,"Sprint_30m",Versuchsdaten!$E$2:$E$1117,$E819,Versuchsdaten!$J$2:$J$1117,1)=1,SUMIFS(Versuchsdaten!$F$2:$F$1117,Versuchsdaten!$A$2:$A$1117,$A819,Versuchsdaten!$B$2:$B$1117,$B819,Versuchsdaten!$C$2:$C$1117,"Sprint_30m",Versuchsdaten!$E$2:$E$1117,$E819,Versuchsdaten!$J$2:$J$1117,1),""))</f>
        <v/>
      </c>
      <c r="N819" s="22">
        <f>IF(LEFT(C819,7)&lt;&gt;"Sprint_",0,IF(IF(ISNUMBER(K819),IF(K819&lt;=0,1,IF(5/K819&gt;10,1,0)),0)+IF(ISNUMBER(L819),IF(ISNUMBER(K819),IF(L819-K819&lt;=0,1,IF(5/(L819-K819)&gt;10,1,0)),IF(L819&lt;=0,1,IF(10/L819&gt;10,1,0))),0)+IF(ISNUMBER(M819),IF(ISNUMBER(L819),IF(M819-L819&lt;=0,1,IF(20/(M819-L819)&gt;10,1,0)),IF(ISNUMBER(K819),IF(M819-K819&lt;=0,1,IF(25/(M819-K819)&gt;10,1,0)),IF(M819&lt;=0,1,IF(30/M819&gt;10,1,0)))),0)&gt;0,1,0))</f>
        <v/>
      </c>
      <c r="O819" s="22">
        <f>IF(AND(J819=1,N819=0),1,0)</f>
        <v/>
      </c>
      <c r="P819" s="22">
        <f>INDEX(Personendaten!$J$2:$J$32,MATCH(A819,Personendaten!$A$2:$A$32,0))</f>
        <v/>
      </c>
      <c r="Q819" s="22">
        <f>IF(O819=1,"",IF(AND(B819="post",P819="nicht angetreten"),"NANG",IF(N819=1,"AUSL",IFERROR(VLOOKUP(H819,Vokabular!$A$2:$B$8,2,FALSE),"UNBEKANNT"))))</f>
        <v/>
      </c>
    </row>
    <row r="820">
      <c r="A820" s="5" t="inlineStr">
        <is>
          <t>HL-05</t>
        </is>
      </c>
      <c r="B820" s="5" t="inlineStr">
        <is>
          <t>post</t>
        </is>
      </c>
      <c r="C820" s="5" t="inlineStr">
        <is>
          <t>Sprint_30m</t>
        </is>
      </c>
      <c r="D820" s="5" t="inlineStr">
        <is>
          <t>–</t>
        </is>
      </c>
      <c r="E820" s="5" t="n">
        <v>3</v>
      </c>
      <c r="F820" s="5" t="n">
        <v>4.51</v>
      </c>
      <c r="G820" s="5" t="n"/>
      <c r="H820" s="5" t="n"/>
      <c r="I820" s="22">
        <f>INDEX(Personendaten!$C$2:$C$32,MATCH(A820,Personendaten!$A$2:$A$32,0))</f>
        <v/>
      </c>
      <c r="J820" s="22">
        <f>IF(AND(F820&lt;&gt;"",G820=""),1,0)</f>
        <v/>
      </c>
      <c r="K820" s="22">
        <f>IF(LEFT(C820,7)&lt;&gt;"Sprint_","",IF(COUNTIFS(Versuchsdaten!$A$2:$A$1117,$A820,Versuchsdaten!$B$2:$B$1117,$B820,Versuchsdaten!$C$2:$C$1117,"Sprint_5m",Versuchsdaten!$E$2:$E$1117,$E820,Versuchsdaten!$J$2:$J$1117,1)=1,SUMIFS(Versuchsdaten!$F$2:$F$1117,Versuchsdaten!$A$2:$A$1117,$A820,Versuchsdaten!$B$2:$B$1117,$B820,Versuchsdaten!$C$2:$C$1117,"Sprint_5m",Versuchsdaten!$E$2:$E$1117,$E820,Versuchsdaten!$J$2:$J$1117,1),""))</f>
        <v/>
      </c>
      <c r="L820" s="22">
        <f>IF(LEFT(C820,7)&lt;&gt;"Sprint_","",IF(COUNTIFS(Versuchsdaten!$A$2:$A$1117,$A820,Versuchsdaten!$B$2:$B$1117,$B820,Versuchsdaten!$C$2:$C$1117,"Sprint_10m",Versuchsdaten!$E$2:$E$1117,$E820,Versuchsdaten!$J$2:$J$1117,1)=1,SUMIFS(Versuchsdaten!$F$2:$F$1117,Versuchsdaten!$A$2:$A$1117,$A820,Versuchsdaten!$B$2:$B$1117,$B820,Versuchsdaten!$C$2:$C$1117,"Sprint_10m",Versuchsdaten!$E$2:$E$1117,$E820,Versuchsdaten!$J$2:$J$1117,1),""))</f>
        <v/>
      </c>
      <c r="M820" s="22">
        <f>IF(LEFT(C820,7)&lt;&gt;"Sprint_","",IF(COUNTIFS(Versuchsdaten!$A$2:$A$1117,$A820,Versuchsdaten!$B$2:$B$1117,$B820,Versuchsdaten!$C$2:$C$1117,"Sprint_30m",Versuchsdaten!$E$2:$E$1117,$E820,Versuchsdaten!$J$2:$J$1117,1)=1,SUMIFS(Versuchsdaten!$F$2:$F$1117,Versuchsdaten!$A$2:$A$1117,$A820,Versuchsdaten!$B$2:$B$1117,$B820,Versuchsdaten!$C$2:$C$1117,"Sprint_30m",Versuchsdaten!$E$2:$E$1117,$E820,Versuchsdaten!$J$2:$J$1117,1),""))</f>
        <v/>
      </c>
      <c r="N820" s="22">
        <f>IF(LEFT(C820,7)&lt;&gt;"Sprint_",0,IF(IF(ISNUMBER(K820),IF(K820&lt;=0,1,IF(5/K820&gt;10,1,0)),0)+IF(ISNUMBER(L820),IF(ISNUMBER(K820),IF(L820-K820&lt;=0,1,IF(5/(L820-K820)&gt;10,1,0)),IF(L820&lt;=0,1,IF(10/L820&gt;10,1,0))),0)+IF(ISNUMBER(M820),IF(ISNUMBER(L820),IF(M820-L820&lt;=0,1,IF(20/(M820-L820)&gt;10,1,0)),IF(ISNUMBER(K820),IF(M820-K820&lt;=0,1,IF(25/(M820-K820)&gt;10,1,0)),IF(M820&lt;=0,1,IF(30/M820&gt;10,1,0)))),0)&gt;0,1,0))</f>
        <v/>
      </c>
      <c r="O820" s="22">
        <f>IF(AND(J820=1,N820=0),1,0)</f>
        <v/>
      </c>
      <c r="P820" s="22">
        <f>INDEX(Personendaten!$J$2:$J$32,MATCH(A820,Personendaten!$A$2:$A$32,0))</f>
        <v/>
      </c>
      <c r="Q820" s="22">
        <f>IF(O820=1,"",IF(AND(B820="post",P820="nicht angetreten"),"NANG",IF(N820=1,"AUSL",IFERROR(VLOOKUP(H820,Vokabular!$A$2:$B$8,2,FALSE),"UNBEKANNT"))))</f>
        <v/>
      </c>
    </row>
    <row r="821">
      <c r="A821" s="5" t="inlineStr">
        <is>
          <t>HL-05</t>
        </is>
      </c>
      <c r="B821" s="5" t="inlineStr">
        <is>
          <t>post</t>
        </is>
      </c>
      <c r="C821" s="5" t="inlineStr">
        <is>
          <t>Standweitsprung</t>
        </is>
      </c>
      <c r="D821" s="5" t="inlineStr">
        <is>
          <t>–</t>
        </is>
      </c>
      <c r="E821" s="5" t="n">
        <v>1</v>
      </c>
      <c r="F821" s="5" t="n"/>
      <c r="G821" s="5" t="inlineStr">
        <is>
          <t>x</t>
        </is>
      </c>
      <c r="H821" s="5" t="inlineStr">
        <is>
          <t>Fehlversuch</t>
        </is>
      </c>
      <c r="I821" s="22">
        <f>INDEX(Personendaten!$C$2:$C$32,MATCH(A821,Personendaten!$A$2:$A$32,0))</f>
        <v/>
      </c>
      <c r="J821" s="22">
        <f>IF(AND(F821&lt;&gt;"",G821=""),1,0)</f>
        <v/>
      </c>
      <c r="K821" s="22">
        <f>IF(LEFT(C821,7)&lt;&gt;"Sprint_","",IF(COUNTIFS(Versuchsdaten!$A$2:$A$1117,$A821,Versuchsdaten!$B$2:$B$1117,$B821,Versuchsdaten!$C$2:$C$1117,"Sprint_5m",Versuchsdaten!$E$2:$E$1117,$E821,Versuchsdaten!$J$2:$J$1117,1)=1,SUMIFS(Versuchsdaten!$F$2:$F$1117,Versuchsdaten!$A$2:$A$1117,$A821,Versuchsdaten!$B$2:$B$1117,$B821,Versuchsdaten!$C$2:$C$1117,"Sprint_5m",Versuchsdaten!$E$2:$E$1117,$E821,Versuchsdaten!$J$2:$J$1117,1),""))</f>
        <v/>
      </c>
      <c r="L821" s="22">
        <f>IF(LEFT(C821,7)&lt;&gt;"Sprint_","",IF(COUNTIFS(Versuchsdaten!$A$2:$A$1117,$A821,Versuchsdaten!$B$2:$B$1117,$B821,Versuchsdaten!$C$2:$C$1117,"Sprint_10m",Versuchsdaten!$E$2:$E$1117,$E821,Versuchsdaten!$J$2:$J$1117,1)=1,SUMIFS(Versuchsdaten!$F$2:$F$1117,Versuchsdaten!$A$2:$A$1117,$A821,Versuchsdaten!$B$2:$B$1117,$B821,Versuchsdaten!$C$2:$C$1117,"Sprint_10m",Versuchsdaten!$E$2:$E$1117,$E821,Versuchsdaten!$J$2:$J$1117,1),""))</f>
        <v/>
      </c>
      <c r="M821" s="22">
        <f>IF(LEFT(C821,7)&lt;&gt;"Sprint_","",IF(COUNTIFS(Versuchsdaten!$A$2:$A$1117,$A821,Versuchsdaten!$B$2:$B$1117,$B821,Versuchsdaten!$C$2:$C$1117,"Sprint_30m",Versuchsdaten!$E$2:$E$1117,$E821,Versuchsdaten!$J$2:$J$1117,1)=1,SUMIFS(Versuchsdaten!$F$2:$F$1117,Versuchsdaten!$A$2:$A$1117,$A821,Versuchsdaten!$B$2:$B$1117,$B821,Versuchsdaten!$C$2:$C$1117,"Sprint_30m",Versuchsdaten!$E$2:$E$1117,$E821,Versuchsdaten!$J$2:$J$1117,1),""))</f>
        <v/>
      </c>
      <c r="N821" s="22">
        <f>IF(LEFT(C821,7)&lt;&gt;"Sprint_",0,IF(IF(ISNUMBER(K821),IF(K821&lt;=0,1,IF(5/K821&gt;10,1,0)),0)+IF(ISNUMBER(L821),IF(ISNUMBER(K821),IF(L821-K821&lt;=0,1,IF(5/(L821-K821)&gt;10,1,0)),IF(L821&lt;=0,1,IF(10/L821&gt;10,1,0))),0)+IF(ISNUMBER(M821),IF(ISNUMBER(L821),IF(M821-L821&lt;=0,1,IF(20/(M821-L821)&gt;10,1,0)),IF(ISNUMBER(K821),IF(M821-K821&lt;=0,1,IF(25/(M821-K821)&gt;10,1,0)),IF(M821&lt;=0,1,IF(30/M821&gt;10,1,0)))),0)&gt;0,1,0))</f>
        <v/>
      </c>
      <c r="O821" s="22">
        <f>IF(AND(J821=1,N821=0),1,0)</f>
        <v/>
      </c>
      <c r="P821" s="22">
        <f>INDEX(Personendaten!$J$2:$J$32,MATCH(A821,Personendaten!$A$2:$A$32,0))</f>
        <v/>
      </c>
      <c r="Q821" s="22">
        <f>IF(O821=1,"",IF(AND(B821="post",P821="nicht angetreten"),"NANG",IF(N821=1,"AUSL",IFERROR(VLOOKUP(H821,Vokabular!$A$2:$B$8,2,FALSE),"UNBEKANNT"))))</f>
        <v/>
      </c>
    </row>
    <row r="822">
      <c r="A822" s="5" t="inlineStr">
        <is>
          <t>HL-05</t>
        </is>
      </c>
      <c r="B822" s="5" t="inlineStr">
        <is>
          <t>post</t>
        </is>
      </c>
      <c r="C822" s="5" t="inlineStr">
        <is>
          <t>Standweitsprung</t>
        </is>
      </c>
      <c r="D822" s="5" t="inlineStr">
        <is>
          <t>–</t>
        </is>
      </c>
      <c r="E822" s="5" t="n">
        <v>2</v>
      </c>
      <c r="F822" s="5" t="n">
        <v>216</v>
      </c>
      <c r="G822" s="5" t="n"/>
      <c r="H822" s="5" t="n"/>
      <c r="I822" s="22">
        <f>INDEX(Personendaten!$C$2:$C$32,MATCH(A822,Personendaten!$A$2:$A$32,0))</f>
        <v/>
      </c>
      <c r="J822" s="22">
        <f>IF(AND(F822&lt;&gt;"",G822=""),1,0)</f>
        <v/>
      </c>
      <c r="K822" s="22">
        <f>IF(LEFT(C822,7)&lt;&gt;"Sprint_","",IF(COUNTIFS(Versuchsdaten!$A$2:$A$1117,$A822,Versuchsdaten!$B$2:$B$1117,$B822,Versuchsdaten!$C$2:$C$1117,"Sprint_5m",Versuchsdaten!$E$2:$E$1117,$E822,Versuchsdaten!$J$2:$J$1117,1)=1,SUMIFS(Versuchsdaten!$F$2:$F$1117,Versuchsdaten!$A$2:$A$1117,$A822,Versuchsdaten!$B$2:$B$1117,$B822,Versuchsdaten!$C$2:$C$1117,"Sprint_5m",Versuchsdaten!$E$2:$E$1117,$E822,Versuchsdaten!$J$2:$J$1117,1),""))</f>
        <v/>
      </c>
      <c r="L822" s="22">
        <f>IF(LEFT(C822,7)&lt;&gt;"Sprint_","",IF(COUNTIFS(Versuchsdaten!$A$2:$A$1117,$A822,Versuchsdaten!$B$2:$B$1117,$B822,Versuchsdaten!$C$2:$C$1117,"Sprint_10m",Versuchsdaten!$E$2:$E$1117,$E822,Versuchsdaten!$J$2:$J$1117,1)=1,SUMIFS(Versuchsdaten!$F$2:$F$1117,Versuchsdaten!$A$2:$A$1117,$A822,Versuchsdaten!$B$2:$B$1117,$B822,Versuchsdaten!$C$2:$C$1117,"Sprint_10m",Versuchsdaten!$E$2:$E$1117,$E822,Versuchsdaten!$J$2:$J$1117,1),""))</f>
        <v/>
      </c>
      <c r="M822" s="22">
        <f>IF(LEFT(C822,7)&lt;&gt;"Sprint_","",IF(COUNTIFS(Versuchsdaten!$A$2:$A$1117,$A822,Versuchsdaten!$B$2:$B$1117,$B822,Versuchsdaten!$C$2:$C$1117,"Sprint_30m",Versuchsdaten!$E$2:$E$1117,$E822,Versuchsdaten!$J$2:$J$1117,1)=1,SUMIFS(Versuchsdaten!$F$2:$F$1117,Versuchsdaten!$A$2:$A$1117,$A822,Versuchsdaten!$B$2:$B$1117,$B822,Versuchsdaten!$C$2:$C$1117,"Sprint_30m",Versuchsdaten!$E$2:$E$1117,$E822,Versuchsdaten!$J$2:$J$1117,1),""))</f>
        <v/>
      </c>
      <c r="N822" s="22">
        <f>IF(LEFT(C822,7)&lt;&gt;"Sprint_",0,IF(IF(ISNUMBER(K822),IF(K822&lt;=0,1,IF(5/K822&gt;10,1,0)),0)+IF(ISNUMBER(L822),IF(ISNUMBER(K822),IF(L822-K822&lt;=0,1,IF(5/(L822-K822)&gt;10,1,0)),IF(L822&lt;=0,1,IF(10/L822&gt;10,1,0))),0)+IF(ISNUMBER(M822),IF(ISNUMBER(L822),IF(M822-L822&lt;=0,1,IF(20/(M822-L822)&gt;10,1,0)),IF(ISNUMBER(K822),IF(M822-K822&lt;=0,1,IF(25/(M822-K822)&gt;10,1,0)),IF(M822&lt;=0,1,IF(30/M822&gt;10,1,0)))),0)&gt;0,1,0))</f>
        <v/>
      </c>
      <c r="O822" s="22">
        <f>IF(AND(J822=1,N822=0),1,0)</f>
        <v/>
      </c>
      <c r="P822" s="22">
        <f>INDEX(Personendaten!$J$2:$J$32,MATCH(A822,Personendaten!$A$2:$A$32,0))</f>
        <v/>
      </c>
      <c r="Q822" s="22">
        <f>IF(O822=1,"",IF(AND(B822="post",P822="nicht angetreten"),"NANG",IF(N822=1,"AUSL",IFERROR(VLOOKUP(H822,Vokabular!$A$2:$B$8,2,FALSE),"UNBEKANNT"))))</f>
        <v/>
      </c>
    </row>
    <row r="823">
      <c r="A823" s="5" t="inlineStr">
        <is>
          <t>HL-05</t>
        </is>
      </c>
      <c r="B823" s="5" t="inlineStr">
        <is>
          <t>post</t>
        </is>
      </c>
      <c r="C823" s="5" t="inlineStr">
        <is>
          <t>Standweitsprung</t>
        </is>
      </c>
      <c r="D823" s="5" t="inlineStr">
        <is>
          <t>–</t>
        </is>
      </c>
      <c r="E823" s="5" t="n">
        <v>3</v>
      </c>
      <c r="F823" s="5" t="n"/>
      <c r="G823" s="5" t="n"/>
      <c r="H823" s="5" t="inlineStr">
        <is>
          <t>Nur 2 Versuche aus Zeitmangel</t>
        </is>
      </c>
      <c r="I823" s="22">
        <f>INDEX(Personendaten!$C$2:$C$32,MATCH(A823,Personendaten!$A$2:$A$32,0))</f>
        <v/>
      </c>
      <c r="J823" s="22">
        <f>IF(AND(F823&lt;&gt;"",G823=""),1,0)</f>
        <v/>
      </c>
      <c r="K823" s="22">
        <f>IF(LEFT(C823,7)&lt;&gt;"Sprint_","",IF(COUNTIFS(Versuchsdaten!$A$2:$A$1117,$A823,Versuchsdaten!$B$2:$B$1117,$B823,Versuchsdaten!$C$2:$C$1117,"Sprint_5m",Versuchsdaten!$E$2:$E$1117,$E823,Versuchsdaten!$J$2:$J$1117,1)=1,SUMIFS(Versuchsdaten!$F$2:$F$1117,Versuchsdaten!$A$2:$A$1117,$A823,Versuchsdaten!$B$2:$B$1117,$B823,Versuchsdaten!$C$2:$C$1117,"Sprint_5m",Versuchsdaten!$E$2:$E$1117,$E823,Versuchsdaten!$J$2:$J$1117,1),""))</f>
        <v/>
      </c>
      <c r="L823" s="22">
        <f>IF(LEFT(C823,7)&lt;&gt;"Sprint_","",IF(COUNTIFS(Versuchsdaten!$A$2:$A$1117,$A823,Versuchsdaten!$B$2:$B$1117,$B823,Versuchsdaten!$C$2:$C$1117,"Sprint_10m",Versuchsdaten!$E$2:$E$1117,$E823,Versuchsdaten!$J$2:$J$1117,1)=1,SUMIFS(Versuchsdaten!$F$2:$F$1117,Versuchsdaten!$A$2:$A$1117,$A823,Versuchsdaten!$B$2:$B$1117,$B823,Versuchsdaten!$C$2:$C$1117,"Sprint_10m",Versuchsdaten!$E$2:$E$1117,$E823,Versuchsdaten!$J$2:$J$1117,1),""))</f>
        <v/>
      </c>
      <c r="M823" s="22">
        <f>IF(LEFT(C823,7)&lt;&gt;"Sprint_","",IF(COUNTIFS(Versuchsdaten!$A$2:$A$1117,$A823,Versuchsdaten!$B$2:$B$1117,$B823,Versuchsdaten!$C$2:$C$1117,"Sprint_30m",Versuchsdaten!$E$2:$E$1117,$E823,Versuchsdaten!$J$2:$J$1117,1)=1,SUMIFS(Versuchsdaten!$F$2:$F$1117,Versuchsdaten!$A$2:$A$1117,$A823,Versuchsdaten!$B$2:$B$1117,$B823,Versuchsdaten!$C$2:$C$1117,"Sprint_30m",Versuchsdaten!$E$2:$E$1117,$E823,Versuchsdaten!$J$2:$J$1117,1),""))</f>
        <v/>
      </c>
      <c r="N823" s="22">
        <f>IF(LEFT(C823,7)&lt;&gt;"Sprint_",0,IF(IF(ISNUMBER(K823),IF(K823&lt;=0,1,IF(5/K823&gt;10,1,0)),0)+IF(ISNUMBER(L823),IF(ISNUMBER(K823),IF(L823-K823&lt;=0,1,IF(5/(L823-K823)&gt;10,1,0)),IF(L823&lt;=0,1,IF(10/L823&gt;10,1,0))),0)+IF(ISNUMBER(M823),IF(ISNUMBER(L823),IF(M823-L823&lt;=0,1,IF(20/(M823-L823)&gt;10,1,0)),IF(ISNUMBER(K823),IF(M823-K823&lt;=0,1,IF(25/(M823-K823)&gt;10,1,0)),IF(M823&lt;=0,1,IF(30/M823&gt;10,1,0)))),0)&gt;0,1,0))</f>
        <v/>
      </c>
      <c r="O823" s="22">
        <f>IF(AND(J823=1,N823=0),1,0)</f>
        <v/>
      </c>
      <c r="P823" s="22">
        <f>INDEX(Personendaten!$J$2:$J$32,MATCH(A823,Personendaten!$A$2:$A$32,0))</f>
        <v/>
      </c>
      <c r="Q823" s="22">
        <f>IF(O823=1,"",IF(AND(B823="post",P823="nicht angetreten"),"NANG",IF(N823=1,"AUSL",IFERROR(VLOOKUP(H823,Vokabular!$A$2:$B$8,2,FALSE),"UNBEKANNT"))))</f>
        <v/>
      </c>
    </row>
    <row r="824">
      <c r="A824" s="5" t="inlineStr">
        <is>
          <t>HL-05</t>
        </is>
      </c>
      <c r="B824" s="5" t="inlineStr">
        <is>
          <t>post</t>
        </is>
      </c>
      <c r="C824" s="5" t="inlineStr">
        <is>
          <t>COD_505</t>
        </is>
      </c>
      <c r="D824" s="5" t="inlineStr">
        <is>
          <t>L</t>
        </is>
      </c>
      <c r="E824" s="5" t="n">
        <v>1</v>
      </c>
      <c r="F824" s="5" t="n">
        <v>2.56</v>
      </c>
      <c r="G824" s="5" t="n"/>
      <c r="H824" s="5" t="n"/>
      <c r="I824" s="22">
        <f>INDEX(Personendaten!$C$2:$C$32,MATCH(A824,Personendaten!$A$2:$A$32,0))</f>
        <v/>
      </c>
      <c r="J824" s="22">
        <f>IF(AND(F824&lt;&gt;"",G824=""),1,0)</f>
        <v/>
      </c>
      <c r="K824" s="22">
        <f>IF(LEFT(C824,7)&lt;&gt;"Sprint_","",IF(COUNTIFS(Versuchsdaten!$A$2:$A$1117,$A824,Versuchsdaten!$B$2:$B$1117,$B824,Versuchsdaten!$C$2:$C$1117,"Sprint_5m",Versuchsdaten!$E$2:$E$1117,$E824,Versuchsdaten!$J$2:$J$1117,1)=1,SUMIFS(Versuchsdaten!$F$2:$F$1117,Versuchsdaten!$A$2:$A$1117,$A824,Versuchsdaten!$B$2:$B$1117,$B824,Versuchsdaten!$C$2:$C$1117,"Sprint_5m",Versuchsdaten!$E$2:$E$1117,$E824,Versuchsdaten!$J$2:$J$1117,1),""))</f>
        <v/>
      </c>
      <c r="L824" s="22">
        <f>IF(LEFT(C824,7)&lt;&gt;"Sprint_","",IF(COUNTIFS(Versuchsdaten!$A$2:$A$1117,$A824,Versuchsdaten!$B$2:$B$1117,$B824,Versuchsdaten!$C$2:$C$1117,"Sprint_10m",Versuchsdaten!$E$2:$E$1117,$E824,Versuchsdaten!$J$2:$J$1117,1)=1,SUMIFS(Versuchsdaten!$F$2:$F$1117,Versuchsdaten!$A$2:$A$1117,$A824,Versuchsdaten!$B$2:$B$1117,$B824,Versuchsdaten!$C$2:$C$1117,"Sprint_10m",Versuchsdaten!$E$2:$E$1117,$E824,Versuchsdaten!$J$2:$J$1117,1),""))</f>
        <v/>
      </c>
      <c r="M824" s="22">
        <f>IF(LEFT(C824,7)&lt;&gt;"Sprint_","",IF(COUNTIFS(Versuchsdaten!$A$2:$A$1117,$A824,Versuchsdaten!$B$2:$B$1117,$B824,Versuchsdaten!$C$2:$C$1117,"Sprint_30m",Versuchsdaten!$E$2:$E$1117,$E824,Versuchsdaten!$J$2:$J$1117,1)=1,SUMIFS(Versuchsdaten!$F$2:$F$1117,Versuchsdaten!$A$2:$A$1117,$A824,Versuchsdaten!$B$2:$B$1117,$B824,Versuchsdaten!$C$2:$C$1117,"Sprint_30m",Versuchsdaten!$E$2:$E$1117,$E824,Versuchsdaten!$J$2:$J$1117,1),""))</f>
        <v/>
      </c>
      <c r="N824" s="22">
        <f>IF(LEFT(C824,7)&lt;&gt;"Sprint_",0,IF(IF(ISNUMBER(K824),IF(K824&lt;=0,1,IF(5/K824&gt;10,1,0)),0)+IF(ISNUMBER(L824),IF(ISNUMBER(K824),IF(L824-K824&lt;=0,1,IF(5/(L824-K824)&gt;10,1,0)),IF(L824&lt;=0,1,IF(10/L824&gt;10,1,0))),0)+IF(ISNUMBER(M824),IF(ISNUMBER(L824),IF(M824-L824&lt;=0,1,IF(20/(M824-L824)&gt;10,1,0)),IF(ISNUMBER(K824),IF(M824-K824&lt;=0,1,IF(25/(M824-K824)&gt;10,1,0)),IF(M824&lt;=0,1,IF(30/M824&gt;10,1,0)))),0)&gt;0,1,0))</f>
        <v/>
      </c>
      <c r="O824" s="22">
        <f>IF(AND(J824=1,N824=0),1,0)</f>
        <v/>
      </c>
      <c r="P824" s="22">
        <f>INDEX(Personendaten!$J$2:$J$32,MATCH(A824,Personendaten!$A$2:$A$32,0))</f>
        <v/>
      </c>
      <c r="Q824" s="22">
        <f>IF(O824=1,"",IF(AND(B824="post",P824="nicht angetreten"),"NANG",IF(N824=1,"AUSL",IFERROR(VLOOKUP(H824,Vokabular!$A$2:$B$8,2,FALSE),"UNBEKANNT"))))</f>
        <v/>
      </c>
    </row>
    <row r="825">
      <c r="A825" s="5" t="inlineStr">
        <is>
          <t>HL-05</t>
        </is>
      </c>
      <c r="B825" s="5" t="inlineStr">
        <is>
          <t>post</t>
        </is>
      </c>
      <c r="C825" s="5" t="inlineStr">
        <is>
          <t>COD_505</t>
        </is>
      </c>
      <c r="D825" s="5" t="inlineStr">
        <is>
          <t>L</t>
        </is>
      </c>
      <c r="E825" s="5" t="n">
        <v>2</v>
      </c>
      <c r="F825" s="5" t="n">
        <v>2.48</v>
      </c>
      <c r="G825" s="5" t="n"/>
      <c r="H825" s="5" t="n"/>
      <c r="I825" s="22">
        <f>INDEX(Personendaten!$C$2:$C$32,MATCH(A825,Personendaten!$A$2:$A$32,0))</f>
        <v/>
      </c>
      <c r="J825" s="22">
        <f>IF(AND(F825&lt;&gt;"",G825=""),1,0)</f>
        <v/>
      </c>
      <c r="K825" s="22">
        <f>IF(LEFT(C825,7)&lt;&gt;"Sprint_","",IF(COUNTIFS(Versuchsdaten!$A$2:$A$1117,$A825,Versuchsdaten!$B$2:$B$1117,$B825,Versuchsdaten!$C$2:$C$1117,"Sprint_5m",Versuchsdaten!$E$2:$E$1117,$E825,Versuchsdaten!$J$2:$J$1117,1)=1,SUMIFS(Versuchsdaten!$F$2:$F$1117,Versuchsdaten!$A$2:$A$1117,$A825,Versuchsdaten!$B$2:$B$1117,$B825,Versuchsdaten!$C$2:$C$1117,"Sprint_5m",Versuchsdaten!$E$2:$E$1117,$E825,Versuchsdaten!$J$2:$J$1117,1),""))</f>
        <v/>
      </c>
      <c r="L825" s="22">
        <f>IF(LEFT(C825,7)&lt;&gt;"Sprint_","",IF(COUNTIFS(Versuchsdaten!$A$2:$A$1117,$A825,Versuchsdaten!$B$2:$B$1117,$B825,Versuchsdaten!$C$2:$C$1117,"Sprint_10m",Versuchsdaten!$E$2:$E$1117,$E825,Versuchsdaten!$J$2:$J$1117,1)=1,SUMIFS(Versuchsdaten!$F$2:$F$1117,Versuchsdaten!$A$2:$A$1117,$A825,Versuchsdaten!$B$2:$B$1117,$B825,Versuchsdaten!$C$2:$C$1117,"Sprint_10m",Versuchsdaten!$E$2:$E$1117,$E825,Versuchsdaten!$J$2:$J$1117,1),""))</f>
        <v/>
      </c>
      <c r="M825" s="22">
        <f>IF(LEFT(C825,7)&lt;&gt;"Sprint_","",IF(COUNTIFS(Versuchsdaten!$A$2:$A$1117,$A825,Versuchsdaten!$B$2:$B$1117,$B825,Versuchsdaten!$C$2:$C$1117,"Sprint_30m",Versuchsdaten!$E$2:$E$1117,$E825,Versuchsdaten!$J$2:$J$1117,1)=1,SUMIFS(Versuchsdaten!$F$2:$F$1117,Versuchsdaten!$A$2:$A$1117,$A825,Versuchsdaten!$B$2:$B$1117,$B825,Versuchsdaten!$C$2:$C$1117,"Sprint_30m",Versuchsdaten!$E$2:$E$1117,$E825,Versuchsdaten!$J$2:$J$1117,1),""))</f>
        <v/>
      </c>
      <c r="N825" s="22">
        <f>IF(LEFT(C825,7)&lt;&gt;"Sprint_",0,IF(IF(ISNUMBER(K825),IF(K825&lt;=0,1,IF(5/K825&gt;10,1,0)),0)+IF(ISNUMBER(L825),IF(ISNUMBER(K825),IF(L825-K825&lt;=0,1,IF(5/(L825-K825)&gt;10,1,0)),IF(L825&lt;=0,1,IF(10/L825&gt;10,1,0))),0)+IF(ISNUMBER(M825),IF(ISNUMBER(L825),IF(M825-L825&lt;=0,1,IF(20/(M825-L825)&gt;10,1,0)),IF(ISNUMBER(K825),IF(M825-K825&lt;=0,1,IF(25/(M825-K825)&gt;10,1,0)),IF(M825&lt;=0,1,IF(30/M825&gt;10,1,0)))),0)&gt;0,1,0))</f>
        <v/>
      </c>
      <c r="O825" s="22">
        <f>IF(AND(J825=1,N825=0),1,0)</f>
        <v/>
      </c>
      <c r="P825" s="22">
        <f>INDEX(Personendaten!$J$2:$J$32,MATCH(A825,Personendaten!$A$2:$A$32,0))</f>
        <v/>
      </c>
      <c r="Q825" s="22">
        <f>IF(O825=1,"",IF(AND(B825="post",P825="nicht angetreten"),"NANG",IF(N825=1,"AUSL",IFERROR(VLOOKUP(H825,Vokabular!$A$2:$B$8,2,FALSE),"UNBEKANNT"))))</f>
        <v/>
      </c>
    </row>
    <row r="826">
      <c r="A826" s="5" t="inlineStr">
        <is>
          <t>HL-05</t>
        </is>
      </c>
      <c r="B826" s="5" t="inlineStr">
        <is>
          <t>post</t>
        </is>
      </c>
      <c r="C826" s="5" t="inlineStr">
        <is>
          <t>COD_505</t>
        </is>
      </c>
      <c r="D826" s="5" t="inlineStr">
        <is>
          <t>L</t>
        </is>
      </c>
      <c r="E826" s="5" t="n">
        <v>3</v>
      </c>
      <c r="F826" s="5" t="n"/>
      <c r="G826" s="5" t="n"/>
      <c r="H826" s="5" t="inlineStr">
        <is>
          <t>Nur 2 Versuche aus Zeitmangel</t>
        </is>
      </c>
      <c r="I826" s="22">
        <f>INDEX(Personendaten!$C$2:$C$32,MATCH(A826,Personendaten!$A$2:$A$32,0))</f>
        <v/>
      </c>
      <c r="J826" s="22">
        <f>IF(AND(F826&lt;&gt;"",G826=""),1,0)</f>
        <v/>
      </c>
      <c r="K826" s="22">
        <f>IF(LEFT(C826,7)&lt;&gt;"Sprint_","",IF(COUNTIFS(Versuchsdaten!$A$2:$A$1117,$A826,Versuchsdaten!$B$2:$B$1117,$B826,Versuchsdaten!$C$2:$C$1117,"Sprint_5m",Versuchsdaten!$E$2:$E$1117,$E826,Versuchsdaten!$J$2:$J$1117,1)=1,SUMIFS(Versuchsdaten!$F$2:$F$1117,Versuchsdaten!$A$2:$A$1117,$A826,Versuchsdaten!$B$2:$B$1117,$B826,Versuchsdaten!$C$2:$C$1117,"Sprint_5m",Versuchsdaten!$E$2:$E$1117,$E826,Versuchsdaten!$J$2:$J$1117,1),""))</f>
        <v/>
      </c>
      <c r="L826" s="22">
        <f>IF(LEFT(C826,7)&lt;&gt;"Sprint_","",IF(COUNTIFS(Versuchsdaten!$A$2:$A$1117,$A826,Versuchsdaten!$B$2:$B$1117,$B826,Versuchsdaten!$C$2:$C$1117,"Sprint_10m",Versuchsdaten!$E$2:$E$1117,$E826,Versuchsdaten!$J$2:$J$1117,1)=1,SUMIFS(Versuchsdaten!$F$2:$F$1117,Versuchsdaten!$A$2:$A$1117,$A826,Versuchsdaten!$B$2:$B$1117,$B826,Versuchsdaten!$C$2:$C$1117,"Sprint_10m",Versuchsdaten!$E$2:$E$1117,$E826,Versuchsdaten!$J$2:$J$1117,1),""))</f>
        <v/>
      </c>
      <c r="M826" s="22">
        <f>IF(LEFT(C826,7)&lt;&gt;"Sprint_","",IF(COUNTIFS(Versuchsdaten!$A$2:$A$1117,$A826,Versuchsdaten!$B$2:$B$1117,$B826,Versuchsdaten!$C$2:$C$1117,"Sprint_30m",Versuchsdaten!$E$2:$E$1117,$E826,Versuchsdaten!$J$2:$J$1117,1)=1,SUMIFS(Versuchsdaten!$F$2:$F$1117,Versuchsdaten!$A$2:$A$1117,$A826,Versuchsdaten!$B$2:$B$1117,$B826,Versuchsdaten!$C$2:$C$1117,"Sprint_30m",Versuchsdaten!$E$2:$E$1117,$E826,Versuchsdaten!$J$2:$J$1117,1),""))</f>
        <v/>
      </c>
      <c r="N826" s="22">
        <f>IF(LEFT(C826,7)&lt;&gt;"Sprint_",0,IF(IF(ISNUMBER(K826),IF(K826&lt;=0,1,IF(5/K826&gt;10,1,0)),0)+IF(ISNUMBER(L826),IF(ISNUMBER(K826),IF(L826-K826&lt;=0,1,IF(5/(L826-K826)&gt;10,1,0)),IF(L826&lt;=0,1,IF(10/L826&gt;10,1,0))),0)+IF(ISNUMBER(M826),IF(ISNUMBER(L826),IF(M826-L826&lt;=0,1,IF(20/(M826-L826)&gt;10,1,0)),IF(ISNUMBER(K826),IF(M826-K826&lt;=0,1,IF(25/(M826-K826)&gt;10,1,0)),IF(M826&lt;=0,1,IF(30/M826&gt;10,1,0)))),0)&gt;0,1,0))</f>
        <v/>
      </c>
      <c r="O826" s="22">
        <f>IF(AND(J826=1,N826=0),1,0)</f>
        <v/>
      </c>
      <c r="P826" s="22">
        <f>INDEX(Personendaten!$J$2:$J$32,MATCH(A826,Personendaten!$A$2:$A$32,0))</f>
        <v/>
      </c>
      <c r="Q826" s="22">
        <f>IF(O826=1,"",IF(AND(B826="post",P826="nicht angetreten"),"NANG",IF(N826=1,"AUSL",IFERROR(VLOOKUP(H826,Vokabular!$A$2:$B$8,2,FALSE),"UNBEKANNT"))))</f>
        <v/>
      </c>
    </row>
    <row r="827">
      <c r="A827" s="5" t="inlineStr">
        <is>
          <t>HL-05</t>
        </is>
      </c>
      <c r="B827" s="5" t="inlineStr">
        <is>
          <t>post</t>
        </is>
      </c>
      <c r="C827" s="5" t="inlineStr">
        <is>
          <t>COD_505</t>
        </is>
      </c>
      <c r="D827" s="5" t="inlineStr">
        <is>
          <t>R</t>
        </is>
      </c>
      <c r="E827" s="5" t="n">
        <v>1</v>
      </c>
      <c r="F827" s="5" t="n">
        <v>2.51</v>
      </c>
      <c r="G827" s="5" t="n"/>
      <c r="H827" s="5" t="n"/>
      <c r="I827" s="22">
        <f>INDEX(Personendaten!$C$2:$C$32,MATCH(A827,Personendaten!$A$2:$A$32,0))</f>
        <v/>
      </c>
      <c r="J827" s="22">
        <f>IF(AND(F827&lt;&gt;"",G827=""),1,0)</f>
        <v/>
      </c>
      <c r="K827" s="22">
        <f>IF(LEFT(C827,7)&lt;&gt;"Sprint_","",IF(COUNTIFS(Versuchsdaten!$A$2:$A$1117,$A827,Versuchsdaten!$B$2:$B$1117,$B827,Versuchsdaten!$C$2:$C$1117,"Sprint_5m",Versuchsdaten!$E$2:$E$1117,$E827,Versuchsdaten!$J$2:$J$1117,1)=1,SUMIFS(Versuchsdaten!$F$2:$F$1117,Versuchsdaten!$A$2:$A$1117,$A827,Versuchsdaten!$B$2:$B$1117,$B827,Versuchsdaten!$C$2:$C$1117,"Sprint_5m",Versuchsdaten!$E$2:$E$1117,$E827,Versuchsdaten!$J$2:$J$1117,1),""))</f>
        <v/>
      </c>
      <c r="L827" s="22">
        <f>IF(LEFT(C827,7)&lt;&gt;"Sprint_","",IF(COUNTIFS(Versuchsdaten!$A$2:$A$1117,$A827,Versuchsdaten!$B$2:$B$1117,$B827,Versuchsdaten!$C$2:$C$1117,"Sprint_10m",Versuchsdaten!$E$2:$E$1117,$E827,Versuchsdaten!$J$2:$J$1117,1)=1,SUMIFS(Versuchsdaten!$F$2:$F$1117,Versuchsdaten!$A$2:$A$1117,$A827,Versuchsdaten!$B$2:$B$1117,$B827,Versuchsdaten!$C$2:$C$1117,"Sprint_10m",Versuchsdaten!$E$2:$E$1117,$E827,Versuchsdaten!$J$2:$J$1117,1),""))</f>
        <v/>
      </c>
      <c r="M827" s="22">
        <f>IF(LEFT(C827,7)&lt;&gt;"Sprint_","",IF(COUNTIFS(Versuchsdaten!$A$2:$A$1117,$A827,Versuchsdaten!$B$2:$B$1117,$B827,Versuchsdaten!$C$2:$C$1117,"Sprint_30m",Versuchsdaten!$E$2:$E$1117,$E827,Versuchsdaten!$J$2:$J$1117,1)=1,SUMIFS(Versuchsdaten!$F$2:$F$1117,Versuchsdaten!$A$2:$A$1117,$A827,Versuchsdaten!$B$2:$B$1117,$B827,Versuchsdaten!$C$2:$C$1117,"Sprint_30m",Versuchsdaten!$E$2:$E$1117,$E827,Versuchsdaten!$J$2:$J$1117,1),""))</f>
        <v/>
      </c>
      <c r="N827" s="22">
        <f>IF(LEFT(C827,7)&lt;&gt;"Sprint_",0,IF(IF(ISNUMBER(K827),IF(K827&lt;=0,1,IF(5/K827&gt;10,1,0)),0)+IF(ISNUMBER(L827),IF(ISNUMBER(K827),IF(L827-K827&lt;=0,1,IF(5/(L827-K827)&gt;10,1,0)),IF(L827&lt;=0,1,IF(10/L827&gt;10,1,0))),0)+IF(ISNUMBER(M827),IF(ISNUMBER(L827),IF(M827-L827&lt;=0,1,IF(20/(M827-L827)&gt;10,1,0)),IF(ISNUMBER(K827),IF(M827-K827&lt;=0,1,IF(25/(M827-K827)&gt;10,1,0)),IF(M827&lt;=0,1,IF(30/M827&gt;10,1,0)))),0)&gt;0,1,0))</f>
        <v/>
      </c>
      <c r="O827" s="22">
        <f>IF(AND(J827=1,N827=0),1,0)</f>
        <v/>
      </c>
      <c r="P827" s="22">
        <f>INDEX(Personendaten!$J$2:$J$32,MATCH(A827,Personendaten!$A$2:$A$32,0))</f>
        <v/>
      </c>
      <c r="Q827" s="22">
        <f>IF(O827=1,"",IF(AND(B827="post",P827="nicht angetreten"),"NANG",IF(N827=1,"AUSL",IFERROR(VLOOKUP(H827,Vokabular!$A$2:$B$8,2,FALSE),"UNBEKANNT"))))</f>
        <v/>
      </c>
    </row>
    <row r="828">
      <c r="A828" s="5" t="inlineStr">
        <is>
          <t>HL-05</t>
        </is>
      </c>
      <c r="B828" s="5" t="inlineStr">
        <is>
          <t>post</t>
        </is>
      </c>
      <c r="C828" s="5" t="inlineStr">
        <is>
          <t>COD_505</t>
        </is>
      </c>
      <c r="D828" s="5" t="inlineStr">
        <is>
          <t>R</t>
        </is>
      </c>
      <c r="E828" s="5" t="n">
        <v>2</v>
      </c>
      <c r="F828" s="5" t="n">
        <v>2.36</v>
      </c>
      <c r="G828" s="5" t="n"/>
      <c r="H828" s="5" t="n"/>
      <c r="I828" s="22">
        <f>INDEX(Personendaten!$C$2:$C$32,MATCH(A828,Personendaten!$A$2:$A$32,0))</f>
        <v/>
      </c>
      <c r="J828" s="22">
        <f>IF(AND(F828&lt;&gt;"",G828=""),1,0)</f>
        <v/>
      </c>
      <c r="K828" s="22">
        <f>IF(LEFT(C828,7)&lt;&gt;"Sprint_","",IF(COUNTIFS(Versuchsdaten!$A$2:$A$1117,$A828,Versuchsdaten!$B$2:$B$1117,$B828,Versuchsdaten!$C$2:$C$1117,"Sprint_5m",Versuchsdaten!$E$2:$E$1117,$E828,Versuchsdaten!$J$2:$J$1117,1)=1,SUMIFS(Versuchsdaten!$F$2:$F$1117,Versuchsdaten!$A$2:$A$1117,$A828,Versuchsdaten!$B$2:$B$1117,$B828,Versuchsdaten!$C$2:$C$1117,"Sprint_5m",Versuchsdaten!$E$2:$E$1117,$E828,Versuchsdaten!$J$2:$J$1117,1),""))</f>
        <v/>
      </c>
      <c r="L828" s="22">
        <f>IF(LEFT(C828,7)&lt;&gt;"Sprint_","",IF(COUNTIFS(Versuchsdaten!$A$2:$A$1117,$A828,Versuchsdaten!$B$2:$B$1117,$B828,Versuchsdaten!$C$2:$C$1117,"Sprint_10m",Versuchsdaten!$E$2:$E$1117,$E828,Versuchsdaten!$J$2:$J$1117,1)=1,SUMIFS(Versuchsdaten!$F$2:$F$1117,Versuchsdaten!$A$2:$A$1117,$A828,Versuchsdaten!$B$2:$B$1117,$B828,Versuchsdaten!$C$2:$C$1117,"Sprint_10m",Versuchsdaten!$E$2:$E$1117,$E828,Versuchsdaten!$J$2:$J$1117,1),""))</f>
        <v/>
      </c>
      <c r="M828" s="22">
        <f>IF(LEFT(C828,7)&lt;&gt;"Sprint_","",IF(COUNTIFS(Versuchsdaten!$A$2:$A$1117,$A828,Versuchsdaten!$B$2:$B$1117,$B828,Versuchsdaten!$C$2:$C$1117,"Sprint_30m",Versuchsdaten!$E$2:$E$1117,$E828,Versuchsdaten!$J$2:$J$1117,1)=1,SUMIFS(Versuchsdaten!$F$2:$F$1117,Versuchsdaten!$A$2:$A$1117,$A828,Versuchsdaten!$B$2:$B$1117,$B828,Versuchsdaten!$C$2:$C$1117,"Sprint_30m",Versuchsdaten!$E$2:$E$1117,$E828,Versuchsdaten!$J$2:$J$1117,1),""))</f>
        <v/>
      </c>
      <c r="N828" s="22">
        <f>IF(LEFT(C828,7)&lt;&gt;"Sprint_",0,IF(IF(ISNUMBER(K828),IF(K828&lt;=0,1,IF(5/K828&gt;10,1,0)),0)+IF(ISNUMBER(L828),IF(ISNUMBER(K828),IF(L828-K828&lt;=0,1,IF(5/(L828-K828)&gt;10,1,0)),IF(L828&lt;=0,1,IF(10/L828&gt;10,1,0))),0)+IF(ISNUMBER(M828),IF(ISNUMBER(L828),IF(M828-L828&lt;=0,1,IF(20/(M828-L828)&gt;10,1,0)),IF(ISNUMBER(K828),IF(M828-K828&lt;=0,1,IF(25/(M828-K828)&gt;10,1,0)),IF(M828&lt;=0,1,IF(30/M828&gt;10,1,0)))),0)&gt;0,1,0))</f>
        <v/>
      </c>
      <c r="O828" s="22">
        <f>IF(AND(J828=1,N828=0),1,0)</f>
        <v/>
      </c>
      <c r="P828" s="22">
        <f>INDEX(Personendaten!$J$2:$J$32,MATCH(A828,Personendaten!$A$2:$A$32,0))</f>
        <v/>
      </c>
      <c r="Q828" s="22">
        <f>IF(O828=1,"",IF(AND(B828="post",P828="nicht angetreten"),"NANG",IF(N828=1,"AUSL",IFERROR(VLOOKUP(H828,Vokabular!$A$2:$B$8,2,FALSE),"UNBEKANNT"))))</f>
        <v/>
      </c>
    </row>
    <row r="829">
      <c r="A829" s="5" t="inlineStr">
        <is>
          <t>HL-05</t>
        </is>
      </c>
      <c r="B829" s="5" t="inlineStr">
        <is>
          <t>post</t>
        </is>
      </c>
      <c r="C829" s="5" t="inlineStr">
        <is>
          <t>COD_505</t>
        </is>
      </c>
      <c r="D829" s="5" t="inlineStr">
        <is>
          <t>R</t>
        </is>
      </c>
      <c r="E829" s="5" t="n">
        <v>3</v>
      </c>
      <c r="F829" s="5" t="n"/>
      <c r="G829" s="5" t="n"/>
      <c r="H829" s="5" t="inlineStr">
        <is>
          <t>Nur 2 Versuche aus Zeitmangel</t>
        </is>
      </c>
      <c r="I829" s="22">
        <f>INDEX(Personendaten!$C$2:$C$32,MATCH(A829,Personendaten!$A$2:$A$32,0))</f>
        <v/>
      </c>
      <c r="J829" s="22">
        <f>IF(AND(F829&lt;&gt;"",G829=""),1,0)</f>
        <v/>
      </c>
      <c r="K829" s="22">
        <f>IF(LEFT(C829,7)&lt;&gt;"Sprint_","",IF(COUNTIFS(Versuchsdaten!$A$2:$A$1117,$A829,Versuchsdaten!$B$2:$B$1117,$B829,Versuchsdaten!$C$2:$C$1117,"Sprint_5m",Versuchsdaten!$E$2:$E$1117,$E829,Versuchsdaten!$J$2:$J$1117,1)=1,SUMIFS(Versuchsdaten!$F$2:$F$1117,Versuchsdaten!$A$2:$A$1117,$A829,Versuchsdaten!$B$2:$B$1117,$B829,Versuchsdaten!$C$2:$C$1117,"Sprint_5m",Versuchsdaten!$E$2:$E$1117,$E829,Versuchsdaten!$J$2:$J$1117,1),""))</f>
        <v/>
      </c>
      <c r="L829" s="22">
        <f>IF(LEFT(C829,7)&lt;&gt;"Sprint_","",IF(COUNTIFS(Versuchsdaten!$A$2:$A$1117,$A829,Versuchsdaten!$B$2:$B$1117,$B829,Versuchsdaten!$C$2:$C$1117,"Sprint_10m",Versuchsdaten!$E$2:$E$1117,$E829,Versuchsdaten!$J$2:$J$1117,1)=1,SUMIFS(Versuchsdaten!$F$2:$F$1117,Versuchsdaten!$A$2:$A$1117,$A829,Versuchsdaten!$B$2:$B$1117,$B829,Versuchsdaten!$C$2:$C$1117,"Sprint_10m",Versuchsdaten!$E$2:$E$1117,$E829,Versuchsdaten!$J$2:$J$1117,1),""))</f>
        <v/>
      </c>
      <c r="M829" s="22">
        <f>IF(LEFT(C829,7)&lt;&gt;"Sprint_","",IF(COUNTIFS(Versuchsdaten!$A$2:$A$1117,$A829,Versuchsdaten!$B$2:$B$1117,$B829,Versuchsdaten!$C$2:$C$1117,"Sprint_30m",Versuchsdaten!$E$2:$E$1117,$E829,Versuchsdaten!$J$2:$J$1117,1)=1,SUMIFS(Versuchsdaten!$F$2:$F$1117,Versuchsdaten!$A$2:$A$1117,$A829,Versuchsdaten!$B$2:$B$1117,$B829,Versuchsdaten!$C$2:$C$1117,"Sprint_30m",Versuchsdaten!$E$2:$E$1117,$E829,Versuchsdaten!$J$2:$J$1117,1),""))</f>
        <v/>
      </c>
      <c r="N829" s="22">
        <f>IF(LEFT(C829,7)&lt;&gt;"Sprint_",0,IF(IF(ISNUMBER(K829),IF(K829&lt;=0,1,IF(5/K829&gt;10,1,0)),0)+IF(ISNUMBER(L829),IF(ISNUMBER(K829),IF(L829-K829&lt;=0,1,IF(5/(L829-K829)&gt;10,1,0)),IF(L829&lt;=0,1,IF(10/L829&gt;10,1,0))),0)+IF(ISNUMBER(M829),IF(ISNUMBER(L829),IF(M829-L829&lt;=0,1,IF(20/(M829-L829)&gt;10,1,0)),IF(ISNUMBER(K829),IF(M829-K829&lt;=0,1,IF(25/(M829-K829)&gt;10,1,0)),IF(M829&lt;=0,1,IF(30/M829&gt;10,1,0)))),0)&gt;0,1,0))</f>
        <v/>
      </c>
      <c r="O829" s="22">
        <f>IF(AND(J829=1,N829=0),1,0)</f>
        <v/>
      </c>
      <c r="P829" s="22">
        <f>INDEX(Personendaten!$J$2:$J$32,MATCH(A829,Personendaten!$A$2:$A$32,0))</f>
        <v/>
      </c>
      <c r="Q829" s="22">
        <f>IF(O829=1,"",IF(AND(B829="post",P829="nicht angetreten"),"NANG",IF(N829=1,"AUSL",IFERROR(VLOOKUP(H829,Vokabular!$A$2:$B$8,2,FALSE),"UNBEKANNT"))))</f>
        <v/>
      </c>
    </row>
    <row r="830">
      <c r="A830" s="5" t="inlineStr">
        <is>
          <t>HL-06</t>
        </is>
      </c>
      <c r="B830" s="5" t="inlineStr">
        <is>
          <t>post</t>
        </is>
      </c>
      <c r="C830" s="5" t="inlineStr">
        <is>
          <t>Sprint_5m</t>
        </is>
      </c>
      <c r="D830" s="5" t="inlineStr">
        <is>
          <t>–</t>
        </is>
      </c>
      <c r="E830" s="5" t="n">
        <v>1</v>
      </c>
      <c r="F830" s="5" t="n">
        <v>1.03</v>
      </c>
      <c r="G830" s="5" t="n"/>
      <c r="H830" s="5" t="n"/>
      <c r="I830" s="22">
        <f>INDEX(Personendaten!$C$2:$C$32,MATCH(A830,Personendaten!$A$2:$A$32,0))</f>
        <v/>
      </c>
      <c r="J830" s="22">
        <f>IF(AND(F830&lt;&gt;"",G830=""),1,0)</f>
        <v/>
      </c>
      <c r="K830" s="22">
        <f>IF(LEFT(C830,7)&lt;&gt;"Sprint_","",IF(COUNTIFS(Versuchsdaten!$A$2:$A$1117,$A830,Versuchsdaten!$B$2:$B$1117,$B830,Versuchsdaten!$C$2:$C$1117,"Sprint_5m",Versuchsdaten!$E$2:$E$1117,$E830,Versuchsdaten!$J$2:$J$1117,1)=1,SUMIFS(Versuchsdaten!$F$2:$F$1117,Versuchsdaten!$A$2:$A$1117,$A830,Versuchsdaten!$B$2:$B$1117,$B830,Versuchsdaten!$C$2:$C$1117,"Sprint_5m",Versuchsdaten!$E$2:$E$1117,$E830,Versuchsdaten!$J$2:$J$1117,1),""))</f>
        <v/>
      </c>
      <c r="L830" s="22">
        <f>IF(LEFT(C830,7)&lt;&gt;"Sprint_","",IF(COUNTIFS(Versuchsdaten!$A$2:$A$1117,$A830,Versuchsdaten!$B$2:$B$1117,$B830,Versuchsdaten!$C$2:$C$1117,"Sprint_10m",Versuchsdaten!$E$2:$E$1117,$E830,Versuchsdaten!$J$2:$J$1117,1)=1,SUMIFS(Versuchsdaten!$F$2:$F$1117,Versuchsdaten!$A$2:$A$1117,$A830,Versuchsdaten!$B$2:$B$1117,$B830,Versuchsdaten!$C$2:$C$1117,"Sprint_10m",Versuchsdaten!$E$2:$E$1117,$E830,Versuchsdaten!$J$2:$J$1117,1),""))</f>
        <v/>
      </c>
      <c r="M830" s="22">
        <f>IF(LEFT(C830,7)&lt;&gt;"Sprint_","",IF(COUNTIFS(Versuchsdaten!$A$2:$A$1117,$A830,Versuchsdaten!$B$2:$B$1117,$B830,Versuchsdaten!$C$2:$C$1117,"Sprint_30m",Versuchsdaten!$E$2:$E$1117,$E830,Versuchsdaten!$J$2:$J$1117,1)=1,SUMIFS(Versuchsdaten!$F$2:$F$1117,Versuchsdaten!$A$2:$A$1117,$A830,Versuchsdaten!$B$2:$B$1117,$B830,Versuchsdaten!$C$2:$C$1117,"Sprint_30m",Versuchsdaten!$E$2:$E$1117,$E830,Versuchsdaten!$J$2:$J$1117,1),""))</f>
        <v/>
      </c>
      <c r="N830" s="22">
        <f>IF(LEFT(C830,7)&lt;&gt;"Sprint_",0,IF(IF(ISNUMBER(K830),IF(K830&lt;=0,1,IF(5/K830&gt;10,1,0)),0)+IF(ISNUMBER(L830),IF(ISNUMBER(K830),IF(L830-K830&lt;=0,1,IF(5/(L830-K830)&gt;10,1,0)),IF(L830&lt;=0,1,IF(10/L830&gt;10,1,0))),0)+IF(ISNUMBER(M830),IF(ISNUMBER(L830),IF(M830-L830&lt;=0,1,IF(20/(M830-L830)&gt;10,1,0)),IF(ISNUMBER(K830),IF(M830-K830&lt;=0,1,IF(25/(M830-K830)&gt;10,1,0)),IF(M830&lt;=0,1,IF(30/M830&gt;10,1,0)))),0)&gt;0,1,0))</f>
        <v/>
      </c>
      <c r="O830" s="22">
        <f>IF(AND(J830=1,N830=0),1,0)</f>
        <v/>
      </c>
      <c r="P830" s="22">
        <f>INDEX(Personendaten!$J$2:$J$32,MATCH(A830,Personendaten!$A$2:$A$32,0))</f>
        <v/>
      </c>
      <c r="Q830" s="22">
        <f>IF(O830=1,"",IF(AND(B830="post",P830="nicht angetreten"),"NANG",IF(N830=1,"AUSL",IFERROR(VLOOKUP(H830,Vokabular!$A$2:$B$8,2,FALSE),"UNBEKANNT"))))</f>
        <v/>
      </c>
    </row>
    <row r="831">
      <c r="A831" s="5" t="inlineStr">
        <is>
          <t>HL-06</t>
        </is>
      </c>
      <c r="B831" s="5" t="inlineStr">
        <is>
          <t>post</t>
        </is>
      </c>
      <c r="C831" s="5" t="inlineStr">
        <is>
          <t>Sprint_5m</t>
        </is>
      </c>
      <c r="D831" s="5" t="inlineStr">
        <is>
          <t>–</t>
        </is>
      </c>
      <c r="E831" s="5" t="n">
        <v>2</v>
      </c>
      <c r="F831" s="5" t="n">
        <v>1.06</v>
      </c>
      <c r="G831" s="5" t="n"/>
      <c r="H831" s="5" t="n"/>
      <c r="I831" s="22">
        <f>INDEX(Personendaten!$C$2:$C$32,MATCH(A831,Personendaten!$A$2:$A$32,0))</f>
        <v/>
      </c>
      <c r="J831" s="22">
        <f>IF(AND(F831&lt;&gt;"",G831=""),1,0)</f>
        <v/>
      </c>
      <c r="K831" s="22">
        <f>IF(LEFT(C831,7)&lt;&gt;"Sprint_","",IF(COUNTIFS(Versuchsdaten!$A$2:$A$1117,$A831,Versuchsdaten!$B$2:$B$1117,$B831,Versuchsdaten!$C$2:$C$1117,"Sprint_5m",Versuchsdaten!$E$2:$E$1117,$E831,Versuchsdaten!$J$2:$J$1117,1)=1,SUMIFS(Versuchsdaten!$F$2:$F$1117,Versuchsdaten!$A$2:$A$1117,$A831,Versuchsdaten!$B$2:$B$1117,$B831,Versuchsdaten!$C$2:$C$1117,"Sprint_5m",Versuchsdaten!$E$2:$E$1117,$E831,Versuchsdaten!$J$2:$J$1117,1),""))</f>
        <v/>
      </c>
      <c r="L831" s="22">
        <f>IF(LEFT(C831,7)&lt;&gt;"Sprint_","",IF(COUNTIFS(Versuchsdaten!$A$2:$A$1117,$A831,Versuchsdaten!$B$2:$B$1117,$B831,Versuchsdaten!$C$2:$C$1117,"Sprint_10m",Versuchsdaten!$E$2:$E$1117,$E831,Versuchsdaten!$J$2:$J$1117,1)=1,SUMIFS(Versuchsdaten!$F$2:$F$1117,Versuchsdaten!$A$2:$A$1117,$A831,Versuchsdaten!$B$2:$B$1117,$B831,Versuchsdaten!$C$2:$C$1117,"Sprint_10m",Versuchsdaten!$E$2:$E$1117,$E831,Versuchsdaten!$J$2:$J$1117,1),""))</f>
        <v/>
      </c>
      <c r="M831" s="22">
        <f>IF(LEFT(C831,7)&lt;&gt;"Sprint_","",IF(COUNTIFS(Versuchsdaten!$A$2:$A$1117,$A831,Versuchsdaten!$B$2:$B$1117,$B831,Versuchsdaten!$C$2:$C$1117,"Sprint_30m",Versuchsdaten!$E$2:$E$1117,$E831,Versuchsdaten!$J$2:$J$1117,1)=1,SUMIFS(Versuchsdaten!$F$2:$F$1117,Versuchsdaten!$A$2:$A$1117,$A831,Versuchsdaten!$B$2:$B$1117,$B831,Versuchsdaten!$C$2:$C$1117,"Sprint_30m",Versuchsdaten!$E$2:$E$1117,$E831,Versuchsdaten!$J$2:$J$1117,1),""))</f>
        <v/>
      </c>
      <c r="N831" s="22">
        <f>IF(LEFT(C831,7)&lt;&gt;"Sprint_",0,IF(IF(ISNUMBER(K831),IF(K831&lt;=0,1,IF(5/K831&gt;10,1,0)),0)+IF(ISNUMBER(L831),IF(ISNUMBER(K831),IF(L831-K831&lt;=0,1,IF(5/(L831-K831)&gt;10,1,0)),IF(L831&lt;=0,1,IF(10/L831&gt;10,1,0))),0)+IF(ISNUMBER(M831),IF(ISNUMBER(L831),IF(M831-L831&lt;=0,1,IF(20/(M831-L831)&gt;10,1,0)),IF(ISNUMBER(K831),IF(M831-K831&lt;=0,1,IF(25/(M831-K831)&gt;10,1,0)),IF(M831&lt;=0,1,IF(30/M831&gt;10,1,0)))),0)&gt;0,1,0))</f>
        <v/>
      </c>
      <c r="O831" s="22">
        <f>IF(AND(J831=1,N831=0),1,0)</f>
        <v/>
      </c>
      <c r="P831" s="22">
        <f>INDEX(Personendaten!$J$2:$J$32,MATCH(A831,Personendaten!$A$2:$A$32,0))</f>
        <v/>
      </c>
      <c r="Q831" s="22">
        <f>IF(O831=1,"",IF(AND(B831="post",P831="nicht angetreten"),"NANG",IF(N831=1,"AUSL",IFERROR(VLOOKUP(H831,Vokabular!$A$2:$B$8,2,FALSE),"UNBEKANNT"))))</f>
        <v/>
      </c>
    </row>
    <row r="832">
      <c r="A832" s="5" t="inlineStr">
        <is>
          <t>HL-06</t>
        </is>
      </c>
      <c r="B832" s="5" t="inlineStr">
        <is>
          <t>post</t>
        </is>
      </c>
      <c r="C832" s="5" t="inlineStr">
        <is>
          <t>Sprint_5m</t>
        </is>
      </c>
      <c r="D832" s="5" t="inlineStr">
        <is>
          <t>–</t>
        </is>
      </c>
      <c r="E832" s="5" t="n">
        <v>3</v>
      </c>
      <c r="F832" s="5" t="n">
        <v>1.04</v>
      </c>
      <c r="G832" s="5" t="n"/>
      <c r="H832" s="5" t="n"/>
      <c r="I832" s="22">
        <f>INDEX(Personendaten!$C$2:$C$32,MATCH(A832,Personendaten!$A$2:$A$32,0))</f>
        <v/>
      </c>
      <c r="J832" s="22">
        <f>IF(AND(F832&lt;&gt;"",G832=""),1,0)</f>
        <v/>
      </c>
      <c r="K832" s="22">
        <f>IF(LEFT(C832,7)&lt;&gt;"Sprint_","",IF(COUNTIFS(Versuchsdaten!$A$2:$A$1117,$A832,Versuchsdaten!$B$2:$B$1117,$B832,Versuchsdaten!$C$2:$C$1117,"Sprint_5m",Versuchsdaten!$E$2:$E$1117,$E832,Versuchsdaten!$J$2:$J$1117,1)=1,SUMIFS(Versuchsdaten!$F$2:$F$1117,Versuchsdaten!$A$2:$A$1117,$A832,Versuchsdaten!$B$2:$B$1117,$B832,Versuchsdaten!$C$2:$C$1117,"Sprint_5m",Versuchsdaten!$E$2:$E$1117,$E832,Versuchsdaten!$J$2:$J$1117,1),""))</f>
        <v/>
      </c>
      <c r="L832" s="22">
        <f>IF(LEFT(C832,7)&lt;&gt;"Sprint_","",IF(COUNTIFS(Versuchsdaten!$A$2:$A$1117,$A832,Versuchsdaten!$B$2:$B$1117,$B832,Versuchsdaten!$C$2:$C$1117,"Sprint_10m",Versuchsdaten!$E$2:$E$1117,$E832,Versuchsdaten!$J$2:$J$1117,1)=1,SUMIFS(Versuchsdaten!$F$2:$F$1117,Versuchsdaten!$A$2:$A$1117,$A832,Versuchsdaten!$B$2:$B$1117,$B832,Versuchsdaten!$C$2:$C$1117,"Sprint_10m",Versuchsdaten!$E$2:$E$1117,$E832,Versuchsdaten!$J$2:$J$1117,1),""))</f>
        <v/>
      </c>
      <c r="M832" s="22">
        <f>IF(LEFT(C832,7)&lt;&gt;"Sprint_","",IF(COUNTIFS(Versuchsdaten!$A$2:$A$1117,$A832,Versuchsdaten!$B$2:$B$1117,$B832,Versuchsdaten!$C$2:$C$1117,"Sprint_30m",Versuchsdaten!$E$2:$E$1117,$E832,Versuchsdaten!$J$2:$J$1117,1)=1,SUMIFS(Versuchsdaten!$F$2:$F$1117,Versuchsdaten!$A$2:$A$1117,$A832,Versuchsdaten!$B$2:$B$1117,$B832,Versuchsdaten!$C$2:$C$1117,"Sprint_30m",Versuchsdaten!$E$2:$E$1117,$E832,Versuchsdaten!$J$2:$J$1117,1),""))</f>
        <v/>
      </c>
      <c r="N832" s="22">
        <f>IF(LEFT(C832,7)&lt;&gt;"Sprint_",0,IF(IF(ISNUMBER(K832),IF(K832&lt;=0,1,IF(5/K832&gt;10,1,0)),0)+IF(ISNUMBER(L832),IF(ISNUMBER(K832),IF(L832-K832&lt;=0,1,IF(5/(L832-K832)&gt;10,1,0)),IF(L832&lt;=0,1,IF(10/L832&gt;10,1,0))),0)+IF(ISNUMBER(M832),IF(ISNUMBER(L832),IF(M832-L832&lt;=0,1,IF(20/(M832-L832)&gt;10,1,0)),IF(ISNUMBER(K832),IF(M832-K832&lt;=0,1,IF(25/(M832-K832)&gt;10,1,0)),IF(M832&lt;=0,1,IF(30/M832&gt;10,1,0)))),0)&gt;0,1,0))</f>
        <v/>
      </c>
      <c r="O832" s="22">
        <f>IF(AND(J832=1,N832=0),1,0)</f>
        <v/>
      </c>
      <c r="P832" s="22">
        <f>INDEX(Personendaten!$J$2:$J$32,MATCH(A832,Personendaten!$A$2:$A$32,0))</f>
        <v/>
      </c>
      <c r="Q832" s="22">
        <f>IF(O832=1,"",IF(AND(B832="post",P832="nicht angetreten"),"NANG",IF(N832=1,"AUSL",IFERROR(VLOOKUP(H832,Vokabular!$A$2:$B$8,2,FALSE),"UNBEKANNT"))))</f>
        <v/>
      </c>
    </row>
    <row r="833">
      <c r="A833" s="5" t="inlineStr">
        <is>
          <t>HL-06</t>
        </is>
      </c>
      <c r="B833" s="5" t="inlineStr">
        <is>
          <t>post</t>
        </is>
      </c>
      <c r="C833" s="5" t="inlineStr">
        <is>
          <t>Sprint_10m</t>
        </is>
      </c>
      <c r="D833" s="5" t="inlineStr">
        <is>
          <t>–</t>
        </is>
      </c>
      <c r="E833" s="5" t="n">
        <v>1</v>
      </c>
      <c r="F833" s="5" t="n">
        <v>1.88</v>
      </c>
      <c r="G833" s="5" t="n"/>
      <c r="H833" s="5" t="n"/>
      <c r="I833" s="22">
        <f>INDEX(Personendaten!$C$2:$C$32,MATCH(A833,Personendaten!$A$2:$A$32,0))</f>
        <v/>
      </c>
      <c r="J833" s="22">
        <f>IF(AND(F833&lt;&gt;"",G833=""),1,0)</f>
        <v/>
      </c>
      <c r="K833" s="22">
        <f>IF(LEFT(C833,7)&lt;&gt;"Sprint_","",IF(COUNTIFS(Versuchsdaten!$A$2:$A$1117,$A833,Versuchsdaten!$B$2:$B$1117,$B833,Versuchsdaten!$C$2:$C$1117,"Sprint_5m",Versuchsdaten!$E$2:$E$1117,$E833,Versuchsdaten!$J$2:$J$1117,1)=1,SUMIFS(Versuchsdaten!$F$2:$F$1117,Versuchsdaten!$A$2:$A$1117,$A833,Versuchsdaten!$B$2:$B$1117,$B833,Versuchsdaten!$C$2:$C$1117,"Sprint_5m",Versuchsdaten!$E$2:$E$1117,$E833,Versuchsdaten!$J$2:$J$1117,1),""))</f>
        <v/>
      </c>
      <c r="L833" s="22">
        <f>IF(LEFT(C833,7)&lt;&gt;"Sprint_","",IF(COUNTIFS(Versuchsdaten!$A$2:$A$1117,$A833,Versuchsdaten!$B$2:$B$1117,$B833,Versuchsdaten!$C$2:$C$1117,"Sprint_10m",Versuchsdaten!$E$2:$E$1117,$E833,Versuchsdaten!$J$2:$J$1117,1)=1,SUMIFS(Versuchsdaten!$F$2:$F$1117,Versuchsdaten!$A$2:$A$1117,$A833,Versuchsdaten!$B$2:$B$1117,$B833,Versuchsdaten!$C$2:$C$1117,"Sprint_10m",Versuchsdaten!$E$2:$E$1117,$E833,Versuchsdaten!$J$2:$J$1117,1),""))</f>
        <v/>
      </c>
      <c r="M833" s="22">
        <f>IF(LEFT(C833,7)&lt;&gt;"Sprint_","",IF(COUNTIFS(Versuchsdaten!$A$2:$A$1117,$A833,Versuchsdaten!$B$2:$B$1117,$B833,Versuchsdaten!$C$2:$C$1117,"Sprint_30m",Versuchsdaten!$E$2:$E$1117,$E833,Versuchsdaten!$J$2:$J$1117,1)=1,SUMIFS(Versuchsdaten!$F$2:$F$1117,Versuchsdaten!$A$2:$A$1117,$A833,Versuchsdaten!$B$2:$B$1117,$B833,Versuchsdaten!$C$2:$C$1117,"Sprint_30m",Versuchsdaten!$E$2:$E$1117,$E833,Versuchsdaten!$J$2:$J$1117,1),""))</f>
        <v/>
      </c>
      <c r="N833" s="22">
        <f>IF(LEFT(C833,7)&lt;&gt;"Sprint_",0,IF(IF(ISNUMBER(K833),IF(K833&lt;=0,1,IF(5/K833&gt;10,1,0)),0)+IF(ISNUMBER(L833),IF(ISNUMBER(K833),IF(L833-K833&lt;=0,1,IF(5/(L833-K833)&gt;10,1,0)),IF(L833&lt;=0,1,IF(10/L833&gt;10,1,0))),0)+IF(ISNUMBER(M833),IF(ISNUMBER(L833),IF(M833-L833&lt;=0,1,IF(20/(M833-L833)&gt;10,1,0)),IF(ISNUMBER(K833),IF(M833-K833&lt;=0,1,IF(25/(M833-K833)&gt;10,1,0)),IF(M833&lt;=0,1,IF(30/M833&gt;10,1,0)))),0)&gt;0,1,0))</f>
        <v/>
      </c>
      <c r="O833" s="22">
        <f>IF(AND(J833=1,N833=0),1,0)</f>
        <v/>
      </c>
      <c r="P833" s="22">
        <f>INDEX(Personendaten!$J$2:$J$32,MATCH(A833,Personendaten!$A$2:$A$32,0))</f>
        <v/>
      </c>
      <c r="Q833" s="22">
        <f>IF(O833=1,"",IF(AND(B833="post",P833="nicht angetreten"),"NANG",IF(N833=1,"AUSL",IFERROR(VLOOKUP(H833,Vokabular!$A$2:$B$8,2,FALSE),"UNBEKANNT"))))</f>
        <v/>
      </c>
    </row>
    <row r="834">
      <c r="A834" s="5" t="inlineStr">
        <is>
          <t>HL-06</t>
        </is>
      </c>
      <c r="B834" s="5" t="inlineStr">
        <is>
          <t>post</t>
        </is>
      </c>
      <c r="C834" s="5" t="inlineStr">
        <is>
          <t>Sprint_10m</t>
        </is>
      </c>
      <c r="D834" s="5" t="inlineStr">
        <is>
          <t>–</t>
        </is>
      </c>
      <c r="E834" s="5" t="n">
        <v>2</v>
      </c>
      <c r="F834" s="5" t="n">
        <v>1.88</v>
      </c>
      <c r="G834" s="5" t="n"/>
      <c r="H834" s="5" t="n"/>
      <c r="I834" s="22">
        <f>INDEX(Personendaten!$C$2:$C$32,MATCH(A834,Personendaten!$A$2:$A$32,0))</f>
        <v/>
      </c>
      <c r="J834" s="22">
        <f>IF(AND(F834&lt;&gt;"",G834=""),1,0)</f>
        <v/>
      </c>
      <c r="K834" s="22">
        <f>IF(LEFT(C834,7)&lt;&gt;"Sprint_","",IF(COUNTIFS(Versuchsdaten!$A$2:$A$1117,$A834,Versuchsdaten!$B$2:$B$1117,$B834,Versuchsdaten!$C$2:$C$1117,"Sprint_5m",Versuchsdaten!$E$2:$E$1117,$E834,Versuchsdaten!$J$2:$J$1117,1)=1,SUMIFS(Versuchsdaten!$F$2:$F$1117,Versuchsdaten!$A$2:$A$1117,$A834,Versuchsdaten!$B$2:$B$1117,$B834,Versuchsdaten!$C$2:$C$1117,"Sprint_5m",Versuchsdaten!$E$2:$E$1117,$E834,Versuchsdaten!$J$2:$J$1117,1),""))</f>
        <v/>
      </c>
      <c r="L834" s="22">
        <f>IF(LEFT(C834,7)&lt;&gt;"Sprint_","",IF(COUNTIFS(Versuchsdaten!$A$2:$A$1117,$A834,Versuchsdaten!$B$2:$B$1117,$B834,Versuchsdaten!$C$2:$C$1117,"Sprint_10m",Versuchsdaten!$E$2:$E$1117,$E834,Versuchsdaten!$J$2:$J$1117,1)=1,SUMIFS(Versuchsdaten!$F$2:$F$1117,Versuchsdaten!$A$2:$A$1117,$A834,Versuchsdaten!$B$2:$B$1117,$B834,Versuchsdaten!$C$2:$C$1117,"Sprint_10m",Versuchsdaten!$E$2:$E$1117,$E834,Versuchsdaten!$J$2:$J$1117,1),""))</f>
        <v/>
      </c>
      <c r="M834" s="22">
        <f>IF(LEFT(C834,7)&lt;&gt;"Sprint_","",IF(COUNTIFS(Versuchsdaten!$A$2:$A$1117,$A834,Versuchsdaten!$B$2:$B$1117,$B834,Versuchsdaten!$C$2:$C$1117,"Sprint_30m",Versuchsdaten!$E$2:$E$1117,$E834,Versuchsdaten!$J$2:$J$1117,1)=1,SUMIFS(Versuchsdaten!$F$2:$F$1117,Versuchsdaten!$A$2:$A$1117,$A834,Versuchsdaten!$B$2:$B$1117,$B834,Versuchsdaten!$C$2:$C$1117,"Sprint_30m",Versuchsdaten!$E$2:$E$1117,$E834,Versuchsdaten!$J$2:$J$1117,1),""))</f>
        <v/>
      </c>
      <c r="N834" s="22">
        <f>IF(LEFT(C834,7)&lt;&gt;"Sprint_",0,IF(IF(ISNUMBER(K834),IF(K834&lt;=0,1,IF(5/K834&gt;10,1,0)),0)+IF(ISNUMBER(L834),IF(ISNUMBER(K834),IF(L834-K834&lt;=0,1,IF(5/(L834-K834)&gt;10,1,0)),IF(L834&lt;=0,1,IF(10/L834&gt;10,1,0))),0)+IF(ISNUMBER(M834),IF(ISNUMBER(L834),IF(M834-L834&lt;=0,1,IF(20/(M834-L834)&gt;10,1,0)),IF(ISNUMBER(K834),IF(M834-K834&lt;=0,1,IF(25/(M834-K834)&gt;10,1,0)),IF(M834&lt;=0,1,IF(30/M834&gt;10,1,0)))),0)&gt;0,1,0))</f>
        <v/>
      </c>
      <c r="O834" s="22">
        <f>IF(AND(J834=1,N834=0),1,0)</f>
        <v/>
      </c>
      <c r="P834" s="22">
        <f>INDEX(Personendaten!$J$2:$J$32,MATCH(A834,Personendaten!$A$2:$A$32,0))</f>
        <v/>
      </c>
      <c r="Q834" s="22">
        <f>IF(O834=1,"",IF(AND(B834="post",P834="nicht angetreten"),"NANG",IF(N834=1,"AUSL",IFERROR(VLOOKUP(H834,Vokabular!$A$2:$B$8,2,FALSE),"UNBEKANNT"))))</f>
        <v/>
      </c>
    </row>
    <row r="835">
      <c r="A835" s="5" t="inlineStr">
        <is>
          <t>HL-06</t>
        </is>
      </c>
      <c r="B835" s="5" t="inlineStr">
        <is>
          <t>post</t>
        </is>
      </c>
      <c r="C835" s="5" t="inlineStr">
        <is>
          <t>Sprint_10m</t>
        </is>
      </c>
      <c r="D835" s="5" t="inlineStr">
        <is>
          <t>–</t>
        </is>
      </c>
      <c r="E835" s="5" t="n">
        <v>3</v>
      </c>
      <c r="F835" s="5" t="n">
        <v>1.88</v>
      </c>
      <c r="G835" s="5" t="n"/>
      <c r="H835" s="5" t="n"/>
      <c r="I835" s="22">
        <f>INDEX(Personendaten!$C$2:$C$32,MATCH(A835,Personendaten!$A$2:$A$32,0))</f>
        <v/>
      </c>
      <c r="J835" s="22">
        <f>IF(AND(F835&lt;&gt;"",G835=""),1,0)</f>
        <v/>
      </c>
      <c r="K835" s="22">
        <f>IF(LEFT(C835,7)&lt;&gt;"Sprint_","",IF(COUNTIFS(Versuchsdaten!$A$2:$A$1117,$A835,Versuchsdaten!$B$2:$B$1117,$B835,Versuchsdaten!$C$2:$C$1117,"Sprint_5m",Versuchsdaten!$E$2:$E$1117,$E835,Versuchsdaten!$J$2:$J$1117,1)=1,SUMIFS(Versuchsdaten!$F$2:$F$1117,Versuchsdaten!$A$2:$A$1117,$A835,Versuchsdaten!$B$2:$B$1117,$B835,Versuchsdaten!$C$2:$C$1117,"Sprint_5m",Versuchsdaten!$E$2:$E$1117,$E835,Versuchsdaten!$J$2:$J$1117,1),""))</f>
        <v/>
      </c>
      <c r="L835" s="22">
        <f>IF(LEFT(C835,7)&lt;&gt;"Sprint_","",IF(COUNTIFS(Versuchsdaten!$A$2:$A$1117,$A835,Versuchsdaten!$B$2:$B$1117,$B835,Versuchsdaten!$C$2:$C$1117,"Sprint_10m",Versuchsdaten!$E$2:$E$1117,$E835,Versuchsdaten!$J$2:$J$1117,1)=1,SUMIFS(Versuchsdaten!$F$2:$F$1117,Versuchsdaten!$A$2:$A$1117,$A835,Versuchsdaten!$B$2:$B$1117,$B835,Versuchsdaten!$C$2:$C$1117,"Sprint_10m",Versuchsdaten!$E$2:$E$1117,$E835,Versuchsdaten!$J$2:$J$1117,1),""))</f>
        <v/>
      </c>
      <c r="M835" s="22">
        <f>IF(LEFT(C835,7)&lt;&gt;"Sprint_","",IF(COUNTIFS(Versuchsdaten!$A$2:$A$1117,$A835,Versuchsdaten!$B$2:$B$1117,$B835,Versuchsdaten!$C$2:$C$1117,"Sprint_30m",Versuchsdaten!$E$2:$E$1117,$E835,Versuchsdaten!$J$2:$J$1117,1)=1,SUMIFS(Versuchsdaten!$F$2:$F$1117,Versuchsdaten!$A$2:$A$1117,$A835,Versuchsdaten!$B$2:$B$1117,$B835,Versuchsdaten!$C$2:$C$1117,"Sprint_30m",Versuchsdaten!$E$2:$E$1117,$E835,Versuchsdaten!$J$2:$J$1117,1),""))</f>
        <v/>
      </c>
      <c r="N835" s="22">
        <f>IF(LEFT(C835,7)&lt;&gt;"Sprint_",0,IF(IF(ISNUMBER(K835),IF(K835&lt;=0,1,IF(5/K835&gt;10,1,0)),0)+IF(ISNUMBER(L835),IF(ISNUMBER(K835),IF(L835-K835&lt;=0,1,IF(5/(L835-K835)&gt;10,1,0)),IF(L835&lt;=0,1,IF(10/L835&gt;10,1,0))),0)+IF(ISNUMBER(M835),IF(ISNUMBER(L835),IF(M835-L835&lt;=0,1,IF(20/(M835-L835)&gt;10,1,0)),IF(ISNUMBER(K835),IF(M835-K835&lt;=0,1,IF(25/(M835-K835)&gt;10,1,0)),IF(M835&lt;=0,1,IF(30/M835&gt;10,1,0)))),0)&gt;0,1,0))</f>
        <v/>
      </c>
      <c r="O835" s="22">
        <f>IF(AND(J835=1,N835=0),1,0)</f>
        <v/>
      </c>
      <c r="P835" s="22">
        <f>INDEX(Personendaten!$J$2:$J$32,MATCH(A835,Personendaten!$A$2:$A$32,0))</f>
        <v/>
      </c>
      <c r="Q835" s="22">
        <f>IF(O835=1,"",IF(AND(B835="post",P835="nicht angetreten"),"NANG",IF(N835=1,"AUSL",IFERROR(VLOOKUP(H835,Vokabular!$A$2:$B$8,2,FALSE),"UNBEKANNT"))))</f>
        <v/>
      </c>
    </row>
    <row r="836">
      <c r="A836" s="5" t="inlineStr">
        <is>
          <t>HL-06</t>
        </is>
      </c>
      <c r="B836" s="5" t="inlineStr">
        <is>
          <t>post</t>
        </is>
      </c>
      <c r="C836" s="5" t="inlineStr">
        <is>
          <t>Sprint_30m</t>
        </is>
      </c>
      <c r="D836" s="5" t="inlineStr">
        <is>
          <t>–</t>
        </is>
      </c>
      <c r="E836" s="5" t="n">
        <v>1</v>
      </c>
      <c r="F836" s="5" t="n">
        <v>4.5</v>
      </c>
      <c r="G836" s="5" t="n"/>
      <c r="H836" s="5" t="n"/>
      <c r="I836" s="22">
        <f>INDEX(Personendaten!$C$2:$C$32,MATCH(A836,Personendaten!$A$2:$A$32,0))</f>
        <v/>
      </c>
      <c r="J836" s="22">
        <f>IF(AND(F836&lt;&gt;"",G836=""),1,0)</f>
        <v/>
      </c>
      <c r="K836" s="22">
        <f>IF(LEFT(C836,7)&lt;&gt;"Sprint_","",IF(COUNTIFS(Versuchsdaten!$A$2:$A$1117,$A836,Versuchsdaten!$B$2:$B$1117,$B836,Versuchsdaten!$C$2:$C$1117,"Sprint_5m",Versuchsdaten!$E$2:$E$1117,$E836,Versuchsdaten!$J$2:$J$1117,1)=1,SUMIFS(Versuchsdaten!$F$2:$F$1117,Versuchsdaten!$A$2:$A$1117,$A836,Versuchsdaten!$B$2:$B$1117,$B836,Versuchsdaten!$C$2:$C$1117,"Sprint_5m",Versuchsdaten!$E$2:$E$1117,$E836,Versuchsdaten!$J$2:$J$1117,1),""))</f>
        <v/>
      </c>
      <c r="L836" s="22">
        <f>IF(LEFT(C836,7)&lt;&gt;"Sprint_","",IF(COUNTIFS(Versuchsdaten!$A$2:$A$1117,$A836,Versuchsdaten!$B$2:$B$1117,$B836,Versuchsdaten!$C$2:$C$1117,"Sprint_10m",Versuchsdaten!$E$2:$E$1117,$E836,Versuchsdaten!$J$2:$J$1117,1)=1,SUMIFS(Versuchsdaten!$F$2:$F$1117,Versuchsdaten!$A$2:$A$1117,$A836,Versuchsdaten!$B$2:$B$1117,$B836,Versuchsdaten!$C$2:$C$1117,"Sprint_10m",Versuchsdaten!$E$2:$E$1117,$E836,Versuchsdaten!$J$2:$J$1117,1),""))</f>
        <v/>
      </c>
      <c r="M836" s="22">
        <f>IF(LEFT(C836,7)&lt;&gt;"Sprint_","",IF(COUNTIFS(Versuchsdaten!$A$2:$A$1117,$A836,Versuchsdaten!$B$2:$B$1117,$B836,Versuchsdaten!$C$2:$C$1117,"Sprint_30m",Versuchsdaten!$E$2:$E$1117,$E836,Versuchsdaten!$J$2:$J$1117,1)=1,SUMIFS(Versuchsdaten!$F$2:$F$1117,Versuchsdaten!$A$2:$A$1117,$A836,Versuchsdaten!$B$2:$B$1117,$B836,Versuchsdaten!$C$2:$C$1117,"Sprint_30m",Versuchsdaten!$E$2:$E$1117,$E836,Versuchsdaten!$J$2:$J$1117,1),""))</f>
        <v/>
      </c>
      <c r="N836" s="22">
        <f>IF(LEFT(C836,7)&lt;&gt;"Sprint_",0,IF(IF(ISNUMBER(K836),IF(K836&lt;=0,1,IF(5/K836&gt;10,1,0)),0)+IF(ISNUMBER(L836),IF(ISNUMBER(K836),IF(L836-K836&lt;=0,1,IF(5/(L836-K836)&gt;10,1,0)),IF(L836&lt;=0,1,IF(10/L836&gt;10,1,0))),0)+IF(ISNUMBER(M836),IF(ISNUMBER(L836),IF(M836-L836&lt;=0,1,IF(20/(M836-L836)&gt;10,1,0)),IF(ISNUMBER(K836),IF(M836-K836&lt;=0,1,IF(25/(M836-K836)&gt;10,1,0)),IF(M836&lt;=0,1,IF(30/M836&gt;10,1,0)))),0)&gt;0,1,0))</f>
        <v/>
      </c>
      <c r="O836" s="22">
        <f>IF(AND(J836=1,N836=0),1,0)</f>
        <v/>
      </c>
      <c r="P836" s="22">
        <f>INDEX(Personendaten!$J$2:$J$32,MATCH(A836,Personendaten!$A$2:$A$32,0))</f>
        <v/>
      </c>
      <c r="Q836" s="22">
        <f>IF(O836=1,"",IF(AND(B836="post",P836="nicht angetreten"),"NANG",IF(N836=1,"AUSL",IFERROR(VLOOKUP(H836,Vokabular!$A$2:$B$8,2,FALSE),"UNBEKANNT"))))</f>
        <v/>
      </c>
    </row>
    <row r="837">
      <c r="A837" s="5" t="inlineStr">
        <is>
          <t>HL-06</t>
        </is>
      </c>
      <c r="B837" s="5" t="inlineStr">
        <is>
          <t>post</t>
        </is>
      </c>
      <c r="C837" s="5" t="inlineStr">
        <is>
          <t>Sprint_30m</t>
        </is>
      </c>
      <c r="D837" s="5" t="inlineStr">
        <is>
          <t>–</t>
        </is>
      </c>
      <c r="E837" s="5" t="n">
        <v>2</v>
      </c>
      <c r="F837" s="5" t="n">
        <v>4.49</v>
      </c>
      <c r="G837" s="5" t="n"/>
      <c r="H837" s="5" t="n"/>
      <c r="I837" s="22">
        <f>INDEX(Personendaten!$C$2:$C$32,MATCH(A837,Personendaten!$A$2:$A$32,0))</f>
        <v/>
      </c>
      <c r="J837" s="22">
        <f>IF(AND(F837&lt;&gt;"",G837=""),1,0)</f>
        <v/>
      </c>
      <c r="K837" s="22">
        <f>IF(LEFT(C837,7)&lt;&gt;"Sprint_","",IF(COUNTIFS(Versuchsdaten!$A$2:$A$1117,$A837,Versuchsdaten!$B$2:$B$1117,$B837,Versuchsdaten!$C$2:$C$1117,"Sprint_5m",Versuchsdaten!$E$2:$E$1117,$E837,Versuchsdaten!$J$2:$J$1117,1)=1,SUMIFS(Versuchsdaten!$F$2:$F$1117,Versuchsdaten!$A$2:$A$1117,$A837,Versuchsdaten!$B$2:$B$1117,$B837,Versuchsdaten!$C$2:$C$1117,"Sprint_5m",Versuchsdaten!$E$2:$E$1117,$E837,Versuchsdaten!$J$2:$J$1117,1),""))</f>
        <v/>
      </c>
      <c r="L837" s="22">
        <f>IF(LEFT(C837,7)&lt;&gt;"Sprint_","",IF(COUNTIFS(Versuchsdaten!$A$2:$A$1117,$A837,Versuchsdaten!$B$2:$B$1117,$B837,Versuchsdaten!$C$2:$C$1117,"Sprint_10m",Versuchsdaten!$E$2:$E$1117,$E837,Versuchsdaten!$J$2:$J$1117,1)=1,SUMIFS(Versuchsdaten!$F$2:$F$1117,Versuchsdaten!$A$2:$A$1117,$A837,Versuchsdaten!$B$2:$B$1117,$B837,Versuchsdaten!$C$2:$C$1117,"Sprint_10m",Versuchsdaten!$E$2:$E$1117,$E837,Versuchsdaten!$J$2:$J$1117,1),""))</f>
        <v/>
      </c>
      <c r="M837" s="22">
        <f>IF(LEFT(C837,7)&lt;&gt;"Sprint_","",IF(COUNTIFS(Versuchsdaten!$A$2:$A$1117,$A837,Versuchsdaten!$B$2:$B$1117,$B837,Versuchsdaten!$C$2:$C$1117,"Sprint_30m",Versuchsdaten!$E$2:$E$1117,$E837,Versuchsdaten!$J$2:$J$1117,1)=1,SUMIFS(Versuchsdaten!$F$2:$F$1117,Versuchsdaten!$A$2:$A$1117,$A837,Versuchsdaten!$B$2:$B$1117,$B837,Versuchsdaten!$C$2:$C$1117,"Sprint_30m",Versuchsdaten!$E$2:$E$1117,$E837,Versuchsdaten!$J$2:$J$1117,1),""))</f>
        <v/>
      </c>
      <c r="N837" s="22">
        <f>IF(LEFT(C837,7)&lt;&gt;"Sprint_",0,IF(IF(ISNUMBER(K837),IF(K837&lt;=0,1,IF(5/K837&gt;10,1,0)),0)+IF(ISNUMBER(L837),IF(ISNUMBER(K837),IF(L837-K837&lt;=0,1,IF(5/(L837-K837)&gt;10,1,0)),IF(L837&lt;=0,1,IF(10/L837&gt;10,1,0))),0)+IF(ISNUMBER(M837),IF(ISNUMBER(L837),IF(M837-L837&lt;=0,1,IF(20/(M837-L837)&gt;10,1,0)),IF(ISNUMBER(K837),IF(M837-K837&lt;=0,1,IF(25/(M837-K837)&gt;10,1,0)),IF(M837&lt;=0,1,IF(30/M837&gt;10,1,0)))),0)&gt;0,1,0))</f>
        <v/>
      </c>
      <c r="O837" s="22">
        <f>IF(AND(J837=1,N837=0),1,0)</f>
        <v/>
      </c>
      <c r="P837" s="22">
        <f>INDEX(Personendaten!$J$2:$J$32,MATCH(A837,Personendaten!$A$2:$A$32,0))</f>
        <v/>
      </c>
      <c r="Q837" s="22">
        <f>IF(O837=1,"",IF(AND(B837="post",P837="nicht angetreten"),"NANG",IF(N837=1,"AUSL",IFERROR(VLOOKUP(H837,Vokabular!$A$2:$B$8,2,FALSE),"UNBEKANNT"))))</f>
        <v/>
      </c>
    </row>
    <row r="838">
      <c r="A838" s="5" t="inlineStr">
        <is>
          <t>HL-06</t>
        </is>
      </c>
      <c r="B838" s="5" t="inlineStr">
        <is>
          <t>post</t>
        </is>
      </c>
      <c r="C838" s="5" t="inlineStr">
        <is>
          <t>Sprint_30m</t>
        </is>
      </c>
      <c r="D838" s="5" t="inlineStr">
        <is>
          <t>–</t>
        </is>
      </c>
      <c r="E838" s="5" t="n">
        <v>3</v>
      </c>
      <c r="F838" s="5" t="n">
        <v>4.51</v>
      </c>
      <c r="G838" s="5" t="n"/>
      <c r="H838" s="5" t="n"/>
      <c r="I838" s="22">
        <f>INDEX(Personendaten!$C$2:$C$32,MATCH(A838,Personendaten!$A$2:$A$32,0))</f>
        <v/>
      </c>
      <c r="J838" s="22">
        <f>IF(AND(F838&lt;&gt;"",G838=""),1,0)</f>
        <v/>
      </c>
      <c r="K838" s="22">
        <f>IF(LEFT(C838,7)&lt;&gt;"Sprint_","",IF(COUNTIFS(Versuchsdaten!$A$2:$A$1117,$A838,Versuchsdaten!$B$2:$B$1117,$B838,Versuchsdaten!$C$2:$C$1117,"Sprint_5m",Versuchsdaten!$E$2:$E$1117,$E838,Versuchsdaten!$J$2:$J$1117,1)=1,SUMIFS(Versuchsdaten!$F$2:$F$1117,Versuchsdaten!$A$2:$A$1117,$A838,Versuchsdaten!$B$2:$B$1117,$B838,Versuchsdaten!$C$2:$C$1117,"Sprint_5m",Versuchsdaten!$E$2:$E$1117,$E838,Versuchsdaten!$J$2:$J$1117,1),""))</f>
        <v/>
      </c>
      <c r="L838" s="22">
        <f>IF(LEFT(C838,7)&lt;&gt;"Sprint_","",IF(COUNTIFS(Versuchsdaten!$A$2:$A$1117,$A838,Versuchsdaten!$B$2:$B$1117,$B838,Versuchsdaten!$C$2:$C$1117,"Sprint_10m",Versuchsdaten!$E$2:$E$1117,$E838,Versuchsdaten!$J$2:$J$1117,1)=1,SUMIFS(Versuchsdaten!$F$2:$F$1117,Versuchsdaten!$A$2:$A$1117,$A838,Versuchsdaten!$B$2:$B$1117,$B838,Versuchsdaten!$C$2:$C$1117,"Sprint_10m",Versuchsdaten!$E$2:$E$1117,$E838,Versuchsdaten!$J$2:$J$1117,1),""))</f>
        <v/>
      </c>
      <c r="M838" s="22">
        <f>IF(LEFT(C838,7)&lt;&gt;"Sprint_","",IF(COUNTIFS(Versuchsdaten!$A$2:$A$1117,$A838,Versuchsdaten!$B$2:$B$1117,$B838,Versuchsdaten!$C$2:$C$1117,"Sprint_30m",Versuchsdaten!$E$2:$E$1117,$E838,Versuchsdaten!$J$2:$J$1117,1)=1,SUMIFS(Versuchsdaten!$F$2:$F$1117,Versuchsdaten!$A$2:$A$1117,$A838,Versuchsdaten!$B$2:$B$1117,$B838,Versuchsdaten!$C$2:$C$1117,"Sprint_30m",Versuchsdaten!$E$2:$E$1117,$E838,Versuchsdaten!$J$2:$J$1117,1),""))</f>
        <v/>
      </c>
      <c r="N838" s="22">
        <f>IF(LEFT(C838,7)&lt;&gt;"Sprint_",0,IF(IF(ISNUMBER(K838),IF(K838&lt;=0,1,IF(5/K838&gt;10,1,0)),0)+IF(ISNUMBER(L838),IF(ISNUMBER(K838),IF(L838-K838&lt;=0,1,IF(5/(L838-K838)&gt;10,1,0)),IF(L838&lt;=0,1,IF(10/L838&gt;10,1,0))),0)+IF(ISNUMBER(M838),IF(ISNUMBER(L838),IF(M838-L838&lt;=0,1,IF(20/(M838-L838)&gt;10,1,0)),IF(ISNUMBER(K838),IF(M838-K838&lt;=0,1,IF(25/(M838-K838)&gt;10,1,0)),IF(M838&lt;=0,1,IF(30/M838&gt;10,1,0)))),0)&gt;0,1,0))</f>
        <v/>
      </c>
      <c r="O838" s="22">
        <f>IF(AND(J838=1,N838=0),1,0)</f>
        <v/>
      </c>
      <c r="P838" s="22">
        <f>INDEX(Personendaten!$J$2:$J$32,MATCH(A838,Personendaten!$A$2:$A$32,0))</f>
        <v/>
      </c>
      <c r="Q838" s="22">
        <f>IF(O838=1,"",IF(AND(B838="post",P838="nicht angetreten"),"NANG",IF(N838=1,"AUSL",IFERROR(VLOOKUP(H838,Vokabular!$A$2:$B$8,2,FALSE),"UNBEKANNT"))))</f>
        <v/>
      </c>
    </row>
    <row r="839">
      <c r="A839" s="5" t="inlineStr">
        <is>
          <t>HL-06</t>
        </is>
      </c>
      <c r="B839" s="5" t="inlineStr">
        <is>
          <t>post</t>
        </is>
      </c>
      <c r="C839" s="5" t="inlineStr">
        <is>
          <t>Standweitsprung</t>
        </is>
      </c>
      <c r="D839" s="5" t="inlineStr">
        <is>
          <t>–</t>
        </is>
      </c>
      <c r="E839" s="5" t="n">
        <v>1</v>
      </c>
      <c r="F839" s="5" t="n">
        <v>231</v>
      </c>
      <c r="G839" s="5" t="n"/>
      <c r="H839" s="5" t="n"/>
      <c r="I839" s="22">
        <f>INDEX(Personendaten!$C$2:$C$32,MATCH(A839,Personendaten!$A$2:$A$32,0))</f>
        <v/>
      </c>
      <c r="J839" s="22">
        <f>IF(AND(F839&lt;&gt;"",G839=""),1,0)</f>
        <v/>
      </c>
      <c r="K839" s="22">
        <f>IF(LEFT(C839,7)&lt;&gt;"Sprint_","",IF(COUNTIFS(Versuchsdaten!$A$2:$A$1117,$A839,Versuchsdaten!$B$2:$B$1117,$B839,Versuchsdaten!$C$2:$C$1117,"Sprint_5m",Versuchsdaten!$E$2:$E$1117,$E839,Versuchsdaten!$J$2:$J$1117,1)=1,SUMIFS(Versuchsdaten!$F$2:$F$1117,Versuchsdaten!$A$2:$A$1117,$A839,Versuchsdaten!$B$2:$B$1117,$B839,Versuchsdaten!$C$2:$C$1117,"Sprint_5m",Versuchsdaten!$E$2:$E$1117,$E839,Versuchsdaten!$J$2:$J$1117,1),""))</f>
        <v/>
      </c>
      <c r="L839" s="22">
        <f>IF(LEFT(C839,7)&lt;&gt;"Sprint_","",IF(COUNTIFS(Versuchsdaten!$A$2:$A$1117,$A839,Versuchsdaten!$B$2:$B$1117,$B839,Versuchsdaten!$C$2:$C$1117,"Sprint_10m",Versuchsdaten!$E$2:$E$1117,$E839,Versuchsdaten!$J$2:$J$1117,1)=1,SUMIFS(Versuchsdaten!$F$2:$F$1117,Versuchsdaten!$A$2:$A$1117,$A839,Versuchsdaten!$B$2:$B$1117,$B839,Versuchsdaten!$C$2:$C$1117,"Sprint_10m",Versuchsdaten!$E$2:$E$1117,$E839,Versuchsdaten!$J$2:$J$1117,1),""))</f>
        <v/>
      </c>
      <c r="M839" s="22">
        <f>IF(LEFT(C839,7)&lt;&gt;"Sprint_","",IF(COUNTIFS(Versuchsdaten!$A$2:$A$1117,$A839,Versuchsdaten!$B$2:$B$1117,$B839,Versuchsdaten!$C$2:$C$1117,"Sprint_30m",Versuchsdaten!$E$2:$E$1117,$E839,Versuchsdaten!$J$2:$J$1117,1)=1,SUMIFS(Versuchsdaten!$F$2:$F$1117,Versuchsdaten!$A$2:$A$1117,$A839,Versuchsdaten!$B$2:$B$1117,$B839,Versuchsdaten!$C$2:$C$1117,"Sprint_30m",Versuchsdaten!$E$2:$E$1117,$E839,Versuchsdaten!$J$2:$J$1117,1),""))</f>
        <v/>
      </c>
      <c r="N839" s="22">
        <f>IF(LEFT(C839,7)&lt;&gt;"Sprint_",0,IF(IF(ISNUMBER(K839),IF(K839&lt;=0,1,IF(5/K839&gt;10,1,0)),0)+IF(ISNUMBER(L839),IF(ISNUMBER(K839),IF(L839-K839&lt;=0,1,IF(5/(L839-K839)&gt;10,1,0)),IF(L839&lt;=0,1,IF(10/L839&gt;10,1,0))),0)+IF(ISNUMBER(M839),IF(ISNUMBER(L839),IF(M839-L839&lt;=0,1,IF(20/(M839-L839)&gt;10,1,0)),IF(ISNUMBER(K839),IF(M839-K839&lt;=0,1,IF(25/(M839-K839)&gt;10,1,0)),IF(M839&lt;=0,1,IF(30/M839&gt;10,1,0)))),0)&gt;0,1,0))</f>
        <v/>
      </c>
      <c r="O839" s="22">
        <f>IF(AND(J839=1,N839=0),1,0)</f>
        <v/>
      </c>
      <c r="P839" s="22">
        <f>INDEX(Personendaten!$J$2:$J$32,MATCH(A839,Personendaten!$A$2:$A$32,0))</f>
        <v/>
      </c>
      <c r="Q839" s="22">
        <f>IF(O839=1,"",IF(AND(B839="post",P839="nicht angetreten"),"NANG",IF(N839=1,"AUSL",IFERROR(VLOOKUP(H839,Vokabular!$A$2:$B$8,2,FALSE),"UNBEKANNT"))))</f>
        <v/>
      </c>
    </row>
    <row r="840">
      <c r="A840" s="5" t="inlineStr">
        <is>
          <t>HL-06</t>
        </is>
      </c>
      <c r="B840" s="5" t="inlineStr">
        <is>
          <t>post</t>
        </is>
      </c>
      <c r="C840" s="5" t="inlineStr">
        <is>
          <t>Standweitsprung</t>
        </is>
      </c>
      <c r="D840" s="5" t="inlineStr">
        <is>
          <t>–</t>
        </is>
      </c>
      <c r="E840" s="5" t="n">
        <v>2</v>
      </c>
      <c r="F840" s="5" t="n">
        <v>243</v>
      </c>
      <c r="G840" s="5" t="n"/>
      <c r="H840" s="5" t="n"/>
      <c r="I840" s="22">
        <f>INDEX(Personendaten!$C$2:$C$32,MATCH(A840,Personendaten!$A$2:$A$32,0))</f>
        <v/>
      </c>
      <c r="J840" s="22">
        <f>IF(AND(F840&lt;&gt;"",G840=""),1,0)</f>
        <v/>
      </c>
      <c r="K840" s="22">
        <f>IF(LEFT(C840,7)&lt;&gt;"Sprint_","",IF(COUNTIFS(Versuchsdaten!$A$2:$A$1117,$A840,Versuchsdaten!$B$2:$B$1117,$B840,Versuchsdaten!$C$2:$C$1117,"Sprint_5m",Versuchsdaten!$E$2:$E$1117,$E840,Versuchsdaten!$J$2:$J$1117,1)=1,SUMIFS(Versuchsdaten!$F$2:$F$1117,Versuchsdaten!$A$2:$A$1117,$A840,Versuchsdaten!$B$2:$B$1117,$B840,Versuchsdaten!$C$2:$C$1117,"Sprint_5m",Versuchsdaten!$E$2:$E$1117,$E840,Versuchsdaten!$J$2:$J$1117,1),""))</f>
        <v/>
      </c>
      <c r="L840" s="22">
        <f>IF(LEFT(C840,7)&lt;&gt;"Sprint_","",IF(COUNTIFS(Versuchsdaten!$A$2:$A$1117,$A840,Versuchsdaten!$B$2:$B$1117,$B840,Versuchsdaten!$C$2:$C$1117,"Sprint_10m",Versuchsdaten!$E$2:$E$1117,$E840,Versuchsdaten!$J$2:$J$1117,1)=1,SUMIFS(Versuchsdaten!$F$2:$F$1117,Versuchsdaten!$A$2:$A$1117,$A840,Versuchsdaten!$B$2:$B$1117,$B840,Versuchsdaten!$C$2:$C$1117,"Sprint_10m",Versuchsdaten!$E$2:$E$1117,$E840,Versuchsdaten!$J$2:$J$1117,1),""))</f>
        <v/>
      </c>
      <c r="M840" s="22">
        <f>IF(LEFT(C840,7)&lt;&gt;"Sprint_","",IF(COUNTIFS(Versuchsdaten!$A$2:$A$1117,$A840,Versuchsdaten!$B$2:$B$1117,$B840,Versuchsdaten!$C$2:$C$1117,"Sprint_30m",Versuchsdaten!$E$2:$E$1117,$E840,Versuchsdaten!$J$2:$J$1117,1)=1,SUMIFS(Versuchsdaten!$F$2:$F$1117,Versuchsdaten!$A$2:$A$1117,$A840,Versuchsdaten!$B$2:$B$1117,$B840,Versuchsdaten!$C$2:$C$1117,"Sprint_30m",Versuchsdaten!$E$2:$E$1117,$E840,Versuchsdaten!$J$2:$J$1117,1),""))</f>
        <v/>
      </c>
      <c r="N840" s="22">
        <f>IF(LEFT(C840,7)&lt;&gt;"Sprint_",0,IF(IF(ISNUMBER(K840),IF(K840&lt;=0,1,IF(5/K840&gt;10,1,0)),0)+IF(ISNUMBER(L840),IF(ISNUMBER(K840),IF(L840-K840&lt;=0,1,IF(5/(L840-K840)&gt;10,1,0)),IF(L840&lt;=0,1,IF(10/L840&gt;10,1,0))),0)+IF(ISNUMBER(M840),IF(ISNUMBER(L840),IF(M840-L840&lt;=0,1,IF(20/(M840-L840)&gt;10,1,0)),IF(ISNUMBER(K840),IF(M840-K840&lt;=0,1,IF(25/(M840-K840)&gt;10,1,0)),IF(M840&lt;=0,1,IF(30/M840&gt;10,1,0)))),0)&gt;0,1,0))</f>
        <v/>
      </c>
      <c r="O840" s="22">
        <f>IF(AND(J840=1,N840=0),1,0)</f>
        <v/>
      </c>
      <c r="P840" s="22">
        <f>INDEX(Personendaten!$J$2:$J$32,MATCH(A840,Personendaten!$A$2:$A$32,0))</f>
        <v/>
      </c>
      <c r="Q840" s="22">
        <f>IF(O840=1,"",IF(AND(B840="post",P840="nicht angetreten"),"NANG",IF(N840=1,"AUSL",IFERROR(VLOOKUP(H840,Vokabular!$A$2:$B$8,2,FALSE),"UNBEKANNT"))))</f>
        <v/>
      </c>
    </row>
    <row r="841">
      <c r="A841" s="5" t="inlineStr">
        <is>
          <t>HL-06</t>
        </is>
      </c>
      <c r="B841" s="5" t="inlineStr">
        <is>
          <t>post</t>
        </is>
      </c>
      <c r="C841" s="5" t="inlineStr">
        <is>
          <t>Standweitsprung</t>
        </is>
      </c>
      <c r="D841" s="5" t="inlineStr">
        <is>
          <t>–</t>
        </is>
      </c>
      <c r="E841" s="5" t="n">
        <v>3</v>
      </c>
      <c r="F841" s="5" t="n"/>
      <c r="G841" s="5" t="n"/>
      <c r="H841" s="5" t="inlineStr">
        <is>
          <t>Nur 2 Versuche aus Zeitmangel</t>
        </is>
      </c>
      <c r="I841" s="22">
        <f>INDEX(Personendaten!$C$2:$C$32,MATCH(A841,Personendaten!$A$2:$A$32,0))</f>
        <v/>
      </c>
      <c r="J841" s="22">
        <f>IF(AND(F841&lt;&gt;"",G841=""),1,0)</f>
        <v/>
      </c>
      <c r="K841" s="22">
        <f>IF(LEFT(C841,7)&lt;&gt;"Sprint_","",IF(COUNTIFS(Versuchsdaten!$A$2:$A$1117,$A841,Versuchsdaten!$B$2:$B$1117,$B841,Versuchsdaten!$C$2:$C$1117,"Sprint_5m",Versuchsdaten!$E$2:$E$1117,$E841,Versuchsdaten!$J$2:$J$1117,1)=1,SUMIFS(Versuchsdaten!$F$2:$F$1117,Versuchsdaten!$A$2:$A$1117,$A841,Versuchsdaten!$B$2:$B$1117,$B841,Versuchsdaten!$C$2:$C$1117,"Sprint_5m",Versuchsdaten!$E$2:$E$1117,$E841,Versuchsdaten!$J$2:$J$1117,1),""))</f>
        <v/>
      </c>
      <c r="L841" s="22">
        <f>IF(LEFT(C841,7)&lt;&gt;"Sprint_","",IF(COUNTIFS(Versuchsdaten!$A$2:$A$1117,$A841,Versuchsdaten!$B$2:$B$1117,$B841,Versuchsdaten!$C$2:$C$1117,"Sprint_10m",Versuchsdaten!$E$2:$E$1117,$E841,Versuchsdaten!$J$2:$J$1117,1)=1,SUMIFS(Versuchsdaten!$F$2:$F$1117,Versuchsdaten!$A$2:$A$1117,$A841,Versuchsdaten!$B$2:$B$1117,$B841,Versuchsdaten!$C$2:$C$1117,"Sprint_10m",Versuchsdaten!$E$2:$E$1117,$E841,Versuchsdaten!$J$2:$J$1117,1),""))</f>
        <v/>
      </c>
      <c r="M841" s="22">
        <f>IF(LEFT(C841,7)&lt;&gt;"Sprint_","",IF(COUNTIFS(Versuchsdaten!$A$2:$A$1117,$A841,Versuchsdaten!$B$2:$B$1117,$B841,Versuchsdaten!$C$2:$C$1117,"Sprint_30m",Versuchsdaten!$E$2:$E$1117,$E841,Versuchsdaten!$J$2:$J$1117,1)=1,SUMIFS(Versuchsdaten!$F$2:$F$1117,Versuchsdaten!$A$2:$A$1117,$A841,Versuchsdaten!$B$2:$B$1117,$B841,Versuchsdaten!$C$2:$C$1117,"Sprint_30m",Versuchsdaten!$E$2:$E$1117,$E841,Versuchsdaten!$J$2:$J$1117,1),""))</f>
        <v/>
      </c>
      <c r="N841" s="22">
        <f>IF(LEFT(C841,7)&lt;&gt;"Sprint_",0,IF(IF(ISNUMBER(K841),IF(K841&lt;=0,1,IF(5/K841&gt;10,1,0)),0)+IF(ISNUMBER(L841),IF(ISNUMBER(K841),IF(L841-K841&lt;=0,1,IF(5/(L841-K841)&gt;10,1,0)),IF(L841&lt;=0,1,IF(10/L841&gt;10,1,0))),0)+IF(ISNUMBER(M841),IF(ISNUMBER(L841),IF(M841-L841&lt;=0,1,IF(20/(M841-L841)&gt;10,1,0)),IF(ISNUMBER(K841),IF(M841-K841&lt;=0,1,IF(25/(M841-K841)&gt;10,1,0)),IF(M841&lt;=0,1,IF(30/M841&gt;10,1,0)))),0)&gt;0,1,0))</f>
        <v/>
      </c>
      <c r="O841" s="22">
        <f>IF(AND(J841=1,N841=0),1,0)</f>
        <v/>
      </c>
      <c r="P841" s="22">
        <f>INDEX(Personendaten!$J$2:$J$32,MATCH(A841,Personendaten!$A$2:$A$32,0))</f>
        <v/>
      </c>
      <c r="Q841" s="22">
        <f>IF(O841=1,"",IF(AND(B841="post",P841="nicht angetreten"),"NANG",IF(N841=1,"AUSL",IFERROR(VLOOKUP(H841,Vokabular!$A$2:$B$8,2,FALSE),"UNBEKANNT"))))</f>
        <v/>
      </c>
    </row>
    <row r="842">
      <c r="A842" s="5" t="inlineStr">
        <is>
          <t>HL-06</t>
        </is>
      </c>
      <c r="B842" s="5" t="inlineStr">
        <is>
          <t>post</t>
        </is>
      </c>
      <c r="C842" s="5" t="inlineStr">
        <is>
          <t>COD_505</t>
        </is>
      </c>
      <c r="D842" s="5" t="inlineStr">
        <is>
          <t>L</t>
        </is>
      </c>
      <c r="E842" s="5" t="n">
        <v>1</v>
      </c>
      <c r="F842" s="5" t="n">
        <v>2.56</v>
      </c>
      <c r="G842" s="5" t="n"/>
      <c r="H842" s="5" t="n"/>
      <c r="I842" s="22">
        <f>INDEX(Personendaten!$C$2:$C$32,MATCH(A842,Personendaten!$A$2:$A$32,0))</f>
        <v/>
      </c>
      <c r="J842" s="22">
        <f>IF(AND(F842&lt;&gt;"",G842=""),1,0)</f>
        <v/>
      </c>
      <c r="K842" s="22">
        <f>IF(LEFT(C842,7)&lt;&gt;"Sprint_","",IF(COUNTIFS(Versuchsdaten!$A$2:$A$1117,$A842,Versuchsdaten!$B$2:$B$1117,$B842,Versuchsdaten!$C$2:$C$1117,"Sprint_5m",Versuchsdaten!$E$2:$E$1117,$E842,Versuchsdaten!$J$2:$J$1117,1)=1,SUMIFS(Versuchsdaten!$F$2:$F$1117,Versuchsdaten!$A$2:$A$1117,$A842,Versuchsdaten!$B$2:$B$1117,$B842,Versuchsdaten!$C$2:$C$1117,"Sprint_5m",Versuchsdaten!$E$2:$E$1117,$E842,Versuchsdaten!$J$2:$J$1117,1),""))</f>
        <v/>
      </c>
      <c r="L842" s="22">
        <f>IF(LEFT(C842,7)&lt;&gt;"Sprint_","",IF(COUNTIFS(Versuchsdaten!$A$2:$A$1117,$A842,Versuchsdaten!$B$2:$B$1117,$B842,Versuchsdaten!$C$2:$C$1117,"Sprint_10m",Versuchsdaten!$E$2:$E$1117,$E842,Versuchsdaten!$J$2:$J$1117,1)=1,SUMIFS(Versuchsdaten!$F$2:$F$1117,Versuchsdaten!$A$2:$A$1117,$A842,Versuchsdaten!$B$2:$B$1117,$B842,Versuchsdaten!$C$2:$C$1117,"Sprint_10m",Versuchsdaten!$E$2:$E$1117,$E842,Versuchsdaten!$J$2:$J$1117,1),""))</f>
        <v/>
      </c>
      <c r="M842" s="22">
        <f>IF(LEFT(C842,7)&lt;&gt;"Sprint_","",IF(COUNTIFS(Versuchsdaten!$A$2:$A$1117,$A842,Versuchsdaten!$B$2:$B$1117,$B842,Versuchsdaten!$C$2:$C$1117,"Sprint_30m",Versuchsdaten!$E$2:$E$1117,$E842,Versuchsdaten!$J$2:$J$1117,1)=1,SUMIFS(Versuchsdaten!$F$2:$F$1117,Versuchsdaten!$A$2:$A$1117,$A842,Versuchsdaten!$B$2:$B$1117,$B842,Versuchsdaten!$C$2:$C$1117,"Sprint_30m",Versuchsdaten!$E$2:$E$1117,$E842,Versuchsdaten!$J$2:$J$1117,1),""))</f>
        <v/>
      </c>
      <c r="N842" s="22">
        <f>IF(LEFT(C842,7)&lt;&gt;"Sprint_",0,IF(IF(ISNUMBER(K842),IF(K842&lt;=0,1,IF(5/K842&gt;10,1,0)),0)+IF(ISNUMBER(L842),IF(ISNUMBER(K842),IF(L842-K842&lt;=0,1,IF(5/(L842-K842)&gt;10,1,0)),IF(L842&lt;=0,1,IF(10/L842&gt;10,1,0))),0)+IF(ISNUMBER(M842),IF(ISNUMBER(L842),IF(M842-L842&lt;=0,1,IF(20/(M842-L842)&gt;10,1,0)),IF(ISNUMBER(K842),IF(M842-K842&lt;=0,1,IF(25/(M842-K842)&gt;10,1,0)),IF(M842&lt;=0,1,IF(30/M842&gt;10,1,0)))),0)&gt;0,1,0))</f>
        <v/>
      </c>
      <c r="O842" s="22">
        <f>IF(AND(J842=1,N842=0),1,0)</f>
        <v/>
      </c>
      <c r="P842" s="22">
        <f>INDEX(Personendaten!$J$2:$J$32,MATCH(A842,Personendaten!$A$2:$A$32,0))</f>
        <v/>
      </c>
      <c r="Q842" s="22">
        <f>IF(O842=1,"",IF(AND(B842="post",P842="nicht angetreten"),"NANG",IF(N842=1,"AUSL",IFERROR(VLOOKUP(H842,Vokabular!$A$2:$B$8,2,FALSE),"UNBEKANNT"))))</f>
        <v/>
      </c>
    </row>
    <row r="843">
      <c r="A843" s="5" t="inlineStr">
        <is>
          <t>HL-06</t>
        </is>
      </c>
      <c r="B843" s="5" t="inlineStr">
        <is>
          <t>post</t>
        </is>
      </c>
      <c r="C843" s="5" t="inlineStr">
        <is>
          <t>COD_505</t>
        </is>
      </c>
      <c r="D843" s="5" t="inlineStr">
        <is>
          <t>L</t>
        </is>
      </c>
      <c r="E843" s="5" t="n">
        <v>2</v>
      </c>
      <c r="F843" s="5" t="n"/>
      <c r="G843" s="5" t="inlineStr">
        <is>
          <t>x</t>
        </is>
      </c>
      <c r="H843" s="5" t="inlineStr">
        <is>
          <t>Fehlversuch</t>
        </is>
      </c>
      <c r="I843" s="22">
        <f>INDEX(Personendaten!$C$2:$C$32,MATCH(A843,Personendaten!$A$2:$A$32,0))</f>
        <v/>
      </c>
      <c r="J843" s="22">
        <f>IF(AND(F843&lt;&gt;"",G843=""),1,0)</f>
        <v/>
      </c>
      <c r="K843" s="22">
        <f>IF(LEFT(C843,7)&lt;&gt;"Sprint_","",IF(COUNTIFS(Versuchsdaten!$A$2:$A$1117,$A843,Versuchsdaten!$B$2:$B$1117,$B843,Versuchsdaten!$C$2:$C$1117,"Sprint_5m",Versuchsdaten!$E$2:$E$1117,$E843,Versuchsdaten!$J$2:$J$1117,1)=1,SUMIFS(Versuchsdaten!$F$2:$F$1117,Versuchsdaten!$A$2:$A$1117,$A843,Versuchsdaten!$B$2:$B$1117,$B843,Versuchsdaten!$C$2:$C$1117,"Sprint_5m",Versuchsdaten!$E$2:$E$1117,$E843,Versuchsdaten!$J$2:$J$1117,1),""))</f>
        <v/>
      </c>
      <c r="L843" s="22">
        <f>IF(LEFT(C843,7)&lt;&gt;"Sprint_","",IF(COUNTIFS(Versuchsdaten!$A$2:$A$1117,$A843,Versuchsdaten!$B$2:$B$1117,$B843,Versuchsdaten!$C$2:$C$1117,"Sprint_10m",Versuchsdaten!$E$2:$E$1117,$E843,Versuchsdaten!$J$2:$J$1117,1)=1,SUMIFS(Versuchsdaten!$F$2:$F$1117,Versuchsdaten!$A$2:$A$1117,$A843,Versuchsdaten!$B$2:$B$1117,$B843,Versuchsdaten!$C$2:$C$1117,"Sprint_10m",Versuchsdaten!$E$2:$E$1117,$E843,Versuchsdaten!$J$2:$J$1117,1),""))</f>
        <v/>
      </c>
      <c r="M843" s="22">
        <f>IF(LEFT(C843,7)&lt;&gt;"Sprint_","",IF(COUNTIFS(Versuchsdaten!$A$2:$A$1117,$A843,Versuchsdaten!$B$2:$B$1117,$B843,Versuchsdaten!$C$2:$C$1117,"Sprint_30m",Versuchsdaten!$E$2:$E$1117,$E843,Versuchsdaten!$J$2:$J$1117,1)=1,SUMIFS(Versuchsdaten!$F$2:$F$1117,Versuchsdaten!$A$2:$A$1117,$A843,Versuchsdaten!$B$2:$B$1117,$B843,Versuchsdaten!$C$2:$C$1117,"Sprint_30m",Versuchsdaten!$E$2:$E$1117,$E843,Versuchsdaten!$J$2:$J$1117,1),""))</f>
        <v/>
      </c>
      <c r="N843" s="22">
        <f>IF(LEFT(C843,7)&lt;&gt;"Sprint_",0,IF(IF(ISNUMBER(K843),IF(K843&lt;=0,1,IF(5/K843&gt;10,1,0)),0)+IF(ISNUMBER(L843),IF(ISNUMBER(K843),IF(L843-K843&lt;=0,1,IF(5/(L843-K843)&gt;10,1,0)),IF(L843&lt;=0,1,IF(10/L843&gt;10,1,0))),0)+IF(ISNUMBER(M843),IF(ISNUMBER(L843),IF(M843-L843&lt;=0,1,IF(20/(M843-L843)&gt;10,1,0)),IF(ISNUMBER(K843),IF(M843-K843&lt;=0,1,IF(25/(M843-K843)&gt;10,1,0)),IF(M843&lt;=0,1,IF(30/M843&gt;10,1,0)))),0)&gt;0,1,0))</f>
        <v/>
      </c>
      <c r="O843" s="22">
        <f>IF(AND(J843=1,N843=0),1,0)</f>
        <v/>
      </c>
      <c r="P843" s="22">
        <f>INDEX(Personendaten!$J$2:$J$32,MATCH(A843,Personendaten!$A$2:$A$32,0))</f>
        <v/>
      </c>
      <c r="Q843" s="22">
        <f>IF(O843=1,"",IF(AND(B843="post",P843="nicht angetreten"),"NANG",IF(N843=1,"AUSL",IFERROR(VLOOKUP(H843,Vokabular!$A$2:$B$8,2,FALSE),"UNBEKANNT"))))</f>
        <v/>
      </c>
    </row>
    <row r="844">
      <c r="A844" s="5" t="inlineStr">
        <is>
          <t>HL-06</t>
        </is>
      </c>
      <c r="B844" s="5" t="inlineStr">
        <is>
          <t>post</t>
        </is>
      </c>
      <c r="C844" s="5" t="inlineStr">
        <is>
          <t>COD_505</t>
        </is>
      </c>
      <c r="D844" s="5" t="inlineStr">
        <is>
          <t>L</t>
        </is>
      </c>
      <c r="E844" s="5" t="n">
        <v>3</v>
      </c>
      <c r="F844" s="5" t="n"/>
      <c r="G844" s="5" t="n"/>
      <c r="H844" s="5" t="inlineStr">
        <is>
          <t>Nur 2 Versuche aus Zeitmangel</t>
        </is>
      </c>
      <c r="I844" s="22">
        <f>INDEX(Personendaten!$C$2:$C$32,MATCH(A844,Personendaten!$A$2:$A$32,0))</f>
        <v/>
      </c>
      <c r="J844" s="22">
        <f>IF(AND(F844&lt;&gt;"",G844=""),1,0)</f>
        <v/>
      </c>
      <c r="K844" s="22">
        <f>IF(LEFT(C844,7)&lt;&gt;"Sprint_","",IF(COUNTIFS(Versuchsdaten!$A$2:$A$1117,$A844,Versuchsdaten!$B$2:$B$1117,$B844,Versuchsdaten!$C$2:$C$1117,"Sprint_5m",Versuchsdaten!$E$2:$E$1117,$E844,Versuchsdaten!$J$2:$J$1117,1)=1,SUMIFS(Versuchsdaten!$F$2:$F$1117,Versuchsdaten!$A$2:$A$1117,$A844,Versuchsdaten!$B$2:$B$1117,$B844,Versuchsdaten!$C$2:$C$1117,"Sprint_5m",Versuchsdaten!$E$2:$E$1117,$E844,Versuchsdaten!$J$2:$J$1117,1),""))</f>
        <v/>
      </c>
      <c r="L844" s="22">
        <f>IF(LEFT(C844,7)&lt;&gt;"Sprint_","",IF(COUNTIFS(Versuchsdaten!$A$2:$A$1117,$A844,Versuchsdaten!$B$2:$B$1117,$B844,Versuchsdaten!$C$2:$C$1117,"Sprint_10m",Versuchsdaten!$E$2:$E$1117,$E844,Versuchsdaten!$J$2:$J$1117,1)=1,SUMIFS(Versuchsdaten!$F$2:$F$1117,Versuchsdaten!$A$2:$A$1117,$A844,Versuchsdaten!$B$2:$B$1117,$B844,Versuchsdaten!$C$2:$C$1117,"Sprint_10m",Versuchsdaten!$E$2:$E$1117,$E844,Versuchsdaten!$J$2:$J$1117,1),""))</f>
        <v/>
      </c>
      <c r="M844" s="22">
        <f>IF(LEFT(C844,7)&lt;&gt;"Sprint_","",IF(COUNTIFS(Versuchsdaten!$A$2:$A$1117,$A844,Versuchsdaten!$B$2:$B$1117,$B844,Versuchsdaten!$C$2:$C$1117,"Sprint_30m",Versuchsdaten!$E$2:$E$1117,$E844,Versuchsdaten!$J$2:$J$1117,1)=1,SUMIFS(Versuchsdaten!$F$2:$F$1117,Versuchsdaten!$A$2:$A$1117,$A844,Versuchsdaten!$B$2:$B$1117,$B844,Versuchsdaten!$C$2:$C$1117,"Sprint_30m",Versuchsdaten!$E$2:$E$1117,$E844,Versuchsdaten!$J$2:$J$1117,1),""))</f>
        <v/>
      </c>
      <c r="N844" s="22">
        <f>IF(LEFT(C844,7)&lt;&gt;"Sprint_",0,IF(IF(ISNUMBER(K844),IF(K844&lt;=0,1,IF(5/K844&gt;10,1,0)),0)+IF(ISNUMBER(L844),IF(ISNUMBER(K844),IF(L844-K844&lt;=0,1,IF(5/(L844-K844)&gt;10,1,0)),IF(L844&lt;=0,1,IF(10/L844&gt;10,1,0))),0)+IF(ISNUMBER(M844),IF(ISNUMBER(L844),IF(M844-L844&lt;=0,1,IF(20/(M844-L844)&gt;10,1,0)),IF(ISNUMBER(K844),IF(M844-K844&lt;=0,1,IF(25/(M844-K844)&gt;10,1,0)),IF(M844&lt;=0,1,IF(30/M844&gt;10,1,0)))),0)&gt;0,1,0))</f>
        <v/>
      </c>
      <c r="O844" s="22">
        <f>IF(AND(J844=1,N844=0),1,0)</f>
        <v/>
      </c>
      <c r="P844" s="22">
        <f>INDEX(Personendaten!$J$2:$J$32,MATCH(A844,Personendaten!$A$2:$A$32,0))</f>
        <v/>
      </c>
      <c r="Q844" s="22">
        <f>IF(O844=1,"",IF(AND(B844="post",P844="nicht angetreten"),"NANG",IF(N844=1,"AUSL",IFERROR(VLOOKUP(H844,Vokabular!$A$2:$B$8,2,FALSE),"UNBEKANNT"))))</f>
        <v/>
      </c>
    </row>
    <row r="845">
      <c r="A845" s="5" t="inlineStr">
        <is>
          <t>HL-06</t>
        </is>
      </c>
      <c r="B845" s="5" t="inlineStr">
        <is>
          <t>post</t>
        </is>
      </c>
      <c r="C845" s="5" t="inlineStr">
        <is>
          <t>COD_505</t>
        </is>
      </c>
      <c r="D845" s="5" t="inlineStr">
        <is>
          <t>R</t>
        </is>
      </c>
      <c r="E845" s="5" t="n">
        <v>1</v>
      </c>
      <c r="F845" s="5" t="n">
        <v>2.58</v>
      </c>
      <c r="G845" s="5" t="n"/>
      <c r="H845" s="5" t="n"/>
      <c r="I845" s="22">
        <f>INDEX(Personendaten!$C$2:$C$32,MATCH(A845,Personendaten!$A$2:$A$32,0))</f>
        <v/>
      </c>
      <c r="J845" s="22">
        <f>IF(AND(F845&lt;&gt;"",G845=""),1,0)</f>
        <v/>
      </c>
      <c r="K845" s="22">
        <f>IF(LEFT(C845,7)&lt;&gt;"Sprint_","",IF(COUNTIFS(Versuchsdaten!$A$2:$A$1117,$A845,Versuchsdaten!$B$2:$B$1117,$B845,Versuchsdaten!$C$2:$C$1117,"Sprint_5m",Versuchsdaten!$E$2:$E$1117,$E845,Versuchsdaten!$J$2:$J$1117,1)=1,SUMIFS(Versuchsdaten!$F$2:$F$1117,Versuchsdaten!$A$2:$A$1117,$A845,Versuchsdaten!$B$2:$B$1117,$B845,Versuchsdaten!$C$2:$C$1117,"Sprint_5m",Versuchsdaten!$E$2:$E$1117,$E845,Versuchsdaten!$J$2:$J$1117,1),""))</f>
        <v/>
      </c>
      <c r="L845" s="22">
        <f>IF(LEFT(C845,7)&lt;&gt;"Sprint_","",IF(COUNTIFS(Versuchsdaten!$A$2:$A$1117,$A845,Versuchsdaten!$B$2:$B$1117,$B845,Versuchsdaten!$C$2:$C$1117,"Sprint_10m",Versuchsdaten!$E$2:$E$1117,$E845,Versuchsdaten!$J$2:$J$1117,1)=1,SUMIFS(Versuchsdaten!$F$2:$F$1117,Versuchsdaten!$A$2:$A$1117,$A845,Versuchsdaten!$B$2:$B$1117,$B845,Versuchsdaten!$C$2:$C$1117,"Sprint_10m",Versuchsdaten!$E$2:$E$1117,$E845,Versuchsdaten!$J$2:$J$1117,1),""))</f>
        <v/>
      </c>
      <c r="M845" s="22">
        <f>IF(LEFT(C845,7)&lt;&gt;"Sprint_","",IF(COUNTIFS(Versuchsdaten!$A$2:$A$1117,$A845,Versuchsdaten!$B$2:$B$1117,$B845,Versuchsdaten!$C$2:$C$1117,"Sprint_30m",Versuchsdaten!$E$2:$E$1117,$E845,Versuchsdaten!$J$2:$J$1117,1)=1,SUMIFS(Versuchsdaten!$F$2:$F$1117,Versuchsdaten!$A$2:$A$1117,$A845,Versuchsdaten!$B$2:$B$1117,$B845,Versuchsdaten!$C$2:$C$1117,"Sprint_30m",Versuchsdaten!$E$2:$E$1117,$E845,Versuchsdaten!$J$2:$J$1117,1),""))</f>
        <v/>
      </c>
      <c r="N845" s="22">
        <f>IF(LEFT(C845,7)&lt;&gt;"Sprint_",0,IF(IF(ISNUMBER(K845),IF(K845&lt;=0,1,IF(5/K845&gt;10,1,0)),0)+IF(ISNUMBER(L845),IF(ISNUMBER(K845),IF(L845-K845&lt;=0,1,IF(5/(L845-K845)&gt;10,1,0)),IF(L845&lt;=0,1,IF(10/L845&gt;10,1,0))),0)+IF(ISNUMBER(M845),IF(ISNUMBER(L845),IF(M845-L845&lt;=0,1,IF(20/(M845-L845)&gt;10,1,0)),IF(ISNUMBER(K845),IF(M845-K845&lt;=0,1,IF(25/(M845-K845)&gt;10,1,0)),IF(M845&lt;=0,1,IF(30/M845&gt;10,1,0)))),0)&gt;0,1,0))</f>
        <v/>
      </c>
      <c r="O845" s="22">
        <f>IF(AND(J845=1,N845=0),1,0)</f>
        <v/>
      </c>
      <c r="P845" s="22">
        <f>INDEX(Personendaten!$J$2:$J$32,MATCH(A845,Personendaten!$A$2:$A$32,0))</f>
        <v/>
      </c>
      <c r="Q845" s="22">
        <f>IF(O845=1,"",IF(AND(B845="post",P845="nicht angetreten"),"NANG",IF(N845=1,"AUSL",IFERROR(VLOOKUP(H845,Vokabular!$A$2:$B$8,2,FALSE),"UNBEKANNT"))))</f>
        <v/>
      </c>
    </row>
    <row r="846">
      <c r="A846" s="5" t="inlineStr">
        <is>
          <t>HL-06</t>
        </is>
      </c>
      <c r="B846" s="5" t="inlineStr">
        <is>
          <t>post</t>
        </is>
      </c>
      <c r="C846" s="5" t="inlineStr">
        <is>
          <t>COD_505</t>
        </is>
      </c>
      <c r="D846" s="5" t="inlineStr">
        <is>
          <t>R</t>
        </is>
      </c>
      <c r="E846" s="5" t="n">
        <v>2</v>
      </c>
      <c r="F846" s="5" t="n">
        <v>2.45</v>
      </c>
      <c r="G846" s="5" t="n"/>
      <c r="H846" s="5" t="n"/>
      <c r="I846" s="22">
        <f>INDEX(Personendaten!$C$2:$C$32,MATCH(A846,Personendaten!$A$2:$A$32,0))</f>
        <v/>
      </c>
      <c r="J846" s="22">
        <f>IF(AND(F846&lt;&gt;"",G846=""),1,0)</f>
        <v/>
      </c>
      <c r="K846" s="22">
        <f>IF(LEFT(C846,7)&lt;&gt;"Sprint_","",IF(COUNTIFS(Versuchsdaten!$A$2:$A$1117,$A846,Versuchsdaten!$B$2:$B$1117,$B846,Versuchsdaten!$C$2:$C$1117,"Sprint_5m",Versuchsdaten!$E$2:$E$1117,$E846,Versuchsdaten!$J$2:$J$1117,1)=1,SUMIFS(Versuchsdaten!$F$2:$F$1117,Versuchsdaten!$A$2:$A$1117,$A846,Versuchsdaten!$B$2:$B$1117,$B846,Versuchsdaten!$C$2:$C$1117,"Sprint_5m",Versuchsdaten!$E$2:$E$1117,$E846,Versuchsdaten!$J$2:$J$1117,1),""))</f>
        <v/>
      </c>
      <c r="L846" s="22">
        <f>IF(LEFT(C846,7)&lt;&gt;"Sprint_","",IF(COUNTIFS(Versuchsdaten!$A$2:$A$1117,$A846,Versuchsdaten!$B$2:$B$1117,$B846,Versuchsdaten!$C$2:$C$1117,"Sprint_10m",Versuchsdaten!$E$2:$E$1117,$E846,Versuchsdaten!$J$2:$J$1117,1)=1,SUMIFS(Versuchsdaten!$F$2:$F$1117,Versuchsdaten!$A$2:$A$1117,$A846,Versuchsdaten!$B$2:$B$1117,$B846,Versuchsdaten!$C$2:$C$1117,"Sprint_10m",Versuchsdaten!$E$2:$E$1117,$E846,Versuchsdaten!$J$2:$J$1117,1),""))</f>
        <v/>
      </c>
      <c r="M846" s="22">
        <f>IF(LEFT(C846,7)&lt;&gt;"Sprint_","",IF(COUNTIFS(Versuchsdaten!$A$2:$A$1117,$A846,Versuchsdaten!$B$2:$B$1117,$B846,Versuchsdaten!$C$2:$C$1117,"Sprint_30m",Versuchsdaten!$E$2:$E$1117,$E846,Versuchsdaten!$J$2:$J$1117,1)=1,SUMIFS(Versuchsdaten!$F$2:$F$1117,Versuchsdaten!$A$2:$A$1117,$A846,Versuchsdaten!$B$2:$B$1117,$B846,Versuchsdaten!$C$2:$C$1117,"Sprint_30m",Versuchsdaten!$E$2:$E$1117,$E846,Versuchsdaten!$J$2:$J$1117,1),""))</f>
        <v/>
      </c>
      <c r="N846" s="22">
        <f>IF(LEFT(C846,7)&lt;&gt;"Sprint_",0,IF(IF(ISNUMBER(K846),IF(K846&lt;=0,1,IF(5/K846&gt;10,1,0)),0)+IF(ISNUMBER(L846),IF(ISNUMBER(K846),IF(L846-K846&lt;=0,1,IF(5/(L846-K846)&gt;10,1,0)),IF(L846&lt;=0,1,IF(10/L846&gt;10,1,0))),0)+IF(ISNUMBER(M846),IF(ISNUMBER(L846),IF(M846-L846&lt;=0,1,IF(20/(M846-L846)&gt;10,1,0)),IF(ISNUMBER(K846),IF(M846-K846&lt;=0,1,IF(25/(M846-K846)&gt;10,1,0)),IF(M846&lt;=0,1,IF(30/M846&gt;10,1,0)))),0)&gt;0,1,0))</f>
        <v/>
      </c>
      <c r="O846" s="22">
        <f>IF(AND(J846=1,N846=0),1,0)</f>
        <v/>
      </c>
      <c r="P846" s="22">
        <f>INDEX(Personendaten!$J$2:$J$32,MATCH(A846,Personendaten!$A$2:$A$32,0))</f>
        <v/>
      </c>
      <c r="Q846" s="22">
        <f>IF(O846=1,"",IF(AND(B846="post",P846="nicht angetreten"),"NANG",IF(N846=1,"AUSL",IFERROR(VLOOKUP(H846,Vokabular!$A$2:$B$8,2,FALSE),"UNBEKANNT"))))</f>
        <v/>
      </c>
    </row>
    <row r="847">
      <c r="A847" s="5" t="inlineStr">
        <is>
          <t>HL-06</t>
        </is>
      </c>
      <c r="B847" s="5" t="inlineStr">
        <is>
          <t>post</t>
        </is>
      </c>
      <c r="C847" s="5" t="inlineStr">
        <is>
          <t>COD_505</t>
        </is>
      </c>
      <c r="D847" s="5" t="inlineStr">
        <is>
          <t>R</t>
        </is>
      </c>
      <c r="E847" s="5" t="n">
        <v>3</v>
      </c>
      <c r="F847" s="5" t="n"/>
      <c r="G847" s="5" t="n"/>
      <c r="H847" s="5" t="inlineStr">
        <is>
          <t>Nur 2 Versuche aus Zeitmangel</t>
        </is>
      </c>
      <c r="I847" s="22">
        <f>INDEX(Personendaten!$C$2:$C$32,MATCH(A847,Personendaten!$A$2:$A$32,0))</f>
        <v/>
      </c>
      <c r="J847" s="22">
        <f>IF(AND(F847&lt;&gt;"",G847=""),1,0)</f>
        <v/>
      </c>
      <c r="K847" s="22">
        <f>IF(LEFT(C847,7)&lt;&gt;"Sprint_","",IF(COUNTIFS(Versuchsdaten!$A$2:$A$1117,$A847,Versuchsdaten!$B$2:$B$1117,$B847,Versuchsdaten!$C$2:$C$1117,"Sprint_5m",Versuchsdaten!$E$2:$E$1117,$E847,Versuchsdaten!$J$2:$J$1117,1)=1,SUMIFS(Versuchsdaten!$F$2:$F$1117,Versuchsdaten!$A$2:$A$1117,$A847,Versuchsdaten!$B$2:$B$1117,$B847,Versuchsdaten!$C$2:$C$1117,"Sprint_5m",Versuchsdaten!$E$2:$E$1117,$E847,Versuchsdaten!$J$2:$J$1117,1),""))</f>
        <v/>
      </c>
      <c r="L847" s="22">
        <f>IF(LEFT(C847,7)&lt;&gt;"Sprint_","",IF(COUNTIFS(Versuchsdaten!$A$2:$A$1117,$A847,Versuchsdaten!$B$2:$B$1117,$B847,Versuchsdaten!$C$2:$C$1117,"Sprint_10m",Versuchsdaten!$E$2:$E$1117,$E847,Versuchsdaten!$J$2:$J$1117,1)=1,SUMIFS(Versuchsdaten!$F$2:$F$1117,Versuchsdaten!$A$2:$A$1117,$A847,Versuchsdaten!$B$2:$B$1117,$B847,Versuchsdaten!$C$2:$C$1117,"Sprint_10m",Versuchsdaten!$E$2:$E$1117,$E847,Versuchsdaten!$J$2:$J$1117,1),""))</f>
        <v/>
      </c>
      <c r="M847" s="22">
        <f>IF(LEFT(C847,7)&lt;&gt;"Sprint_","",IF(COUNTIFS(Versuchsdaten!$A$2:$A$1117,$A847,Versuchsdaten!$B$2:$B$1117,$B847,Versuchsdaten!$C$2:$C$1117,"Sprint_30m",Versuchsdaten!$E$2:$E$1117,$E847,Versuchsdaten!$J$2:$J$1117,1)=1,SUMIFS(Versuchsdaten!$F$2:$F$1117,Versuchsdaten!$A$2:$A$1117,$A847,Versuchsdaten!$B$2:$B$1117,$B847,Versuchsdaten!$C$2:$C$1117,"Sprint_30m",Versuchsdaten!$E$2:$E$1117,$E847,Versuchsdaten!$J$2:$J$1117,1),""))</f>
        <v/>
      </c>
      <c r="N847" s="22">
        <f>IF(LEFT(C847,7)&lt;&gt;"Sprint_",0,IF(IF(ISNUMBER(K847),IF(K847&lt;=0,1,IF(5/K847&gt;10,1,0)),0)+IF(ISNUMBER(L847),IF(ISNUMBER(K847),IF(L847-K847&lt;=0,1,IF(5/(L847-K847)&gt;10,1,0)),IF(L847&lt;=0,1,IF(10/L847&gt;10,1,0))),0)+IF(ISNUMBER(M847),IF(ISNUMBER(L847),IF(M847-L847&lt;=0,1,IF(20/(M847-L847)&gt;10,1,0)),IF(ISNUMBER(K847),IF(M847-K847&lt;=0,1,IF(25/(M847-K847)&gt;10,1,0)),IF(M847&lt;=0,1,IF(30/M847&gt;10,1,0)))),0)&gt;0,1,0))</f>
        <v/>
      </c>
      <c r="O847" s="22">
        <f>IF(AND(J847=1,N847=0),1,0)</f>
        <v/>
      </c>
      <c r="P847" s="22">
        <f>INDEX(Personendaten!$J$2:$J$32,MATCH(A847,Personendaten!$A$2:$A$32,0))</f>
        <v/>
      </c>
      <c r="Q847" s="22">
        <f>IF(O847=1,"",IF(AND(B847="post",P847="nicht angetreten"),"NANG",IF(N847=1,"AUSL",IFERROR(VLOOKUP(H847,Vokabular!$A$2:$B$8,2,FALSE),"UNBEKANNT"))))</f>
        <v/>
      </c>
    </row>
    <row r="848">
      <c r="A848" s="5" t="inlineStr">
        <is>
          <t>HL-07</t>
        </is>
      </c>
      <c r="B848" s="5" t="inlineStr">
        <is>
          <t>post</t>
        </is>
      </c>
      <c r="C848" s="5" t="inlineStr">
        <is>
          <t>Sprint_5m</t>
        </is>
      </c>
      <c r="D848" s="5" t="inlineStr">
        <is>
          <t>–</t>
        </is>
      </c>
      <c r="E848" s="5" t="n">
        <v>1</v>
      </c>
      <c r="F848" s="5" t="n">
        <v>1.21</v>
      </c>
      <c r="G848" s="5" t="n"/>
      <c r="H848" s="5" t="n"/>
      <c r="I848" s="22">
        <f>INDEX(Personendaten!$C$2:$C$32,MATCH(A848,Personendaten!$A$2:$A$32,0))</f>
        <v/>
      </c>
      <c r="J848" s="22">
        <f>IF(AND(F848&lt;&gt;"",G848=""),1,0)</f>
        <v/>
      </c>
      <c r="K848" s="22">
        <f>IF(LEFT(C848,7)&lt;&gt;"Sprint_","",IF(COUNTIFS(Versuchsdaten!$A$2:$A$1117,$A848,Versuchsdaten!$B$2:$B$1117,$B848,Versuchsdaten!$C$2:$C$1117,"Sprint_5m",Versuchsdaten!$E$2:$E$1117,$E848,Versuchsdaten!$J$2:$J$1117,1)=1,SUMIFS(Versuchsdaten!$F$2:$F$1117,Versuchsdaten!$A$2:$A$1117,$A848,Versuchsdaten!$B$2:$B$1117,$B848,Versuchsdaten!$C$2:$C$1117,"Sprint_5m",Versuchsdaten!$E$2:$E$1117,$E848,Versuchsdaten!$J$2:$J$1117,1),""))</f>
        <v/>
      </c>
      <c r="L848" s="22">
        <f>IF(LEFT(C848,7)&lt;&gt;"Sprint_","",IF(COUNTIFS(Versuchsdaten!$A$2:$A$1117,$A848,Versuchsdaten!$B$2:$B$1117,$B848,Versuchsdaten!$C$2:$C$1117,"Sprint_10m",Versuchsdaten!$E$2:$E$1117,$E848,Versuchsdaten!$J$2:$J$1117,1)=1,SUMIFS(Versuchsdaten!$F$2:$F$1117,Versuchsdaten!$A$2:$A$1117,$A848,Versuchsdaten!$B$2:$B$1117,$B848,Versuchsdaten!$C$2:$C$1117,"Sprint_10m",Versuchsdaten!$E$2:$E$1117,$E848,Versuchsdaten!$J$2:$J$1117,1),""))</f>
        <v/>
      </c>
      <c r="M848" s="22">
        <f>IF(LEFT(C848,7)&lt;&gt;"Sprint_","",IF(COUNTIFS(Versuchsdaten!$A$2:$A$1117,$A848,Versuchsdaten!$B$2:$B$1117,$B848,Versuchsdaten!$C$2:$C$1117,"Sprint_30m",Versuchsdaten!$E$2:$E$1117,$E848,Versuchsdaten!$J$2:$J$1117,1)=1,SUMIFS(Versuchsdaten!$F$2:$F$1117,Versuchsdaten!$A$2:$A$1117,$A848,Versuchsdaten!$B$2:$B$1117,$B848,Versuchsdaten!$C$2:$C$1117,"Sprint_30m",Versuchsdaten!$E$2:$E$1117,$E848,Versuchsdaten!$J$2:$J$1117,1),""))</f>
        <v/>
      </c>
      <c r="N848" s="22">
        <f>IF(LEFT(C848,7)&lt;&gt;"Sprint_",0,IF(IF(ISNUMBER(K848),IF(K848&lt;=0,1,IF(5/K848&gt;10,1,0)),0)+IF(ISNUMBER(L848),IF(ISNUMBER(K848),IF(L848-K848&lt;=0,1,IF(5/(L848-K848)&gt;10,1,0)),IF(L848&lt;=0,1,IF(10/L848&gt;10,1,0))),0)+IF(ISNUMBER(M848),IF(ISNUMBER(L848),IF(M848-L848&lt;=0,1,IF(20/(M848-L848)&gt;10,1,0)),IF(ISNUMBER(K848),IF(M848-K848&lt;=0,1,IF(25/(M848-K848)&gt;10,1,0)),IF(M848&lt;=0,1,IF(30/M848&gt;10,1,0)))),0)&gt;0,1,0))</f>
        <v/>
      </c>
      <c r="O848" s="22">
        <f>IF(AND(J848=1,N848=0),1,0)</f>
        <v/>
      </c>
      <c r="P848" s="22">
        <f>INDEX(Personendaten!$J$2:$J$32,MATCH(A848,Personendaten!$A$2:$A$32,0))</f>
        <v/>
      </c>
      <c r="Q848" s="22">
        <f>IF(O848=1,"",IF(AND(B848="post",P848="nicht angetreten"),"NANG",IF(N848=1,"AUSL",IFERROR(VLOOKUP(H848,Vokabular!$A$2:$B$8,2,FALSE),"UNBEKANNT"))))</f>
        <v/>
      </c>
    </row>
    <row r="849">
      <c r="A849" s="5" t="inlineStr">
        <is>
          <t>HL-07</t>
        </is>
      </c>
      <c r="B849" s="5" t="inlineStr">
        <is>
          <t>post</t>
        </is>
      </c>
      <c r="C849" s="5" t="inlineStr">
        <is>
          <t>Sprint_5m</t>
        </is>
      </c>
      <c r="D849" s="5" t="inlineStr">
        <is>
          <t>–</t>
        </is>
      </c>
      <c r="E849" s="5" t="n">
        <v>2</v>
      </c>
      <c r="F849" s="5" t="n">
        <v>1.08</v>
      </c>
      <c r="G849" s="5" t="n"/>
      <c r="H849" s="5" t="n"/>
      <c r="I849" s="22">
        <f>INDEX(Personendaten!$C$2:$C$32,MATCH(A849,Personendaten!$A$2:$A$32,0))</f>
        <v/>
      </c>
      <c r="J849" s="22">
        <f>IF(AND(F849&lt;&gt;"",G849=""),1,0)</f>
        <v/>
      </c>
      <c r="K849" s="22">
        <f>IF(LEFT(C849,7)&lt;&gt;"Sprint_","",IF(COUNTIFS(Versuchsdaten!$A$2:$A$1117,$A849,Versuchsdaten!$B$2:$B$1117,$B849,Versuchsdaten!$C$2:$C$1117,"Sprint_5m",Versuchsdaten!$E$2:$E$1117,$E849,Versuchsdaten!$J$2:$J$1117,1)=1,SUMIFS(Versuchsdaten!$F$2:$F$1117,Versuchsdaten!$A$2:$A$1117,$A849,Versuchsdaten!$B$2:$B$1117,$B849,Versuchsdaten!$C$2:$C$1117,"Sprint_5m",Versuchsdaten!$E$2:$E$1117,$E849,Versuchsdaten!$J$2:$J$1117,1),""))</f>
        <v/>
      </c>
      <c r="L849" s="22">
        <f>IF(LEFT(C849,7)&lt;&gt;"Sprint_","",IF(COUNTIFS(Versuchsdaten!$A$2:$A$1117,$A849,Versuchsdaten!$B$2:$B$1117,$B849,Versuchsdaten!$C$2:$C$1117,"Sprint_10m",Versuchsdaten!$E$2:$E$1117,$E849,Versuchsdaten!$J$2:$J$1117,1)=1,SUMIFS(Versuchsdaten!$F$2:$F$1117,Versuchsdaten!$A$2:$A$1117,$A849,Versuchsdaten!$B$2:$B$1117,$B849,Versuchsdaten!$C$2:$C$1117,"Sprint_10m",Versuchsdaten!$E$2:$E$1117,$E849,Versuchsdaten!$J$2:$J$1117,1),""))</f>
        <v/>
      </c>
      <c r="M849" s="22">
        <f>IF(LEFT(C849,7)&lt;&gt;"Sprint_","",IF(COUNTIFS(Versuchsdaten!$A$2:$A$1117,$A849,Versuchsdaten!$B$2:$B$1117,$B849,Versuchsdaten!$C$2:$C$1117,"Sprint_30m",Versuchsdaten!$E$2:$E$1117,$E849,Versuchsdaten!$J$2:$J$1117,1)=1,SUMIFS(Versuchsdaten!$F$2:$F$1117,Versuchsdaten!$A$2:$A$1117,$A849,Versuchsdaten!$B$2:$B$1117,$B849,Versuchsdaten!$C$2:$C$1117,"Sprint_30m",Versuchsdaten!$E$2:$E$1117,$E849,Versuchsdaten!$J$2:$J$1117,1),""))</f>
        <v/>
      </c>
      <c r="N849" s="22">
        <f>IF(LEFT(C849,7)&lt;&gt;"Sprint_",0,IF(IF(ISNUMBER(K849),IF(K849&lt;=0,1,IF(5/K849&gt;10,1,0)),0)+IF(ISNUMBER(L849),IF(ISNUMBER(K849),IF(L849-K849&lt;=0,1,IF(5/(L849-K849)&gt;10,1,0)),IF(L849&lt;=0,1,IF(10/L849&gt;10,1,0))),0)+IF(ISNUMBER(M849),IF(ISNUMBER(L849),IF(M849-L849&lt;=0,1,IF(20/(M849-L849)&gt;10,1,0)),IF(ISNUMBER(K849),IF(M849-K849&lt;=0,1,IF(25/(M849-K849)&gt;10,1,0)),IF(M849&lt;=0,1,IF(30/M849&gt;10,1,0)))),0)&gt;0,1,0))</f>
        <v/>
      </c>
      <c r="O849" s="22">
        <f>IF(AND(J849=1,N849=0),1,0)</f>
        <v/>
      </c>
      <c r="P849" s="22">
        <f>INDEX(Personendaten!$J$2:$J$32,MATCH(A849,Personendaten!$A$2:$A$32,0))</f>
        <v/>
      </c>
      <c r="Q849" s="22">
        <f>IF(O849=1,"",IF(AND(B849="post",P849="nicht angetreten"),"NANG",IF(N849=1,"AUSL",IFERROR(VLOOKUP(H849,Vokabular!$A$2:$B$8,2,FALSE),"UNBEKANNT"))))</f>
        <v/>
      </c>
    </row>
    <row r="850">
      <c r="A850" s="5" t="inlineStr">
        <is>
          <t>HL-07</t>
        </is>
      </c>
      <c r="B850" s="5" t="inlineStr">
        <is>
          <t>post</t>
        </is>
      </c>
      <c r="C850" s="5" t="inlineStr">
        <is>
          <t>Sprint_5m</t>
        </is>
      </c>
      <c r="D850" s="5" t="inlineStr">
        <is>
          <t>–</t>
        </is>
      </c>
      <c r="E850" s="5" t="n">
        <v>3</v>
      </c>
      <c r="F850" s="5" t="n">
        <v>1.17</v>
      </c>
      <c r="G850" s="5" t="n"/>
      <c r="H850" s="5" t="n"/>
      <c r="I850" s="22">
        <f>INDEX(Personendaten!$C$2:$C$32,MATCH(A850,Personendaten!$A$2:$A$32,0))</f>
        <v/>
      </c>
      <c r="J850" s="22">
        <f>IF(AND(F850&lt;&gt;"",G850=""),1,0)</f>
        <v/>
      </c>
      <c r="K850" s="22">
        <f>IF(LEFT(C850,7)&lt;&gt;"Sprint_","",IF(COUNTIFS(Versuchsdaten!$A$2:$A$1117,$A850,Versuchsdaten!$B$2:$B$1117,$B850,Versuchsdaten!$C$2:$C$1117,"Sprint_5m",Versuchsdaten!$E$2:$E$1117,$E850,Versuchsdaten!$J$2:$J$1117,1)=1,SUMIFS(Versuchsdaten!$F$2:$F$1117,Versuchsdaten!$A$2:$A$1117,$A850,Versuchsdaten!$B$2:$B$1117,$B850,Versuchsdaten!$C$2:$C$1117,"Sprint_5m",Versuchsdaten!$E$2:$E$1117,$E850,Versuchsdaten!$J$2:$J$1117,1),""))</f>
        <v/>
      </c>
      <c r="L850" s="22">
        <f>IF(LEFT(C850,7)&lt;&gt;"Sprint_","",IF(COUNTIFS(Versuchsdaten!$A$2:$A$1117,$A850,Versuchsdaten!$B$2:$B$1117,$B850,Versuchsdaten!$C$2:$C$1117,"Sprint_10m",Versuchsdaten!$E$2:$E$1117,$E850,Versuchsdaten!$J$2:$J$1117,1)=1,SUMIFS(Versuchsdaten!$F$2:$F$1117,Versuchsdaten!$A$2:$A$1117,$A850,Versuchsdaten!$B$2:$B$1117,$B850,Versuchsdaten!$C$2:$C$1117,"Sprint_10m",Versuchsdaten!$E$2:$E$1117,$E850,Versuchsdaten!$J$2:$J$1117,1),""))</f>
        <v/>
      </c>
      <c r="M850" s="22">
        <f>IF(LEFT(C850,7)&lt;&gt;"Sprint_","",IF(COUNTIFS(Versuchsdaten!$A$2:$A$1117,$A850,Versuchsdaten!$B$2:$B$1117,$B850,Versuchsdaten!$C$2:$C$1117,"Sprint_30m",Versuchsdaten!$E$2:$E$1117,$E850,Versuchsdaten!$J$2:$J$1117,1)=1,SUMIFS(Versuchsdaten!$F$2:$F$1117,Versuchsdaten!$A$2:$A$1117,$A850,Versuchsdaten!$B$2:$B$1117,$B850,Versuchsdaten!$C$2:$C$1117,"Sprint_30m",Versuchsdaten!$E$2:$E$1117,$E850,Versuchsdaten!$J$2:$J$1117,1),""))</f>
        <v/>
      </c>
      <c r="N850" s="22">
        <f>IF(LEFT(C850,7)&lt;&gt;"Sprint_",0,IF(IF(ISNUMBER(K850),IF(K850&lt;=0,1,IF(5/K850&gt;10,1,0)),0)+IF(ISNUMBER(L850),IF(ISNUMBER(K850),IF(L850-K850&lt;=0,1,IF(5/(L850-K850)&gt;10,1,0)),IF(L850&lt;=0,1,IF(10/L850&gt;10,1,0))),0)+IF(ISNUMBER(M850),IF(ISNUMBER(L850),IF(M850-L850&lt;=0,1,IF(20/(M850-L850)&gt;10,1,0)),IF(ISNUMBER(K850),IF(M850-K850&lt;=0,1,IF(25/(M850-K850)&gt;10,1,0)),IF(M850&lt;=0,1,IF(30/M850&gt;10,1,0)))),0)&gt;0,1,0))</f>
        <v/>
      </c>
      <c r="O850" s="22">
        <f>IF(AND(J850=1,N850=0),1,0)</f>
        <v/>
      </c>
      <c r="P850" s="22">
        <f>INDEX(Personendaten!$J$2:$J$32,MATCH(A850,Personendaten!$A$2:$A$32,0))</f>
        <v/>
      </c>
      <c r="Q850" s="22">
        <f>IF(O850=1,"",IF(AND(B850="post",P850="nicht angetreten"),"NANG",IF(N850=1,"AUSL",IFERROR(VLOOKUP(H850,Vokabular!$A$2:$B$8,2,FALSE),"UNBEKANNT"))))</f>
        <v/>
      </c>
    </row>
    <row r="851">
      <c r="A851" s="5" t="inlineStr">
        <is>
          <t>HL-07</t>
        </is>
      </c>
      <c r="B851" s="5" t="inlineStr">
        <is>
          <t>post</t>
        </is>
      </c>
      <c r="C851" s="5" t="inlineStr">
        <is>
          <t>Sprint_10m</t>
        </is>
      </c>
      <c r="D851" s="5" t="inlineStr">
        <is>
          <t>–</t>
        </is>
      </c>
      <c r="E851" s="5" t="n">
        <v>1</v>
      </c>
      <c r="F851" s="5" t="n">
        <v>2</v>
      </c>
      <c r="G851" s="5" t="n"/>
      <c r="H851" s="5" t="n"/>
      <c r="I851" s="22">
        <f>INDEX(Personendaten!$C$2:$C$32,MATCH(A851,Personendaten!$A$2:$A$32,0))</f>
        <v/>
      </c>
      <c r="J851" s="22">
        <f>IF(AND(F851&lt;&gt;"",G851=""),1,0)</f>
        <v/>
      </c>
      <c r="K851" s="22">
        <f>IF(LEFT(C851,7)&lt;&gt;"Sprint_","",IF(COUNTIFS(Versuchsdaten!$A$2:$A$1117,$A851,Versuchsdaten!$B$2:$B$1117,$B851,Versuchsdaten!$C$2:$C$1117,"Sprint_5m",Versuchsdaten!$E$2:$E$1117,$E851,Versuchsdaten!$J$2:$J$1117,1)=1,SUMIFS(Versuchsdaten!$F$2:$F$1117,Versuchsdaten!$A$2:$A$1117,$A851,Versuchsdaten!$B$2:$B$1117,$B851,Versuchsdaten!$C$2:$C$1117,"Sprint_5m",Versuchsdaten!$E$2:$E$1117,$E851,Versuchsdaten!$J$2:$J$1117,1),""))</f>
        <v/>
      </c>
      <c r="L851" s="22">
        <f>IF(LEFT(C851,7)&lt;&gt;"Sprint_","",IF(COUNTIFS(Versuchsdaten!$A$2:$A$1117,$A851,Versuchsdaten!$B$2:$B$1117,$B851,Versuchsdaten!$C$2:$C$1117,"Sprint_10m",Versuchsdaten!$E$2:$E$1117,$E851,Versuchsdaten!$J$2:$J$1117,1)=1,SUMIFS(Versuchsdaten!$F$2:$F$1117,Versuchsdaten!$A$2:$A$1117,$A851,Versuchsdaten!$B$2:$B$1117,$B851,Versuchsdaten!$C$2:$C$1117,"Sprint_10m",Versuchsdaten!$E$2:$E$1117,$E851,Versuchsdaten!$J$2:$J$1117,1),""))</f>
        <v/>
      </c>
      <c r="M851" s="22">
        <f>IF(LEFT(C851,7)&lt;&gt;"Sprint_","",IF(COUNTIFS(Versuchsdaten!$A$2:$A$1117,$A851,Versuchsdaten!$B$2:$B$1117,$B851,Versuchsdaten!$C$2:$C$1117,"Sprint_30m",Versuchsdaten!$E$2:$E$1117,$E851,Versuchsdaten!$J$2:$J$1117,1)=1,SUMIFS(Versuchsdaten!$F$2:$F$1117,Versuchsdaten!$A$2:$A$1117,$A851,Versuchsdaten!$B$2:$B$1117,$B851,Versuchsdaten!$C$2:$C$1117,"Sprint_30m",Versuchsdaten!$E$2:$E$1117,$E851,Versuchsdaten!$J$2:$J$1117,1),""))</f>
        <v/>
      </c>
      <c r="N851" s="22">
        <f>IF(LEFT(C851,7)&lt;&gt;"Sprint_",0,IF(IF(ISNUMBER(K851),IF(K851&lt;=0,1,IF(5/K851&gt;10,1,0)),0)+IF(ISNUMBER(L851),IF(ISNUMBER(K851),IF(L851-K851&lt;=0,1,IF(5/(L851-K851)&gt;10,1,0)),IF(L851&lt;=0,1,IF(10/L851&gt;10,1,0))),0)+IF(ISNUMBER(M851),IF(ISNUMBER(L851),IF(M851-L851&lt;=0,1,IF(20/(M851-L851)&gt;10,1,0)),IF(ISNUMBER(K851),IF(M851-K851&lt;=0,1,IF(25/(M851-K851)&gt;10,1,0)),IF(M851&lt;=0,1,IF(30/M851&gt;10,1,0)))),0)&gt;0,1,0))</f>
        <v/>
      </c>
      <c r="O851" s="22">
        <f>IF(AND(J851=1,N851=0),1,0)</f>
        <v/>
      </c>
      <c r="P851" s="22">
        <f>INDEX(Personendaten!$J$2:$J$32,MATCH(A851,Personendaten!$A$2:$A$32,0))</f>
        <v/>
      </c>
      <c r="Q851" s="22">
        <f>IF(O851=1,"",IF(AND(B851="post",P851="nicht angetreten"),"NANG",IF(N851=1,"AUSL",IFERROR(VLOOKUP(H851,Vokabular!$A$2:$B$8,2,FALSE),"UNBEKANNT"))))</f>
        <v/>
      </c>
    </row>
    <row r="852">
      <c r="A852" s="5" t="inlineStr">
        <is>
          <t>HL-07</t>
        </is>
      </c>
      <c r="B852" s="5" t="inlineStr">
        <is>
          <t>post</t>
        </is>
      </c>
      <c r="C852" s="5" t="inlineStr">
        <is>
          <t>Sprint_10m</t>
        </is>
      </c>
      <c r="D852" s="5" t="inlineStr">
        <is>
          <t>–</t>
        </is>
      </c>
      <c r="E852" s="5" t="n">
        <v>2</v>
      </c>
      <c r="F852" s="5" t="n">
        <v>1.91</v>
      </c>
      <c r="G852" s="5" t="n"/>
      <c r="H852" s="5" t="n"/>
      <c r="I852" s="22">
        <f>INDEX(Personendaten!$C$2:$C$32,MATCH(A852,Personendaten!$A$2:$A$32,0))</f>
        <v/>
      </c>
      <c r="J852" s="22">
        <f>IF(AND(F852&lt;&gt;"",G852=""),1,0)</f>
        <v/>
      </c>
      <c r="K852" s="22">
        <f>IF(LEFT(C852,7)&lt;&gt;"Sprint_","",IF(COUNTIFS(Versuchsdaten!$A$2:$A$1117,$A852,Versuchsdaten!$B$2:$B$1117,$B852,Versuchsdaten!$C$2:$C$1117,"Sprint_5m",Versuchsdaten!$E$2:$E$1117,$E852,Versuchsdaten!$J$2:$J$1117,1)=1,SUMIFS(Versuchsdaten!$F$2:$F$1117,Versuchsdaten!$A$2:$A$1117,$A852,Versuchsdaten!$B$2:$B$1117,$B852,Versuchsdaten!$C$2:$C$1117,"Sprint_5m",Versuchsdaten!$E$2:$E$1117,$E852,Versuchsdaten!$J$2:$J$1117,1),""))</f>
        <v/>
      </c>
      <c r="L852" s="22">
        <f>IF(LEFT(C852,7)&lt;&gt;"Sprint_","",IF(COUNTIFS(Versuchsdaten!$A$2:$A$1117,$A852,Versuchsdaten!$B$2:$B$1117,$B852,Versuchsdaten!$C$2:$C$1117,"Sprint_10m",Versuchsdaten!$E$2:$E$1117,$E852,Versuchsdaten!$J$2:$J$1117,1)=1,SUMIFS(Versuchsdaten!$F$2:$F$1117,Versuchsdaten!$A$2:$A$1117,$A852,Versuchsdaten!$B$2:$B$1117,$B852,Versuchsdaten!$C$2:$C$1117,"Sprint_10m",Versuchsdaten!$E$2:$E$1117,$E852,Versuchsdaten!$J$2:$J$1117,1),""))</f>
        <v/>
      </c>
      <c r="M852" s="22">
        <f>IF(LEFT(C852,7)&lt;&gt;"Sprint_","",IF(COUNTIFS(Versuchsdaten!$A$2:$A$1117,$A852,Versuchsdaten!$B$2:$B$1117,$B852,Versuchsdaten!$C$2:$C$1117,"Sprint_30m",Versuchsdaten!$E$2:$E$1117,$E852,Versuchsdaten!$J$2:$J$1117,1)=1,SUMIFS(Versuchsdaten!$F$2:$F$1117,Versuchsdaten!$A$2:$A$1117,$A852,Versuchsdaten!$B$2:$B$1117,$B852,Versuchsdaten!$C$2:$C$1117,"Sprint_30m",Versuchsdaten!$E$2:$E$1117,$E852,Versuchsdaten!$J$2:$J$1117,1),""))</f>
        <v/>
      </c>
      <c r="N852" s="22">
        <f>IF(LEFT(C852,7)&lt;&gt;"Sprint_",0,IF(IF(ISNUMBER(K852),IF(K852&lt;=0,1,IF(5/K852&gt;10,1,0)),0)+IF(ISNUMBER(L852),IF(ISNUMBER(K852),IF(L852-K852&lt;=0,1,IF(5/(L852-K852)&gt;10,1,0)),IF(L852&lt;=0,1,IF(10/L852&gt;10,1,0))),0)+IF(ISNUMBER(M852),IF(ISNUMBER(L852),IF(M852-L852&lt;=0,1,IF(20/(M852-L852)&gt;10,1,0)),IF(ISNUMBER(K852),IF(M852-K852&lt;=0,1,IF(25/(M852-K852)&gt;10,1,0)),IF(M852&lt;=0,1,IF(30/M852&gt;10,1,0)))),0)&gt;0,1,0))</f>
        <v/>
      </c>
      <c r="O852" s="22">
        <f>IF(AND(J852=1,N852=0),1,0)</f>
        <v/>
      </c>
      <c r="P852" s="22">
        <f>INDEX(Personendaten!$J$2:$J$32,MATCH(A852,Personendaten!$A$2:$A$32,0))</f>
        <v/>
      </c>
      <c r="Q852" s="22">
        <f>IF(O852=1,"",IF(AND(B852="post",P852="nicht angetreten"),"NANG",IF(N852=1,"AUSL",IFERROR(VLOOKUP(H852,Vokabular!$A$2:$B$8,2,FALSE),"UNBEKANNT"))))</f>
        <v/>
      </c>
    </row>
    <row r="853">
      <c r="A853" s="5" t="inlineStr">
        <is>
          <t>HL-07</t>
        </is>
      </c>
      <c r="B853" s="5" t="inlineStr">
        <is>
          <t>post</t>
        </is>
      </c>
      <c r="C853" s="5" t="inlineStr">
        <is>
          <t>Sprint_10m</t>
        </is>
      </c>
      <c r="D853" s="5" t="inlineStr">
        <is>
          <t>–</t>
        </is>
      </c>
      <c r="E853" s="5" t="n">
        <v>3</v>
      </c>
      <c r="F853" s="5" t="n">
        <v>1.94</v>
      </c>
      <c r="G853" s="5" t="n"/>
      <c r="H853" s="5" t="n"/>
      <c r="I853" s="22">
        <f>INDEX(Personendaten!$C$2:$C$32,MATCH(A853,Personendaten!$A$2:$A$32,0))</f>
        <v/>
      </c>
      <c r="J853" s="22">
        <f>IF(AND(F853&lt;&gt;"",G853=""),1,0)</f>
        <v/>
      </c>
      <c r="K853" s="22">
        <f>IF(LEFT(C853,7)&lt;&gt;"Sprint_","",IF(COUNTIFS(Versuchsdaten!$A$2:$A$1117,$A853,Versuchsdaten!$B$2:$B$1117,$B853,Versuchsdaten!$C$2:$C$1117,"Sprint_5m",Versuchsdaten!$E$2:$E$1117,$E853,Versuchsdaten!$J$2:$J$1117,1)=1,SUMIFS(Versuchsdaten!$F$2:$F$1117,Versuchsdaten!$A$2:$A$1117,$A853,Versuchsdaten!$B$2:$B$1117,$B853,Versuchsdaten!$C$2:$C$1117,"Sprint_5m",Versuchsdaten!$E$2:$E$1117,$E853,Versuchsdaten!$J$2:$J$1117,1),""))</f>
        <v/>
      </c>
      <c r="L853" s="22">
        <f>IF(LEFT(C853,7)&lt;&gt;"Sprint_","",IF(COUNTIFS(Versuchsdaten!$A$2:$A$1117,$A853,Versuchsdaten!$B$2:$B$1117,$B853,Versuchsdaten!$C$2:$C$1117,"Sprint_10m",Versuchsdaten!$E$2:$E$1117,$E853,Versuchsdaten!$J$2:$J$1117,1)=1,SUMIFS(Versuchsdaten!$F$2:$F$1117,Versuchsdaten!$A$2:$A$1117,$A853,Versuchsdaten!$B$2:$B$1117,$B853,Versuchsdaten!$C$2:$C$1117,"Sprint_10m",Versuchsdaten!$E$2:$E$1117,$E853,Versuchsdaten!$J$2:$J$1117,1),""))</f>
        <v/>
      </c>
      <c r="M853" s="22">
        <f>IF(LEFT(C853,7)&lt;&gt;"Sprint_","",IF(COUNTIFS(Versuchsdaten!$A$2:$A$1117,$A853,Versuchsdaten!$B$2:$B$1117,$B853,Versuchsdaten!$C$2:$C$1117,"Sprint_30m",Versuchsdaten!$E$2:$E$1117,$E853,Versuchsdaten!$J$2:$J$1117,1)=1,SUMIFS(Versuchsdaten!$F$2:$F$1117,Versuchsdaten!$A$2:$A$1117,$A853,Versuchsdaten!$B$2:$B$1117,$B853,Versuchsdaten!$C$2:$C$1117,"Sprint_30m",Versuchsdaten!$E$2:$E$1117,$E853,Versuchsdaten!$J$2:$J$1117,1),""))</f>
        <v/>
      </c>
      <c r="N853" s="22">
        <f>IF(LEFT(C853,7)&lt;&gt;"Sprint_",0,IF(IF(ISNUMBER(K853),IF(K853&lt;=0,1,IF(5/K853&gt;10,1,0)),0)+IF(ISNUMBER(L853),IF(ISNUMBER(K853),IF(L853-K853&lt;=0,1,IF(5/(L853-K853)&gt;10,1,0)),IF(L853&lt;=0,1,IF(10/L853&gt;10,1,0))),0)+IF(ISNUMBER(M853),IF(ISNUMBER(L853),IF(M853-L853&lt;=0,1,IF(20/(M853-L853)&gt;10,1,0)),IF(ISNUMBER(K853),IF(M853-K853&lt;=0,1,IF(25/(M853-K853)&gt;10,1,0)),IF(M853&lt;=0,1,IF(30/M853&gt;10,1,0)))),0)&gt;0,1,0))</f>
        <v/>
      </c>
      <c r="O853" s="22">
        <f>IF(AND(J853=1,N853=0),1,0)</f>
        <v/>
      </c>
      <c r="P853" s="22">
        <f>INDEX(Personendaten!$J$2:$J$32,MATCH(A853,Personendaten!$A$2:$A$32,0))</f>
        <v/>
      </c>
      <c r="Q853" s="22">
        <f>IF(O853=1,"",IF(AND(B853="post",P853="nicht angetreten"),"NANG",IF(N853=1,"AUSL",IFERROR(VLOOKUP(H853,Vokabular!$A$2:$B$8,2,FALSE),"UNBEKANNT"))))</f>
        <v/>
      </c>
    </row>
    <row r="854">
      <c r="A854" s="5" t="inlineStr">
        <is>
          <t>HL-07</t>
        </is>
      </c>
      <c r="B854" s="5" t="inlineStr">
        <is>
          <t>post</t>
        </is>
      </c>
      <c r="C854" s="5" t="inlineStr">
        <is>
          <t>Sprint_30m</t>
        </is>
      </c>
      <c r="D854" s="5" t="inlineStr">
        <is>
          <t>–</t>
        </is>
      </c>
      <c r="E854" s="5" t="n">
        <v>1</v>
      </c>
      <c r="F854" s="5" t="n">
        <v>4.82</v>
      </c>
      <c r="G854" s="5" t="n"/>
      <c r="H854" s="5" t="n"/>
      <c r="I854" s="22">
        <f>INDEX(Personendaten!$C$2:$C$32,MATCH(A854,Personendaten!$A$2:$A$32,0))</f>
        <v/>
      </c>
      <c r="J854" s="22">
        <f>IF(AND(F854&lt;&gt;"",G854=""),1,0)</f>
        <v/>
      </c>
      <c r="K854" s="22">
        <f>IF(LEFT(C854,7)&lt;&gt;"Sprint_","",IF(COUNTIFS(Versuchsdaten!$A$2:$A$1117,$A854,Versuchsdaten!$B$2:$B$1117,$B854,Versuchsdaten!$C$2:$C$1117,"Sprint_5m",Versuchsdaten!$E$2:$E$1117,$E854,Versuchsdaten!$J$2:$J$1117,1)=1,SUMIFS(Versuchsdaten!$F$2:$F$1117,Versuchsdaten!$A$2:$A$1117,$A854,Versuchsdaten!$B$2:$B$1117,$B854,Versuchsdaten!$C$2:$C$1117,"Sprint_5m",Versuchsdaten!$E$2:$E$1117,$E854,Versuchsdaten!$J$2:$J$1117,1),""))</f>
        <v/>
      </c>
      <c r="L854" s="22">
        <f>IF(LEFT(C854,7)&lt;&gt;"Sprint_","",IF(COUNTIFS(Versuchsdaten!$A$2:$A$1117,$A854,Versuchsdaten!$B$2:$B$1117,$B854,Versuchsdaten!$C$2:$C$1117,"Sprint_10m",Versuchsdaten!$E$2:$E$1117,$E854,Versuchsdaten!$J$2:$J$1117,1)=1,SUMIFS(Versuchsdaten!$F$2:$F$1117,Versuchsdaten!$A$2:$A$1117,$A854,Versuchsdaten!$B$2:$B$1117,$B854,Versuchsdaten!$C$2:$C$1117,"Sprint_10m",Versuchsdaten!$E$2:$E$1117,$E854,Versuchsdaten!$J$2:$J$1117,1),""))</f>
        <v/>
      </c>
      <c r="M854" s="22">
        <f>IF(LEFT(C854,7)&lt;&gt;"Sprint_","",IF(COUNTIFS(Versuchsdaten!$A$2:$A$1117,$A854,Versuchsdaten!$B$2:$B$1117,$B854,Versuchsdaten!$C$2:$C$1117,"Sprint_30m",Versuchsdaten!$E$2:$E$1117,$E854,Versuchsdaten!$J$2:$J$1117,1)=1,SUMIFS(Versuchsdaten!$F$2:$F$1117,Versuchsdaten!$A$2:$A$1117,$A854,Versuchsdaten!$B$2:$B$1117,$B854,Versuchsdaten!$C$2:$C$1117,"Sprint_30m",Versuchsdaten!$E$2:$E$1117,$E854,Versuchsdaten!$J$2:$J$1117,1),""))</f>
        <v/>
      </c>
      <c r="N854" s="22">
        <f>IF(LEFT(C854,7)&lt;&gt;"Sprint_",0,IF(IF(ISNUMBER(K854),IF(K854&lt;=0,1,IF(5/K854&gt;10,1,0)),0)+IF(ISNUMBER(L854),IF(ISNUMBER(K854),IF(L854-K854&lt;=0,1,IF(5/(L854-K854)&gt;10,1,0)),IF(L854&lt;=0,1,IF(10/L854&gt;10,1,0))),0)+IF(ISNUMBER(M854),IF(ISNUMBER(L854),IF(M854-L854&lt;=0,1,IF(20/(M854-L854)&gt;10,1,0)),IF(ISNUMBER(K854),IF(M854-K854&lt;=0,1,IF(25/(M854-K854)&gt;10,1,0)),IF(M854&lt;=0,1,IF(30/M854&gt;10,1,0)))),0)&gt;0,1,0))</f>
        <v/>
      </c>
      <c r="O854" s="22">
        <f>IF(AND(J854=1,N854=0),1,0)</f>
        <v/>
      </c>
      <c r="P854" s="22">
        <f>INDEX(Personendaten!$J$2:$J$32,MATCH(A854,Personendaten!$A$2:$A$32,0))</f>
        <v/>
      </c>
      <c r="Q854" s="22">
        <f>IF(O854=1,"",IF(AND(B854="post",P854="nicht angetreten"),"NANG",IF(N854=1,"AUSL",IFERROR(VLOOKUP(H854,Vokabular!$A$2:$B$8,2,FALSE),"UNBEKANNT"))))</f>
        <v/>
      </c>
    </row>
    <row r="855">
      <c r="A855" s="5" t="inlineStr">
        <is>
          <t>HL-07</t>
        </is>
      </c>
      <c r="B855" s="5" t="inlineStr">
        <is>
          <t>post</t>
        </is>
      </c>
      <c r="C855" s="5" t="inlineStr">
        <is>
          <t>Sprint_30m</t>
        </is>
      </c>
      <c r="D855" s="5" t="inlineStr">
        <is>
          <t>–</t>
        </is>
      </c>
      <c r="E855" s="5" t="n">
        <v>2</v>
      </c>
      <c r="F855" s="5" t="n">
        <v>4.79</v>
      </c>
      <c r="G855" s="5" t="n"/>
      <c r="H855" s="5" t="n"/>
      <c r="I855" s="22">
        <f>INDEX(Personendaten!$C$2:$C$32,MATCH(A855,Personendaten!$A$2:$A$32,0))</f>
        <v/>
      </c>
      <c r="J855" s="22">
        <f>IF(AND(F855&lt;&gt;"",G855=""),1,0)</f>
        <v/>
      </c>
      <c r="K855" s="22">
        <f>IF(LEFT(C855,7)&lt;&gt;"Sprint_","",IF(COUNTIFS(Versuchsdaten!$A$2:$A$1117,$A855,Versuchsdaten!$B$2:$B$1117,$B855,Versuchsdaten!$C$2:$C$1117,"Sprint_5m",Versuchsdaten!$E$2:$E$1117,$E855,Versuchsdaten!$J$2:$J$1117,1)=1,SUMIFS(Versuchsdaten!$F$2:$F$1117,Versuchsdaten!$A$2:$A$1117,$A855,Versuchsdaten!$B$2:$B$1117,$B855,Versuchsdaten!$C$2:$C$1117,"Sprint_5m",Versuchsdaten!$E$2:$E$1117,$E855,Versuchsdaten!$J$2:$J$1117,1),""))</f>
        <v/>
      </c>
      <c r="L855" s="22">
        <f>IF(LEFT(C855,7)&lt;&gt;"Sprint_","",IF(COUNTIFS(Versuchsdaten!$A$2:$A$1117,$A855,Versuchsdaten!$B$2:$B$1117,$B855,Versuchsdaten!$C$2:$C$1117,"Sprint_10m",Versuchsdaten!$E$2:$E$1117,$E855,Versuchsdaten!$J$2:$J$1117,1)=1,SUMIFS(Versuchsdaten!$F$2:$F$1117,Versuchsdaten!$A$2:$A$1117,$A855,Versuchsdaten!$B$2:$B$1117,$B855,Versuchsdaten!$C$2:$C$1117,"Sprint_10m",Versuchsdaten!$E$2:$E$1117,$E855,Versuchsdaten!$J$2:$J$1117,1),""))</f>
        <v/>
      </c>
      <c r="M855" s="22">
        <f>IF(LEFT(C855,7)&lt;&gt;"Sprint_","",IF(COUNTIFS(Versuchsdaten!$A$2:$A$1117,$A855,Versuchsdaten!$B$2:$B$1117,$B855,Versuchsdaten!$C$2:$C$1117,"Sprint_30m",Versuchsdaten!$E$2:$E$1117,$E855,Versuchsdaten!$J$2:$J$1117,1)=1,SUMIFS(Versuchsdaten!$F$2:$F$1117,Versuchsdaten!$A$2:$A$1117,$A855,Versuchsdaten!$B$2:$B$1117,$B855,Versuchsdaten!$C$2:$C$1117,"Sprint_30m",Versuchsdaten!$E$2:$E$1117,$E855,Versuchsdaten!$J$2:$J$1117,1),""))</f>
        <v/>
      </c>
      <c r="N855" s="22">
        <f>IF(LEFT(C855,7)&lt;&gt;"Sprint_",0,IF(IF(ISNUMBER(K855),IF(K855&lt;=0,1,IF(5/K855&gt;10,1,0)),0)+IF(ISNUMBER(L855),IF(ISNUMBER(K855),IF(L855-K855&lt;=0,1,IF(5/(L855-K855)&gt;10,1,0)),IF(L855&lt;=0,1,IF(10/L855&gt;10,1,0))),0)+IF(ISNUMBER(M855),IF(ISNUMBER(L855),IF(M855-L855&lt;=0,1,IF(20/(M855-L855)&gt;10,1,0)),IF(ISNUMBER(K855),IF(M855-K855&lt;=0,1,IF(25/(M855-K855)&gt;10,1,0)),IF(M855&lt;=0,1,IF(30/M855&gt;10,1,0)))),0)&gt;0,1,0))</f>
        <v/>
      </c>
      <c r="O855" s="22">
        <f>IF(AND(J855=1,N855=0),1,0)</f>
        <v/>
      </c>
      <c r="P855" s="22">
        <f>INDEX(Personendaten!$J$2:$J$32,MATCH(A855,Personendaten!$A$2:$A$32,0))</f>
        <v/>
      </c>
      <c r="Q855" s="22">
        <f>IF(O855=1,"",IF(AND(B855="post",P855="nicht angetreten"),"NANG",IF(N855=1,"AUSL",IFERROR(VLOOKUP(H855,Vokabular!$A$2:$B$8,2,FALSE),"UNBEKANNT"))))</f>
        <v/>
      </c>
    </row>
    <row r="856">
      <c r="A856" s="5" t="inlineStr">
        <is>
          <t>HL-07</t>
        </is>
      </c>
      <c r="B856" s="5" t="inlineStr">
        <is>
          <t>post</t>
        </is>
      </c>
      <c r="C856" s="5" t="inlineStr">
        <is>
          <t>Sprint_30m</t>
        </is>
      </c>
      <c r="D856" s="5" t="inlineStr">
        <is>
          <t>–</t>
        </is>
      </c>
      <c r="E856" s="5" t="n">
        <v>3</v>
      </c>
      <c r="F856" s="5" t="n">
        <v>4.85</v>
      </c>
      <c r="G856" s="5" t="n"/>
      <c r="H856" s="5" t="n"/>
      <c r="I856" s="22">
        <f>INDEX(Personendaten!$C$2:$C$32,MATCH(A856,Personendaten!$A$2:$A$32,0))</f>
        <v/>
      </c>
      <c r="J856" s="22">
        <f>IF(AND(F856&lt;&gt;"",G856=""),1,0)</f>
        <v/>
      </c>
      <c r="K856" s="22">
        <f>IF(LEFT(C856,7)&lt;&gt;"Sprint_","",IF(COUNTIFS(Versuchsdaten!$A$2:$A$1117,$A856,Versuchsdaten!$B$2:$B$1117,$B856,Versuchsdaten!$C$2:$C$1117,"Sprint_5m",Versuchsdaten!$E$2:$E$1117,$E856,Versuchsdaten!$J$2:$J$1117,1)=1,SUMIFS(Versuchsdaten!$F$2:$F$1117,Versuchsdaten!$A$2:$A$1117,$A856,Versuchsdaten!$B$2:$B$1117,$B856,Versuchsdaten!$C$2:$C$1117,"Sprint_5m",Versuchsdaten!$E$2:$E$1117,$E856,Versuchsdaten!$J$2:$J$1117,1),""))</f>
        <v/>
      </c>
      <c r="L856" s="22">
        <f>IF(LEFT(C856,7)&lt;&gt;"Sprint_","",IF(COUNTIFS(Versuchsdaten!$A$2:$A$1117,$A856,Versuchsdaten!$B$2:$B$1117,$B856,Versuchsdaten!$C$2:$C$1117,"Sprint_10m",Versuchsdaten!$E$2:$E$1117,$E856,Versuchsdaten!$J$2:$J$1117,1)=1,SUMIFS(Versuchsdaten!$F$2:$F$1117,Versuchsdaten!$A$2:$A$1117,$A856,Versuchsdaten!$B$2:$B$1117,$B856,Versuchsdaten!$C$2:$C$1117,"Sprint_10m",Versuchsdaten!$E$2:$E$1117,$E856,Versuchsdaten!$J$2:$J$1117,1),""))</f>
        <v/>
      </c>
      <c r="M856" s="22">
        <f>IF(LEFT(C856,7)&lt;&gt;"Sprint_","",IF(COUNTIFS(Versuchsdaten!$A$2:$A$1117,$A856,Versuchsdaten!$B$2:$B$1117,$B856,Versuchsdaten!$C$2:$C$1117,"Sprint_30m",Versuchsdaten!$E$2:$E$1117,$E856,Versuchsdaten!$J$2:$J$1117,1)=1,SUMIFS(Versuchsdaten!$F$2:$F$1117,Versuchsdaten!$A$2:$A$1117,$A856,Versuchsdaten!$B$2:$B$1117,$B856,Versuchsdaten!$C$2:$C$1117,"Sprint_30m",Versuchsdaten!$E$2:$E$1117,$E856,Versuchsdaten!$J$2:$J$1117,1),""))</f>
        <v/>
      </c>
      <c r="N856" s="22">
        <f>IF(LEFT(C856,7)&lt;&gt;"Sprint_",0,IF(IF(ISNUMBER(K856),IF(K856&lt;=0,1,IF(5/K856&gt;10,1,0)),0)+IF(ISNUMBER(L856),IF(ISNUMBER(K856),IF(L856-K856&lt;=0,1,IF(5/(L856-K856)&gt;10,1,0)),IF(L856&lt;=0,1,IF(10/L856&gt;10,1,0))),0)+IF(ISNUMBER(M856),IF(ISNUMBER(L856),IF(M856-L856&lt;=0,1,IF(20/(M856-L856)&gt;10,1,0)),IF(ISNUMBER(K856),IF(M856-K856&lt;=0,1,IF(25/(M856-K856)&gt;10,1,0)),IF(M856&lt;=0,1,IF(30/M856&gt;10,1,0)))),0)&gt;0,1,0))</f>
        <v/>
      </c>
      <c r="O856" s="22">
        <f>IF(AND(J856=1,N856=0),1,0)</f>
        <v/>
      </c>
      <c r="P856" s="22">
        <f>INDEX(Personendaten!$J$2:$J$32,MATCH(A856,Personendaten!$A$2:$A$32,0))</f>
        <v/>
      </c>
      <c r="Q856" s="22">
        <f>IF(O856=1,"",IF(AND(B856="post",P856="nicht angetreten"),"NANG",IF(N856=1,"AUSL",IFERROR(VLOOKUP(H856,Vokabular!$A$2:$B$8,2,FALSE),"UNBEKANNT"))))</f>
        <v/>
      </c>
    </row>
    <row r="857">
      <c r="A857" s="5" t="inlineStr">
        <is>
          <t>HL-07</t>
        </is>
      </c>
      <c r="B857" s="5" t="inlineStr">
        <is>
          <t>post</t>
        </is>
      </c>
      <c r="C857" s="5" t="inlineStr">
        <is>
          <t>Standweitsprung</t>
        </is>
      </c>
      <c r="D857" s="5" t="inlineStr">
        <is>
          <t>–</t>
        </is>
      </c>
      <c r="E857" s="5" t="n">
        <v>1</v>
      </c>
      <c r="F857" s="5" t="n">
        <v>231</v>
      </c>
      <c r="G857" s="5" t="n"/>
      <c r="H857" s="5" t="n"/>
      <c r="I857" s="22">
        <f>INDEX(Personendaten!$C$2:$C$32,MATCH(A857,Personendaten!$A$2:$A$32,0))</f>
        <v/>
      </c>
      <c r="J857" s="22">
        <f>IF(AND(F857&lt;&gt;"",G857=""),1,0)</f>
        <v/>
      </c>
      <c r="K857" s="22">
        <f>IF(LEFT(C857,7)&lt;&gt;"Sprint_","",IF(COUNTIFS(Versuchsdaten!$A$2:$A$1117,$A857,Versuchsdaten!$B$2:$B$1117,$B857,Versuchsdaten!$C$2:$C$1117,"Sprint_5m",Versuchsdaten!$E$2:$E$1117,$E857,Versuchsdaten!$J$2:$J$1117,1)=1,SUMIFS(Versuchsdaten!$F$2:$F$1117,Versuchsdaten!$A$2:$A$1117,$A857,Versuchsdaten!$B$2:$B$1117,$B857,Versuchsdaten!$C$2:$C$1117,"Sprint_5m",Versuchsdaten!$E$2:$E$1117,$E857,Versuchsdaten!$J$2:$J$1117,1),""))</f>
        <v/>
      </c>
      <c r="L857" s="22">
        <f>IF(LEFT(C857,7)&lt;&gt;"Sprint_","",IF(COUNTIFS(Versuchsdaten!$A$2:$A$1117,$A857,Versuchsdaten!$B$2:$B$1117,$B857,Versuchsdaten!$C$2:$C$1117,"Sprint_10m",Versuchsdaten!$E$2:$E$1117,$E857,Versuchsdaten!$J$2:$J$1117,1)=1,SUMIFS(Versuchsdaten!$F$2:$F$1117,Versuchsdaten!$A$2:$A$1117,$A857,Versuchsdaten!$B$2:$B$1117,$B857,Versuchsdaten!$C$2:$C$1117,"Sprint_10m",Versuchsdaten!$E$2:$E$1117,$E857,Versuchsdaten!$J$2:$J$1117,1),""))</f>
        <v/>
      </c>
      <c r="M857" s="22">
        <f>IF(LEFT(C857,7)&lt;&gt;"Sprint_","",IF(COUNTIFS(Versuchsdaten!$A$2:$A$1117,$A857,Versuchsdaten!$B$2:$B$1117,$B857,Versuchsdaten!$C$2:$C$1117,"Sprint_30m",Versuchsdaten!$E$2:$E$1117,$E857,Versuchsdaten!$J$2:$J$1117,1)=1,SUMIFS(Versuchsdaten!$F$2:$F$1117,Versuchsdaten!$A$2:$A$1117,$A857,Versuchsdaten!$B$2:$B$1117,$B857,Versuchsdaten!$C$2:$C$1117,"Sprint_30m",Versuchsdaten!$E$2:$E$1117,$E857,Versuchsdaten!$J$2:$J$1117,1),""))</f>
        <v/>
      </c>
      <c r="N857" s="22">
        <f>IF(LEFT(C857,7)&lt;&gt;"Sprint_",0,IF(IF(ISNUMBER(K857),IF(K857&lt;=0,1,IF(5/K857&gt;10,1,0)),0)+IF(ISNUMBER(L857),IF(ISNUMBER(K857),IF(L857-K857&lt;=0,1,IF(5/(L857-K857)&gt;10,1,0)),IF(L857&lt;=0,1,IF(10/L857&gt;10,1,0))),0)+IF(ISNUMBER(M857),IF(ISNUMBER(L857),IF(M857-L857&lt;=0,1,IF(20/(M857-L857)&gt;10,1,0)),IF(ISNUMBER(K857),IF(M857-K857&lt;=0,1,IF(25/(M857-K857)&gt;10,1,0)),IF(M857&lt;=0,1,IF(30/M857&gt;10,1,0)))),0)&gt;0,1,0))</f>
        <v/>
      </c>
      <c r="O857" s="22">
        <f>IF(AND(J857=1,N857=0),1,0)</f>
        <v/>
      </c>
      <c r="P857" s="22">
        <f>INDEX(Personendaten!$J$2:$J$32,MATCH(A857,Personendaten!$A$2:$A$32,0))</f>
        <v/>
      </c>
      <c r="Q857" s="22">
        <f>IF(O857=1,"",IF(AND(B857="post",P857="nicht angetreten"),"NANG",IF(N857=1,"AUSL",IFERROR(VLOOKUP(H857,Vokabular!$A$2:$B$8,2,FALSE),"UNBEKANNT"))))</f>
        <v/>
      </c>
    </row>
    <row r="858">
      <c r="A858" s="5" t="inlineStr">
        <is>
          <t>HL-07</t>
        </is>
      </c>
      <c r="B858" s="5" t="inlineStr">
        <is>
          <t>post</t>
        </is>
      </c>
      <c r="C858" s="5" t="inlineStr">
        <is>
          <t>Standweitsprung</t>
        </is>
      </c>
      <c r="D858" s="5" t="inlineStr">
        <is>
          <t>–</t>
        </is>
      </c>
      <c r="E858" s="5" t="n">
        <v>2</v>
      </c>
      <c r="F858" s="5" t="n">
        <v>243</v>
      </c>
      <c r="G858" s="5" t="n"/>
      <c r="H858" s="5" t="n"/>
      <c r="I858" s="22">
        <f>INDEX(Personendaten!$C$2:$C$32,MATCH(A858,Personendaten!$A$2:$A$32,0))</f>
        <v/>
      </c>
      <c r="J858" s="22">
        <f>IF(AND(F858&lt;&gt;"",G858=""),1,0)</f>
        <v/>
      </c>
      <c r="K858" s="22">
        <f>IF(LEFT(C858,7)&lt;&gt;"Sprint_","",IF(COUNTIFS(Versuchsdaten!$A$2:$A$1117,$A858,Versuchsdaten!$B$2:$B$1117,$B858,Versuchsdaten!$C$2:$C$1117,"Sprint_5m",Versuchsdaten!$E$2:$E$1117,$E858,Versuchsdaten!$J$2:$J$1117,1)=1,SUMIFS(Versuchsdaten!$F$2:$F$1117,Versuchsdaten!$A$2:$A$1117,$A858,Versuchsdaten!$B$2:$B$1117,$B858,Versuchsdaten!$C$2:$C$1117,"Sprint_5m",Versuchsdaten!$E$2:$E$1117,$E858,Versuchsdaten!$J$2:$J$1117,1),""))</f>
        <v/>
      </c>
      <c r="L858" s="22">
        <f>IF(LEFT(C858,7)&lt;&gt;"Sprint_","",IF(COUNTIFS(Versuchsdaten!$A$2:$A$1117,$A858,Versuchsdaten!$B$2:$B$1117,$B858,Versuchsdaten!$C$2:$C$1117,"Sprint_10m",Versuchsdaten!$E$2:$E$1117,$E858,Versuchsdaten!$J$2:$J$1117,1)=1,SUMIFS(Versuchsdaten!$F$2:$F$1117,Versuchsdaten!$A$2:$A$1117,$A858,Versuchsdaten!$B$2:$B$1117,$B858,Versuchsdaten!$C$2:$C$1117,"Sprint_10m",Versuchsdaten!$E$2:$E$1117,$E858,Versuchsdaten!$J$2:$J$1117,1),""))</f>
        <v/>
      </c>
      <c r="M858" s="22">
        <f>IF(LEFT(C858,7)&lt;&gt;"Sprint_","",IF(COUNTIFS(Versuchsdaten!$A$2:$A$1117,$A858,Versuchsdaten!$B$2:$B$1117,$B858,Versuchsdaten!$C$2:$C$1117,"Sprint_30m",Versuchsdaten!$E$2:$E$1117,$E858,Versuchsdaten!$J$2:$J$1117,1)=1,SUMIFS(Versuchsdaten!$F$2:$F$1117,Versuchsdaten!$A$2:$A$1117,$A858,Versuchsdaten!$B$2:$B$1117,$B858,Versuchsdaten!$C$2:$C$1117,"Sprint_30m",Versuchsdaten!$E$2:$E$1117,$E858,Versuchsdaten!$J$2:$J$1117,1),""))</f>
        <v/>
      </c>
      <c r="N858" s="22">
        <f>IF(LEFT(C858,7)&lt;&gt;"Sprint_",0,IF(IF(ISNUMBER(K858),IF(K858&lt;=0,1,IF(5/K858&gt;10,1,0)),0)+IF(ISNUMBER(L858),IF(ISNUMBER(K858),IF(L858-K858&lt;=0,1,IF(5/(L858-K858)&gt;10,1,0)),IF(L858&lt;=0,1,IF(10/L858&gt;10,1,0))),0)+IF(ISNUMBER(M858),IF(ISNUMBER(L858),IF(M858-L858&lt;=0,1,IF(20/(M858-L858)&gt;10,1,0)),IF(ISNUMBER(K858),IF(M858-K858&lt;=0,1,IF(25/(M858-K858)&gt;10,1,0)),IF(M858&lt;=0,1,IF(30/M858&gt;10,1,0)))),0)&gt;0,1,0))</f>
        <v/>
      </c>
      <c r="O858" s="22">
        <f>IF(AND(J858=1,N858=0),1,0)</f>
        <v/>
      </c>
      <c r="P858" s="22">
        <f>INDEX(Personendaten!$J$2:$J$32,MATCH(A858,Personendaten!$A$2:$A$32,0))</f>
        <v/>
      </c>
      <c r="Q858" s="22">
        <f>IF(O858=1,"",IF(AND(B858="post",P858="nicht angetreten"),"NANG",IF(N858=1,"AUSL",IFERROR(VLOOKUP(H858,Vokabular!$A$2:$B$8,2,FALSE),"UNBEKANNT"))))</f>
        <v/>
      </c>
    </row>
    <row r="859">
      <c r="A859" s="5" t="inlineStr">
        <is>
          <t>HL-07</t>
        </is>
      </c>
      <c r="B859" s="5" t="inlineStr">
        <is>
          <t>post</t>
        </is>
      </c>
      <c r="C859" s="5" t="inlineStr">
        <is>
          <t>Standweitsprung</t>
        </is>
      </c>
      <c r="D859" s="5" t="inlineStr">
        <is>
          <t>–</t>
        </is>
      </c>
      <c r="E859" s="5" t="n">
        <v>3</v>
      </c>
      <c r="F859" s="5" t="n"/>
      <c r="G859" s="5" t="n"/>
      <c r="H859" s="5" t="inlineStr">
        <is>
          <t>Nur 2 Versuche aus Zeitmangel</t>
        </is>
      </c>
      <c r="I859" s="22">
        <f>INDEX(Personendaten!$C$2:$C$32,MATCH(A859,Personendaten!$A$2:$A$32,0))</f>
        <v/>
      </c>
      <c r="J859" s="22">
        <f>IF(AND(F859&lt;&gt;"",G859=""),1,0)</f>
        <v/>
      </c>
      <c r="K859" s="22">
        <f>IF(LEFT(C859,7)&lt;&gt;"Sprint_","",IF(COUNTIFS(Versuchsdaten!$A$2:$A$1117,$A859,Versuchsdaten!$B$2:$B$1117,$B859,Versuchsdaten!$C$2:$C$1117,"Sprint_5m",Versuchsdaten!$E$2:$E$1117,$E859,Versuchsdaten!$J$2:$J$1117,1)=1,SUMIFS(Versuchsdaten!$F$2:$F$1117,Versuchsdaten!$A$2:$A$1117,$A859,Versuchsdaten!$B$2:$B$1117,$B859,Versuchsdaten!$C$2:$C$1117,"Sprint_5m",Versuchsdaten!$E$2:$E$1117,$E859,Versuchsdaten!$J$2:$J$1117,1),""))</f>
        <v/>
      </c>
      <c r="L859" s="22">
        <f>IF(LEFT(C859,7)&lt;&gt;"Sprint_","",IF(COUNTIFS(Versuchsdaten!$A$2:$A$1117,$A859,Versuchsdaten!$B$2:$B$1117,$B859,Versuchsdaten!$C$2:$C$1117,"Sprint_10m",Versuchsdaten!$E$2:$E$1117,$E859,Versuchsdaten!$J$2:$J$1117,1)=1,SUMIFS(Versuchsdaten!$F$2:$F$1117,Versuchsdaten!$A$2:$A$1117,$A859,Versuchsdaten!$B$2:$B$1117,$B859,Versuchsdaten!$C$2:$C$1117,"Sprint_10m",Versuchsdaten!$E$2:$E$1117,$E859,Versuchsdaten!$J$2:$J$1117,1),""))</f>
        <v/>
      </c>
      <c r="M859" s="22">
        <f>IF(LEFT(C859,7)&lt;&gt;"Sprint_","",IF(COUNTIFS(Versuchsdaten!$A$2:$A$1117,$A859,Versuchsdaten!$B$2:$B$1117,$B859,Versuchsdaten!$C$2:$C$1117,"Sprint_30m",Versuchsdaten!$E$2:$E$1117,$E859,Versuchsdaten!$J$2:$J$1117,1)=1,SUMIFS(Versuchsdaten!$F$2:$F$1117,Versuchsdaten!$A$2:$A$1117,$A859,Versuchsdaten!$B$2:$B$1117,$B859,Versuchsdaten!$C$2:$C$1117,"Sprint_30m",Versuchsdaten!$E$2:$E$1117,$E859,Versuchsdaten!$J$2:$J$1117,1),""))</f>
        <v/>
      </c>
      <c r="N859" s="22">
        <f>IF(LEFT(C859,7)&lt;&gt;"Sprint_",0,IF(IF(ISNUMBER(K859),IF(K859&lt;=0,1,IF(5/K859&gt;10,1,0)),0)+IF(ISNUMBER(L859),IF(ISNUMBER(K859),IF(L859-K859&lt;=0,1,IF(5/(L859-K859)&gt;10,1,0)),IF(L859&lt;=0,1,IF(10/L859&gt;10,1,0))),0)+IF(ISNUMBER(M859),IF(ISNUMBER(L859),IF(M859-L859&lt;=0,1,IF(20/(M859-L859)&gt;10,1,0)),IF(ISNUMBER(K859),IF(M859-K859&lt;=0,1,IF(25/(M859-K859)&gt;10,1,0)),IF(M859&lt;=0,1,IF(30/M859&gt;10,1,0)))),0)&gt;0,1,0))</f>
        <v/>
      </c>
      <c r="O859" s="22">
        <f>IF(AND(J859=1,N859=0),1,0)</f>
        <v/>
      </c>
      <c r="P859" s="22">
        <f>INDEX(Personendaten!$J$2:$J$32,MATCH(A859,Personendaten!$A$2:$A$32,0))</f>
        <v/>
      </c>
      <c r="Q859" s="22">
        <f>IF(O859=1,"",IF(AND(B859="post",P859="nicht angetreten"),"NANG",IF(N859=1,"AUSL",IFERROR(VLOOKUP(H859,Vokabular!$A$2:$B$8,2,FALSE),"UNBEKANNT"))))</f>
        <v/>
      </c>
    </row>
    <row r="860">
      <c r="A860" s="5" t="inlineStr">
        <is>
          <t>HL-07</t>
        </is>
      </c>
      <c r="B860" s="5" t="inlineStr">
        <is>
          <t>post</t>
        </is>
      </c>
      <c r="C860" s="5" t="inlineStr">
        <is>
          <t>COD_505</t>
        </is>
      </c>
      <c r="D860" s="5" t="inlineStr">
        <is>
          <t>L</t>
        </is>
      </c>
      <c r="E860" s="5" t="n">
        <v>1</v>
      </c>
      <c r="F860" s="5" t="n">
        <v>2.44</v>
      </c>
      <c r="G860" s="5" t="n"/>
      <c r="H860" s="5" t="n"/>
      <c r="I860" s="22">
        <f>INDEX(Personendaten!$C$2:$C$32,MATCH(A860,Personendaten!$A$2:$A$32,0))</f>
        <v/>
      </c>
      <c r="J860" s="22">
        <f>IF(AND(F860&lt;&gt;"",G860=""),1,0)</f>
        <v/>
      </c>
      <c r="K860" s="22">
        <f>IF(LEFT(C860,7)&lt;&gt;"Sprint_","",IF(COUNTIFS(Versuchsdaten!$A$2:$A$1117,$A860,Versuchsdaten!$B$2:$B$1117,$B860,Versuchsdaten!$C$2:$C$1117,"Sprint_5m",Versuchsdaten!$E$2:$E$1117,$E860,Versuchsdaten!$J$2:$J$1117,1)=1,SUMIFS(Versuchsdaten!$F$2:$F$1117,Versuchsdaten!$A$2:$A$1117,$A860,Versuchsdaten!$B$2:$B$1117,$B860,Versuchsdaten!$C$2:$C$1117,"Sprint_5m",Versuchsdaten!$E$2:$E$1117,$E860,Versuchsdaten!$J$2:$J$1117,1),""))</f>
        <v/>
      </c>
      <c r="L860" s="22">
        <f>IF(LEFT(C860,7)&lt;&gt;"Sprint_","",IF(COUNTIFS(Versuchsdaten!$A$2:$A$1117,$A860,Versuchsdaten!$B$2:$B$1117,$B860,Versuchsdaten!$C$2:$C$1117,"Sprint_10m",Versuchsdaten!$E$2:$E$1117,$E860,Versuchsdaten!$J$2:$J$1117,1)=1,SUMIFS(Versuchsdaten!$F$2:$F$1117,Versuchsdaten!$A$2:$A$1117,$A860,Versuchsdaten!$B$2:$B$1117,$B860,Versuchsdaten!$C$2:$C$1117,"Sprint_10m",Versuchsdaten!$E$2:$E$1117,$E860,Versuchsdaten!$J$2:$J$1117,1),""))</f>
        <v/>
      </c>
      <c r="M860" s="22">
        <f>IF(LEFT(C860,7)&lt;&gt;"Sprint_","",IF(COUNTIFS(Versuchsdaten!$A$2:$A$1117,$A860,Versuchsdaten!$B$2:$B$1117,$B860,Versuchsdaten!$C$2:$C$1117,"Sprint_30m",Versuchsdaten!$E$2:$E$1117,$E860,Versuchsdaten!$J$2:$J$1117,1)=1,SUMIFS(Versuchsdaten!$F$2:$F$1117,Versuchsdaten!$A$2:$A$1117,$A860,Versuchsdaten!$B$2:$B$1117,$B860,Versuchsdaten!$C$2:$C$1117,"Sprint_30m",Versuchsdaten!$E$2:$E$1117,$E860,Versuchsdaten!$J$2:$J$1117,1),""))</f>
        <v/>
      </c>
      <c r="N860" s="22">
        <f>IF(LEFT(C860,7)&lt;&gt;"Sprint_",0,IF(IF(ISNUMBER(K860),IF(K860&lt;=0,1,IF(5/K860&gt;10,1,0)),0)+IF(ISNUMBER(L860),IF(ISNUMBER(K860),IF(L860-K860&lt;=0,1,IF(5/(L860-K860)&gt;10,1,0)),IF(L860&lt;=0,1,IF(10/L860&gt;10,1,0))),0)+IF(ISNUMBER(M860),IF(ISNUMBER(L860),IF(M860-L860&lt;=0,1,IF(20/(M860-L860)&gt;10,1,0)),IF(ISNUMBER(K860),IF(M860-K860&lt;=0,1,IF(25/(M860-K860)&gt;10,1,0)),IF(M860&lt;=0,1,IF(30/M860&gt;10,1,0)))),0)&gt;0,1,0))</f>
        <v/>
      </c>
      <c r="O860" s="22">
        <f>IF(AND(J860=1,N860=0),1,0)</f>
        <v/>
      </c>
      <c r="P860" s="22">
        <f>INDEX(Personendaten!$J$2:$J$32,MATCH(A860,Personendaten!$A$2:$A$32,0))</f>
        <v/>
      </c>
      <c r="Q860" s="22">
        <f>IF(O860=1,"",IF(AND(B860="post",P860="nicht angetreten"),"NANG",IF(N860=1,"AUSL",IFERROR(VLOOKUP(H860,Vokabular!$A$2:$B$8,2,FALSE),"UNBEKANNT"))))</f>
        <v/>
      </c>
    </row>
    <row r="861">
      <c r="A861" s="5" t="inlineStr">
        <is>
          <t>HL-07</t>
        </is>
      </c>
      <c r="B861" s="5" t="inlineStr">
        <is>
          <t>post</t>
        </is>
      </c>
      <c r="C861" s="5" t="inlineStr">
        <is>
          <t>COD_505</t>
        </is>
      </c>
      <c r="D861" s="5" t="inlineStr">
        <is>
          <t>L</t>
        </is>
      </c>
      <c r="E861" s="5" t="n">
        <v>2</v>
      </c>
      <c r="F861" s="5" t="n">
        <v>2.42</v>
      </c>
      <c r="G861" s="5" t="n"/>
      <c r="H861" s="5" t="n"/>
      <c r="I861" s="22">
        <f>INDEX(Personendaten!$C$2:$C$32,MATCH(A861,Personendaten!$A$2:$A$32,0))</f>
        <v/>
      </c>
      <c r="J861" s="22">
        <f>IF(AND(F861&lt;&gt;"",G861=""),1,0)</f>
        <v/>
      </c>
      <c r="K861" s="22">
        <f>IF(LEFT(C861,7)&lt;&gt;"Sprint_","",IF(COUNTIFS(Versuchsdaten!$A$2:$A$1117,$A861,Versuchsdaten!$B$2:$B$1117,$B861,Versuchsdaten!$C$2:$C$1117,"Sprint_5m",Versuchsdaten!$E$2:$E$1117,$E861,Versuchsdaten!$J$2:$J$1117,1)=1,SUMIFS(Versuchsdaten!$F$2:$F$1117,Versuchsdaten!$A$2:$A$1117,$A861,Versuchsdaten!$B$2:$B$1117,$B861,Versuchsdaten!$C$2:$C$1117,"Sprint_5m",Versuchsdaten!$E$2:$E$1117,$E861,Versuchsdaten!$J$2:$J$1117,1),""))</f>
        <v/>
      </c>
      <c r="L861" s="22">
        <f>IF(LEFT(C861,7)&lt;&gt;"Sprint_","",IF(COUNTIFS(Versuchsdaten!$A$2:$A$1117,$A861,Versuchsdaten!$B$2:$B$1117,$B861,Versuchsdaten!$C$2:$C$1117,"Sprint_10m",Versuchsdaten!$E$2:$E$1117,$E861,Versuchsdaten!$J$2:$J$1117,1)=1,SUMIFS(Versuchsdaten!$F$2:$F$1117,Versuchsdaten!$A$2:$A$1117,$A861,Versuchsdaten!$B$2:$B$1117,$B861,Versuchsdaten!$C$2:$C$1117,"Sprint_10m",Versuchsdaten!$E$2:$E$1117,$E861,Versuchsdaten!$J$2:$J$1117,1),""))</f>
        <v/>
      </c>
      <c r="M861" s="22">
        <f>IF(LEFT(C861,7)&lt;&gt;"Sprint_","",IF(COUNTIFS(Versuchsdaten!$A$2:$A$1117,$A861,Versuchsdaten!$B$2:$B$1117,$B861,Versuchsdaten!$C$2:$C$1117,"Sprint_30m",Versuchsdaten!$E$2:$E$1117,$E861,Versuchsdaten!$J$2:$J$1117,1)=1,SUMIFS(Versuchsdaten!$F$2:$F$1117,Versuchsdaten!$A$2:$A$1117,$A861,Versuchsdaten!$B$2:$B$1117,$B861,Versuchsdaten!$C$2:$C$1117,"Sprint_30m",Versuchsdaten!$E$2:$E$1117,$E861,Versuchsdaten!$J$2:$J$1117,1),""))</f>
        <v/>
      </c>
      <c r="N861" s="22">
        <f>IF(LEFT(C861,7)&lt;&gt;"Sprint_",0,IF(IF(ISNUMBER(K861),IF(K861&lt;=0,1,IF(5/K861&gt;10,1,0)),0)+IF(ISNUMBER(L861),IF(ISNUMBER(K861),IF(L861-K861&lt;=0,1,IF(5/(L861-K861)&gt;10,1,0)),IF(L861&lt;=0,1,IF(10/L861&gt;10,1,0))),0)+IF(ISNUMBER(M861),IF(ISNUMBER(L861),IF(M861-L861&lt;=0,1,IF(20/(M861-L861)&gt;10,1,0)),IF(ISNUMBER(K861),IF(M861-K861&lt;=0,1,IF(25/(M861-K861)&gt;10,1,0)),IF(M861&lt;=0,1,IF(30/M861&gt;10,1,0)))),0)&gt;0,1,0))</f>
        <v/>
      </c>
      <c r="O861" s="22">
        <f>IF(AND(J861=1,N861=0),1,0)</f>
        <v/>
      </c>
      <c r="P861" s="22">
        <f>INDEX(Personendaten!$J$2:$J$32,MATCH(A861,Personendaten!$A$2:$A$32,0))</f>
        <v/>
      </c>
      <c r="Q861" s="22">
        <f>IF(O861=1,"",IF(AND(B861="post",P861="nicht angetreten"),"NANG",IF(N861=1,"AUSL",IFERROR(VLOOKUP(H861,Vokabular!$A$2:$B$8,2,FALSE),"UNBEKANNT"))))</f>
        <v/>
      </c>
    </row>
    <row r="862">
      <c r="A862" s="5" t="inlineStr">
        <is>
          <t>HL-07</t>
        </is>
      </c>
      <c r="B862" s="5" t="inlineStr">
        <is>
          <t>post</t>
        </is>
      </c>
      <c r="C862" s="5" t="inlineStr">
        <is>
          <t>COD_505</t>
        </is>
      </c>
      <c r="D862" s="5" t="inlineStr">
        <is>
          <t>L</t>
        </is>
      </c>
      <c r="E862" s="5" t="n">
        <v>3</v>
      </c>
      <c r="F862" s="5" t="n"/>
      <c r="G862" s="5" t="n"/>
      <c r="H862" s="5" t="inlineStr">
        <is>
          <t>Nur 2 Versuche aus Zeitmangel</t>
        </is>
      </c>
      <c r="I862" s="22">
        <f>INDEX(Personendaten!$C$2:$C$32,MATCH(A862,Personendaten!$A$2:$A$32,0))</f>
        <v/>
      </c>
      <c r="J862" s="22">
        <f>IF(AND(F862&lt;&gt;"",G862=""),1,0)</f>
        <v/>
      </c>
      <c r="K862" s="22">
        <f>IF(LEFT(C862,7)&lt;&gt;"Sprint_","",IF(COUNTIFS(Versuchsdaten!$A$2:$A$1117,$A862,Versuchsdaten!$B$2:$B$1117,$B862,Versuchsdaten!$C$2:$C$1117,"Sprint_5m",Versuchsdaten!$E$2:$E$1117,$E862,Versuchsdaten!$J$2:$J$1117,1)=1,SUMIFS(Versuchsdaten!$F$2:$F$1117,Versuchsdaten!$A$2:$A$1117,$A862,Versuchsdaten!$B$2:$B$1117,$B862,Versuchsdaten!$C$2:$C$1117,"Sprint_5m",Versuchsdaten!$E$2:$E$1117,$E862,Versuchsdaten!$J$2:$J$1117,1),""))</f>
        <v/>
      </c>
      <c r="L862" s="22">
        <f>IF(LEFT(C862,7)&lt;&gt;"Sprint_","",IF(COUNTIFS(Versuchsdaten!$A$2:$A$1117,$A862,Versuchsdaten!$B$2:$B$1117,$B862,Versuchsdaten!$C$2:$C$1117,"Sprint_10m",Versuchsdaten!$E$2:$E$1117,$E862,Versuchsdaten!$J$2:$J$1117,1)=1,SUMIFS(Versuchsdaten!$F$2:$F$1117,Versuchsdaten!$A$2:$A$1117,$A862,Versuchsdaten!$B$2:$B$1117,$B862,Versuchsdaten!$C$2:$C$1117,"Sprint_10m",Versuchsdaten!$E$2:$E$1117,$E862,Versuchsdaten!$J$2:$J$1117,1),""))</f>
        <v/>
      </c>
      <c r="M862" s="22">
        <f>IF(LEFT(C862,7)&lt;&gt;"Sprint_","",IF(COUNTIFS(Versuchsdaten!$A$2:$A$1117,$A862,Versuchsdaten!$B$2:$B$1117,$B862,Versuchsdaten!$C$2:$C$1117,"Sprint_30m",Versuchsdaten!$E$2:$E$1117,$E862,Versuchsdaten!$J$2:$J$1117,1)=1,SUMIFS(Versuchsdaten!$F$2:$F$1117,Versuchsdaten!$A$2:$A$1117,$A862,Versuchsdaten!$B$2:$B$1117,$B862,Versuchsdaten!$C$2:$C$1117,"Sprint_30m",Versuchsdaten!$E$2:$E$1117,$E862,Versuchsdaten!$J$2:$J$1117,1),""))</f>
        <v/>
      </c>
      <c r="N862" s="22">
        <f>IF(LEFT(C862,7)&lt;&gt;"Sprint_",0,IF(IF(ISNUMBER(K862),IF(K862&lt;=0,1,IF(5/K862&gt;10,1,0)),0)+IF(ISNUMBER(L862),IF(ISNUMBER(K862),IF(L862-K862&lt;=0,1,IF(5/(L862-K862)&gt;10,1,0)),IF(L862&lt;=0,1,IF(10/L862&gt;10,1,0))),0)+IF(ISNUMBER(M862),IF(ISNUMBER(L862),IF(M862-L862&lt;=0,1,IF(20/(M862-L862)&gt;10,1,0)),IF(ISNUMBER(K862),IF(M862-K862&lt;=0,1,IF(25/(M862-K862)&gt;10,1,0)),IF(M862&lt;=0,1,IF(30/M862&gt;10,1,0)))),0)&gt;0,1,0))</f>
        <v/>
      </c>
      <c r="O862" s="22">
        <f>IF(AND(J862=1,N862=0),1,0)</f>
        <v/>
      </c>
      <c r="P862" s="22">
        <f>INDEX(Personendaten!$J$2:$J$32,MATCH(A862,Personendaten!$A$2:$A$32,0))</f>
        <v/>
      </c>
      <c r="Q862" s="22">
        <f>IF(O862=1,"",IF(AND(B862="post",P862="nicht angetreten"),"NANG",IF(N862=1,"AUSL",IFERROR(VLOOKUP(H862,Vokabular!$A$2:$B$8,2,FALSE),"UNBEKANNT"))))</f>
        <v/>
      </c>
    </row>
    <row r="863">
      <c r="A863" s="5" t="inlineStr">
        <is>
          <t>HL-07</t>
        </is>
      </c>
      <c r="B863" s="5" t="inlineStr">
        <is>
          <t>post</t>
        </is>
      </c>
      <c r="C863" s="5" t="inlineStr">
        <is>
          <t>COD_505</t>
        </is>
      </c>
      <c r="D863" s="5" t="inlineStr">
        <is>
          <t>R</t>
        </is>
      </c>
      <c r="E863" s="5" t="n">
        <v>1</v>
      </c>
      <c r="F863" s="5" t="n">
        <v>2.31</v>
      </c>
      <c r="G863" s="5" t="n"/>
      <c r="H863" s="5" t="n"/>
      <c r="I863" s="22">
        <f>INDEX(Personendaten!$C$2:$C$32,MATCH(A863,Personendaten!$A$2:$A$32,0))</f>
        <v/>
      </c>
      <c r="J863" s="22">
        <f>IF(AND(F863&lt;&gt;"",G863=""),1,0)</f>
        <v/>
      </c>
      <c r="K863" s="22">
        <f>IF(LEFT(C863,7)&lt;&gt;"Sprint_","",IF(COUNTIFS(Versuchsdaten!$A$2:$A$1117,$A863,Versuchsdaten!$B$2:$B$1117,$B863,Versuchsdaten!$C$2:$C$1117,"Sprint_5m",Versuchsdaten!$E$2:$E$1117,$E863,Versuchsdaten!$J$2:$J$1117,1)=1,SUMIFS(Versuchsdaten!$F$2:$F$1117,Versuchsdaten!$A$2:$A$1117,$A863,Versuchsdaten!$B$2:$B$1117,$B863,Versuchsdaten!$C$2:$C$1117,"Sprint_5m",Versuchsdaten!$E$2:$E$1117,$E863,Versuchsdaten!$J$2:$J$1117,1),""))</f>
        <v/>
      </c>
      <c r="L863" s="22">
        <f>IF(LEFT(C863,7)&lt;&gt;"Sprint_","",IF(COUNTIFS(Versuchsdaten!$A$2:$A$1117,$A863,Versuchsdaten!$B$2:$B$1117,$B863,Versuchsdaten!$C$2:$C$1117,"Sprint_10m",Versuchsdaten!$E$2:$E$1117,$E863,Versuchsdaten!$J$2:$J$1117,1)=1,SUMIFS(Versuchsdaten!$F$2:$F$1117,Versuchsdaten!$A$2:$A$1117,$A863,Versuchsdaten!$B$2:$B$1117,$B863,Versuchsdaten!$C$2:$C$1117,"Sprint_10m",Versuchsdaten!$E$2:$E$1117,$E863,Versuchsdaten!$J$2:$J$1117,1),""))</f>
        <v/>
      </c>
      <c r="M863" s="22">
        <f>IF(LEFT(C863,7)&lt;&gt;"Sprint_","",IF(COUNTIFS(Versuchsdaten!$A$2:$A$1117,$A863,Versuchsdaten!$B$2:$B$1117,$B863,Versuchsdaten!$C$2:$C$1117,"Sprint_30m",Versuchsdaten!$E$2:$E$1117,$E863,Versuchsdaten!$J$2:$J$1117,1)=1,SUMIFS(Versuchsdaten!$F$2:$F$1117,Versuchsdaten!$A$2:$A$1117,$A863,Versuchsdaten!$B$2:$B$1117,$B863,Versuchsdaten!$C$2:$C$1117,"Sprint_30m",Versuchsdaten!$E$2:$E$1117,$E863,Versuchsdaten!$J$2:$J$1117,1),""))</f>
        <v/>
      </c>
      <c r="N863" s="22">
        <f>IF(LEFT(C863,7)&lt;&gt;"Sprint_",0,IF(IF(ISNUMBER(K863),IF(K863&lt;=0,1,IF(5/K863&gt;10,1,0)),0)+IF(ISNUMBER(L863),IF(ISNUMBER(K863),IF(L863-K863&lt;=0,1,IF(5/(L863-K863)&gt;10,1,0)),IF(L863&lt;=0,1,IF(10/L863&gt;10,1,0))),0)+IF(ISNUMBER(M863),IF(ISNUMBER(L863),IF(M863-L863&lt;=0,1,IF(20/(M863-L863)&gt;10,1,0)),IF(ISNUMBER(K863),IF(M863-K863&lt;=0,1,IF(25/(M863-K863)&gt;10,1,0)),IF(M863&lt;=0,1,IF(30/M863&gt;10,1,0)))),0)&gt;0,1,0))</f>
        <v/>
      </c>
      <c r="O863" s="22">
        <f>IF(AND(J863=1,N863=0),1,0)</f>
        <v/>
      </c>
      <c r="P863" s="22">
        <f>INDEX(Personendaten!$J$2:$J$32,MATCH(A863,Personendaten!$A$2:$A$32,0))</f>
        <v/>
      </c>
      <c r="Q863" s="22">
        <f>IF(O863=1,"",IF(AND(B863="post",P863="nicht angetreten"),"NANG",IF(N863=1,"AUSL",IFERROR(VLOOKUP(H863,Vokabular!$A$2:$B$8,2,FALSE),"UNBEKANNT"))))</f>
        <v/>
      </c>
    </row>
    <row r="864">
      <c r="A864" s="5" t="inlineStr">
        <is>
          <t>HL-07</t>
        </is>
      </c>
      <c r="B864" s="5" t="inlineStr">
        <is>
          <t>post</t>
        </is>
      </c>
      <c r="C864" s="5" t="inlineStr">
        <is>
          <t>COD_505</t>
        </is>
      </c>
      <c r="D864" s="5" t="inlineStr">
        <is>
          <t>R</t>
        </is>
      </c>
      <c r="E864" s="5" t="n">
        <v>2</v>
      </c>
      <c r="F864" s="5" t="n"/>
      <c r="G864" s="5" t="inlineStr">
        <is>
          <t>x</t>
        </is>
      </c>
      <c r="H864" s="5" t="inlineStr">
        <is>
          <t>Fehlversuch</t>
        </is>
      </c>
      <c r="I864" s="22">
        <f>INDEX(Personendaten!$C$2:$C$32,MATCH(A864,Personendaten!$A$2:$A$32,0))</f>
        <v/>
      </c>
      <c r="J864" s="22">
        <f>IF(AND(F864&lt;&gt;"",G864=""),1,0)</f>
        <v/>
      </c>
      <c r="K864" s="22">
        <f>IF(LEFT(C864,7)&lt;&gt;"Sprint_","",IF(COUNTIFS(Versuchsdaten!$A$2:$A$1117,$A864,Versuchsdaten!$B$2:$B$1117,$B864,Versuchsdaten!$C$2:$C$1117,"Sprint_5m",Versuchsdaten!$E$2:$E$1117,$E864,Versuchsdaten!$J$2:$J$1117,1)=1,SUMIFS(Versuchsdaten!$F$2:$F$1117,Versuchsdaten!$A$2:$A$1117,$A864,Versuchsdaten!$B$2:$B$1117,$B864,Versuchsdaten!$C$2:$C$1117,"Sprint_5m",Versuchsdaten!$E$2:$E$1117,$E864,Versuchsdaten!$J$2:$J$1117,1),""))</f>
        <v/>
      </c>
      <c r="L864" s="22">
        <f>IF(LEFT(C864,7)&lt;&gt;"Sprint_","",IF(COUNTIFS(Versuchsdaten!$A$2:$A$1117,$A864,Versuchsdaten!$B$2:$B$1117,$B864,Versuchsdaten!$C$2:$C$1117,"Sprint_10m",Versuchsdaten!$E$2:$E$1117,$E864,Versuchsdaten!$J$2:$J$1117,1)=1,SUMIFS(Versuchsdaten!$F$2:$F$1117,Versuchsdaten!$A$2:$A$1117,$A864,Versuchsdaten!$B$2:$B$1117,$B864,Versuchsdaten!$C$2:$C$1117,"Sprint_10m",Versuchsdaten!$E$2:$E$1117,$E864,Versuchsdaten!$J$2:$J$1117,1),""))</f>
        <v/>
      </c>
      <c r="M864" s="22">
        <f>IF(LEFT(C864,7)&lt;&gt;"Sprint_","",IF(COUNTIFS(Versuchsdaten!$A$2:$A$1117,$A864,Versuchsdaten!$B$2:$B$1117,$B864,Versuchsdaten!$C$2:$C$1117,"Sprint_30m",Versuchsdaten!$E$2:$E$1117,$E864,Versuchsdaten!$J$2:$J$1117,1)=1,SUMIFS(Versuchsdaten!$F$2:$F$1117,Versuchsdaten!$A$2:$A$1117,$A864,Versuchsdaten!$B$2:$B$1117,$B864,Versuchsdaten!$C$2:$C$1117,"Sprint_30m",Versuchsdaten!$E$2:$E$1117,$E864,Versuchsdaten!$J$2:$J$1117,1),""))</f>
        <v/>
      </c>
      <c r="N864" s="22">
        <f>IF(LEFT(C864,7)&lt;&gt;"Sprint_",0,IF(IF(ISNUMBER(K864),IF(K864&lt;=0,1,IF(5/K864&gt;10,1,0)),0)+IF(ISNUMBER(L864),IF(ISNUMBER(K864),IF(L864-K864&lt;=0,1,IF(5/(L864-K864)&gt;10,1,0)),IF(L864&lt;=0,1,IF(10/L864&gt;10,1,0))),0)+IF(ISNUMBER(M864),IF(ISNUMBER(L864),IF(M864-L864&lt;=0,1,IF(20/(M864-L864)&gt;10,1,0)),IF(ISNUMBER(K864),IF(M864-K864&lt;=0,1,IF(25/(M864-K864)&gt;10,1,0)),IF(M864&lt;=0,1,IF(30/M864&gt;10,1,0)))),0)&gt;0,1,0))</f>
        <v/>
      </c>
      <c r="O864" s="22">
        <f>IF(AND(J864=1,N864=0),1,0)</f>
        <v/>
      </c>
      <c r="P864" s="22">
        <f>INDEX(Personendaten!$J$2:$J$32,MATCH(A864,Personendaten!$A$2:$A$32,0))</f>
        <v/>
      </c>
      <c r="Q864" s="22">
        <f>IF(O864=1,"",IF(AND(B864="post",P864="nicht angetreten"),"NANG",IF(N864=1,"AUSL",IFERROR(VLOOKUP(H864,Vokabular!$A$2:$B$8,2,FALSE),"UNBEKANNT"))))</f>
        <v/>
      </c>
    </row>
    <row r="865">
      <c r="A865" s="5" t="inlineStr">
        <is>
          <t>HL-07</t>
        </is>
      </c>
      <c r="B865" s="5" t="inlineStr">
        <is>
          <t>post</t>
        </is>
      </c>
      <c r="C865" s="5" t="inlineStr">
        <is>
          <t>COD_505</t>
        </is>
      </c>
      <c r="D865" s="5" t="inlineStr">
        <is>
          <t>R</t>
        </is>
      </c>
      <c r="E865" s="5" t="n">
        <v>3</v>
      </c>
      <c r="F865" s="5" t="n"/>
      <c r="G865" s="5" t="n"/>
      <c r="H865" s="5" t="inlineStr">
        <is>
          <t>Nur 2 Versuche aus Zeitmangel</t>
        </is>
      </c>
      <c r="I865" s="22">
        <f>INDEX(Personendaten!$C$2:$C$32,MATCH(A865,Personendaten!$A$2:$A$32,0))</f>
        <v/>
      </c>
      <c r="J865" s="22">
        <f>IF(AND(F865&lt;&gt;"",G865=""),1,0)</f>
        <v/>
      </c>
      <c r="K865" s="22">
        <f>IF(LEFT(C865,7)&lt;&gt;"Sprint_","",IF(COUNTIFS(Versuchsdaten!$A$2:$A$1117,$A865,Versuchsdaten!$B$2:$B$1117,$B865,Versuchsdaten!$C$2:$C$1117,"Sprint_5m",Versuchsdaten!$E$2:$E$1117,$E865,Versuchsdaten!$J$2:$J$1117,1)=1,SUMIFS(Versuchsdaten!$F$2:$F$1117,Versuchsdaten!$A$2:$A$1117,$A865,Versuchsdaten!$B$2:$B$1117,$B865,Versuchsdaten!$C$2:$C$1117,"Sprint_5m",Versuchsdaten!$E$2:$E$1117,$E865,Versuchsdaten!$J$2:$J$1117,1),""))</f>
        <v/>
      </c>
      <c r="L865" s="22">
        <f>IF(LEFT(C865,7)&lt;&gt;"Sprint_","",IF(COUNTIFS(Versuchsdaten!$A$2:$A$1117,$A865,Versuchsdaten!$B$2:$B$1117,$B865,Versuchsdaten!$C$2:$C$1117,"Sprint_10m",Versuchsdaten!$E$2:$E$1117,$E865,Versuchsdaten!$J$2:$J$1117,1)=1,SUMIFS(Versuchsdaten!$F$2:$F$1117,Versuchsdaten!$A$2:$A$1117,$A865,Versuchsdaten!$B$2:$B$1117,$B865,Versuchsdaten!$C$2:$C$1117,"Sprint_10m",Versuchsdaten!$E$2:$E$1117,$E865,Versuchsdaten!$J$2:$J$1117,1),""))</f>
        <v/>
      </c>
      <c r="M865" s="22">
        <f>IF(LEFT(C865,7)&lt;&gt;"Sprint_","",IF(COUNTIFS(Versuchsdaten!$A$2:$A$1117,$A865,Versuchsdaten!$B$2:$B$1117,$B865,Versuchsdaten!$C$2:$C$1117,"Sprint_30m",Versuchsdaten!$E$2:$E$1117,$E865,Versuchsdaten!$J$2:$J$1117,1)=1,SUMIFS(Versuchsdaten!$F$2:$F$1117,Versuchsdaten!$A$2:$A$1117,$A865,Versuchsdaten!$B$2:$B$1117,$B865,Versuchsdaten!$C$2:$C$1117,"Sprint_30m",Versuchsdaten!$E$2:$E$1117,$E865,Versuchsdaten!$J$2:$J$1117,1),""))</f>
        <v/>
      </c>
      <c r="N865" s="22">
        <f>IF(LEFT(C865,7)&lt;&gt;"Sprint_",0,IF(IF(ISNUMBER(K865),IF(K865&lt;=0,1,IF(5/K865&gt;10,1,0)),0)+IF(ISNUMBER(L865),IF(ISNUMBER(K865),IF(L865-K865&lt;=0,1,IF(5/(L865-K865)&gt;10,1,0)),IF(L865&lt;=0,1,IF(10/L865&gt;10,1,0))),0)+IF(ISNUMBER(M865),IF(ISNUMBER(L865),IF(M865-L865&lt;=0,1,IF(20/(M865-L865)&gt;10,1,0)),IF(ISNUMBER(K865),IF(M865-K865&lt;=0,1,IF(25/(M865-K865)&gt;10,1,0)),IF(M865&lt;=0,1,IF(30/M865&gt;10,1,0)))),0)&gt;0,1,0))</f>
        <v/>
      </c>
      <c r="O865" s="22">
        <f>IF(AND(J865=1,N865=0),1,0)</f>
        <v/>
      </c>
      <c r="P865" s="22">
        <f>INDEX(Personendaten!$J$2:$J$32,MATCH(A865,Personendaten!$A$2:$A$32,0))</f>
        <v/>
      </c>
      <c r="Q865" s="22">
        <f>IF(O865=1,"",IF(AND(B865="post",P865="nicht angetreten"),"NANG",IF(N865=1,"AUSL",IFERROR(VLOOKUP(H865,Vokabular!$A$2:$B$8,2,FALSE),"UNBEKANNT"))))</f>
        <v/>
      </c>
    </row>
    <row r="866">
      <c r="A866" s="5" t="inlineStr">
        <is>
          <t>HL-08</t>
        </is>
      </c>
      <c r="B866" s="5" t="inlineStr">
        <is>
          <t>post</t>
        </is>
      </c>
      <c r="C866" s="5" t="inlineStr">
        <is>
          <t>Sprint_5m</t>
        </is>
      </c>
      <c r="D866" s="5" t="inlineStr">
        <is>
          <t>–</t>
        </is>
      </c>
      <c r="E866" s="5" t="n">
        <v>1</v>
      </c>
      <c r="F866" s="5" t="n">
        <v>1.07</v>
      </c>
      <c r="G866" s="5" t="n"/>
      <c r="H866" s="5" t="n"/>
      <c r="I866" s="22">
        <f>INDEX(Personendaten!$C$2:$C$32,MATCH(A866,Personendaten!$A$2:$A$32,0))</f>
        <v/>
      </c>
      <c r="J866" s="22">
        <f>IF(AND(F866&lt;&gt;"",G866=""),1,0)</f>
        <v/>
      </c>
      <c r="K866" s="22">
        <f>IF(LEFT(C866,7)&lt;&gt;"Sprint_","",IF(COUNTIFS(Versuchsdaten!$A$2:$A$1117,$A866,Versuchsdaten!$B$2:$B$1117,$B866,Versuchsdaten!$C$2:$C$1117,"Sprint_5m",Versuchsdaten!$E$2:$E$1117,$E866,Versuchsdaten!$J$2:$J$1117,1)=1,SUMIFS(Versuchsdaten!$F$2:$F$1117,Versuchsdaten!$A$2:$A$1117,$A866,Versuchsdaten!$B$2:$B$1117,$B866,Versuchsdaten!$C$2:$C$1117,"Sprint_5m",Versuchsdaten!$E$2:$E$1117,$E866,Versuchsdaten!$J$2:$J$1117,1),""))</f>
        <v/>
      </c>
      <c r="L866" s="22">
        <f>IF(LEFT(C866,7)&lt;&gt;"Sprint_","",IF(COUNTIFS(Versuchsdaten!$A$2:$A$1117,$A866,Versuchsdaten!$B$2:$B$1117,$B866,Versuchsdaten!$C$2:$C$1117,"Sprint_10m",Versuchsdaten!$E$2:$E$1117,$E866,Versuchsdaten!$J$2:$J$1117,1)=1,SUMIFS(Versuchsdaten!$F$2:$F$1117,Versuchsdaten!$A$2:$A$1117,$A866,Versuchsdaten!$B$2:$B$1117,$B866,Versuchsdaten!$C$2:$C$1117,"Sprint_10m",Versuchsdaten!$E$2:$E$1117,$E866,Versuchsdaten!$J$2:$J$1117,1),""))</f>
        <v/>
      </c>
      <c r="M866" s="22">
        <f>IF(LEFT(C866,7)&lt;&gt;"Sprint_","",IF(COUNTIFS(Versuchsdaten!$A$2:$A$1117,$A866,Versuchsdaten!$B$2:$B$1117,$B866,Versuchsdaten!$C$2:$C$1117,"Sprint_30m",Versuchsdaten!$E$2:$E$1117,$E866,Versuchsdaten!$J$2:$J$1117,1)=1,SUMIFS(Versuchsdaten!$F$2:$F$1117,Versuchsdaten!$A$2:$A$1117,$A866,Versuchsdaten!$B$2:$B$1117,$B866,Versuchsdaten!$C$2:$C$1117,"Sprint_30m",Versuchsdaten!$E$2:$E$1117,$E866,Versuchsdaten!$J$2:$J$1117,1),""))</f>
        <v/>
      </c>
      <c r="N866" s="22">
        <f>IF(LEFT(C866,7)&lt;&gt;"Sprint_",0,IF(IF(ISNUMBER(K866),IF(K866&lt;=0,1,IF(5/K866&gt;10,1,0)),0)+IF(ISNUMBER(L866),IF(ISNUMBER(K866),IF(L866-K866&lt;=0,1,IF(5/(L866-K866)&gt;10,1,0)),IF(L866&lt;=0,1,IF(10/L866&gt;10,1,0))),0)+IF(ISNUMBER(M866),IF(ISNUMBER(L866),IF(M866-L866&lt;=0,1,IF(20/(M866-L866)&gt;10,1,0)),IF(ISNUMBER(K866),IF(M866-K866&lt;=0,1,IF(25/(M866-K866)&gt;10,1,0)),IF(M866&lt;=0,1,IF(30/M866&gt;10,1,0)))),0)&gt;0,1,0))</f>
        <v/>
      </c>
      <c r="O866" s="22">
        <f>IF(AND(J866=1,N866=0),1,0)</f>
        <v/>
      </c>
      <c r="P866" s="22">
        <f>INDEX(Personendaten!$J$2:$J$32,MATCH(A866,Personendaten!$A$2:$A$32,0))</f>
        <v/>
      </c>
      <c r="Q866" s="22">
        <f>IF(O866=1,"",IF(AND(B866="post",P866="nicht angetreten"),"NANG",IF(N866=1,"AUSL",IFERROR(VLOOKUP(H866,Vokabular!$A$2:$B$8,2,FALSE),"UNBEKANNT"))))</f>
        <v/>
      </c>
    </row>
    <row r="867">
      <c r="A867" s="5" t="inlineStr">
        <is>
          <t>HL-08</t>
        </is>
      </c>
      <c r="B867" s="5" t="inlineStr">
        <is>
          <t>post</t>
        </is>
      </c>
      <c r="C867" s="5" t="inlineStr">
        <is>
          <t>Sprint_5m</t>
        </is>
      </c>
      <c r="D867" s="5" t="inlineStr">
        <is>
          <t>–</t>
        </is>
      </c>
      <c r="E867" s="5" t="n">
        <v>2</v>
      </c>
      <c r="F867" s="5" t="n">
        <v>1.17</v>
      </c>
      <c r="G867" s="5" t="n"/>
      <c r="H867" s="5" t="n"/>
      <c r="I867" s="22">
        <f>INDEX(Personendaten!$C$2:$C$32,MATCH(A867,Personendaten!$A$2:$A$32,0))</f>
        <v/>
      </c>
      <c r="J867" s="22">
        <f>IF(AND(F867&lt;&gt;"",G867=""),1,0)</f>
        <v/>
      </c>
      <c r="K867" s="22">
        <f>IF(LEFT(C867,7)&lt;&gt;"Sprint_","",IF(COUNTIFS(Versuchsdaten!$A$2:$A$1117,$A867,Versuchsdaten!$B$2:$B$1117,$B867,Versuchsdaten!$C$2:$C$1117,"Sprint_5m",Versuchsdaten!$E$2:$E$1117,$E867,Versuchsdaten!$J$2:$J$1117,1)=1,SUMIFS(Versuchsdaten!$F$2:$F$1117,Versuchsdaten!$A$2:$A$1117,$A867,Versuchsdaten!$B$2:$B$1117,$B867,Versuchsdaten!$C$2:$C$1117,"Sprint_5m",Versuchsdaten!$E$2:$E$1117,$E867,Versuchsdaten!$J$2:$J$1117,1),""))</f>
        <v/>
      </c>
      <c r="L867" s="22">
        <f>IF(LEFT(C867,7)&lt;&gt;"Sprint_","",IF(COUNTIFS(Versuchsdaten!$A$2:$A$1117,$A867,Versuchsdaten!$B$2:$B$1117,$B867,Versuchsdaten!$C$2:$C$1117,"Sprint_10m",Versuchsdaten!$E$2:$E$1117,$E867,Versuchsdaten!$J$2:$J$1117,1)=1,SUMIFS(Versuchsdaten!$F$2:$F$1117,Versuchsdaten!$A$2:$A$1117,$A867,Versuchsdaten!$B$2:$B$1117,$B867,Versuchsdaten!$C$2:$C$1117,"Sprint_10m",Versuchsdaten!$E$2:$E$1117,$E867,Versuchsdaten!$J$2:$J$1117,1),""))</f>
        <v/>
      </c>
      <c r="M867" s="22">
        <f>IF(LEFT(C867,7)&lt;&gt;"Sprint_","",IF(COUNTIFS(Versuchsdaten!$A$2:$A$1117,$A867,Versuchsdaten!$B$2:$B$1117,$B867,Versuchsdaten!$C$2:$C$1117,"Sprint_30m",Versuchsdaten!$E$2:$E$1117,$E867,Versuchsdaten!$J$2:$J$1117,1)=1,SUMIFS(Versuchsdaten!$F$2:$F$1117,Versuchsdaten!$A$2:$A$1117,$A867,Versuchsdaten!$B$2:$B$1117,$B867,Versuchsdaten!$C$2:$C$1117,"Sprint_30m",Versuchsdaten!$E$2:$E$1117,$E867,Versuchsdaten!$J$2:$J$1117,1),""))</f>
        <v/>
      </c>
      <c r="N867" s="22">
        <f>IF(LEFT(C867,7)&lt;&gt;"Sprint_",0,IF(IF(ISNUMBER(K867),IF(K867&lt;=0,1,IF(5/K867&gt;10,1,0)),0)+IF(ISNUMBER(L867),IF(ISNUMBER(K867),IF(L867-K867&lt;=0,1,IF(5/(L867-K867)&gt;10,1,0)),IF(L867&lt;=0,1,IF(10/L867&gt;10,1,0))),0)+IF(ISNUMBER(M867),IF(ISNUMBER(L867),IF(M867-L867&lt;=0,1,IF(20/(M867-L867)&gt;10,1,0)),IF(ISNUMBER(K867),IF(M867-K867&lt;=0,1,IF(25/(M867-K867)&gt;10,1,0)),IF(M867&lt;=0,1,IF(30/M867&gt;10,1,0)))),0)&gt;0,1,0))</f>
        <v/>
      </c>
      <c r="O867" s="22">
        <f>IF(AND(J867=1,N867=0),1,0)</f>
        <v/>
      </c>
      <c r="P867" s="22">
        <f>INDEX(Personendaten!$J$2:$J$32,MATCH(A867,Personendaten!$A$2:$A$32,0))</f>
        <v/>
      </c>
      <c r="Q867" s="22">
        <f>IF(O867=1,"",IF(AND(B867="post",P867="nicht angetreten"),"NANG",IF(N867=1,"AUSL",IFERROR(VLOOKUP(H867,Vokabular!$A$2:$B$8,2,FALSE),"UNBEKANNT"))))</f>
        <v/>
      </c>
    </row>
    <row r="868">
      <c r="A868" s="5" t="inlineStr">
        <is>
          <t>HL-08</t>
        </is>
      </c>
      <c r="B868" s="5" t="inlineStr">
        <is>
          <t>post</t>
        </is>
      </c>
      <c r="C868" s="5" t="inlineStr">
        <is>
          <t>Sprint_5m</t>
        </is>
      </c>
      <c r="D868" s="5" t="inlineStr">
        <is>
          <t>–</t>
        </is>
      </c>
      <c r="E868" s="5" t="n">
        <v>3</v>
      </c>
      <c r="F868" s="5" t="n"/>
      <c r="G868" s="5" t="n"/>
      <c r="H868" s="5" t="inlineStr">
        <is>
          <t>System nicht aufgenommen</t>
        </is>
      </c>
      <c r="I868" s="22">
        <f>INDEX(Personendaten!$C$2:$C$32,MATCH(A868,Personendaten!$A$2:$A$32,0))</f>
        <v/>
      </c>
      <c r="J868" s="22">
        <f>IF(AND(F868&lt;&gt;"",G868=""),1,0)</f>
        <v/>
      </c>
      <c r="K868" s="22">
        <f>IF(LEFT(C868,7)&lt;&gt;"Sprint_","",IF(COUNTIFS(Versuchsdaten!$A$2:$A$1117,$A868,Versuchsdaten!$B$2:$B$1117,$B868,Versuchsdaten!$C$2:$C$1117,"Sprint_5m",Versuchsdaten!$E$2:$E$1117,$E868,Versuchsdaten!$J$2:$J$1117,1)=1,SUMIFS(Versuchsdaten!$F$2:$F$1117,Versuchsdaten!$A$2:$A$1117,$A868,Versuchsdaten!$B$2:$B$1117,$B868,Versuchsdaten!$C$2:$C$1117,"Sprint_5m",Versuchsdaten!$E$2:$E$1117,$E868,Versuchsdaten!$J$2:$J$1117,1),""))</f>
        <v/>
      </c>
      <c r="L868" s="22">
        <f>IF(LEFT(C868,7)&lt;&gt;"Sprint_","",IF(COUNTIFS(Versuchsdaten!$A$2:$A$1117,$A868,Versuchsdaten!$B$2:$B$1117,$B868,Versuchsdaten!$C$2:$C$1117,"Sprint_10m",Versuchsdaten!$E$2:$E$1117,$E868,Versuchsdaten!$J$2:$J$1117,1)=1,SUMIFS(Versuchsdaten!$F$2:$F$1117,Versuchsdaten!$A$2:$A$1117,$A868,Versuchsdaten!$B$2:$B$1117,$B868,Versuchsdaten!$C$2:$C$1117,"Sprint_10m",Versuchsdaten!$E$2:$E$1117,$E868,Versuchsdaten!$J$2:$J$1117,1),""))</f>
        <v/>
      </c>
      <c r="M868" s="22">
        <f>IF(LEFT(C868,7)&lt;&gt;"Sprint_","",IF(COUNTIFS(Versuchsdaten!$A$2:$A$1117,$A868,Versuchsdaten!$B$2:$B$1117,$B868,Versuchsdaten!$C$2:$C$1117,"Sprint_30m",Versuchsdaten!$E$2:$E$1117,$E868,Versuchsdaten!$J$2:$J$1117,1)=1,SUMIFS(Versuchsdaten!$F$2:$F$1117,Versuchsdaten!$A$2:$A$1117,$A868,Versuchsdaten!$B$2:$B$1117,$B868,Versuchsdaten!$C$2:$C$1117,"Sprint_30m",Versuchsdaten!$E$2:$E$1117,$E868,Versuchsdaten!$J$2:$J$1117,1),""))</f>
        <v/>
      </c>
      <c r="N868" s="22">
        <f>IF(LEFT(C868,7)&lt;&gt;"Sprint_",0,IF(IF(ISNUMBER(K868),IF(K868&lt;=0,1,IF(5/K868&gt;10,1,0)),0)+IF(ISNUMBER(L868),IF(ISNUMBER(K868),IF(L868-K868&lt;=0,1,IF(5/(L868-K868)&gt;10,1,0)),IF(L868&lt;=0,1,IF(10/L868&gt;10,1,0))),0)+IF(ISNUMBER(M868),IF(ISNUMBER(L868),IF(M868-L868&lt;=0,1,IF(20/(M868-L868)&gt;10,1,0)),IF(ISNUMBER(K868),IF(M868-K868&lt;=0,1,IF(25/(M868-K868)&gt;10,1,0)),IF(M868&lt;=0,1,IF(30/M868&gt;10,1,0)))),0)&gt;0,1,0))</f>
        <v/>
      </c>
      <c r="O868" s="22">
        <f>IF(AND(J868=1,N868=0),1,0)</f>
        <v/>
      </c>
      <c r="P868" s="22">
        <f>INDEX(Personendaten!$J$2:$J$32,MATCH(A868,Personendaten!$A$2:$A$32,0))</f>
        <v/>
      </c>
      <c r="Q868" s="22">
        <f>IF(O868=1,"",IF(AND(B868="post",P868="nicht angetreten"),"NANG",IF(N868=1,"AUSL",IFERROR(VLOOKUP(H868,Vokabular!$A$2:$B$8,2,FALSE),"UNBEKANNT"))))</f>
        <v/>
      </c>
    </row>
    <row r="869">
      <c r="A869" s="5" t="inlineStr">
        <is>
          <t>HL-08</t>
        </is>
      </c>
      <c r="B869" s="5" t="inlineStr">
        <is>
          <t>post</t>
        </is>
      </c>
      <c r="C869" s="5" t="inlineStr">
        <is>
          <t>Sprint_10m</t>
        </is>
      </c>
      <c r="D869" s="5" t="inlineStr">
        <is>
          <t>–</t>
        </is>
      </c>
      <c r="E869" s="5" t="n">
        <v>1</v>
      </c>
      <c r="F869" s="5" t="n">
        <v>1.88</v>
      </c>
      <c r="G869" s="5" t="n"/>
      <c r="H869" s="5" t="n"/>
      <c r="I869" s="22">
        <f>INDEX(Personendaten!$C$2:$C$32,MATCH(A869,Personendaten!$A$2:$A$32,0))</f>
        <v/>
      </c>
      <c r="J869" s="22">
        <f>IF(AND(F869&lt;&gt;"",G869=""),1,0)</f>
        <v/>
      </c>
      <c r="K869" s="22">
        <f>IF(LEFT(C869,7)&lt;&gt;"Sprint_","",IF(COUNTIFS(Versuchsdaten!$A$2:$A$1117,$A869,Versuchsdaten!$B$2:$B$1117,$B869,Versuchsdaten!$C$2:$C$1117,"Sprint_5m",Versuchsdaten!$E$2:$E$1117,$E869,Versuchsdaten!$J$2:$J$1117,1)=1,SUMIFS(Versuchsdaten!$F$2:$F$1117,Versuchsdaten!$A$2:$A$1117,$A869,Versuchsdaten!$B$2:$B$1117,$B869,Versuchsdaten!$C$2:$C$1117,"Sprint_5m",Versuchsdaten!$E$2:$E$1117,$E869,Versuchsdaten!$J$2:$J$1117,1),""))</f>
        <v/>
      </c>
      <c r="L869" s="22">
        <f>IF(LEFT(C869,7)&lt;&gt;"Sprint_","",IF(COUNTIFS(Versuchsdaten!$A$2:$A$1117,$A869,Versuchsdaten!$B$2:$B$1117,$B869,Versuchsdaten!$C$2:$C$1117,"Sprint_10m",Versuchsdaten!$E$2:$E$1117,$E869,Versuchsdaten!$J$2:$J$1117,1)=1,SUMIFS(Versuchsdaten!$F$2:$F$1117,Versuchsdaten!$A$2:$A$1117,$A869,Versuchsdaten!$B$2:$B$1117,$B869,Versuchsdaten!$C$2:$C$1117,"Sprint_10m",Versuchsdaten!$E$2:$E$1117,$E869,Versuchsdaten!$J$2:$J$1117,1),""))</f>
        <v/>
      </c>
      <c r="M869" s="22">
        <f>IF(LEFT(C869,7)&lt;&gt;"Sprint_","",IF(COUNTIFS(Versuchsdaten!$A$2:$A$1117,$A869,Versuchsdaten!$B$2:$B$1117,$B869,Versuchsdaten!$C$2:$C$1117,"Sprint_30m",Versuchsdaten!$E$2:$E$1117,$E869,Versuchsdaten!$J$2:$J$1117,1)=1,SUMIFS(Versuchsdaten!$F$2:$F$1117,Versuchsdaten!$A$2:$A$1117,$A869,Versuchsdaten!$B$2:$B$1117,$B869,Versuchsdaten!$C$2:$C$1117,"Sprint_30m",Versuchsdaten!$E$2:$E$1117,$E869,Versuchsdaten!$J$2:$J$1117,1),""))</f>
        <v/>
      </c>
      <c r="N869" s="22">
        <f>IF(LEFT(C869,7)&lt;&gt;"Sprint_",0,IF(IF(ISNUMBER(K869),IF(K869&lt;=0,1,IF(5/K869&gt;10,1,0)),0)+IF(ISNUMBER(L869),IF(ISNUMBER(K869),IF(L869-K869&lt;=0,1,IF(5/(L869-K869)&gt;10,1,0)),IF(L869&lt;=0,1,IF(10/L869&gt;10,1,0))),0)+IF(ISNUMBER(M869),IF(ISNUMBER(L869),IF(M869-L869&lt;=0,1,IF(20/(M869-L869)&gt;10,1,0)),IF(ISNUMBER(K869),IF(M869-K869&lt;=0,1,IF(25/(M869-K869)&gt;10,1,0)),IF(M869&lt;=0,1,IF(30/M869&gt;10,1,0)))),0)&gt;0,1,0))</f>
        <v/>
      </c>
      <c r="O869" s="22">
        <f>IF(AND(J869=1,N869=0),1,0)</f>
        <v/>
      </c>
      <c r="P869" s="22">
        <f>INDEX(Personendaten!$J$2:$J$32,MATCH(A869,Personendaten!$A$2:$A$32,0))</f>
        <v/>
      </c>
      <c r="Q869" s="22">
        <f>IF(O869=1,"",IF(AND(B869="post",P869="nicht angetreten"),"NANG",IF(N869=1,"AUSL",IFERROR(VLOOKUP(H869,Vokabular!$A$2:$B$8,2,FALSE),"UNBEKANNT"))))</f>
        <v/>
      </c>
    </row>
    <row r="870">
      <c r="A870" s="5" t="inlineStr">
        <is>
          <t>HL-08</t>
        </is>
      </c>
      <c r="B870" s="5" t="inlineStr">
        <is>
          <t>post</t>
        </is>
      </c>
      <c r="C870" s="5" t="inlineStr">
        <is>
          <t>Sprint_10m</t>
        </is>
      </c>
      <c r="D870" s="5" t="inlineStr">
        <is>
          <t>–</t>
        </is>
      </c>
      <c r="E870" s="5" t="n">
        <v>2</v>
      </c>
      <c r="F870" s="5" t="n">
        <v>1.95</v>
      </c>
      <c r="G870" s="5" t="n"/>
      <c r="H870" s="5" t="n"/>
      <c r="I870" s="22">
        <f>INDEX(Personendaten!$C$2:$C$32,MATCH(A870,Personendaten!$A$2:$A$32,0))</f>
        <v/>
      </c>
      <c r="J870" s="22">
        <f>IF(AND(F870&lt;&gt;"",G870=""),1,0)</f>
        <v/>
      </c>
      <c r="K870" s="22">
        <f>IF(LEFT(C870,7)&lt;&gt;"Sprint_","",IF(COUNTIFS(Versuchsdaten!$A$2:$A$1117,$A870,Versuchsdaten!$B$2:$B$1117,$B870,Versuchsdaten!$C$2:$C$1117,"Sprint_5m",Versuchsdaten!$E$2:$E$1117,$E870,Versuchsdaten!$J$2:$J$1117,1)=1,SUMIFS(Versuchsdaten!$F$2:$F$1117,Versuchsdaten!$A$2:$A$1117,$A870,Versuchsdaten!$B$2:$B$1117,$B870,Versuchsdaten!$C$2:$C$1117,"Sprint_5m",Versuchsdaten!$E$2:$E$1117,$E870,Versuchsdaten!$J$2:$J$1117,1),""))</f>
        <v/>
      </c>
      <c r="L870" s="22">
        <f>IF(LEFT(C870,7)&lt;&gt;"Sprint_","",IF(COUNTIFS(Versuchsdaten!$A$2:$A$1117,$A870,Versuchsdaten!$B$2:$B$1117,$B870,Versuchsdaten!$C$2:$C$1117,"Sprint_10m",Versuchsdaten!$E$2:$E$1117,$E870,Versuchsdaten!$J$2:$J$1117,1)=1,SUMIFS(Versuchsdaten!$F$2:$F$1117,Versuchsdaten!$A$2:$A$1117,$A870,Versuchsdaten!$B$2:$B$1117,$B870,Versuchsdaten!$C$2:$C$1117,"Sprint_10m",Versuchsdaten!$E$2:$E$1117,$E870,Versuchsdaten!$J$2:$J$1117,1),""))</f>
        <v/>
      </c>
      <c r="M870" s="22">
        <f>IF(LEFT(C870,7)&lt;&gt;"Sprint_","",IF(COUNTIFS(Versuchsdaten!$A$2:$A$1117,$A870,Versuchsdaten!$B$2:$B$1117,$B870,Versuchsdaten!$C$2:$C$1117,"Sprint_30m",Versuchsdaten!$E$2:$E$1117,$E870,Versuchsdaten!$J$2:$J$1117,1)=1,SUMIFS(Versuchsdaten!$F$2:$F$1117,Versuchsdaten!$A$2:$A$1117,$A870,Versuchsdaten!$B$2:$B$1117,$B870,Versuchsdaten!$C$2:$C$1117,"Sprint_30m",Versuchsdaten!$E$2:$E$1117,$E870,Versuchsdaten!$J$2:$J$1117,1),""))</f>
        <v/>
      </c>
      <c r="N870" s="22">
        <f>IF(LEFT(C870,7)&lt;&gt;"Sprint_",0,IF(IF(ISNUMBER(K870),IF(K870&lt;=0,1,IF(5/K870&gt;10,1,0)),0)+IF(ISNUMBER(L870),IF(ISNUMBER(K870),IF(L870-K870&lt;=0,1,IF(5/(L870-K870)&gt;10,1,0)),IF(L870&lt;=0,1,IF(10/L870&gt;10,1,0))),0)+IF(ISNUMBER(M870),IF(ISNUMBER(L870),IF(M870-L870&lt;=0,1,IF(20/(M870-L870)&gt;10,1,0)),IF(ISNUMBER(K870),IF(M870-K870&lt;=0,1,IF(25/(M870-K870)&gt;10,1,0)),IF(M870&lt;=0,1,IF(30/M870&gt;10,1,0)))),0)&gt;0,1,0))</f>
        <v/>
      </c>
      <c r="O870" s="22">
        <f>IF(AND(J870=1,N870=0),1,0)</f>
        <v/>
      </c>
      <c r="P870" s="22">
        <f>INDEX(Personendaten!$J$2:$J$32,MATCH(A870,Personendaten!$A$2:$A$32,0))</f>
        <v/>
      </c>
      <c r="Q870" s="22">
        <f>IF(O870=1,"",IF(AND(B870="post",P870="nicht angetreten"),"NANG",IF(N870=1,"AUSL",IFERROR(VLOOKUP(H870,Vokabular!$A$2:$B$8,2,FALSE),"UNBEKANNT"))))</f>
        <v/>
      </c>
    </row>
    <row r="871">
      <c r="A871" s="5" t="inlineStr">
        <is>
          <t>HL-08</t>
        </is>
      </c>
      <c r="B871" s="5" t="inlineStr">
        <is>
          <t>post</t>
        </is>
      </c>
      <c r="C871" s="5" t="inlineStr">
        <is>
          <t>Sprint_10m</t>
        </is>
      </c>
      <c r="D871" s="5" t="inlineStr">
        <is>
          <t>–</t>
        </is>
      </c>
      <c r="E871" s="5" t="n">
        <v>3</v>
      </c>
      <c r="F871" s="5" t="n"/>
      <c r="G871" s="5" t="n"/>
      <c r="H871" s="5" t="inlineStr">
        <is>
          <t>System nicht aufgenommen</t>
        </is>
      </c>
      <c r="I871" s="22">
        <f>INDEX(Personendaten!$C$2:$C$32,MATCH(A871,Personendaten!$A$2:$A$32,0))</f>
        <v/>
      </c>
      <c r="J871" s="22">
        <f>IF(AND(F871&lt;&gt;"",G871=""),1,0)</f>
        <v/>
      </c>
      <c r="K871" s="22">
        <f>IF(LEFT(C871,7)&lt;&gt;"Sprint_","",IF(COUNTIFS(Versuchsdaten!$A$2:$A$1117,$A871,Versuchsdaten!$B$2:$B$1117,$B871,Versuchsdaten!$C$2:$C$1117,"Sprint_5m",Versuchsdaten!$E$2:$E$1117,$E871,Versuchsdaten!$J$2:$J$1117,1)=1,SUMIFS(Versuchsdaten!$F$2:$F$1117,Versuchsdaten!$A$2:$A$1117,$A871,Versuchsdaten!$B$2:$B$1117,$B871,Versuchsdaten!$C$2:$C$1117,"Sprint_5m",Versuchsdaten!$E$2:$E$1117,$E871,Versuchsdaten!$J$2:$J$1117,1),""))</f>
        <v/>
      </c>
      <c r="L871" s="22">
        <f>IF(LEFT(C871,7)&lt;&gt;"Sprint_","",IF(COUNTIFS(Versuchsdaten!$A$2:$A$1117,$A871,Versuchsdaten!$B$2:$B$1117,$B871,Versuchsdaten!$C$2:$C$1117,"Sprint_10m",Versuchsdaten!$E$2:$E$1117,$E871,Versuchsdaten!$J$2:$J$1117,1)=1,SUMIFS(Versuchsdaten!$F$2:$F$1117,Versuchsdaten!$A$2:$A$1117,$A871,Versuchsdaten!$B$2:$B$1117,$B871,Versuchsdaten!$C$2:$C$1117,"Sprint_10m",Versuchsdaten!$E$2:$E$1117,$E871,Versuchsdaten!$J$2:$J$1117,1),""))</f>
        <v/>
      </c>
      <c r="M871" s="22">
        <f>IF(LEFT(C871,7)&lt;&gt;"Sprint_","",IF(COUNTIFS(Versuchsdaten!$A$2:$A$1117,$A871,Versuchsdaten!$B$2:$B$1117,$B871,Versuchsdaten!$C$2:$C$1117,"Sprint_30m",Versuchsdaten!$E$2:$E$1117,$E871,Versuchsdaten!$J$2:$J$1117,1)=1,SUMIFS(Versuchsdaten!$F$2:$F$1117,Versuchsdaten!$A$2:$A$1117,$A871,Versuchsdaten!$B$2:$B$1117,$B871,Versuchsdaten!$C$2:$C$1117,"Sprint_30m",Versuchsdaten!$E$2:$E$1117,$E871,Versuchsdaten!$J$2:$J$1117,1),""))</f>
        <v/>
      </c>
      <c r="N871" s="22">
        <f>IF(LEFT(C871,7)&lt;&gt;"Sprint_",0,IF(IF(ISNUMBER(K871),IF(K871&lt;=0,1,IF(5/K871&gt;10,1,0)),0)+IF(ISNUMBER(L871),IF(ISNUMBER(K871),IF(L871-K871&lt;=0,1,IF(5/(L871-K871)&gt;10,1,0)),IF(L871&lt;=0,1,IF(10/L871&gt;10,1,0))),0)+IF(ISNUMBER(M871),IF(ISNUMBER(L871),IF(M871-L871&lt;=0,1,IF(20/(M871-L871)&gt;10,1,0)),IF(ISNUMBER(K871),IF(M871-K871&lt;=0,1,IF(25/(M871-K871)&gt;10,1,0)),IF(M871&lt;=0,1,IF(30/M871&gt;10,1,0)))),0)&gt;0,1,0))</f>
        <v/>
      </c>
      <c r="O871" s="22">
        <f>IF(AND(J871=1,N871=0),1,0)</f>
        <v/>
      </c>
      <c r="P871" s="22">
        <f>INDEX(Personendaten!$J$2:$J$32,MATCH(A871,Personendaten!$A$2:$A$32,0))</f>
        <v/>
      </c>
      <c r="Q871" s="22">
        <f>IF(O871=1,"",IF(AND(B871="post",P871="nicht angetreten"),"NANG",IF(N871=1,"AUSL",IFERROR(VLOOKUP(H871,Vokabular!$A$2:$B$8,2,FALSE),"UNBEKANNT"))))</f>
        <v/>
      </c>
    </row>
    <row r="872">
      <c r="A872" s="5" t="inlineStr">
        <is>
          <t>HL-08</t>
        </is>
      </c>
      <c r="B872" s="5" t="inlineStr">
        <is>
          <t>post</t>
        </is>
      </c>
      <c r="C872" s="5" t="inlineStr">
        <is>
          <t>Sprint_30m</t>
        </is>
      </c>
      <c r="D872" s="5" t="inlineStr">
        <is>
          <t>–</t>
        </is>
      </c>
      <c r="E872" s="5" t="n">
        <v>1</v>
      </c>
      <c r="F872" s="5" t="n">
        <v>4.58</v>
      </c>
      <c r="G872" s="5" t="n"/>
      <c r="H872" s="5" t="n"/>
      <c r="I872" s="22">
        <f>INDEX(Personendaten!$C$2:$C$32,MATCH(A872,Personendaten!$A$2:$A$32,0))</f>
        <v/>
      </c>
      <c r="J872" s="22">
        <f>IF(AND(F872&lt;&gt;"",G872=""),1,0)</f>
        <v/>
      </c>
      <c r="K872" s="22">
        <f>IF(LEFT(C872,7)&lt;&gt;"Sprint_","",IF(COUNTIFS(Versuchsdaten!$A$2:$A$1117,$A872,Versuchsdaten!$B$2:$B$1117,$B872,Versuchsdaten!$C$2:$C$1117,"Sprint_5m",Versuchsdaten!$E$2:$E$1117,$E872,Versuchsdaten!$J$2:$J$1117,1)=1,SUMIFS(Versuchsdaten!$F$2:$F$1117,Versuchsdaten!$A$2:$A$1117,$A872,Versuchsdaten!$B$2:$B$1117,$B872,Versuchsdaten!$C$2:$C$1117,"Sprint_5m",Versuchsdaten!$E$2:$E$1117,$E872,Versuchsdaten!$J$2:$J$1117,1),""))</f>
        <v/>
      </c>
      <c r="L872" s="22">
        <f>IF(LEFT(C872,7)&lt;&gt;"Sprint_","",IF(COUNTIFS(Versuchsdaten!$A$2:$A$1117,$A872,Versuchsdaten!$B$2:$B$1117,$B872,Versuchsdaten!$C$2:$C$1117,"Sprint_10m",Versuchsdaten!$E$2:$E$1117,$E872,Versuchsdaten!$J$2:$J$1117,1)=1,SUMIFS(Versuchsdaten!$F$2:$F$1117,Versuchsdaten!$A$2:$A$1117,$A872,Versuchsdaten!$B$2:$B$1117,$B872,Versuchsdaten!$C$2:$C$1117,"Sprint_10m",Versuchsdaten!$E$2:$E$1117,$E872,Versuchsdaten!$J$2:$J$1117,1),""))</f>
        <v/>
      </c>
      <c r="M872" s="22">
        <f>IF(LEFT(C872,7)&lt;&gt;"Sprint_","",IF(COUNTIFS(Versuchsdaten!$A$2:$A$1117,$A872,Versuchsdaten!$B$2:$B$1117,$B872,Versuchsdaten!$C$2:$C$1117,"Sprint_30m",Versuchsdaten!$E$2:$E$1117,$E872,Versuchsdaten!$J$2:$J$1117,1)=1,SUMIFS(Versuchsdaten!$F$2:$F$1117,Versuchsdaten!$A$2:$A$1117,$A872,Versuchsdaten!$B$2:$B$1117,$B872,Versuchsdaten!$C$2:$C$1117,"Sprint_30m",Versuchsdaten!$E$2:$E$1117,$E872,Versuchsdaten!$J$2:$J$1117,1),""))</f>
        <v/>
      </c>
      <c r="N872" s="22">
        <f>IF(LEFT(C872,7)&lt;&gt;"Sprint_",0,IF(IF(ISNUMBER(K872),IF(K872&lt;=0,1,IF(5/K872&gt;10,1,0)),0)+IF(ISNUMBER(L872),IF(ISNUMBER(K872),IF(L872-K872&lt;=0,1,IF(5/(L872-K872)&gt;10,1,0)),IF(L872&lt;=0,1,IF(10/L872&gt;10,1,0))),0)+IF(ISNUMBER(M872),IF(ISNUMBER(L872),IF(M872-L872&lt;=0,1,IF(20/(M872-L872)&gt;10,1,0)),IF(ISNUMBER(K872),IF(M872-K872&lt;=0,1,IF(25/(M872-K872)&gt;10,1,0)),IF(M872&lt;=0,1,IF(30/M872&gt;10,1,0)))),0)&gt;0,1,0))</f>
        <v/>
      </c>
      <c r="O872" s="22">
        <f>IF(AND(J872=1,N872=0),1,0)</f>
        <v/>
      </c>
      <c r="P872" s="22">
        <f>INDEX(Personendaten!$J$2:$J$32,MATCH(A872,Personendaten!$A$2:$A$32,0))</f>
        <v/>
      </c>
      <c r="Q872" s="22">
        <f>IF(O872=1,"",IF(AND(B872="post",P872="nicht angetreten"),"NANG",IF(N872=1,"AUSL",IFERROR(VLOOKUP(H872,Vokabular!$A$2:$B$8,2,FALSE),"UNBEKANNT"))))</f>
        <v/>
      </c>
    </row>
    <row r="873">
      <c r="A873" s="5" t="inlineStr">
        <is>
          <t>HL-08</t>
        </is>
      </c>
      <c r="B873" s="5" t="inlineStr">
        <is>
          <t>post</t>
        </is>
      </c>
      <c r="C873" s="5" t="inlineStr">
        <is>
          <t>Sprint_30m</t>
        </is>
      </c>
      <c r="D873" s="5" t="inlineStr">
        <is>
          <t>–</t>
        </is>
      </c>
      <c r="E873" s="5" t="n">
        <v>2</v>
      </c>
      <c r="F873" s="5" t="n">
        <v>4.72</v>
      </c>
      <c r="G873" s="5" t="n"/>
      <c r="H873" s="5" t="n"/>
      <c r="I873" s="22">
        <f>INDEX(Personendaten!$C$2:$C$32,MATCH(A873,Personendaten!$A$2:$A$32,0))</f>
        <v/>
      </c>
      <c r="J873" s="22">
        <f>IF(AND(F873&lt;&gt;"",G873=""),1,0)</f>
        <v/>
      </c>
      <c r="K873" s="22">
        <f>IF(LEFT(C873,7)&lt;&gt;"Sprint_","",IF(COUNTIFS(Versuchsdaten!$A$2:$A$1117,$A873,Versuchsdaten!$B$2:$B$1117,$B873,Versuchsdaten!$C$2:$C$1117,"Sprint_5m",Versuchsdaten!$E$2:$E$1117,$E873,Versuchsdaten!$J$2:$J$1117,1)=1,SUMIFS(Versuchsdaten!$F$2:$F$1117,Versuchsdaten!$A$2:$A$1117,$A873,Versuchsdaten!$B$2:$B$1117,$B873,Versuchsdaten!$C$2:$C$1117,"Sprint_5m",Versuchsdaten!$E$2:$E$1117,$E873,Versuchsdaten!$J$2:$J$1117,1),""))</f>
        <v/>
      </c>
      <c r="L873" s="22">
        <f>IF(LEFT(C873,7)&lt;&gt;"Sprint_","",IF(COUNTIFS(Versuchsdaten!$A$2:$A$1117,$A873,Versuchsdaten!$B$2:$B$1117,$B873,Versuchsdaten!$C$2:$C$1117,"Sprint_10m",Versuchsdaten!$E$2:$E$1117,$E873,Versuchsdaten!$J$2:$J$1117,1)=1,SUMIFS(Versuchsdaten!$F$2:$F$1117,Versuchsdaten!$A$2:$A$1117,$A873,Versuchsdaten!$B$2:$B$1117,$B873,Versuchsdaten!$C$2:$C$1117,"Sprint_10m",Versuchsdaten!$E$2:$E$1117,$E873,Versuchsdaten!$J$2:$J$1117,1),""))</f>
        <v/>
      </c>
      <c r="M873" s="22">
        <f>IF(LEFT(C873,7)&lt;&gt;"Sprint_","",IF(COUNTIFS(Versuchsdaten!$A$2:$A$1117,$A873,Versuchsdaten!$B$2:$B$1117,$B873,Versuchsdaten!$C$2:$C$1117,"Sprint_30m",Versuchsdaten!$E$2:$E$1117,$E873,Versuchsdaten!$J$2:$J$1117,1)=1,SUMIFS(Versuchsdaten!$F$2:$F$1117,Versuchsdaten!$A$2:$A$1117,$A873,Versuchsdaten!$B$2:$B$1117,$B873,Versuchsdaten!$C$2:$C$1117,"Sprint_30m",Versuchsdaten!$E$2:$E$1117,$E873,Versuchsdaten!$J$2:$J$1117,1),""))</f>
        <v/>
      </c>
      <c r="N873" s="22">
        <f>IF(LEFT(C873,7)&lt;&gt;"Sprint_",0,IF(IF(ISNUMBER(K873),IF(K873&lt;=0,1,IF(5/K873&gt;10,1,0)),0)+IF(ISNUMBER(L873),IF(ISNUMBER(K873),IF(L873-K873&lt;=0,1,IF(5/(L873-K873)&gt;10,1,0)),IF(L873&lt;=0,1,IF(10/L873&gt;10,1,0))),0)+IF(ISNUMBER(M873),IF(ISNUMBER(L873),IF(M873-L873&lt;=0,1,IF(20/(M873-L873)&gt;10,1,0)),IF(ISNUMBER(K873),IF(M873-K873&lt;=0,1,IF(25/(M873-K873)&gt;10,1,0)),IF(M873&lt;=0,1,IF(30/M873&gt;10,1,0)))),0)&gt;0,1,0))</f>
        <v/>
      </c>
      <c r="O873" s="22">
        <f>IF(AND(J873=1,N873=0),1,0)</f>
        <v/>
      </c>
      <c r="P873" s="22">
        <f>INDEX(Personendaten!$J$2:$J$32,MATCH(A873,Personendaten!$A$2:$A$32,0))</f>
        <v/>
      </c>
      <c r="Q873" s="22">
        <f>IF(O873=1,"",IF(AND(B873="post",P873="nicht angetreten"),"NANG",IF(N873=1,"AUSL",IFERROR(VLOOKUP(H873,Vokabular!$A$2:$B$8,2,FALSE),"UNBEKANNT"))))</f>
        <v/>
      </c>
    </row>
    <row r="874">
      <c r="A874" s="5" t="inlineStr">
        <is>
          <t>HL-08</t>
        </is>
      </c>
      <c r="B874" s="5" t="inlineStr">
        <is>
          <t>post</t>
        </is>
      </c>
      <c r="C874" s="5" t="inlineStr">
        <is>
          <t>Sprint_30m</t>
        </is>
      </c>
      <c r="D874" s="5" t="inlineStr">
        <is>
          <t>–</t>
        </is>
      </c>
      <c r="E874" s="5" t="n">
        <v>3</v>
      </c>
      <c r="F874" s="5" t="n"/>
      <c r="G874" s="5" t="n"/>
      <c r="H874" s="5" t="inlineStr">
        <is>
          <t>System nicht aufgenommen</t>
        </is>
      </c>
      <c r="I874" s="22">
        <f>INDEX(Personendaten!$C$2:$C$32,MATCH(A874,Personendaten!$A$2:$A$32,0))</f>
        <v/>
      </c>
      <c r="J874" s="22">
        <f>IF(AND(F874&lt;&gt;"",G874=""),1,0)</f>
        <v/>
      </c>
      <c r="K874" s="22">
        <f>IF(LEFT(C874,7)&lt;&gt;"Sprint_","",IF(COUNTIFS(Versuchsdaten!$A$2:$A$1117,$A874,Versuchsdaten!$B$2:$B$1117,$B874,Versuchsdaten!$C$2:$C$1117,"Sprint_5m",Versuchsdaten!$E$2:$E$1117,$E874,Versuchsdaten!$J$2:$J$1117,1)=1,SUMIFS(Versuchsdaten!$F$2:$F$1117,Versuchsdaten!$A$2:$A$1117,$A874,Versuchsdaten!$B$2:$B$1117,$B874,Versuchsdaten!$C$2:$C$1117,"Sprint_5m",Versuchsdaten!$E$2:$E$1117,$E874,Versuchsdaten!$J$2:$J$1117,1),""))</f>
        <v/>
      </c>
      <c r="L874" s="22">
        <f>IF(LEFT(C874,7)&lt;&gt;"Sprint_","",IF(COUNTIFS(Versuchsdaten!$A$2:$A$1117,$A874,Versuchsdaten!$B$2:$B$1117,$B874,Versuchsdaten!$C$2:$C$1117,"Sprint_10m",Versuchsdaten!$E$2:$E$1117,$E874,Versuchsdaten!$J$2:$J$1117,1)=1,SUMIFS(Versuchsdaten!$F$2:$F$1117,Versuchsdaten!$A$2:$A$1117,$A874,Versuchsdaten!$B$2:$B$1117,$B874,Versuchsdaten!$C$2:$C$1117,"Sprint_10m",Versuchsdaten!$E$2:$E$1117,$E874,Versuchsdaten!$J$2:$J$1117,1),""))</f>
        <v/>
      </c>
      <c r="M874" s="22">
        <f>IF(LEFT(C874,7)&lt;&gt;"Sprint_","",IF(COUNTIFS(Versuchsdaten!$A$2:$A$1117,$A874,Versuchsdaten!$B$2:$B$1117,$B874,Versuchsdaten!$C$2:$C$1117,"Sprint_30m",Versuchsdaten!$E$2:$E$1117,$E874,Versuchsdaten!$J$2:$J$1117,1)=1,SUMIFS(Versuchsdaten!$F$2:$F$1117,Versuchsdaten!$A$2:$A$1117,$A874,Versuchsdaten!$B$2:$B$1117,$B874,Versuchsdaten!$C$2:$C$1117,"Sprint_30m",Versuchsdaten!$E$2:$E$1117,$E874,Versuchsdaten!$J$2:$J$1117,1),""))</f>
        <v/>
      </c>
      <c r="N874" s="22">
        <f>IF(LEFT(C874,7)&lt;&gt;"Sprint_",0,IF(IF(ISNUMBER(K874),IF(K874&lt;=0,1,IF(5/K874&gt;10,1,0)),0)+IF(ISNUMBER(L874),IF(ISNUMBER(K874),IF(L874-K874&lt;=0,1,IF(5/(L874-K874)&gt;10,1,0)),IF(L874&lt;=0,1,IF(10/L874&gt;10,1,0))),0)+IF(ISNUMBER(M874),IF(ISNUMBER(L874),IF(M874-L874&lt;=0,1,IF(20/(M874-L874)&gt;10,1,0)),IF(ISNUMBER(K874),IF(M874-K874&lt;=0,1,IF(25/(M874-K874)&gt;10,1,0)),IF(M874&lt;=0,1,IF(30/M874&gt;10,1,0)))),0)&gt;0,1,0))</f>
        <v/>
      </c>
      <c r="O874" s="22">
        <f>IF(AND(J874=1,N874=0),1,0)</f>
        <v/>
      </c>
      <c r="P874" s="22">
        <f>INDEX(Personendaten!$J$2:$J$32,MATCH(A874,Personendaten!$A$2:$A$32,0))</f>
        <v/>
      </c>
      <c r="Q874" s="22">
        <f>IF(O874=1,"",IF(AND(B874="post",P874="nicht angetreten"),"NANG",IF(N874=1,"AUSL",IFERROR(VLOOKUP(H874,Vokabular!$A$2:$B$8,2,FALSE),"UNBEKANNT"))))</f>
        <v/>
      </c>
    </row>
    <row r="875">
      <c r="A875" s="5" t="inlineStr">
        <is>
          <t>HL-08</t>
        </is>
      </c>
      <c r="B875" s="5" t="inlineStr">
        <is>
          <t>post</t>
        </is>
      </c>
      <c r="C875" s="5" t="inlineStr">
        <is>
          <t>Standweitsprung</t>
        </is>
      </c>
      <c r="D875" s="5" t="inlineStr">
        <is>
          <t>–</t>
        </is>
      </c>
      <c r="E875" s="5" t="n">
        <v>1</v>
      </c>
      <c r="F875" s="5" t="n">
        <v>230</v>
      </c>
      <c r="G875" s="5" t="n"/>
      <c r="H875" s="5" t="n"/>
      <c r="I875" s="22">
        <f>INDEX(Personendaten!$C$2:$C$32,MATCH(A875,Personendaten!$A$2:$A$32,0))</f>
        <v/>
      </c>
      <c r="J875" s="22">
        <f>IF(AND(F875&lt;&gt;"",G875=""),1,0)</f>
        <v/>
      </c>
      <c r="K875" s="22">
        <f>IF(LEFT(C875,7)&lt;&gt;"Sprint_","",IF(COUNTIFS(Versuchsdaten!$A$2:$A$1117,$A875,Versuchsdaten!$B$2:$B$1117,$B875,Versuchsdaten!$C$2:$C$1117,"Sprint_5m",Versuchsdaten!$E$2:$E$1117,$E875,Versuchsdaten!$J$2:$J$1117,1)=1,SUMIFS(Versuchsdaten!$F$2:$F$1117,Versuchsdaten!$A$2:$A$1117,$A875,Versuchsdaten!$B$2:$B$1117,$B875,Versuchsdaten!$C$2:$C$1117,"Sprint_5m",Versuchsdaten!$E$2:$E$1117,$E875,Versuchsdaten!$J$2:$J$1117,1),""))</f>
        <v/>
      </c>
      <c r="L875" s="22">
        <f>IF(LEFT(C875,7)&lt;&gt;"Sprint_","",IF(COUNTIFS(Versuchsdaten!$A$2:$A$1117,$A875,Versuchsdaten!$B$2:$B$1117,$B875,Versuchsdaten!$C$2:$C$1117,"Sprint_10m",Versuchsdaten!$E$2:$E$1117,$E875,Versuchsdaten!$J$2:$J$1117,1)=1,SUMIFS(Versuchsdaten!$F$2:$F$1117,Versuchsdaten!$A$2:$A$1117,$A875,Versuchsdaten!$B$2:$B$1117,$B875,Versuchsdaten!$C$2:$C$1117,"Sprint_10m",Versuchsdaten!$E$2:$E$1117,$E875,Versuchsdaten!$J$2:$J$1117,1),""))</f>
        <v/>
      </c>
      <c r="M875" s="22">
        <f>IF(LEFT(C875,7)&lt;&gt;"Sprint_","",IF(COUNTIFS(Versuchsdaten!$A$2:$A$1117,$A875,Versuchsdaten!$B$2:$B$1117,$B875,Versuchsdaten!$C$2:$C$1117,"Sprint_30m",Versuchsdaten!$E$2:$E$1117,$E875,Versuchsdaten!$J$2:$J$1117,1)=1,SUMIFS(Versuchsdaten!$F$2:$F$1117,Versuchsdaten!$A$2:$A$1117,$A875,Versuchsdaten!$B$2:$B$1117,$B875,Versuchsdaten!$C$2:$C$1117,"Sprint_30m",Versuchsdaten!$E$2:$E$1117,$E875,Versuchsdaten!$J$2:$J$1117,1),""))</f>
        <v/>
      </c>
      <c r="N875" s="22">
        <f>IF(LEFT(C875,7)&lt;&gt;"Sprint_",0,IF(IF(ISNUMBER(K875),IF(K875&lt;=0,1,IF(5/K875&gt;10,1,0)),0)+IF(ISNUMBER(L875),IF(ISNUMBER(K875),IF(L875-K875&lt;=0,1,IF(5/(L875-K875)&gt;10,1,0)),IF(L875&lt;=0,1,IF(10/L875&gt;10,1,0))),0)+IF(ISNUMBER(M875),IF(ISNUMBER(L875),IF(M875-L875&lt;=0,1,IF(20/(M875-L875)&gt;10,1,0)),IF(ISNUMBER(K875),IF(M875-K875&lt;=0,1,IF(25/(M875-K875)&gt;10,1,0)),IF(M875&lt;=0,1,IF(30/M875&gt;10,1,0)))),0)&gt;0,1,0))</f>
        <v/>
      </c>
      <c r="O875" s="22">
        <f>IF(AND(J875=1,N875=0),1,0)</f>
        <v/>
      </c>
      <c r="P875" s="22">
        <f>INDEX(Personendaten!$J$2:$J$32,MATCH(A875,Personendaten!$A$2:$A$32,0))</f>
        <v/>
      </c>
      <c r="Q875" s="22">
        <f>IF(O875=1,"",IF(AND(B875="post",P875="nicht angetreten"),"NANG",IF(N875=1,"AUSL",IFERROR(VLOOKUP(H875,Vokabular!$A$2:$B$8,2,FALSE),"UNBEKANNT"))))</f>
        <v/>
      </c>
    </row>
    <row r="876">
      <c r="A876" s="5" t="inlineStr">
        <is>
          <t>HL-08</t>
        </is>
      </c>
      <c r="B876" s="5" t="inlineStr">
        <is>
          <t>post</t>
        </is>
      </c>
      <c r="C876" s="5" t="inlineStr">
        <is>
          <t>Standweitsprung</t>
        </is>
      </c>
      <c r="D876" s="5" t="inlineStr">
        <is>
          <t>–</t>
        </is>
      </c>
      <c r="E876" s="5" t="n">
        <v>2</v>
      </c>
      <c r="F876" s="5" t="n">
        <v>245</v>
      </c>
      <c r="G876" s="5" t="n"/>
      <c r="H876" s="5" t="n"/>
      <c r="I876" s="22">
        <f>INDEX(Personendaten!$C$2:$C$32,MATCH(A876,Personendaten!$A$2:$A$32,0))</f>
        <v/>
      </c>
      <c r="J876" s="22">
        <f>IF(AND(F876&lt;&gt;"",G876=""),1,0)</f>
        <v/>
      </c>
      <c r="K876" s="22">
        <f>IF(LEFT(C876,7)&lt;&gt;"Sprint_","",IF(COUNTIFS(Versuchsdaten!$A$2:$A$1117,$A876,Versuchsdaten!$B$2:$B$1117,$B876,Versuchsdaten!$C$2:$C$1117,"Sprint_5m",Versuchsdaten!$E$2:$E$1117,$E876,Versuchsdaten!$J$2:$J$1117,1)=1,SUMIFS(Versuchsdaten!$F$2:$F$1117,Versuchsdaten!$A$2:$A$1117,$A876,Versuchsdaten!$B$2:$B$1117,$B876,Versuchsdaten!$C$2:$C$1117,"Sprint_5m",Versuchsdaten!$E$2:$E$1117,$E876,Versuchsdaten!$J$2:$J$1117,1),""))</f>
        <v/>
      </c>
      <c r="L876" s="22">
        <f>IF(LEFT(C876,7)&lt;&gt;"Sprint_","",IF(COUNTIFS(Versuchsdaten!$A$2:$A$1117,$A876,Versuchsdaten!$B$2:$B$1117,$B876,Versuchsdaten!$C$2:$C$1117,"Sprint_10m",Versuchsdaten!$E$2:$E$1117,$E876,Versuchsdaten!$J$2:$J$1117,1)=1,SUMIFS(Versuchsdaten!$F$2:$F$1117,Versuchsdaten!$A$2:$A$1117,$A876,Versuchsdaten!$B$2:$B$1117,$B876,Versuchsdaten!$C$2:$C$1117,"Sprint_10m",Versuchsdaten!$E$2:$E$1117,$E876,Versuchsdaten!$J$2:$J$1117,1),""))</f>
        <v/>
      </c>
      <c r="M876" s="22">
        <f>IF(LEFT(C876,7)&lt;&gt;"Sprint_","",IF(COUNTIFS(Versuchsdaten!$A$2:$A$1117,$A876,Versuchsdaten!$B$2:$B$1117,$B876,Versuchsdaten!$C$2:$C$1117,"Sprint_30m",Versuchsdaten!$E$2:$E$1117,$E876,Versuchsdaten!$J$2:$J$1117,1)=1,SUMIFS(Versuchsdaten!$F$2:$F$1117,Versuchsdaten!$A$2:$A$1117,$A876,Versuchsdaten!$B$2:$B$1117,$B876,Versuchsdaten!$C$2:$C$1117,"Sprint_30m",Versuchsdaten!$E$2:$E$1117,$E876,Versuchsdaten!$J$2:$J$1117,1),""))</f>
        <v/>
      </c>
      <c r="N876" s="22">
        <f>IF(LEFT(C876,7)&lt;&gt;"Sprint_",0,IF(IF(ISNUMBER(K876),IF(K876&lt;=0,1,IF(5/K876&gt;10,1,0)),0)+IF(ISNUMBER(L876),IF(ISNUMBER(K876),IF(L876-K876&lt;=0,1,IF(5/(L876-K876)&gt;10,1,0)),IF(L876&lt;=0,1,IF(10/L876&gt;10,1,0))),0)+IF(ISNUMBER(M876),IF(ISNUMBER(L876),IF(M876-L876&lt;=0,1,IF(20/(M876-L876)&gt;10,1,0)),IF(ISNUMBER(K876),IF(M876-K876&lt;=0,1,IF(25/(M876-K876)&gt;10,1,0)),IF(M876&lt;=0,1,IF(30/M876&gt;10,1,0)))),0)&gt;0,1,0))</f>
        <v/>
      </c>
      <c r="O876" s="22">
        <f>IF(AND(J876=1,N876=0),1,0)</f>
        <v/>
      </c>
      <c r="P876" s="22">
        <f>INDEX(Personendaten!$J$2:$J$32,MATCH(A876,Personendaten!$A$2:$A$32,0))</f>
        <v/>
      </c>
      <c r="Q876" s="22">
        <f>IF(O876=1,"",IF(AND(B876="post",P876="nicht angetreten"),"NANG",IF(N876=1,"AUSL",IFERROR(VLOOKUP(H876,Vokabular!$A$2:$B$8,2,FALSE),"UNBEKANNT"))))</f>
        <v/>
      </c>
    </row>
    <row r="877">
      <c r="A877" s="5" t="inlineStr">
        <is>
          <t>HL-08</t>
        </is>
      </c>
      <c r="B877" s="5" t="inlineStr">
        <is>
          <t>post</t>
        </is>
      </c>
      <c r="C877" s="5" t="inlineStr">
        <is>
          <t>Standweitsprung</t>
        </is>
      </c>
      <c r="D877" s="5" t="inlineStr">
        <is>
          <t>–</t>
        </is>
      </c>
      <c r="E877" s="5" t="n">
        <v>3</v>
      </c>
      <c r="F877" s="5" t="n"/>
      <c r="G877" s="5" t="n"/>
      <c r="H877" s="5" t="inlineStr">
        <is>
          <t>Nur 2 Versuche aus Zeitmangel</t>
        </is>
      </c>
      <c r="I877" s="22">
        <f>INDEX(Personendaten!$C$2:$C$32,MATCH(A877,Personendaten!$A$2:$A$32,0))</f>
        <v/>
      </c>
      <c r="J877" s="22">
        <f>IF(AND(F877&lt;&gt;"",G877=""),1,0)</f>
        <v/>
      </c>
      <c r="K877" s="22">
        <f>IF(LEFT(C877,7)&lt;&gt;"Sprint_","",IF(COUNTIFS(Versuchsdaten!$A$2:$A$1117,$A877,Versuchsdaten!$B$2:$B$1117,$B877,Versuchsdaten!$C$2:$C$1117,"Sprint_5m",Versuchsdaten!$E$2:$E$1117,$E877,Versuchsdaten!$J$2:$J$1117,1)=1,SUMIFS(Versuchsdaten!$F$2:$F$1117,Versuchsdaten!$A$2:$A$1117,$A877,Versuchsdaten!$B$2:$B$1117,$B877,Versuchsdaten!$C$2:$C$1117,"Sprint_5m",Versuchsdaten!$E$2:$E$1117,$E877,Versuchsdaten!$J$2:$J$1117,1),""))</f>
        <v/>
      </c>
      <c r="L877" s="22">
        <f>IF(LEFT(C877,7)&lt;&gt;"Sprint_","",IF(COUNTIFS(Versuchsdaten!$A$2:$A$1117,$A877,Versuchsdaten!$B$2:$B$1117,$B877,Versuchsdaten!$C$2:$C$1117,"Sprint_10m",Versuchsdaten!$E$2:$E$1117,$E877,Versuchsdaten!$J$2:$J$1117,1)=1,SUMIFS(Versuchsdaten!$F$2:$F$1117,Versuchsdaten!$A$2:$A$1117,$A877,Versuchsdaten!$B$2:$B$1117,$B877,Versuchsdaten!$C$2:$C$1117,"Sprint_10m",Versuchsdaten!$E$2:$E$1117,$E877,Versuchsdaten!$J$2:$J$1117,1),""))</f>
        <v/>
      </c>
      <c r="M877" s="22">
        <f>IF(LEFT(C877,7)&lt;&gt;"Sprint_","",IF(COUNTIFS(Versuchsdaten!$A$2:$A$1117,$A877,Versuchsdaten!$B$2:$B$1117,$B877,Versuchsdaten!$C$2:$C$1117,"Sprint_30m",Versuchsdaten!$E$2:$E$1117,$E877,Versuchsdaten!$J$2:$J$1117,1)=1,SUMIFS(Versuchsdaten!$F$2:$F$1117,Versuchsdaten!$A$2:$A$1117,$A877,Versuchsdaten!$B$2:$B$1117,$B877,Versuchsdaten!$C$2:$C$1117,"Sprint_30m",Versuchsdaten!$E$2:$E$1117,$E877,Versuchsdaten!$J$2:$J$1117,1),""))</f>
        <v/>
      </c>
      <c r="N877" s="22">
        <f>IF(LEFT(C877,7)&lt;&gt;"Sprint_",0,IF(IF(ISNUMBER(K877),IF(K877&lt;=0,1,IF(5/K877&gt;10,1,0)),0)+IF(ISNUMBER(L877),IF(ISNUMBER(K877),IF(L877-K877&lt;=0,1,IF(5/(L877-K877)&gt;10,1,0)),IF(L877&lt;=0,1,IF(10/L877&gt;10,1,0))),0)+IF(ISNUMBER(M877),IF(ISNUMBER(L877),IF(M877-L877&lt;=0,1,IF(20/(M877-L877)&gt;10,1,0)),IF(ISNUMBER(K877),IF(M877-K877&lt;=0,1,IF(25/(M877-K877)&gt;10,1,0)),IF(M877&lt;=0,1,IF(30/M877&gt;10,1,0)))),0)&gt;0,1,0))</f>
        <v/>
      </c>
      <c r="O877" s="22">
        <f>IF(AND(J877=1,N877=0),1,0)</f>
        <v/>
      </c>
      <c r="P877" s="22">
        <f>INDEX(Personendaten!$J$2:$J$32,MATCH(A877,Personendaten!$A$2:$A$32,0))</f>
        <v/>
      </c>
      <c r="Q877" s="22">
        <f>IF(O877=1,"",IF(AND(B877="post",P877="nicht angetreten"),"NANG",IF(N877=1,"AUSL",IFERROR(VLOOKUP(H877,Vokabular!$A$2:$B$8,2,FALSE),"UNBEKANNT"))))</f>
        <v/>
      </c>
    </row>
    <row r="878">
      <c r="A878" s="5" t="inlineStr">
        <is>
          <t>HL-08</t>
        </is>
      </c>
      <c r="B878" s="5" t="inlineStr">
        <is>
          <t>post</t>
        </is>
      </c>
      <c r="C878" s="5" t="inlineStr">
        <is>
          <t>COD_505</t>
        </is>
      </c>
      <c r="D878" s="5" t="inlineStr">
        <is>
          <t>L</t>
        </is>
      </c>
      <c r="E878" s="5" t="n">
        <v>1</v>
      </c>
      <c r="F878" s="5" t="n">
        <v>2.52</v>
      </c>
      <c r="G878" s="5" t="n"/>
      <c r="H878" s="5" t="n"/>
      <c r="I878" s="22">
        <f>INDEX(Personendaten!$C$2:$C$32,MATCH(A878,Personendaten!$A$2:$A$32,0))</f>
        <v/>
      </c>
      <c r="J878" s="22">
        <f>IF(AND(F878&lt;&gt;"",G878=""),1,0)</f>
        <v/>
      </c>
      <c r="K878" s="22">
        <f>IF(LEFT(C878,7)&lt;&gt;"Sprint_","",IF(COUNTIFS(Versuchsdaten!$A$2:$A$1117,$A878,Versuchsdaten!$B$2:$B$1117,$B878,Versuchsdaten!$C$2:$C$1117,"Sprint_5m",Versuchsdaten!$E$2:$E$1117,$E878,Versuchsdaten!$J$2:$J$1117,1)=1,SUMIFS(Versuchsdaten!$F$2:$F$1117,Versuchsdaten!$A$2:$A$1117,$A878,Versuchsdaten!$B$2:$B$1117,$B878,Versuchsdaten!$C$2:$C$1117,"Sprint_5m",Versuchsdaten!$E$2:$E$1117,$E878,Versuchsdaten!$J$2:$J$1117,1),""))</f>
        <v/>
      </c>
      <c r="L878" s="22">
        <f>IF(LEFT(C878,7)&lt;&gt;"Sprint_","",IF(COUNTIFS(Versuchsdaten!$A$2:$A$1117,$A878,Versuchsdaten!$B$2:$B$1117,$B878,Versuchsdaten!$C$2:$C$1117,"Sprint_10m",Versuchsdaten!$E$2:$E$1117,$E878,Versuchsdaten!$J$2:$J$1117,1)=1,SUMIFS(Versuchsdaten!$F$2:$F$1117,Versuchsdaten!$A$2:$A$1117,$A878,Versuchsdaten!$B$2:$B$1117,$B878,Versuchsdaten!$C$2:$C$1117,"Sprint_10m",Versuchsdaten!$E$2:$E$1117,$E878,Versuchsdaten!$J$2:$J$1117,1),""))</f>
        <v/>
      </c>
      <c r="M878" s="22">
        <f>IF(LEFT(C878,7)&lt;&gt;"Sprint_","",IF(COUNTIFS(Versuchsdaten!$A$2:$A$1117,$A878,Versuchsdaten!$B$2:$B$1117,$B878,Versuchsdaten!$C$2:$C$1117,"Sprint_30m",Versuchsdaten!$E$2:$E$1117,$E878,Versuchsdaten!$J$2:$J$1117,1)=1,SUMIFS(Versuchsdaten!$F$2:$F$1117,Versuchsdaten!$A$2:$A$1117,$A878,Versuchsdaten!$B$2:$B$1117,$B878,Versuchsdaten!$C$2:$C$1117,"Sprint_30m",Versuchsdaten!$E$2:$E$1117,$E878,Versuchsdaten!$J$2:$J$1117,1),""))</f>
        <v/>
      </c>
      <c r="N878" s="22">
        <f>IF(LEFT(C878,7)&lt;&gt;"Sprint_",0,IF(IF(ISNUMBER(K878),IF(K878&lt;=0,1,IF(5/K878&gt;10,1,0)),0)+IF(ISNUMBER(L878),IF(ISNUMBER(K878),IF(L878-K878&lt;=0,1,IF(5/(L878-K878)&gt;10,1,0)),IF(L878&lt;=0,1,IF(10/L878&gt;10,1,0))),0)+IF(ISNUMBER(M878),IF(ISNUMBER(L878),IF(M878-L878&lt;=0,1,IF(20/(M878-L878)&gt;10,1,0)),IF(ISNUMBER(K878),IF(M878-K878&lt;=0,1,IF(25/(M878-K878)&gt;10,1,0)),IF(M878&lt;=0,1,IF(30/M878&gt;10,1,0)))),0)&gt;0,1,0))</f>
        <v/>
      </c>
      <c r="O878" s="22">
        <f>IF(AND(J878=1,N878=0),1,0)</f>
        <v/>
      </c>
      <c r="P878" s="22">
        <f>INDEX(Personendaten!$J$2:$J$32,MATCH(A878,Personendaten!$A$2:$A$32,0))</f>
        <v/>
      </c>
      <c r="Q878" s="22">
        <f>IF(O878=1,"",IF(AND(B878="post",P878="nicht angetreten"),"NANG",IF(N878=1,"AUSL",IFERROR(VLOOKUP(H878,Vokabular!$A$2:$B$8,2,FALSE),"UNBEKANNT"))))</f>
        <v/>
      </c>
    </row>
    <row r="879">
      <c r="A879" s="5" t="inlineStr">
        <is>
          <t>HL-08</t>
        </is>
      </c>
      <c r="B879" s="5" t="inlineStr">
        <is>
          <t>post</t>
        </is>
      </c>
      <c r="C879" s="5" t="inlineStr">
        <is>
          <t>COD_505</t>
        </is>
      </c>
      <c r="D879" s="5" t="inlineStr">
        <is>
          <t>L</t>
        </is>
      </c>
      <c r="E879" s="5" t="n">
        <v>2</v>
      </c>
      <c r="F879" s="5" t="n">
        <v>2.34</v>
      </c>
      <c r="G879" s="5" t="n"/>
      <c r="H879" s="5" t="n"/>
      <c r="I879" s="22">
        <f>INDEX(Personendaten!$C$2:$C$32,MATCH(A879,Personendaten!$A$2:$A$32,0))</f>
        <v/>
      </c>
      <c r="J879" s="22">
        <f>IF(AND(F879&lt;&gt;"",G879=""),1,0)</f>
        <v/>
      </c>
      <c r="K879" s="22">
        <f>IF(LEFT(C879,7)&lt;&gt;"Sprint_","",IF(COUNTIFS(Versuchsdaten!$A$2:$A$1117,$A879,Versuchsdaten!$B$2:$B$1117,$B879,Versuchsdaten!$C$2:$C$1117,"Sprint_5m",Versuchsdaten!$E$2:$E$1117,$E879,Versuchsdaten!$J$2:$J$1117,1)=1,SUMIFS(Versuchsdaten!$F$2:$F$1117,Versuchsdaten!$A$2:$A$1117,$A879,Versuchsdaten!$B$2:$B$1117,$B879,Versuchsdaten!$C$2:$C$1117,"Sprint_5m",Versuchsdaten!$E$2:$E$1117,$E879,Versuchsdaten!$J$2:$J$1117,1),""))</f>
        <v/>
      </c>
      <c r="L879" s="22">
        <f>IF(LEFT(C879,7)&lt;&gt;"Sprint_","",IF(COUNTIFS(Versuchsdaten!$A$2:$A$1117,$A879,Versuchsdaten!$B$2:$B$1117,$B879,Versuchsdaten!$C$2:$C$1117,"Sprint_10m",Versuchsdaten!$E$2:$E$1117,$E879,Versuchsdaten!$J$2:$J$1117,1)=1,SUMIFS(Versuchsdaten!$F$2:$F$1117,Versuchsdaten!$A$2:$A$1117,$A879,Versuchsdaten!$B$2:$B$1117,$B879,Versuchsdaten!$C$2:$C$1117,"Sprint_10m",Versuchsdaten!$E$2:$E$1117,$E879,Versuchsdaten!$J$2:$J$1117,1),""))</f>
        <v/>
      </c>
      <c r="M879" s="22">
        <f>IF(LEFT(C879,7)&lt;&gt;"Sprint_","",IF(COUNTIFS(Versuchsdaten!$A$2:$A$1117,$A879,Versuchsdaten!$B$2:$B$1117,$B879,Versuchsdaten!$C$2:$C$1117,"Sprint_30m",Versuchsdaten!$E$2:$E$1117,$E879,Versuchsdaten!$J$2:$J$1117,1)=1,SUMIFS(Versuchsdaten!$F$2:$F$1117,Versuchsdaten!$A$2:$A$1117,$A879,Versuchsdaten!$B$2:$B$1117,$B879,Versuchsdaten!$C$2:$C$1117,"Sprint_30m",Versuchsdaten!$E$2:$E$1117,$E879,Versuchsdaten!$J$2:$J$1117,1),""))</f>
        <v/>
      </c>
      <c r="N879" s="22">
        <f>IF(LEFT(C879,7)&lt;&gt;"Sprint_",0,IF(IF(ISNUMBER(K879),IF(K879&lt;=0,1,IF(5/K879&gt;10,1,0)),0)+IF(ISNUMBER(L879),IF(ISNUMBER(K879),IF(L879-K879&lt;=0,1,IF(5/(L879-K879)&gt;10,1,0)),IF(L879&lt;=0,1,IF(10/L879&gt;10,1,0))),0)+IF(ISNUMBER(M879),IF(ISNUMBER(L879),IF(M879-L879&lt;=0,1,IF(20/(M879-L879)&gt;10,1,0)),IF(ISNUMBER(K879),IF(M879-K879&lt;=0,1,IF(25/(M879-K879)&gt;10,1,0)),IF(M879&lt;=0,1,IF(30/M879&gt;10,1,0)))),0)&gt;0,1,0))</f>
        <v/>
      </c>
      <c r="O879" s="22">
        <f>IF(AND(J879=1,N879=0),1,0)</f>
        <v/>
      </c>
      <c r="P879" s="22">
        <f>INDEX(Personendaten!$J$2:$J$32,MATCH(A879,Personendaten!$A$2:$A$32,0))</f>
        <v/>
      </c>
      <c r="Q879" s="22">
        <f>IF(O879=1,"",IF(AND(B879="post",P879="nicht angetreten"),"NANG",IF(N879=1,"AUSL",IFERROR(VLOOKUP(H879,Vokabular!$A$2:$B$8,2,FALSE),"UNBEKANNT"))))</f>
        <v/>
      </c>
    </row>
    <row r="880">
      <c r="A880" s="5" t="inlineStr">
        <is>
          <t>HL-08</t>
        </is>
      </c>
      <c r="B880" s="5" t="inlineStr">
        <is>
          <t>post</t>
        </is>
      </c>
      <c r="C880" s="5" t="inlineStr">
        <is>
          <t>COD_505</t>
        </is>
      </c>
      <c r="D880" s="5" t="inlineStr">
        <is>
          <t>L</t>
        </is>
      </c>
      <c r="E880" s="5" t="n">
        <v>3</v>
      </c>
      <c r="F880" s="5" t="n"/>
      <c r="G880" s="5" t="n"/>
      <c r="H880" s="5" t="inlineStr">
        <is>
          <t>Nur 2 Versuche aus Zeitmangel</t>
        </is>
      </c>
      <c r="I880" s="22">
        <f>INDEX(Personendaten!$C$2:$C$32,MATCH(A880,Personendaten!$A$2:$A$32,0))</f>
        <v/>
      </c>
      <c r="J880" s="22">
        <f>IF(AND(F880&lt;&gt;"",G880=""),1,0)</f>
        <v/>
      </c>
      <c r="K880" s="22">
        <f>IF(LEFT(C880,7)&lt;&gt;"Sprint_","",IF(COUNTIFS(Versuchsdaten!$A$2:$A$1117,$A880,Versuchsdaten!$B$2:$B$1117,$B880,Versuchsdaten!$C$2:$C$1117,"Sprint_5m",Versuchsdaten!$E$2:$E$1117,$E880,Versuchsdaten!$J$2:$J$1117,1)=1,SUMIFS(Versuchsdaten!$F$2:$F$1117,Versuchsdaten!$A$2:$A$1117,$A880,Versuchsdaten!$B$2:$B$1117,$B880,Versuchsdaten!$C$2:$C$1117,"Sprint_5m",Versuchsdaten!$E$2:$E$1117,$E880,Versuchsdaten!$J$2:$J$1117,1),""))</f>
        <v/>
      </c>
      <c r="L880" s="22">
        <f>IF(LEFT(C880,7)&lt;&gt;"Sprint_","",IF(COUNTIFS(Versuchsdaten!$A$2:$A$1117,$A880,Versuchsdaten!$B$2:$B$1117,$B880,Versuchsdaten!$C$2:$C$1117,"Sprint_10m",Versuchsdaten!$E$2:$E$1117,$E880,Versuchsdaten!$J$2:$J$1117,1)=1,SUMIFS(Versuchsdaten!$F$2:$F$1117,Versuchsdaten!$A$2:$A$1117,$A880,Versuchsdaten!$B$2:$B$1117,$B880,Versuchsdaten!$C$2:$C$1117,"Sprint_10m",Versuchsdaten!$E$2:$E$1117,$E880,Versuchsdaten!$J$2:$J$1117,1),""))</f>
        <v/>
      </c>
      <c r="M880" s="22">
        <f>IF(LEFT(C880,7)&lt;&gt;"Sprint_","",IF(COUNTIFS(Versuchsdaten!$A$2:$A$1117,$A880,Versuchsdaten!$B$2:$B$1117,$B880,Versuchsdaten!$C$2:$C$1117,"Sprint_30m",Versuchsdaten!$E$2:$E$1117,$E880,Versuchsdaten!$J$2:$J$1117,1)=1,SUMIFS(Versuchsdaten!$F$2:$F$1117,Versuchsdaten!$A$2:$A$1117,$A880,Versuchsdaten!$B$2:$B$1117,$B880,Versuchsdaten!$C$2:$C$1117,"Sprint_30m",Versuchsdaten!$E$2:$E$1117,$E880,Versuchsdaten!$J$2:$J$1117,1),""))</f>
        <v/>
      </c>
      <c r="N880" s="22">
        <f>IF(LEFT(C880,7)&lt;&gt;"Sprint_",0,IF(IF(ISNUMBER(K880),IF(K880&lt;=0,1,IF(5/K880&gt;10,1,0)),0)+IF(ISNUMBER(L880),IF(ISNUMBER(K880),IF(L880-K880&lt;=0,1,IF(5/(L880-K880)&gt;10,1,0)),IF(L880&lt;=0,1,IF(10/L880&gt;10,1,0))),0)+IF(ISNUMBER(M880),IF(ISNUMBER(L880),IF(M880-L880&lt;=0,1,IF(20/(M880-L880)&gt;10,1,0)),IF(ISNUMBER(K880),IF(M880-K880&lt;=0,1,IF(25/(M880-K880)&gt;10,1,0)),IF(M880&lt;=0,1,IF(30/M880&gt;10,1,0)))),0)&gt;0,1,0))</f>
        <v/>
      </c>
      <c r="O880" s="22">
        <f>IF(AND(J880=1,N880=0),1,0)</f>
        <v/>
      </c>
      <c r="P880" s="22">
        <f>INDEX(Personendaten!$J$2:$J$32,MATCH(A880,Personendaten!$A$2:$A$32,0))</f>
        <v/>
      </c>
      <c r="Q880" s="22">
        <f>IF(O880=1,"",IF(AND(B880="post",P880="nicht angetreten"),"NANG",IF(N880=1,"AUSL",IFERROR(VLOOKUP(H880,Vokabular!$A$2:$B$8,2,FALSE),"UNBEKANNT"))))</f>
        <v/>
      </c>
    </row>
    <row r="881">
      <c r="A881" s="5" t="inlineStr">
        <is>
          <t>HL-08</t>
        </is>
      </c>
      <c r="B881" s="5" t="inlineStr">
        <is>
          <t>post</t>
        </is>
      </c>
      <c r="C881" s="5" t="inlineStr">
        <is>
          <t>COD_505</t>
        </is>
      </c>
      <c r="D881" s="5" t="inlineStr">
        <is>
          <t>R</t>
        </is>
      </c>
      <c r="E881" s="5" t="n">
        <v>1</v>
      </c>
      <c r="F881" s="5" t="n"/>
      <c r="G881" s="5" t="inlineStr">
        <is>
          <t>x</t>
        </is>
      </c>
      <c r="H881" s="5" t="inlineStr">
        <is>
          <t>Fehlversuch</t>
        </is>
      </c>
      <c r="I881" s="22">
        <f>INDEX(Personendaten!$C$2:$C$32,MATCH(A881,Personendaten!$A$2:$A$32,0))</f>
        <v/>
      </c>
      <c r="J881" s="22">
        <f>IF(AND(F881&lt;&gt;"",G881=""),1,0)</f>
        <v/>
      </c>
      <c r="K881" s="22">
        <f>IF(LEFT(C881,7)&lt;&gt;"Sprint_","",IF(COUNTIFS(Versuchsdaten!$A$2:$A$1117,$A881,Versuchsdaten!$B$2:$B$1117,$B881,Versuchsdaten!$C$2:$C$1117,"Sprint_5m",Versuchsdaten!$E$2:$E$1117,$E881,Versuchsdaten!$J$2:$J$1117,1)=1,SUMIFS(Versuchsdaten!$F$2:$F$1117,Versuchsdaten!$A$2:$A$1117,$A881,Versuchsdaten!$B$2:$B$1117,$B881,Versuchsdaten!$C$2:$C$1117,"Sprint_5m",Versuchsdaten!$E$2:$E$1117,$E881,Versuchsdaten!$J$2:$J$1117,1),""))</f>
        <v/>
      </c>
      <c r="L881" s="22">
        <f>IF(LEFT(C881,7)&lt;&gt;"Sprint_","",IF(COUNTIFS(Versuchsdaten!$A$2:$A$1117,$A881,Versuchsdaten!$B$2:$B$1117,$B881,Versuchsdaten!$C$2:$C$1117,"Sprint_10m",Versuchsdaten!$E$2:$E$1117,$E881,Versuchsdaten!$J$2:$J$1117,1)=1,SUMIFS(Versuchsdaten!$F$2:$F$1117,Versuchsdaten!$A$2:$A$1117,$A881,Versuchsdaten!$B$2:$B$1117,$B881,Versuchsdaten!$C$2:$C$1117,"Sprint_10m",Versuchsdaten!$E$2:$E$1117,$E881,Versuchsdaten!$J$2:$J$1117,1),""))</f>
        <v/>
      </c>
      <c r="M881" s="22">
        <f>IF(LEFT(C881,7)&lt;&gt;"Sprint_","",IF(COUNTIFS(Versuchsdaten!$A$2:$A$1117,$A881,Versuchsdaten!$B$2:$B$1117,$B881,Versuchsdaten!$C$2:$C$1117,"Sprint_30m",Versuchsdaten!$E$2:$E$1117,$E881,Versuchsdaten!$J$2:$J$1117,1)=1,SUMIFS(Versuchsdaten!$F$2:$F$1117,Versuchsdaten!$A$2:$A$1117,$A881,Versuchsdaten!$B$2:$B$1117,$B881,Versuchsdaten!$C$2:$C$1117,"Sprint_30m",Versuchsdaten!$E$2:$E$1117,$E881,Versuchsdaten!$J$2:$J$1117,1),""))</f>
        <v/>
      </c>
      <c r="N881" s="22">
        <f>IF(LEFT(C881,7)&lt;&gt;"Sprint_",0,IF(IF(ISNUMBER(K881),IF(K881&lt;=0,1,IF(5/K881&gt;10,1,0)),0)+IF(ISNUMBER(L881),IF(ISNUMBER(K881),IF(L881-K881&lt;=0,1,IF(5/(L881-K881)&gt;10,1,0)),IF(L881&lt;=0,1,IF(10/L881&gt;10,1,0))),0)+IF(ISNUMBER(M881),IF(ISNUMBER(L881),IF(M881-L881&lt;=0,1,IF(20/(M881-L881)&gt;10,1,0)),IF(ISNUMBER(K881),IF(M881-K881&lt;=0,1,IF(25/(M881-K881)&gt;10,1,0)),IF(M881&lt;=0,1,IF(30/M881&gt;10,1,0)))),0)&gt;0,1,0))</f>
        <v/>
      </c>
      <c r="O881" s="22">
        <f>IF(AND(J881=1,N881=0),1,0)</f>
        <v/>
      </c>
      <c r="P881" s="22">
        <f>INDEX(Personendaten!$J$2:$J$32,MATCH(A881,Personendaten!$A$2:$A$32,0))</f>
        <v/>
      </c>
      <c r="Q881" s="22">
        <f>IF(O881=1,"",IF(AND(B881="post",P881="nicht angetreten"),"NANG",IF(N881=1,"AUSL",IFERROR(VLOOKUP(H881,Vokabular!$A$2:$B$8,2,FALSE),"UNBEKANNT"))))</f>
        <v/>
      </c>
    </row>
    <row r="882">
      <c r="A882" s="5" t="inlineStr">
        <is>
          <t>HL-08</t>
        </is>
      </c>
      <c r="B882" s="5" t="inlineStr">
        <is>
          <t>post</t>
        </is>
      </c>
      <c r="C882" s="5" t="inlineStr">
        <is>
          <t>COD_505</t>
        </is>
      </c>
      <c r="D882" s="5" t="inlineStr">
        <is>
          <t>R</t>
        </is>
      </c>
      <c r="E882" s="5" t="n">
        <v>2</v>
      </c>
      <c r="F882" s="5" t="n">
        <v>2.42</v>
      </c>
      <c r="G882" s="5" t="n"/>
      <c r="H882" s="5" t="n"/>
      <c r="I882" s="22">
        <f>INDEX(Personendaten!$C$2:$C$32,MATCH(A882,Personendaten!$A$2:$A$32,0))</f>
        <v/>
      </c>
      <c r="J882" s="22">
        <f>IF(AND(F882&lt;&gt;"",G882=""),1,0)</f>
        <v/>
      </c>
      <c r="K882" s="22">
        <f>IF(LEFT(C882,7)&lt;&gt;"Sprint_","",IF(COUNTIFS(Versuchsdaten!$A$2:$A$1117,$A882,Versuchsdaten!$B$2:$B$1117,$B882,Versuchsdaten!$C$2:$C$1117,"Sprint_5m",Versuchsdaten!$E$2:$E$1117,$E882,Versuchsdaten!$J$2:$J$1117,1)=1,SUMIFS(Versuchsdaten!$F$2:$F$1117,Versuchsdaten!$A$2:$A$1117,$A882,Versuchsdaten!$B$2:$B$1117,$B882,Versuchsdaten!$C$2:$C$1117,"Sprint_5m",Versuchsdaten!$E$2:$E$1117,$E882,Versuchsdaten!$J$2:$J$1117,1),""))</f>
        <v/>
      </c>
      <c r="L882" s="22">
        <f>IF(LEFT(C882,7)&lt;&gt;"Sprint_","",IF(COUNTIFS(Versuchsdaten!$A$2:$A$1117,$A882,Versuchsdaten!$B$2:$B$1117,$B882,Versuchsdaten!$C$2:$C$1117,"Sprint_10m",Versuchsdaten!$E$2:$E$1117,$E882,Versuchsdaten!$J$2:$J$1117,1)=1,SUMIFS(Versuchsdaten!$F$2:$F$1117,Versuchsdaten!$A$2:$A$1117,$A882,Versuchsdaten!$B$2:$B$1117,$B882,Versuchsdaten!$C$2:$C$1117,"Sprint_10m",Versuchsdaten!$E$2:$E$1117,$E882,Versuchsdaten!$J$2:$J$1117,1),""))</f>
        <v/>
      </c>
      <c r="M882" s="22">
        <f>IF(LEFT(C882,7)&lt;&gt;"Sprint_","",IF(COUNTIFS(Versuchsdaten!$A$2:$A$1117,$A882,Versuchsdaten!$B$2:$B$1117,$B882,Versuchsdaten!$C$2:$C$1117,"Sprint_30m",Versuchsdaten!$E$2:$E$1117,$E882,Versuchsdaten!$J$2:$J$1117,1)=1,SUMIFS(Versuchsdaten!$F$2:$F$1117,Versuchsdaten!$A$2:$A$1117,$A882,Versuchsdaten!$B$2:$B$1117,$B882,Versuchsdaten!$C$2:$C$1117,"Sprint_30m",Versuchsdaten!$E$2:$E$1117,$E882,Versuchsdaten!$J$2:$J$1117,1),""))</f>
        <v/>
      </c>
      <c r="N882" s="22">
        <f>IF(LEFT(C882,7)&lt;&gt;"Sprint_",0,IF(IF(ISNUMBER(K882),IF(K882&lt;=0,1,IF(5/K882&gt;10,1,0)),0)+IF(ISNUMBER(L882),IF(ISNUMBER(K882),IF(L882-K882&lt;=0,1,IF(5/(L882-K882)&gt;10,1,0)),IF(L882&lt;=0,1,IF(10/L882&gt;10,1,0))),0)+IF(ISNUMBER(M882),IF(ISNUMBER(L882),IF(M882-L882&lt;=0,1,IF(20/(M882-L882)&gt;10,1,0)),IF(ISNUMBER(K882),IF(M882-K882&lt;=0,1,IF(25/(M882-K882)&gt;10,1,0)),IF(M882&lt;=0,1,IF(30/M882&gt;10,1,0)))),0)&gt;0,1,0))</f>
        <v/>
      </c>
      <c r="O882" s="22">
        <f>IF(AND(J882=1,N882=0),1,0)</f>
        <v/>
      </c>
      <c r="P882" s="22">
        <f>INDEX(Personendaten!$J$2:$J$32,MATCH(A882,Personendaten!$A$2:$A$32,0))</f>
        <v/>
      </c>
      <c r="Q882" s="22">
        <f>IF(O882=1,"",IF(AND(B882="post",P882="nicht angetreten"),"NANG",IF(N882=1,"AUSL",IFERROR(VLOOKUP(H882,Vokabular!$A$2:$B$8,2,FALSE),"UNBEKANNT"))))</f>
        <v/>
      </c>
    </row>
    <row r="883">
      <c r="A883" s="5" t="inlineStr">
        <is>
          <t>HL-08</t>
        </is>
      </c>
      <c r="B883" s="5" t="inlineStr">
        <is>
          <t>post</t>
        </is>
      </c>
      <c r="C883" s="5" t="inlineStr">
        <is>
          <t>COD_505</t>
        </is>
      </c>
      <c r="D883" s="5" t="inlineStr">
        <is>
          <t>R</t>
        </is>
      </c>
      <c r="E883" s="5" t="n">
        <v>3</v>
      </c>
      <c r="F883" s="5" t="n"/>
      <c r="G883" s="5" t="n"/>
      <c r="H883" s="5" t="inlineStr">
        <is>
          <t>Nur 2 Versuche aus Zeitmangel</t>
        </is>
      </c>
      <c r="I883" s="22">
        <f>INDEX(Personendaten!$C$2:$C$32,MATCH(A883,Personendaten!$A$2:$A$32,0))</f>
        <v/>
      </c>
      <c r="J883" s="22">
        <f>IF(AND(F883&lt;&gt;"",G883=""),1,0)</f>
        <v/>
      </c>
      <c r="K883" s="22">
        <f>IF(LEFT(C883,7)&lt;&gt;"Sprint_","",IF(COUNTIFS(Versuchsdaten!$A$2:$A$1117,$A883,Versuchsdaten!$B$2:$B$1117,$B883,Versuchsdaten!$C$2:$C$1117,"Sprint_5m",Versuchsdaten!$E$2:$E$1117,$E883,Versuchsdaten!$J$2:$J$1117,1)=1,SUMIFS(Versuchsdaten!$F$2:$F$1117,Versuchsdaten!$A$2:$A$1117,$A883,Versuchsdaten!$B$2:$B$1117,$B883,Versuchsdaten!$C$2:$C$1117,"Sprint_5m",Versuchsdaten!$E$2:$E$1117,$E883,Versuchsdaten!$J$2:$J$1117,1),""))</f>
        <v/>
      </c>
      <c r="L883" s="22">
        <f>IF(LEFT(C883,7)&lt;&gt;"Sprint_","",IF(COUNTIFS(Versuchsdaten!$A$2:$A$1117,$A883,Versuchsdaten!$B$2:$B$1117,$B883,Versuchsdaten!$C$2:$C$1117,"Sprint_10m",Versuchsdaten!$E$2:$E$1117,$E883,Versuchsdaten!$J$2:$J$1117,1)=1,SUMIFS(Versuchsdaten!$F$2:$F$1117,Versuchsdaten!$A$2:$A$1117,$A883,Versuchsdaten!$B$2:$B$1117,$B883,Versuchsdaten!$C$2:$C$1117,"Sprint_10m",Versuchsdaten!$E$2:$E$1117,$E883,Versuchsdaten!$J$2:$J$1117,1),""))</f>
        <v/>
      </c>
      <c r="M883" s="22">
        <f>IF(LEFT(C883,7)&lt;&gt;"Sprint_","",IF(COUNTIFS(Versuchsdaten!$A$2:$A$1117,$A883,Versuchsdaten!$B$2:$B$1117,$B883,Versuchsdaten!$C$2:$C$1117,"Sprint_30m",Versuchsdaten!$E$2:$E$1117,$E883,Versuchsdaten!$J$2:$J$1117,1)=1,SUMIFS(Versuchsdaten!$F$2:$F$1117,Versuchsdaten!$A$2:$A$1117,$A883,Versuchsdaten!$B$2:$B$1117,$B883,Versuchsdaten!$C$2:$C$1117,"Sprint_30m",Versuchsdaten!$E$2:$E$1117,$E883,Versuchsdaten!$J$2:$J$1117,1),""))</f>
        <v/>
      </c>
      <c r="N883" s="22">
        <f>IF(LEFT(C883,7)&lt;&gt;"Sprint_",0,IF(IF(ISNUMBER(K883),IF(K883&lt;=0,1,IF(5/K883&gt;10,1,0)),0)+IF(ISNUMBER(L883),IF(ISNUMBER(K883),IF(L883-K883&lt;=0,1,IF(5/(L883-K883)&gt;10,1,0)),IF(L883&lt;=0,1,IF(10/L883&gt;10,1,0))),0)+IF(ISNUMBER(M883),IF(ISNUMBER(L883),IF(M883-L883&lt;=0,1,IF(20/(M883-L883)&gt;10,1,0)),IF(ISNUMBER(K883),IF(M883-K883&lt;=0,1,IF(25/(M883-K883)&gt;10,1,0)),IF(M883&lt;=0,1,IF(30/M883&gt;10,1,0)))),0)&gt;0,1,0))</f>
        <v/>
      </c>
      <c r="O883" s="22">
        <f>IF(AND(J883=1,N883=0),1,0)</f>
        <v/>
      </c>
      <c r="P883" s="22">
        <f>INDEX(Personendaten!$J$2:$J$32,MATCH(A883,Personendaten!$A$2:$A$32,0))</f>
        <v/>
      </c>
      <c r="Q883" s="22">
        <f>IF(O883=1,"",IF(AND(B883="post",P883="nicht angetreten"),"NANG",IF(N883=1,"AUSL",IFERROR(VLOOKUP(H883,Vokabular!$A$2:$B$8,2,FALSE),"UNBEKANNT"))))</f>
        <v/>
      </c>
    </row>
    <row r="884">
      <c r="A884" s="5" t="inlineStr">
        <is>
          <t>VS-01</t>
        </is>
      </c>
      <c r="B884" s="5" t="inlineStr">
        <is>
          <t>post</t>
        </is>
      </c>
      <c r="C884" s="5" t="inlineStr">
        <is>
          <t>Sprint_5m</t>
        </is>
      </c>
      <c r="D884" s="5" t="inlineStr">
        <is>
          <t>–</t>
        </is>
      </c>
      <c r="E884" s="5" t="n">
        <v>1</v>
      </c>
      <c r="F884" s="5" t="n"/>
      <c r="G884" s="5" t="n"/>
      <c r="H884" s="5" t="inlineStr">
        <is>
          <t>System nicht aufgenommen</t>
        </is>
      </c>
      <c r="I884" s="22">
        <f>INDEX(Personendaten!$C$2:$C$32,MATCH(A884,Personendaten!$A$2:$A$32,0))</f>
        <v/>
      </c>
      <c r="J884" s="22">
        <f>IF(AND(F884&lt;&gt;"",G884=""),1,0)</f>
        <v/>
      </c>
      <c r="K884" s="22">
        <f>IF(LEFT(C884,7)&lt;&gt;"Sprint_","",IF(COUNTIFS(Versuchsdaten!$A$2:$A$1117,$A884,Versuchsdaten!$B$2:$B$1117,$B884,Versuchsdaten!$C$2:$C$1117,"Sprint_5m",Versuchsdaten!$E$2:$E$1117,$E884,Versuchsdaten!$J$2:$J$1117,1)=1,SUMIFS(Versuchsdaten!$F$2:$F$1117,Versuchsdaten!$A$2:$A$1117,$A884,Versuchsdaten!$B$2:$B$1117,$B884,Versuchsdaten!$C$2:$C$1117,"Sprint_5m",Versuchsdaten!$E$2:$E$1117,$E884,Versuchsdaten!$J$2:$J$1117,1),""))</f>
        <v/>
      </c>
      <c r="L884" s="22">
        <f>IF(LEFT(C884,7)&lt;&gt;"Sprint_","",IF(COUNTIFS(Versuchsdaten!$A$2:$A$1117,$A884,Versuchsdaten!$B$2:$B$1117,$B884,Versuchsdaten!$C$2:$C$1117,"Sprint_10m",Versuchsdaten!$E$2:$E$1117,$E884,Versuchsdaten!$J$2:$J$1117,1)=1,SUMIFS(Versuchsdaten!$F$2:$F$1117,Versuchsdaten!$A$2:$A$1117,$A884,Versuchsdaten!$B$2:$B$1117,$B884,Versuchsdaten!$C$2:$C$1117,"Sprint_10m",Versuchsdaten!$E$2:$E$1117,$E884,Versuchsdaten!$J$2:$J$1117,1),""))</f>
        <v/>
      </c>
      <c r="M884" s="22">
        <f>IF(LEFT(C884,7)&lt;&gt;"Sprint_","",IF(COUNTIFS(Versuchsdaten!$A$2:$A$1117,$A884,Versuchsdaten!$B$2:$B$1117,$B884,Versuchsdaten!$C$2:$C$1117,"Sprint_30m",Versuchsdaten!$E$2:$E$1117,$E884,Versuchsdaten!$J$2:$J$1117,1)=1,SUMIFS(Versuchsdaten!$F$2:$F$1117,Versuchsdaten!$A$2:$A$1117,$A884,Versuchsdaten!$B$2:$B$1117,$B884,Versuchsdaten!$C$2:$C$1117,"Sprint_30m",Versuchsdaten!$E$2:$E$1117,$E884,Versuchsdaten!$J$2:$J$1117,1),""))</f>
        <v/>
      </c>
      <c r="N884" s="22">
        <f>IF(LEFT(C884,7)&lt;&gt;"Sprint_",0,IF(IF(ISNUMBER(K884),IF(K884&lt;=0,1,IF(5/K884&gt;10,1,0)),0)+IF(ISNUMBER(L884),IF(ISNUMBER(K884),IF(L884-K884&lt;=0,1,IF(5/(L884-K884)&gt;10,1,0)),IF(L884&lt;=0,1,IF(10/L884&gt;10,1,0))),0)+IF(ISNUMBER(M884),IF(ISNUMBER(L884),IF(M884-L884&lt;=0,1,IF(20/(M884-L884)&gt;10,1,0)),IF(ISNUMBER(K884),IF(M884-K884&lt;=0,1,IF(25/(M884-K884)&gt;10,1,0)),IF(M884&lt;=0,1,IF(30/M884&gt;10,1,0)))),0)&gt;0,1,0))</f>
        <v/>
      </c>
      <c r="O884" s="22">
        <f>IF(AND(J884=1,N884=0),1,0)</f>
        <v/>
      </c>
      <c r="P884" s="22">
        <f>INDEX(Personendaten!$J$2:$J$32,MATCH(A884,Personendaten!$A$2:$A$32,0))</f>
        <v/>
      </c>
      <c r="Q884" s="22">
        <f>IF(O884=1,"",IF(AND(B884="post",P884="nicht angetreten"),"NANG",IF(N884=1,"AUSL",IFERROR(VLOOKUP(H884,Vokabular!$A$2:$B$8,2,FALSE),"UNBEKANNT"))))</f>
        <v/>
      </c>
    </row>
    <row r="885">
      <c r="A885" s="5" t="inlineStr">
        <is>
          <t>VS-01</t>
        </is>
      </c>
      <c r="B885" s="5" t="inlineStr">
        <is>
          <t>post</t>
        </is>
      </c>
      <c r="C885" s="5" t="inlineStr">
        <is>
          <t>Sprint_5m</t>
        </is>
      </c>
      <c r="D885" s="5" t="inlineStr">
        <is>
          <t>–</t>
        </is>
      </c>
      <c r="E885" s="5" t="n">
        <v>2</v>
      </c>
      <c r="F885" s="5" t="n">
        <v>1.21</v>
      </c>
      <c r="G885" s="5" t="n"/>
      <c r="H885" s="5" t="n"/>
      <c r="I885" s="22">
        <f>INDEX(Personendaten!$C$2:$C$32,MATCH(A885,Personendaten!$A$2:$A$32,0))</f>
        <v/>
      </c>
      <c r="J885" s="22">
        <f>IF(AND(F885&lt;&gt;"",G885=""),1,0)</f>
        <v/>
      </c>
      <c r="K885" s="22">
        <f>IF(LEFT(C885,7)&lt;&gt;"Sprint_","",IF(COUNTIFS(Versuchsdaten!$A$2:$A$1117,$A885,Versuchsdaten!$B$2:$B$1117,$B885,Versuchsdaten!$C$2:$C$1117,"Sprint_5m",Versuchsdaten!$E$2:$E$1117,$E885,Versuchsdaten!$J$2:$J$1117,1)=1,SUMIFS(Versuchsdaten!$F$2:$F$1117,Versuchsdaten!$A$2:$A$1117,$A885,Versuchsdaten!$B$2:$B$1117,$B885,Versuchsdaten!$C$2:$C$1117,"Sprint_5m",Versuchsdaten!$E$2:$E$1117,$E885,Versuchsdaten!$J$2:$J$1117,1),""))</f>
        <v/>
      </c>
      <c r="L885" s="22">
        <f>IF(LEFT(C885,7)&lt;&gt;"Sprint_","",IF(COUNTIFS(Versuchsdaten!$A$2:$A$1117,$A885,Versuchsdaten!$B$2:$B$1117,$B885,Versuchsdaten!$C$2:$C$1117,"Sprint_10m",Versuchsdaten!$E$2:$E$1117,$E885,Versuchsdaten!$J$2:$J$1117,1)=1,SUMIFS(Versuchsdaten!$F$2:$F$1117,Versuchsdaten!$A$2:$A$1117,$A885,Versuchsdaten!$B$2:$B$1117,$B885,Versuchsdaten!$C$2:$C$1117,"Sprint_10m",Versuchsdaten!$E$2:$E$1117,$E885,Versuchsdaten!$J$2:$J$1117,1),""))</f>
        <v/>
      </c>
      <c r="M885" s="22">
        <f>IF(LEFT(C885,7)&lt;&gt;"Sprint_","",IF(COUNTIFS(Versuchsdaten!$A$2:$A$1117,$A885,Versuchsdaten!$B$2:$B$1117,$B885,Versuchsdaten!$C$2:$C$1117,"Sprint_30m",Versuchsdaten!$E$2:$E$1117,$E885,Versuchsdaten!$J$2:$J$1117,1)=1,SUMIFS(Versuchsdaten!$F$2:$F$1117,Versuchsdaten!$A$2:$A$1117,$A885,Versuchsdaten!$B$2:$B$1117,$B885,Versuchsdaten!$C$2:$C$1117,"Sprint_30m",Versuchsdaten!$E$2:$E$1117,$E885,Versuchsdaten!$J$2:$J$1117,1),""))</f>
        <v/>
      </c>
      <c r="N885" s="22">
        <f>IF(LEFT(C885,7)&lt;&gt;"Sprint_",0,IF(IF(ISNUMBER(K885),IF(K885&lt;=0,1,IF(5/K885&gt;10,1,0)),0)+IF(ISNUMBER(L885),IF(ISNUMBER(K885),IF(L885-K885&lt;=0,1,IF(5/(L885-K885)&gt;10,1,0)),IF(L885&lt;=0,1,IF(10/L885&gt;10,1,0))),0)+IF(ISNUMBER(M885),IF(ISNUMBER(L885),IF(M885-L885&lt;=0,1,IF(20/(M885-L885)&gt;10,1,0)),IF(ISNUMBER(K885),IF(M885-K885&lt;=0,1,IF(25/(M885-K885)&gt;10,1,0)),IF(M885&lt;=0,1,IF(30/M885&gt;10,1,0)))),0)&gt;0,1,0))</f>
        <v/>
      </c>
      <c r="O885" s="22">
        <f>IF(AND(J885=1,N885=0),1,0)</f>
        <v/>
      </c>
      <c r="P885" s="22">
        <f>INDEX(Personendaten!$J$2:$J$32,MATCH(A885,Personendaten!$A$2:$A$32,0))</f>
        <v/>
      </c>
      <c r="Q885" s="22">
        <f>IF(O885=1,"",IF(AND(B885="post",P885="nicht angetreten"),"NANG",IF(N885=1,"AUSL",IFERROR(VLOOKUP(H885,Vokabular!$A$2:$B$8,2,FALSE),"UNBEKANNT"))))</f>
        <v/>
      </c>
    </row>
    <row r="886">
      <c r="A886" s="5" t="inlineStr">
        <is>
          <t>VS-01</t>
        </is>
      </c>
      <c r="B886" s="5" t="inlineStr">
        <is>
          <t>post</t>
        </is>
      </c>
      <c r="C886" s="5" t="inlineStr">
        <is>
          <t>Sprint_5m</t>
        </is>
      </c>
      <c r="D886" s="5" t="inlineStr">
        <is>
          <t>–</t>
        </is>
      </c>
      <c r="E886" s="5" t="n">
        <v>3</v>
      </c>
      <c r="F886" s="5" t="n">
        <v>1.23</v>
      </c>
      <c r="G886" s="5" t="n"/>
      <c r="H886" s="5" t="n"/>
      <c r="I886" s="22">
        <f>INDEX(Personendaten!$C$2:$C$32,MATCH(A886,Personendaten!$A$2:$A$32,0))</f>
        <v/>
      </c>
      <c r="J886" s="22">
        <f>IF(AND(F886&lt;&gt;"",G886=""),1,0)</f>
        <v/>
      </c>
      <c r="K886" s="22">
        <f>IF(LEFT(C886,7)&lt;&gt;"Sprint_","",IF(COUNTIFS(Versuchsdaten!$A$2:$A$1117,$A886,Versuchsdaten!$B$2:$B$1117,$B886,Versuchsdaten!$C$2:$C$1117,"Sprint_5m",Versuchsdaten!$E$2:$E$1117,$E886,Versuchsdaten!$J$2:$J$1117,1)=1,SUMIFS(Versuchsdaten!$F$2:$F$1117,Versuchsdaten!$A$2:$A$1117,$A886,Versuchsdaten!$B$2:$B$1117,$B886,Versuchsdaten!$C$2:$C$1117,"Sprint_5m",Versuchsdaten!$E$2:$E$1117,$E886,Versuchsdaten!$J$2:$J$1117,1),""))</f>
        <v/>
      </c>
      <c r="L886" s="22">
        <f>IF(LEFT(C886,7)&lt;&gt;"Sprint_","",IF(COUNTIFS(Versuchsdaten!$A$2:$A$1117,$A886,Versuchsdaten!$B$2:$B$1117,$B886,Versuchsdaten!$C$2:$C$1117,"Sprint_10m",Versuchsdaten!$E$2:$E$1117,$E886,Versuchsdaten!$J$2:$J$1117,1)=1,SUMIFS(Versuchsdaten!$F$2:$F$1117,Versuchsdaten!$A$2:$A$1117,$A886,Versuchsdaten!$B$2:$B$1117,$B886,Versuchsdaten!$C$2:$C$1117,"Sprint_10m",Versuchsdaten!$E$2:$E$1117,$E886,Versuchsdaten!$J$2:$J$1117,1),""))</f>
        <v/>
      </c>
      <c r="M886" s="22">
        <f>IF(LEFT(C886,7)&lt;&gt;"Sprint_","",IF(COUNTIFS(Versuchsdaten!$A$2:$A$1117,$A886,Versuchsdaten!$B$2:$B$1117,$B886,Versuchsdaten!$C$2:$C$1117,"Sprint_30m",Versuchsdaten!$E$2:$E$1117,$E886,Versuchsdaten!$J$2:$J$1117,1)=1,SUMIFS(Versuchsdaten!$F$2:$F$1117,Versuchsdaten!$A$2:$A$1117,$A886,Versuchsdaten!$B$2:$B$1117,$B886,Versuchsdaten!$C$2:$C$1117,"Sprint_30m",Versuchsdaten!$E$2:$E$1117,$E886,Versuchsdaten!$J$2:$J$1117,1),""))</f>
        <v/>
      </c>
      <c r="N886" s="22">
        <f>IF(LEFT(C886,7)&lt;&gt;"Sprint_",0,IF(IF(ISNUMBER(K886),IF(K886&lt;=0,1,IF(5/K886&gt;10,1,0)),0)+IF(ISNUMBER(L886),IF(ISNUMBER(K886),IF(L886-K886&lt;=0,1,IF(5/(L886-K886)&gt;10,1,0)),IF(L886&lt;=0,1,IF(10/L886&gt;10,1,0))),0)+IF(ISNUMBER(M886),IF(ISNUMBER(L886),IF(M886-L886&lt;=0,1,IF(20/(M886-L886)&gt;10,1,0)),IF(ISNUMBER(K886),IF(M886-K886&lt;=0,1,IF(25/(M886-K886)&gt;10,1,0)),IF(M886&lt;=0,1,IF(30/M886&gt;10,1,0)))),0)&gt;0,1,0))</f>
        <v/>
      </c>
      <c r="O886" s="22">
        <f>IF(AND(J886=1,N886=0),1,0)</f>
        <v/>
      </c>
      <c r="P886" s="22">
        <f>INDEX(Personendaten!$J$2:$J$32,MATCH(A886,Personendaten!$A$2:$A$32,0))</f>
        <v/>
      </c>
      <c r="Q886" s="22">
        <f>IF(O886=1,"",IF(AND(B886="post",P886="nicht angetreten"),"NANG",IF(N886=1,"AUSL",IFERROR(VLOOKUP(H886,Vokabular!$A$2:$B$8,2,FALSE),"UNBEKANNT"))))</f>
        <v/>
      </c>
    </row>
    <row r="887">
      <c r="A887" s="5" t="inlineStr">
        <is>
          <t>VS-01</t>
        </is>
      </c>
      <c r="B887" s="5" t="inlineStr">
        <is>
          <t>post</t>
        </is>
      </c>
      <c r="C887" s="5" t="inlineStr">
        <is>
          <t>Sprint_10m</t>
        </is>
      </c>
      <c r="D887" s="5" t="inlineStr">
        <is>
          <t>–</t>
        </is>
      </c>
      <c r="E887" s="5" t="n">
        <v>1</v>
      </c>
      <c r="F887" s="5" t="n"/>
      <c r="G887" s="5" t="n"/>
      <c r="H887" s="5" t="inlineStr">
        <is>
          <t>System nicht aufgenommen</t>
        </is>
      </c>
      <c r="I887" s="22">
        <f>INDEX(Personendaten!$C$2:$C$32,MATCH(A887,Personendaten!$A$2:$A$32,0))</f>
        <v/>
      </c>
      <c r="J887" s="22">
        <f>IF(AND(F887&lt;&gt;"",G887=""),1,0)</f>
        <v/>
      </c>
      <c r="K887" s="22">
        <f>IF(LEFT(C887,7)&lt;&gt;"Sprint_","",IF(COUNTIFS(Versuchsdaten!$A$2:$A$1117,$A887,Versuchsdaten!$B$2:$B$1117,$B887,Versuchsdaten!$C$2:$C$1117,"Sprint_5m",Versuchsdaten!$E$2:$E$1117,$E887,Versuchsdaten!$J$2:$J$1117,1)=1,SUMIFS(Versuchsdaten!$F$2:$F$1117,Versuchsdaten!$A$2:$A$1117,$A887,Versuchsdaten!$B$2:$B$1117,$B887,Versuchsdaten!$C$2:$C$1117,"Sprint_5m",Versuchsdaten!$E$2:$E$1117,$E887,Versuchsdaten!$J$2:$J$1117,1),""))</f>
        <v/>
      </c>
      <c r="L887" s="22">
        <f>IF(LEFT(C887,7)&lt;&gt;"Sprint_","",IF(COUNTIFS(Versuchsdaten!$A$2:$A$1117,$A887,Versuchsdaten!$B$2:$B$1117,$B887,Versuchsdaten!$C$2:$C$1117,"Sprint_10m",Versuchsdaten!$E$2:$E$1117,$E887,Versuchsdaten!$J$2:$J$1117,1)=1,SUMIFS(Versuchsdaten!$F$2:$F$1117,Versuchsdaten!$A$2:$A$1117,$A887,Versuchsdaten!$B$2:$B$1117,$B887,Versuchsdaten!$C$2:$C$1117,"Sprint_10m",Versuchsdaten!$E$2:$E$1117,$E887,Versuchsdaten!$J$2:$J$1117,1),""))</f>
        <v/>
      </c>
      <c r="M887" s="22">
        <f>IF(LEFT(C887,7)&lt;&gt;"Sprint_","",IF(COUNTIFS(Versuchsdaten!$A$2:$A$1117,$A887,Versuchsdaten!$B$2:$B$1117,$B887,Versuchsdaten!$C$2:$C$1117,"Sprint_30m",Versuchsdaten!$E$2:$E$1117,$E887,Versuchsdaten!$J$2:$J$1117,1)=1,SUMIFS(Versuchsdaten!$F$2:$F$1117,Versuchsdaten!$A$2:$A$1117,$A887,Versuchsdaten!$B$2:$B$1117,$B887,Versuchsdaten!$C$2:$C$1117,"Sprint_30m",Versuchsdaten!$E$2:$E$1117,$E887,Versuchsdaten!$J$2:$J$1117,1),""))</f>
        <v/>
      </c>
      <c r="N887" s="22">
        <f>IF(LEFT(C887,7)&lt;&gt;"Sprint_",0,IF(IF(ISNUMBER(K887),IF(K887&lt;=0,1,IF(5/K887&gt;10,1,0)),0)+IF(ISNUMBER(L887),IF(ISNUMBER(K887),IF(L887-K887&lt;=0,1,IF(5/(L887-K887)&gt;10,1,0)),IF(L887&lt;=0,1,IF(10/L887&gt;10,1,0))),0)+IF(ISNUMBER(M887),IF(ISNUMBER(L887),IF(M887-L887&lt;=0,1,IF(20/(M887-L887)&gt;10,1,0)),IF(ISNUMBER(K887),IF(M887-K887&lt;=0,1,IF(25/(M887-K887)&gt;10,1,0)),IF(M887&lt;=0,1,IF(30/M887&gt;10,1,0)))),0)&gt;0,1,0))</f>
        <v/>
      </c>
      <c r="O887" s="22">
        <f>IF(AND(J887=1,N887=0),1,0)</f>
        <v/>
      </c>
      <c r="P887" s="22">
        <f>INDEX(Personendaten!$J$2:$J$32,MATCH(A887,Personendaten!$A$2:$A$32,0))</f>
        <v/>
      </c>
      <c r="Q887" s="22">
        <f>IF(O887=1,"",IF(AND(B887="post",P887="nicht angetreten"),"NANG",IF(N887=1,"AUSL",IFERROR(VLOOKUP(H887,Vokabular!$A$2:$B$8,2,FALSE),"UNBEKANNT"))))</f>
        <v/>
      </c>
    </row>
    <row r="888">
      <c r="A888" s="5" t="inlineStr">
        <is>
          <t>VS-01</t>
        </is>
      </c>
      <c r="B888" s="5" t="inlineStr">
        <is>
          <t>post</t>
        </is>
      </c>
      <c r="C888" s="5" t="inlineStr">
        <is>
          <t>Sprint_10m</t>
        </is>
      </c>
      <c r="D888" s="5" t="inlineStr">
        <is>
          <t>–</t>
        </is>
      </c>
      <c r="E888" s="5" t="n">
        <v>2</v>
      </c>
      <c r="F888" s="5" t="n"/>
      <c r="G888" s="5" t="n"/>
      <c r="H888" s="5" t="inlineStr">
        <is>
          <t>System nicht aufgenommen</t>
        </is>
      </c>
      <c r="I888" s="22">
        <f>INDEX(Personendaten!$C$2:$C$32,MATCH(A888,Personendaten!$A$2:$A$32,0))</f>
        <v/>
      </c>
      <c r="J888" s="22">
        <f>IF(AND(F888&lt;&gt;"",G888=""),1,0)</f>
        <v/>
      </c>
      <c r="K888" s="22">
        <f>IF(LEFT(C888,7)&lt;&gt;"Sprint_","",IF(COUNTIFS(Versuchsdaten!$A$2:$A$1117,$A888,Versuchsdaten!$B$2:$B$1117,$B888,Versuchsdaten!$C$2:$C$1117,"Sprint_5m",Versuchsdaten!$E$2:$E$1117,$E888,Versuchsdaten!$J$2:$J$1117,1)=1,SUMIFS(Versuchsdaten!$F$2:$F$1117,Versuchsdaten!$A$2:$A$1117,$A888,Versuchsdaten!$B$2:$B$1117,$B888,Versuchsdaten!$C$2:$C$1117,"Sprint_5m",Versuchsdaten!$E$2:$E$1117,$E888,Versuchsdaten!$J$2:$J$1117,1),""))</f>
        <v/>
      </c>
      <c r="L888" s="22">
        <f>IF(LEFT(C888,7)&lt;&gt;"Sprint_","",IF(COUNTIFS(Versuchsdaten!$A$2:$A$1117,$A888,Versuchsdaten!$B$2:$B$1117,$B888,Versuchsdaten!$C$2:$C$1117,"Sprint_10m",Versuchsdaten!$E$2:$E$1117,$E888,Versuchsdaten!$J$2:$J$1117,1)=1,SUMIFS(Versuchsdaten!$F$2:$F$1117,Versuchsdaten!$A$2:$A$1117,$A888,Versuchsdaten!$B$2:$B$1117,$B888,Versuchsdaten!$C$2:$C$1117,"Sprint_10m",Versuchsdaten!$E$2:$E$1117,$E888,Versuchsdaten!$J$2:$J$1117,1),""))</f>
        <v/>
      </c>
      <c r="M888" s="22">
        <f>IF(LEFT(C888,7)&lt;&gt;"Sprint_","",IF(COUNTIFS(Versuchsdaten!$A$2:$A$1117,$A888,Versuchsdaten!$B$2:$B$1117,$B888,Versuchsdaten!$C$2:$C$1117,"Sprint_30m",Versuchsdaten!$E$2:$E$1117,$E888,Versuchsdaten!$J$2:$J$1117,1)=1,SUMIFS(Versuchsdaten!$F$2:$F$1117,Versuchsdaten!$A$2:$A$1117,$A888,Versuchsdaten!$B$2:$B$1117,$B888,Versuchsdaten!$C$2:$C$1117,"Sprint_30m",Versuchsdaten!$E$2:$E$1117,$E888,Versuchsdaten!$J$2:$J$1117,1),""))</f>
        <v/>
      </c>
      <c r="N888" s="22">
        <f>IF(LEFT(C888,7)&lt;&gt;"Sprint_",0,IF(IF(ISNUMBER(K888),IF(K888&lt;=0,1,IF(5/K888&gt;10,1,0)),0)+IF(ISNUMBER(L888),IF(ISNUMBER(K888),IF(L888-K888&lt;=0,1,IF(5/(L888-K888)&gt;10,1,0)),IF(L888&lt;=0,1,IF(10/L888&gt;10,1,0))),0)+IF(ISNUMBER(M888),IF(ISNUMBER(L888),IF(M888-L888&lt;=0,1,IF(20/(M888-L888)&gt;10,1,0)),IF(ISNUMBER(K888),IF(M888-K888&lt;=0,1,IF(25/(M888-K888)&gt;10,1,0)),IF(M888&lt;=0,1,IF(30/M888&gt;10,1,0)))),0)&gt;0,1,0))</f>
        <v/>
      </c>
      <c r="O888" s="22">
        <f>IF(AND(J888=1,N888=0),1,0)</f>
        <v/>
      </c>
      <c r="P888" s="22">
        <f>INDEX(Personendaten!$J$2:$J$32,MATCH(A888,Personendaten!$A$2:$A$32,0))</f>
        <v/>
      </c>
      <c r="Q888" s="22">
        <f>IF(O888=1,"",IF(AND(B888="post",P888="nicht angetreten"),"NANG",IF(N888=1,"AUSL",IFERROR(VLOOKUP(H888,Vokabular!$A$2:$B$8,2,FALSE),"UNBEKANNT"))))</f>
        <v/>
      </c>
    </row>
    <row r="889">
      <c r="A889" s="5" t="inlineStr">
        <is>
          <t>VS-01</t>
        </is>
      </c>
      <c r="B889" s="5" t="inlineStr">
        <is>
          <t>post</t>
        </is>
      </c>
      <c r="C889" s="5" t="inlineStr">
        <is>
          <t>Sprint_10m</t>
        </is>
      </c>
      <c r="D889" s="5" t="inlineStr">
        <is>
          <t>–</t>
        </is>
      </c>
      <c r="E889" s="5" t="n">
        <v>3</v>
      </c>
      <c r="F889" s="5" t="n">
        <v>2.05</v>
      </c>
      <c r="G889" s="5" t="n"/>
      <c r="H889" s="5" t="n"/>
      <c r="I889" s="22">
        <f>INDEX(Personendaten!$C$2:$C$32,MATCH(A889,Personendaten!$A$2:$A$32,0))</f>
        <v/>
      </c>
      <c r="J889" s="22">
        <f>IF(AND(F889&lt;&gt;"",G889=""),1,0)</f>
        <v/>
      </c>
      <c r="K889" s="22">
        <f>IF(LEFT(C889,7)&lt;&gt;"Sprint_","",IF(COUNTIFS(Versuchsdaten!$A$2:$A$1117,$A889,Versuchsdaten!$B$2:$B$1117,$B889,Versuchsdaten!$C$2:$C$1117,"Sprint_5m",Versuchsdaten!$E$2:$E$1117,$E889,Versuchsdaten!$J$2:$J$1117,1)=1,SUMIFS(Versuchsdaten!$F$2:$F$1117,Versuchsdaten!$A$2:$A$1117,$A889,Versuchsdaten!$B$2:$B$1117,$B889,Versuchsdaten!$C$2:$C$1117,"Sprint_5m",Versuchsdaten!$E$2:$E$1117,$E889,Versuchsdaten!$J$2:$J$1117,1),""))</f>
        <v/>
      </c>
      <c r="L889" s="22">
        <f>IF(LEFT(C889,7)&lt;&gt;"Sprint_","",IF(COUNTIFS(Versuchsdaten!$A$2:$A$1117,$A889,Versuchsdaten!$B$2:$B$1117,$B889,Versuchsdaten!$C$2:$C$1117,"Sprint_10m",Versuchsdaten!$E$2:$E$1117,$E889,Versuchsdaten!$J$2:$J$1117,1)=1,SUMIFS(Versuchsdaten!$F$2:$F$1117,Versuchsdaten!$A$2:$A$1117,$A889,Versuchsdaten!$B$2:$B$1117,$B889,Versuchsdaten!$C$2:$C$1117,"Sprint_10m",Versuchsdaten!$E$2:$E$1117,$E889,Versuchsdaten!$J$2:$J$1117,1),""))</f>
        <v/>
      </c>
      <c r="M889" s="22">
        <f>IF(LEFT(C889,7)&lt;&gt;"Sprint_","",IF(COUNTIFS(Versuchsdaten!$A$2:$A$1117,$A889,Versuchsdaten!$B$2:$B$1117,$B889,Versuchsdaten!$C$2:$C$1117,"Sprint_30m",Versuchsdaten!$E$2:$E$1117,$E889,Versuchsdaten!$J$2:$J$1117,1)=1,SUMIFS(Versuchsdaten!$F$2:$F$1117,Versuchsdaten!$A$2:$A$1117,$A889,Versuchsdaten!$B$2:$B$1117,$B889,Versuchsdaten!$C$2:$C$1117,"Sprint_30m",Versuchsdaten!$E$2:$E$1117,$E889,Versuchsdaten!$J$2:$J$1117,1),""))</f>
        <v/>
      </c>
      <c r="N889" s="22">
        <f>IF(LEFT(C889,7)&lt;&gt;"Sprint_",0,IF(IF(ISNUMBER(K889),IF(K889&lt;=0,1,IF(5/K889&gt;10,1,0)),0)+IF(ISNUMBER(L889),IF(ISNUMBER(K889),IF(L889-K889&lt;=0,1,IF(5/(L889-K889)&gt;10,1,0)),IF(L889&lt;=0,1,IF(10/L889&gt;10,1,0))),0)+IF(ISNUMBER(M889),IF(ISNUMBER(L889),IF(M889-L889&lt;=0,1,IF(20/(M889-L889)&gt;10,1,0)),IF(ISNUMBER(K889),IF(M889-K889&lt;=0,1,IF(25/(M889-K889)&gt;10,1,0)),IF(M889&lt;=0,1,IF(30/M889&gt;10,1,0)))),0)&gt;0,1,0))</f>
        <v/>
      </c>
      <c r="O889" s="22">
        <f>IF(AND(J889=1,N889=0),1,0)</f>
        <v/>
      </c>
      <c r="P889" s="22">
        <f>INDEX(Personendaten!$J$2:$J$32,MATCH(A889,Personendaten!$A$2:$A$32,0))</f>
        <v/>
      </c>
      <c r="Q889" s="22">
        <f>IF(O889=1,"",IF(AND(B889="post",P889="nicht angetreten"),"NANG",IF(N889=1,"AUSL",IFERROR(VLOOKUP(H889,Vokabular!$A$2:$B$8,2,FALSE),"UNBEKANNT"))))</f>
        <v/>
      </c>
    </row>
    <row r="890">
      <c r="A890" s="5" t="inlineStr">
        <is>
          <t>VS-01</t>
        </is>
      </c>
      <c r="B890" s="5" t="inlineStr">
        <is>
          <t>post</t>
        </is>
      </c>
      <c r="C890" s="5" t="inlineStr">
        <is>
          <t>Sprint_30m</t>
        </is>
      </c>
      <c r="D890" s="5" t="inlineStr">
        <is>
          <t>–</t>
        </is>
      </c>
      <c r="E890" s="5" t="n">
        <v>1</v>
      </c>
      <c r="F890" s="5" t="n">
        <v>4.79</v>
      </c>
      <c r="G890" s="5" t="n"/>
      <c r="H890" s="5" t="n"/>
      <c r="I890" s="22">
        <f>INDEX(Personendaten!$C$2:$C$32,MATCH(A890,Personendaten!$A$2:$A$32,0))</f>
        <v/>
      </c>
      <c r="J890" s="22">
        <f>IF(AND(F890&lt;&gt;"",G890=""),1,0)</f>
        <v/>
      </c>
      <c r="K890" s="22">
        <f>IF(LEFT(C890,7)&lt;&gt;"Sprint_","",IF(COUNTIFS(Versuchsdaten!$A$2:$A$1117,$A890,Versuchsdaten!$B$2:$B$1117,$B890,Versuchsdaten!$C$2:$C$1117,"Sprint_5m",Versuchsdaten!$E$2:$E$1117,$E890,Versuchsdaten!$J$2:$J$1117,1)=1,SUMIFS(Versuchsdaten!$F$2:$F$1117,Versuchsdaten!$A$2:$A$1117,$A890,Versuchsdaten!$B$2:$B$1117,$B890,Versuchsdaten!$C$2:$C$1117,"Sprint_5m",Versuchsdaten!$E$2:$E$1117,$E890,Versuchsdaten!$J$2:$J$1117,1),""))</f>
        <v/>
      </c>
      <c r="L890" s="22">
        <f>IF(LEFT(C890,7)&lt;&gt;"Sprint_","",IF(COUNTIFS(Versuchsdaten!$A$2:$A$1117,$A890,Versuchsdaten!$B$2:$B$1117,$B890,Versuchsdaten!$C$2:$C$1117,"Sprint_10m",Versuchsdaten!$E$2:$E$1117,$E890,Versuchsdaten!$J$2:$J$1117,1)=1,SUMIFS(Versuchsdaten!$F$2:$F$1117,Versuchsdaten!$A$2:$A$1117,$A890,Versuchsdaten!$B$2:$B$1117,$B890,Versuchsdaten!$C$2:$C$1117,"Sprint_10m",Versuchsdaten!$E$2:$E$1117,$E890,Versuchsdaten!$J$2:$J$1117,1),""))</f>
        <v/>
      </c>
      <c r="M890" s="22">
        <f>IF(LEFT(C890,7)&lt;&gt;"Sprint_","",IF(COUNTIFS(Versuchsdaten!$A$2:$A$1117,$A890,Versuchsdaten!$B$2:$B$1117,$B890,Versuchsdaten!$C$2:$C$1117,"Sprint_30m",Versuchsdaten!$E$2:$E$1117,$E890,Versuchsdaten!$J$2:$J$1117,1)=1,SUMIFS(Versuchsdaten!$F$2:$F$1117,Versuchsdaten!$A$2:$A$1117,$A890,Versuchsdaten!$B$2:$B$1117,$B890,Versuchsdaten!$C$2:$C$1117,"Sprint_30m",Versuchsdaten!$E$2:$E$1117,$E890,Versuchsdaten!$J$2:$J$1117,1),""))</f>
        <v/>
      </c>
      <c r="N890" s="22">
        <f>IF(LEFT(C890,7)&lt;&gt;"Sprint_",0,IF(IF(ISNUMBER(K890),IF(K890&lt;=0,1,IF(5/K890&gt;10,1,0)),0)+IF(ISNUMBER(L890),IF(ISNUMBER(K890),IF(L890-K890&lt;=0,1,IF(5/(L890-K890)&gt;10,1,0)),IF(L890&lt;=0,1,IF(10/L890&gt;10,1,0))),0)+IF(ISNUMBER(M890),IF(ISNUMBER(L890),IF(M890-L890&lt;=0,1,IF(20/(M890-L890)&gt;10,1,0)),IF(ISNUMBER(K890),IF(M890-K890&lt;=0,1,IF(25/(M890-K890)&gt;10,1,0)),IF(M890&lt;=0,1,IF(30/M890&gt;10,1,0)))),0)&gt;0,1,0))</f>
        <v/>
      </c>
      <c r="O890" s="22">
        <f>IF(AND(J890=1,N890=0),1,0)</f>
        <v/>
      </c>
      <c r="P890" s="22">
        <f>INDEX(Personendaten!$J$2:$J$32,MATCH(A890,Personendaten!$A$2:$A$32,0))</f>
        <v/>
      </c>
      <c r="Q890" s="22">
        <f>IF(O890=1,"",IF(AND(B890="post",P890="nicht angetreten"),"NANG",IF(N890=1,"AUSL",IFERROR(VLOOKUP(H890,Vokabular!$A$2:$B$8,2,FALSE),"UNBEKANNT"))))</f>
        <v/>
      </c>
    </row>
    <row r="891">
      <c r="A891" s="5" t="inlineStr">
        <is>
          <t>VS-01</t>
        </is>
      </c>
      <c r="B891" s="5" t="inlineStr">
        <is>
          <t>post</t>
        </is>
      </c>
      <c r="C891" s="5" t="inlineStr">
        <is>
          <t>Sprint_30m</t>
        </is>
      </c>
      <c r="D891" s="5" t="inlineStr">
        <is>
          <t>–</t>
        </is>
      </c>
      <c r="E891" s="5" t="n">
        <v>2</v>
      </c>
      <c r="F891" s="5" t="n">
        <v>4.91</v>
      </c>
      <c r="G891" s="5" t="n"/>
      <c r="H891" s="5" t="n"/>
      <c r="I891" s="22">
        <f>INDEX(Personendaten!$C$2:$C$32,MATCH(A891,Personendaten!$A$2:$A$32,0))</f>
        <v/>
      </c>
      <c r="J891" s="22">
        <f>IF(AND(F891&lt;&gt;"",G891=""),1,0)</f>
        <v/>
      </c>
      <c r="K891" s="22">
        <f>IF(LEFT(C891,7)&lt;&gt;"Sprint_","",IF(COUNTIFS(Versuchsdaten!$A$2:$A$1117,$A891,Versuchsdaten!$B$2:$B$1117,$B891,Versuchsdaten!$C$2:$C$1117,"Sprint_5m",Versuchsdaten!$E$2:$E$1117,$E891,Versuchsdaten!$J$2:$J$1117,1)=1,SUMIFS(Versuchsdaten!$F$2:$F$1117,Versuchsdaten!$A$2:$A$1117,$A891,Versuchsdaten!$B$2:$B$1117,$B891,Versuchsdaten!$C$2:$C$1117,"Sprint_5m",Versuchsdaten!$E$2:$E$1117,$E891,Versuchsdaten!$J$2:$J$1117,1),""))</f>
        <v/>
      </c>
      <c r="L891" s="22">
        <f>IF(LEFT(C891,7)&lt;&gt;"Sprint_","",IF(COUNTIFS(Versuchsdaten!$A$2:$A$1117,$A891,Versuchsdaten!$B$2:$B$1117,$B891,Versuchsdaten!$C$2:$C$1117,"Sprint_10m",Versuchsdaten!$E$2:$E$1117,$E891,Versuchsdaten!$J$2:$J$1117,1)=1,SUMIFS(Versuchsdaten!$F$2:$F$1117,Versuchsdaten!$A$2:$A$1117,$A891,Versuchsdaten!$B$2:$B$1117,$B891,Versuchsdaten!$C$2:$C$1117,"Sprint_10m",Versuchsdaten!$E$2:$E$1117,$E891,Versuchsdaten!$J$2:$J$1117,1),""))</f>
        <v/>
      </c>
      <c r="M891" s="22">
        <f>IF(LEFT(C891,7)&lt;&gt;"Sprint_","",IF(COUNTIFS(Versuchsdaten!$A$2:$A$1117,$A891,Versuchsdaten!$B$2:$B$1117,$B891,Versuchsdaten!$C$2:$C$1117,"Sprint_30m",Versuchsdaten!$E$2:$E$1117,$E891,Versuchsdaten!$J$2:$J$1117,1)=1,SUMIFS(Versuchsdaten!$F$2:$F$1117,Versuchsdaten!$A$2:$A$1117,$A891,Versuchsdaten!$B$2:$B$1117,$B891,Versuchsdaten!$C$2:$C$1117,"Sprint_30m",Versuchsdaten!$E$2:$E$1117,$E891,Versuchsdaten!$J$2:$J$1117,1),""))</f>
        <v/>
      </c>
      <c r="N891" s="22">
        <f>IF(LEFT(C891,7)&lt;&gt;"Sprint_",0,IF(IF(ISNUMBER(K891),IF(K891&lt;=0,1,IF(5/K891&gt;10,1,0)),0)+IF(ISNUMBER(L891),IF(ISNUMBER(K891),IF(L891-K891&lt;=0,1,IF(5/(L891-K891)&gt;10,1,0)),IF(L891&lt;=0,1,IF(10/L891&gt;10,1,0))),0)+IF(ISNUMBER(M891),IF(ISNUMBER(L891),IF(M891-L891&lt;=0,1,IF(20/(M891-L891)&gt;10,1,0)),IF(ISNUMBER(K891),IF(M891-K891&lt;=0,1,IF(25/(M891-K891)&gt;10,1,0)),IF(M891&lt;=0,1,IF(30/M891&gt;10,1,0)))),0)&gt;0,1,0))</f>
        <v/>
      </c>
      <c r="O891" s="22">
        <f>IF(AND(J891=1,N891=0),1,0)</f>
        <v/>
      </c>
      <c r="P891" s="22">
        <f>INDEX(Personendaten!$J$2:$J$32,MATCH(A891,Personendaten!$A$2:$A$32,0))</f>
        <v/>
      </c>
      <c r="Q891" s="22">
        <f>IF(O891=1,"",IF(AND(B891="post",P891="nicht angetreten"),"NANG",IF(N891=1,"AUSL",IFERROR(VLOOKUP(H891,Vokabular!$A$2:$B$8,2,FALSE),"UNBEKANNT"))))</f>
        <v/>
      </c>
    </row>
    <row r="892">
      <c r="A892" s="5" t="inlineStr">
        <is>
          <t>VS-01</t>
        </is>
      </c>
      <c r="B892" s="5" t="inlineStr">
        <is>
          <t>post</t>
        </is>
      </c>
      <c r="C892" s="5" t="inlineStr">
        <is>
          <t>Sprint_30m</t>
        </is>
      </c>
      <c r="D892" s="5" t="inlineStr">
        <is>
          <t>–</t>
        </is>
      </c>
      <c r="E892" s="5" t="n">
        <v>3</v>
      </c>
      <c r="F892" s="5" t="n">
        <v>5.09</v>
      </c>
      <c r="G892" s="5" t="n"/>
      <c r="H892" s="5" t="n"/>
      <c r="I892" s="22">
        <f>INDEX(Personendaten!$C$2:$C$32,MATCH(A892,Personendaten!$A$2:$A$32,0))</f>
        <v/>
      </c>
      <c r="J892" s="22">
        <f>IF(AND(F892&lt;&gt;"",G892=""),1,0)</f>
        <v/>
      </c>
      <c r="K892" s="22">
        <f>IF(LEFT(C892,7)&lt;&gt;"Sprint_","",IF(COUNTIFS(Versuchsdaten!$A$2:$A$1117,$A892,Versuchsdaten!$B$2:$B$1117,$B892,Versuchsdaten!$C$2:$C$1117,"Sprint_5m",Versuchsdaten!$E$2:$E$1117,$E892,Versuchsdaten!$J$2:$J$1117,1)=1,SUMIFS(Versuchsdaten!$F$2:$F$1117,Versuchsdaten!$A$2:$A$1117,$A892,Versuchsdaten!$B$2:$B$1117,$B892,Versuchsdaten!$C$2:$C$1117,"Sprint_5m",Versuchsdaten!$E$2:$E$1117,$E892,Versuchsdaten!$J$2:$J$1117,1),""))</f>
        <v/>
      </c>
      <c r="L892" s="22">
        <f>IF(LEFT(C892,7)&lt;&gt;"Sprint_","",IF(COUNTIFS(Versuchsdaten!$A$2:$A$1117,$A892,Versuchsdaten!$B$2:$B$1117,$B892,Versuchsdaten!$C$2:$C$1117,"Sprint_10m",Versuchsdaten!$E$2:$E$1117,$E892,Versuchsdaten!$J$2:$J$1117,1)=1,SUMIFS(Versuchsdaten!$F$2:$F$1117,Versuchsdaten!$A$2:$A$1117,$A892,Versuchsdaten!$B$2:$B$1117,$B892,Versuchsdaten!$C$2:$C$1117,"Sprint_10m",Versuchsdaten!$E$2:$E$1117,$E892,Versuchsdaten!$J$2:$J$1117,1),""))</f>
        <v/>
      </c>
      <c r="M892" s="22">
        <f>IF(LEFT(C892,7)&lt;&gt;"Sprint_","",IF(COUNTIFS(Versuchsdaten!$A$2:$A$1117,$A892,Versuchsdaten!$B$2:$B$1117,$B892,Versuchsdaten!$C$2:$C$1117,"Sprint_30m",Versuchsdaten!$E$2:$E$1117,$E892,Versuchsdaten!$J$2:$J$1117,1)=1,SUMIFS(Versuchsdaten!$F$2:$F$1117,Versuchsdaten!$A$2:$A$1117,$A892,Versuchsdaten!$B$2:$B$1117,$B892,Versuchsdaten!$C$2:$C$1117,"Sprint_30m",Versuchsdaten!$E$2:$E$1117,$E892,Versuchsdaten!$J$2:$J$1117,1),""))</f>
        <v/>
      </c>
      <c r="N892" s="22">
        <f>IF(LEFT(C892,7)&lt;&gt;"Sprint_",0,IF(IF(ISNUMBER(K892),IF(K892&lt;=0,1,IF(5/K892&gt;10,1,0)),0)+IF(ISNUMBER(L892),IF(ISNUMBER(K892),IF(L892-K892&lt;=0,1,IF(5/(L892-K892)&gt;10,1,0)),IF(L892&lt;=0,1,IF(10/L892&gt;10,1,0))),0)+IF(ISNUMBER(M892),IF(ISNUMBER(L892),IF(M892-L892&lt;=0,1,IF(20/(M892-L892)&gt;10,1,0)),IF(ISNUMBER(K892),IF(M892-K892&lt;=0,1,IF(25/(M892-K892)&gt;10,1,0)),IF(M892&lt;=0,1,IF(30/M892&gt;10,1,0)))),0)&gt;0,1,0))</f>
        <v/>
      </c>
      <c r="O892" s="22">
        <f>IF(AND(J892=1,N892=0),1,0)</f>
        <v/>
      </c>
      <c r="P892" s="22">
        <f>INDEX(Personendaten!$J$2:$J$32,MATCH(A892,Personendaten!$A$2:$A$32,0))</f>
        <v/>
      </c>
      <c r="Q892" s="22">
        <f>IF(O892=1,"",IF(AND(B892="post",P892="nicht angetreten"),"NANG",IF(N892=1,"AUSL",IFERROR(VLOOKUP(H892,Vokabular!$A$2:$B$8,2,FALSE),"UNBEKANNT"))))</f>
        <v/>
      </c>
    </row>
    <row r="893">
      <c r="A893" s="5" t="inlineStr">
        <is>
          <t>VS-01</t>
        </is>
      </c>
      <c r="B893" s="5" t="inlineStr">
        <is>
          <t>post</t>
        </is>
      </c>
      <c r="C893" s="5" t="inlineStr">
        <is>
          <t>Standweitsprung</t>
        </is>
      </c>
      <c r="D893" s="5" t="inlineStr">
        <is>
          <t>–</t>
        </is>
      </c>
      <c r="E893" s="5" t="n">
        <v>1</v>
      </c>
      <c r="F893" s="5" t="n">
        <v>222</v>
      </c>
      <c r="G893" s="5" t="n"/>
      <c r="H893" s="5" t="n"/>
      <c r="I893" s="22">
        <f>INDEX(Personendaten!$C$2:$C$32,MATCH(A893,Personendaten!$A$2:$A$32,0))</f>
        <v/>
      </c>
      <c r="J893" s="22">
        <f>IF(AND(F893&lt;&gt;"",G893=""),1,0)</f>
        <v/>
      </c>
      <c r="K893" s="22">
        <f>IF(LEFT(C893,7)&lt;&gt;"Sprint_","",IF(COUNTIFS(Versuchsdaten!$A$2:$A$1117,$A893,Versuchsdaten!$B$2:$B$1117,$B893,Versuchsdaten!$C$2:$C$1117,"Sprint_5m",Versuchsdaten!$E$2:$E$1117,$E893,Versuchsdaten!$J$2:$J$1117,1)=1,SUMIFS(Versuchsdaten!$F$2:$F$1117,Versuchsdaten!$A$2:$A$1117,$A893,Versuchsdaten!$B$2:$B$1117,$B893,Versuchsdaten!$C$2:$C$1117,"Sprint_5m",Versuchsdaten!$E$2:$E$1117,$E893,Versuchsdaten!$J$2:$J$1117,1),""))</f>
        <v/>
      </c>
      <c r="L893" s="22">
        <f>IF(LEFT(C893,7)&lt;&gt;"Sprint_","",IF(COUNTIFS(Versuchsdaten!$A$2:$A$1117,$A893,Versuchsdaten!$B$2:$B$1117,$B893,Versuchsdaten!$C$2:$C$1117,"Sprint_10m",Versuchsdaten!$E$2:$E$1117,$E893,Versuchsdaten!$J$2:$J$1117,1)=1,SUMIFS(Versuchsdaten!$F$2:$F$1117,Versuchsdaten!$A$2:$A$1117,$A893,Versuchsdaten!$B$2:$B$1117,$B893,Versuchsdaten!$C$2:$C$1117,"Sprint_10m",Versuchsdaten!$E$2:$E$1117,$E893,Versuchsdaten!$J$2:$J$1117,1),""))</f>
        <v/>
      </c>
      <c r="M893" s="22">
        <f>IF(LEFT(C893,7)&lt;&gt;"Sprint_","",IF(COUNTIFS(Versuchsdaten!$A$2:$A$1117,$A893,Versuchsdaten!$B$2:$B$1117,$B893,Versuchsdaten!$C$2:$C$1117,"Sprint_30m",Versuchsdaten!$E$2:$E$1117,$E893,Versuchsdaten!$J$2:$J$1117,1)=1,SUMIFS(Versuchsdaten!$F$2:$F$1117,Versuchsdaten!$A$2:$A$1117,$A893,Versuchsdaten!$B$2:$B$1117,$B893,Versuchsdaten!$C$2:$C$1117,"Sprint_30m",Versuchsdaten!$E$2:$E$1117,$E893,Versuchsdaten!$J$2:$J$1117,1),""))</f>
        <v/>
      </c>
      <c r="N893" s="22">
        <f>IF(LEFT(C893,7)&lt;&gt;"Sprint_",0,IF(IF(ISNUMBER(K893),IF(K893&lt;=0,1,IF(5/K893&gt;10,1,0)),0)+IF(ISNUMBER(L893),IF(ISNUMBER(K893),IF(L893-K893&lt;=0,1,IF(5/(L893-K893)&gt;10,1,0)),IF(L893&lt;=0,1,IF(10/L893&gt;10,1,0))),0)+IF(ISNUMBER(M893),IF(ISNUMBER(L893),IF(M893-L893&lt;=0,1,IF(20/(M893-L893)&gt;10,1,0)),IF(ISNUMBER(K893),IF(M893-K893&lt;=0,1,IF(25/(M893-K893)&gt;10,1,0)),IF(M893&lt;=0,1,IF(30/M893&gt;10,1,0)))),0)&gt;0,1,0))</f>
        <v/>
      </c>
      <c r="O893" s="22">
        <f>IF(AND(J893=1,N893=0),1,0)</f>
        <v/>
      </c>
      <c r="P893" s="22">
        <f>INDEX(Personendaten!$J$2:$J$32,MATCH(A893,Personendaten!$A$2:$A$32,0))</f>
        <v/>
      </c>
      <c r="Q893" s="22">
        <f>IF(O893=1,"",IF(AND(B893="post",P893="nicht angetreten"),"NANG",IF(N893=1,"AUSL",IFERROR(VLOOKUP(H893,Vokabular!$A$2:$B$8,2,FALSE),"UNBEKANNT"))))</f>
        <v/>
      </c>
    </row>
    <row r="894">
      <c r="A894" s="5" t="inlineStr">
        <is>
          <t>VS-01</t>
        </is>
      </c>
      <c r="B894" s="5" t="inlineStr">
        <is>
          <t>post</t>
        </is>
      </c>
      <c r="C894" s="5" t="inlineStr">
        <is>
          <t>Standweitsprung</t>
        </is>
      </c>
      <c r="D894" s="5" t="inlineStr">
        <is>
          <t>–</t>
        </is>
      </c>
      <c r="E894" s="5" t="n">
        <v>2</v>
      </c>
      <c r="F894" s="5" t="n">
        <v>224</v>
      </c>
      <c r="G894" s="5" t="n"/>
      <c r="H894" s="5" t="n"/>
      <c r="I894" s="22">
        <f>INDEX(Personendaten!$C$2:$C$32,MATCH(A894,Personendaten!$A$2:$A$32,0))</f>
        <v/>
      </c>
      <c r="J894" s="22">
        <f>IF(AND(F894&lt;&gt;"",G894=""),1,0)</f>
        <v/>
      </c>
      <c r="K894" s="22">
        <f>IF(LEFT(C894,7)&lt;&gt;"Sprint_","",IF(COUNTIFS(Versuchsdaten!$A$2:$A$1117,$A894,Versuchsdaten!$B$2:$B$1117,$B894,Versuchsdaten!$C$2:$C$1117,"Sprint_5m",Versuchsdaten!$E$2:$E$1117,$E894,Versuchsdaten!$J$2:$J$1117,1)=1,SUMIFS(Versuchsdaten!$F$2:$F$1117,Versuchsdaten!$A$2:$A$1117,$A894,Versuchsdaten!$B$2:$B$1117,$B894,Versuchsdaten!$C$2:$C$1117,"Sprint_5m",Versuchsdaten!$E$2:$E$1117,$E894,Versuchsdaten!$J$2:$J$1117,1),""))</f>
        <v/>
      </c>
      <c r="L894" s="22">
        <f>IF(LEFT(C894,7)&lt;&gt;"Sprint_","",IF(COUNTIFS(Versuchsdaten!$A$2:$A$1117,$A894,Versuchsdaten!$B$2:$B$1117,$B894,Versuchsdaten!$C$2:$C$1117,"Sprint_10m",Versuchsdaten!$E$2:$E$1117,$E894,Versuchsdaten!$J$2:$J$1117,1)=1,SUMIFS(Versuchsdaten!$F$2:$F$1117,Versuchsdaten!$A$2:$A$1117,$A894,Versuchsdaten!$B$2:$B$1117,$B894,Versuchsdaten!$C$2:$C$1117,"Sprint_10m",Versuchsdaten!$E$2:$E$1117,$E894,Versuchsdaten!$J$2:$J$1117,1),""))</f>
        <v/>
      </c>
      <c r="M894" s="22">
        <f>IF(LEFT(C894,7)&lt;&gt;"Sprint_","",IF(COUNTIFS(Versuchsdaten!$A$2:$A$1117,$A894,Versuchsdaten!$B$2:$B$1117,$B894,Versuchsdaten!$C$2:$C$1117,"Sprint_30m",Versuchsdaten!$E$2:$E$1117,$E894,Versuchsdaten!$J$2:$J$1117,1)=1,SUMIFS(Versuchsdaten!$F$2:$F$1117,Versuchsdaten!$A$2:$A$1117,$A894,Versuchsdaten!$B$2:$B$1117,$B894,Versuchsdaten!$C$2:$C$1117,"Sprint_30m",Versuchsdaten!$E$2:$E$1117,$E894,Versuchsdaten!$J$2:$J$1117,1),""))</f>
        <v/>
      </c>
      <c r="N894" s="22">
        <f>IF(LEFT(C894,7)&lt;&gt;"Sprint_",0,IF(IF(ISNUMBER(K894),IF(K894&lt;=0,1,IF(5/K894&gt;10,1,0)),0)+IF(ISNUMBER(L894),IF(ISNUMBER(K894),IF(L894-K894&lt;=0,1,IF(5/(L894-K894)&gt;10,1,0)),IF(L894&lt;=0,1,IF(10/L894&gt;10,1,0))),0)+IF(ISNUMBER(M894),IF(ISNUMBER(L894),IF(M894-L894&lt;=0,1,IF(20/(M894-L894)&gt;10,1,0)),IF(ISNUMBER(K894),IF(M894-K894&lt;=0,1,IF(25/(M894-K894)&gt;10,1,0)),IF(M894&lt;=0,1,IF(30/M894&gt;10,1,0)))),0)&gt;0,1,0))</f>
        <v/>
      </c>
      <c r="O894" s="22">
        <f>IF(AND(J894=1,N894=0),1,0)</f>
        <v/>
      </c>
      <c r="P894" s="22">
        <f>INDEX(Personendaten!$J$2:$J$32,MATCH(A894,Personendaten!$A$2:$A$32,0))</f>
        <v/>
      </c>
      <c r="Q894" s="22">
        <f>IF(O894=1,"",IF(AND(B894="post",P894="nicht angetreten"),"NANG",IF(N894=1,"AUSL",IFERROR(VLOOKUP(H894,Vokabular!$A$2:$B$8,2,FALSE),"UNBEKANNT"))))</f>
        <v/>
      </c>
    </row>
    <row r="895">
      <c r="A895" s="5" t="inlineStr">
        <is>
          <t>VS-01</t>
        </is>
      </c>
      <c r="B895" s="5" t="inlineStr">
        <is>
          <t>post</t>
        </is>
      </c>
      <c r="C895" s="5" t="inlineStr">
        <is>
          <t>Standweitsprung</t>
        </is>
      </c>
      <c r="D895" s="5" t="inlineStr">
        <is>
          <t>–</t>
        </is>
      </c>
      <c r="E895" s="5" t="n">
        <v>3</v>
      </c>
      <c r="F895" s="5" t="n"/>
      <c r="G895" s="5" t="n"/>
      <c r="H895" s="5" t="inlineStr">
        <is>
          <t>Nur 2 Versuche aus Zeitmangel</t>
        </is>
      </c>
      <c r="I895" s="22">
        <f>INDEX(Personendaten!$C$2:$C$32,MATCH(A895,Personendaten!$A$2:$A$32,0))</f>
        <v/>
      </c>
      <c r="J895" s="22">
        <f>IF(AND(F895&lt;&gt;"",G895=""),1,0)</f>
        <v/>
      </c>
      <c r="K895" s="22">
        <f>IF(LEFT(C895,7)&lt;&gt;"Sprint_","",IF(COUNTIFS(Versuchsdaten!$A$2:$A$1117,$A895,Versuchsdaten!$B$2:$B$1117,$B895,Versuchsdaten!$C$2:$C$1117,"Sprint_5m",Versuchsdaten!$E$2:$E$1117,$E895,Versuchsdaten!$J$2:$J$1117,1)=1,SUMIFS(Versuchsdaten!$F$2:$F$1117,Versuchsdaten!$A$2:$A$1117,$A895,Versuchsdaten!$B$2:$B$1117,$B895,Versuchsdaten!$C$2:$C$1117,"Sprint_5m",Versuchsdaten!$E$2:$E$1117,$E895,Versuchsdaten!$J$2:$J$1117,1),""))</f>
        <v/>
      </c>
      <c r="L895" s="22">
        <f>IF(LEFT(C895,7)&lt;&gt;"Sprint_","",IF(COUNTIFS(Versuchsdaten!$A$2:$A$1117,$A895,Versuchsdaten!$B$2:$B$1117,$B895,Versuchsdaten!$C$2:$C$1117,"Sprint_10m",Versuchsdaten!$E$2:$E$1117,$E895,Versuchsdaten!$J$2:$J$1117,1)=1,SUMIFS(Versuchsdaten!$F$2:$F$1117,Versuchsdaten!$A$2:$A$1117,$A895,Versuchsdaten!$B$2:$B$1117,$B895,Versuchsdaten!$C$2:$C$1117,"Sprint_10m",Versuchsdaten!$E$2:$E$1117,$E895,Versuchsdaten!$J$2:$J$1117,1),""))</f>
        <v/>
      </c>
      <c r="M895" s="22">
        <f>IF(LEFT(C895,7)&lt;&gt;"Sprint_","",IF(COUNTIFS(Versuchsdaten!$A$2:$A$1117,$A895,Versuchsdaten!$B$2:$B$1117,$B895,Versuchsdaten!$C$2:$C$1117,"Sprint_30m",Versuchsdaten!$E$2:$E$1117,$E895,Versuchsdaten!$J$2:$J$1117,1)=1,SUMIFS(Versuchsdaten!$F$2:$F$1117,Versuchsdaten!$A$2:$A$1117,$A895,Versuchsdaten!$B$2:$B$1117,$B895,Versuchsdaten!$C$2:$C$1117,"Sprint_30m",Versuchsdaten!$E$2:$E$1117,$E895,Versuchsdaten!$J$2:$J$1117,1),""))</f>
        <v/>
      </c>
      <c r="N895" s="22">
        <f>IF(LEFT(C895,7)&lt;&gt;"Sprint_",0,IF(IF(ISNUMBER(K895),IF(K895&lt;=0,1,IF(5/K895&gt;10,1,0)),0)+IF(ISNUMBER(L895),IF(ISNUMBER(K895),IF(L895-K895&lt;=0,1,IF(5/(L895-K895)&gt;10,1,0)),IF(L895&lt;=0,1,IF(10/L895&gt;10,1,0))),0)+IF(ISNUMBER(M895),IF(ISNUMBER(L895),IF(M895-L895&lt;=0,1,IF(20/(M895-L895)&gt;10,1,0)),IF(ISNUMBER(K895),IF(M895-K895&lt;=0,1,IF(25/(M895-K895)&gt;10,1,0)),IF(M895&lt;=0,1,IF(30/M895&gt;10,1,0)))),0)&gt;0,1,0))</f>
        <v/>
      </c>
      <c r="O895" s="22">
        <f>IF(AND(J895=1,N895=0),1,0)</f>
        <v/>
      </c>
      <c r="P895" s="22">
        <f>INDEX(Personendaten!$J$2:$J$32,MATCH(A895,Personendaten!$A$2:$A$32,0))</f>
        <v/>
      </c>
      <c r="Q895" s="22">
        <f>IF(O895=1,"",IF(AND(B895="post",P895="nicht angetreten"),"NANG",IF(N895=1,"AUSL",IFERROR(VLOOKUP(H895,Vokabular!$A$2:$B$8,2,FALSE),"UNBEKANNT"))))</f>
        <v/>
      </c>
    </row>
    <row r="896">
      <c r="A896" s="5" t="inlineStr">
        <is>
          <t>VS-01</t>
        </is>
      </c>
      <c r="B896" s="5" t="inlineStr">
        <is>
          <t>post</t>
        </is>
      </c>
      <c r="C896" s="5" t="inlineStr">
        <is>
          <t>COD_505</t>
        </is>
      </c>
      <c r="D896" s="5" t="inlineStr">
        <is>
          <t>L</t>
        </is>
      </c>
      <c r="E896" s="5" t="n">
        <v>1</v>
      </c>
      <c r="F896" s="5" t="n">
        <v>2.4</v>
      </c>
      <c r="G896" s="5" t="n"/>
      <c r="H896" s="5" t="n"/>
      <c r="I896" s="22">
        <f>INDEX(Personendaten!$C$2:$C$32,MATCH(A896,Personendaten!$A$2:$A$32,0))</f>
        <v/>
      </c>
      <c r="J896" s="22">
        <f>IF(AND(F896&lt;&gt;"",G896=""),1,0)</f>
        <v/>
      </c>
      <c r="K896" s="22">
        <f>IF(LEFT(C896,7)&lt;&gt;"Sprint_","",IF(COUNTIFS(Versuchsdaten!$A$2:$A$1117,$A896,Versuchsdaten!$B$2:$B$1117,$B896,Versuchsdaten!$C$2:$C$1117,"Sprint_5m",Versuchsdaten!$E$2:$E$1117,$E896,Versuchsdaten!$J$2:$J$1117,1)=1,SUMIFS(Versuchsdaten!$F$2:$F$1117,Versuchsdaten!$A$2:$A$1117,$A896,Versuchsdaten!$B$2:$B$1117,$B896,Versuchsdaten!$C$2:$C$1117,"Sprint_5m",Versuchsdaten!$E$2:$E$1117,$E896,Versuchsdaten!$J$2:$J$1117,1),""))</f>
        <v/>
      </c>
      <c r="L896" s="22">
        <f>IF(LEFT(C896,7)&lt;&gt;"Sprint_","",IF(COUNTIFS(Versuchsdaten!$A$2:$A$1117,$A896,Versuchsdaten!$B$2:$B$1117,$B896,Versuchsdaten!$C$2:$C$1117,"Sprint_10m",Versuchsdaten!$E$2:$E$1117,$E896,Versuchsdaten!$J$2:$J$1117,1)=1,SUMIFS(Versuchsdaten!$F$2:$F$1117,Versuchsdaten!$A$2:$A$1117,$A896,Versuchsdaten!$B$2:$B$1117,$B896,Versuchsdaten!$C$2:$C$1117,"Sprint_10m",Versuchsdaten!$E$2:$E$1117,$E896,Versuchsdaten!$J$2:$J$1117,1),""))</f>
        <v/>
      </c>
      <c r="M896" s="22">
        <f>IF(LEFT(C896,7)&lt;&gt;"Sprint_","",IF(COUNTIFS(Versuchsdaten!$A$2:$A$1117,$A896,Versuchsdaten!$B$2:$B$1117,$B896,Versuchsdaten!$C$2:$C$1117,"Sprint_30m",Versuchsdaten!$E$2:$E$1117,$E896,Versuchsdaten!$J$2:$J$1117,1)=1,SUMIFS(Versuchsdaten!$F$2:$F$1117,Versuchsdaten!$A$2:$A$1117,$A896,Versuchsdaten!$B$2:$B$1117,$B896,Versuchsdaten!$C$2:$C$1117,"Sprint_30m",Versuchsdaten!$E$2:$E$1117,$E896,Versuchsdaten!$J$2:$J$1117,1),""))</f>
        <v/>
      </c>
      <c r="N896" s="22">
        <f>IF(LEFT(C896,7)&lt;&gt;"Sprint_",0,IF(IF(ISNUMBER(K896),IF(K896&lt;=0,1,IF(5/K896&gt;10,1,0)),0)+IF(ISNUMBER(L896),IF(ISNUMBER(K896),IF(L896-K896&lt;=0,1,IF(5/(L896-K896)&gt;10,1,0)),IF(L896&lt;=0,1,IF(10/L896&gt;10,1,0))),0)+IF(ISNUMBER(M896),IF(ISNUMBER(L896),IF(M896-L896&lt;=0,1,IF(20/(M896-L896)&gt;10,1,0)),IF(ISNUMBER(K896),IF(M896-K896&lt;=0,1,IF(25/(M896-K896)&gt;10,1,0)),IF(M896&lt;=0,1,IF(30/M896&gt;10,1,0)))),0)&gt;0,1,0))</f>
        <v/>
      </c>
      <c r="O896" s="22">
        <f>IF(AND(J896=1,N896=0),1,0)</f>
        <v/>
      </c>
      <c r="P896" s="22">
        <f>INDEX(Personendaten!$J$2:$J$32,MATCH(A896,Personendaten!$A$2:$A$32,0))</f>
        <v/>
      </c>
      <c r="Q896" s="22">
        <f>IF(O896=1,"",IF(AND(B896="post",P896="nicht angetreten"),"NANG",IF(N896=1,"AUSL",IFERROR(VLOOKUP(H896,Vokabular!$A$2:$B$8,2,FALSE),"UNBEKANNT"))))</f>
        <v/>
      </c>
    </row>
    <row r="897">
      <c r="A897" s="5" t="inlineStr">
        <is>
          <t>VS-01</t>
        </is>
      </c>
      <c r="B897" s="5" t="inlineStr">
        <is>
          <t>post</t>
        </is>
      </c>
      <c r="C897" s="5" t="inlineStr">
        <is>
          <t>COD_505</t>
        </is>
      </c>
      <c r="D897" s="5" t="inlineStr">
        <is>
          <t>L</t>
        </is>
      </c>
      <c r="E897" s="5" t="n">
        <v>2</v>
      </c>
      <c r="F897" s="5" t="n">
        <v>2.51</v>
      </c>
      <c r="G897" s="5" t="n"/>
      <c r="H897" s="5" t="n"/>
      <c r="I897" s="22">
        <f>INDEX(Personendaten!$C$2:$C$32,MATCH(A897,Personendaten!$A$2:$A$32,0))</f>
        <v/>
      </c>
      <c r="J897" s="22">
        <f>IF(AND(F897&lt;&gt;"",G897=""),1,0)</f>
        <v/>
      </c>
      <c r="K897" s="22">
        <f>IF(LEFT(C897,7)&lt;&gt;"Sprint_","",IF(COUNTIFS(Versuchsdaten!$A$2:$A$1117,$A897,Versuchsdaten!$B$2:$B$1117,$B897,Versuchsdaten!$C$2:$C$1117,"Sprint_5m",Versuchsdaten!$E$2:$E$1117,$E897,Versuchsdaten!$J$2:$J$1117,1)=1,SUMIFS(Versuchsdaten!$F$2:$F$1117,Versuchsdaten!$A$2:$A$1117,$A897,Versuchsdaten!$B$2:$B$1117,$B897,Versuchsdaten!$C$2:$C$1117,"Sprint_5m",Versuchsdaten!$E$2:$E$1117,$E897,Versuchsdaten!$J$2:$J$1117,1),""))</f>
        <v/>
      </c>
      <c r="L897" s="22">
        <f>IF(LEFT(C897,7)&lt;&gt;"Sprint_","",IF(COUNTIFS(Versuchsdaten!$A$2:$A$1117,$A897,Versuchsdaten!$B$2:$B$1117,$B897,Versuchsdaten!$C$2:$C$1117,"Sprint_10m",Versuchsdaten!$E$2:$E$1117,$E897,Versuchsdaten!$J$2:$J$1117,1)=1,SUMIFS(Versuchsdaten!$F$2:$F$1117,Versuchsdaten!$A$2:$A$1117,$A897,Versuchsdaten!$B$2:$B$1117,$B897,Versuchsdaten!$C$2:$C$1117,"Sprint_10m",Versuchsdaten!$E$2:$E$1117,$E897,Versuchsdaten!$J$2:$J$1117,1),""))</f>
        <v/>
      </c>
      <c r="M897" s="22">
        <f>IF(LEFT(C897,7)&lt;&gt;"Sprint_","",IF(COUNTIFS(Versuchsdaten!$A$2:$A$1117,$A897,Versuchsdaten!$B$2:$B$1117,$B897,Versuchsdaten!$C$2:$C$1117,"Sprint_30m",Versuchsdaten!$E$2:$E$1117,$E897,Versuchsdaten!$J$2:$J$1117,1)=1,SUMIFS(Versuchsdaten!$F$2:$F$1117,Versuchsdaten!$A$2:$A$1117,$A897,Versuchsdaten!$B$2:$B$1117,$B897,Versuchsdaten!$C$2:$C$1117,"Sprint_30m",Versuchsdaten!$E$2:$E$1117,$E897,Versuchsdaten!$J$2:$J$1117,1),""))</f>
        <v/>
      </c>
      <c r="N897" s="22">
        <f>IF(LEFT(C897,7)&lt;&gt;"Sprint_",0,IF(IF(ISNUMBER(K897),IF(K897&lt;=0,1,IF(5/K897&gt;10,1,0)),0)+IF(ISNUMBER(L897),IF(ISNUMBER(K897),IF(L897-K897&lt;=0,1,IF(5/(L897-K897)&gt;10,1,0)),IF(L897&lt;=0,1,IF(10/L897&gt;10,1,0))),0)+IF(ISNUMBER(M897),IF(ISNUMBER(L897),IF(M897-L897&lt;=0,1,IF(20/(M897-L897)&gt;10,1,0)),IF(ISNUMBER(K897),IF(M897-K897&lt;=0,1,IF(25/(M897-K897)&gt;10,1,0)),IF(M897&lt;=0,1,IF(30/M897&gt;10,1,0)))),0)&gt;0,1,0))</f>
        <v/>
      </c>
      <c r="O897" s="22">
        <f>IF(AND(J897=1,N897=0),1,0)</f>
        <v/>
      </c>
      <c r="P897" s="22">
        <f>INDEX(Personendaten!$J$2:$J$32,MATCH(A897,Personendaten!$A$2:$A$32,0))</f>
        <v/>
      </c>
      <c r="Q897" s="22">
        <f>IF(O897=1,"",IF(AND(B897="post",P897="nicht angetreten"),"NANG",IF(N897=1,"AUSL",IFERROR(VLOOKUP(H897,Vokabular!$A$2:$B$8,2,FALSE),"UNBEKANNT"))))</f>
        <v/>
      </c>
    </row>
    <row r="898">
      <c r="A898" s="5" t="inlineStr">
        <is>
          <t>VS-01</t>
        </is>
      </c>
      <c r="B898" s="5" t="inlineStr">
        <is>
          <t>post</t>
        </is>
      </c>
      <c r="C898" s="5" t="inlineStr">
        <is>
          <t>COD_505</t>
        </is>
      </c>
      <c r="D898" s="5" t="inlineStr">
        <is>
          <t>L</t>
        </is>
      </c>
      <c r="E898" s="5" t="n">
        <v>3</v>
      </c>
      <c r="F898" s="5" t="n"/>
      <c r="G898" s="5" t="n"/>
      <c r="H898" s="5" t="inlineStr">
        <is>
          <t>Nur 2 Versuche aus Zeitmangel</t>
        </is>
      </c>
      <c r="I898" s="22">
        <f>INDEX(Personendaten!$C$2:$C$32,MATCH(A898,Personendaten!$A$2:$A$32,0))</f>
        <v/>
      </c>
      <c r="J898" s="22">
        <f>IF(AND(F898&lt;&gt;"",G898=""),1,0)</f>
        <v/>
      </c>
      <c r="K898" s="22">
        <f>IF(LEFT(C898,7)&lt;&gt;"Sprint_","",IF(COUNTIFS(Versuchsdaten!$A$2:$A$1117,$A898,Versuchsdaten!$B$2:$B$1117,$B898,Versuchsdaten!$C$2:$C$1117,"Sprint_5m",Versuchsdaten!$E$2:$E$1117,$E898,Versuchsdaten!$J$2:$J$1117,1)=1,SUMIFS(Versuchsdaten!$F$2:$F$1117,Versuchsdaten!$A$2:$A$1117,$A898,Versuchsdaten!$B$2:$B$1117,$B898,Versuchsdaten!$C$2:$C$1117,"Sprint_5m",Versuchsdaten!$E$2:$E$1117,$E898,Versuchsdaten!$J$2:$J$1117,1),""))</f>
        <v/>
      </c>
      <c r="L898" s="22">
        <f>IF(LEFT(C898,7)&lt;&gt;"Sprint_","",IF(COUNTIFS(Versuchsdaten!$A$2:$A$1117,$A898,Versuchsdaten!$B$2:$B$1117,$B898,Versuchsdaten!$C$2:$C$1117,"Sprint_10m",Versuchsdaten!$E$2:$E$1117,$E898,Versuchsdaten!$J$2:$J$1117,1)=1,SUMIFS(Versuchsdaten!$F$2:$F$1117,Versuchsdaten!$A$2:$A$1117,$A898,Versuchsdaten!$B$2:$B$1117,$B898,Versuchsdaten!$C$2:$C$1117,"Sprint_10m",Versuchsdaten!$E$2:$E$1117,$E898,Versuchsdaten!$J$2:$J$1117,1),""))</f>
        <v/>
      </c>
      <c r="M898" s="22">
        <f>IF(LEFT(C898,7)&lt;&gt;"Sprint_","",IF(COUNTIFS(Versuchsdaten!$A$2:$A$1117,$A898,Versuchsdaten!$B$2:$B$1117,$B898,Versuchsdaten!$C$2:$C$1117,"Sprint_30m",Versuchsdaten!$E$2:$E$1117,$E898,Versuchsdaten!$J$2:$J$1117,1)=1,SUMIFS(Versuchsdaten!$F$2:$F$1117,Versuchsdaten!$A$2:$A$1117,$A898,Versuchsdaten!$B$2:$B$1117,$B898,Versuchsdaten!$C$2:$C$1117,"Sprint_30m",Versuchsdaten!$E$2:$E$1117,$E898,Versuchsdaten!$J$2:$J$1117,1),""))</f>
        <v/>
      </c>
      <c r="N898" s="22">
        <f>IF(LEFT(C898,7)&lt;&gt;"Sprint_",0,IF(IF(ISNUMBER(K898),IF(K898&lt;=0,1,IF(5/K898&gt;10,1,0)),0)+IF(ISNUMBER(L898),IF(ISNUMBER(K898),IF(L898-K898&lt;=0,1,IF(5/(L898-K898)&gt;10,1,0)),IF(L898&lt;=0,1,IF(10/L898&gt;10,1,0))),0)+IF(ISNUMBER(M898),IF(ISNUMBER(L898),IF(M898-L898&lt;=0,1,IF(20/(M898-L898)&gt;10,1,0)),IF(ISNUMBER(K898),IF(M898-K898&lt;=0,1,IF(25/(M898-K898)&gt;10,1,0)),IF(M898&lt;=0,1,IF(30/M898&gt;10,1,0)))),0)&gt;0,1,0))</f>
        <v/>
      </c>
      <c r="O898" s="22">
        <f>IF(AND(J898=1,N898=0),1,0)</f>
        <v/>
      </c>
      <c r="P898" s="22">
        <f>INDEX(Personendaten!$J$2:$J$32,MATCH(A898,Personendaten!$A$2:$A$32,0))</f>
        <v/>
      </c>
      <c r="Q898" s="22">
        <f>IF(O898=1,"",IF(AND(B898="post",P898="nicht angetreten"),"NANG",IF(N898=1,"AUSL",IFERROR(VLOOKUP(H898,Vokabular!$A$2:$B$8,2,FALSE),"UNBEKANNT"))))</f>
        <v/>
      </c>
    </row>
    <row r="899">
      <c r="A899" s="5" t="inlineStr">
        <is>
          <t>VS-01</t>
        </is>
      </c>
      <c r="B899" s="5" t="inlineStr">
        <is>
          <t>post</t>
        </is>
      </c>
      <c r="C899" s="5" t="inlineStr">
        <is>
          <t>COD_505</t>
        </is>
      </c>
      <c r="D899" s="5" t="inlineStr">
        <is>
          <t>R</t>
        </is>
      </c>
      <c r="E899" s="5" t="n">
        <v>1</v>
      </c>
      <c r="F899" s="5" t="n">
        <v>2.49</v>
      </c>
      <c r="G899" s="5" t="n"/>
      <c r="H899" s="5" t="n"/>
      <c r="I899" s="22">
        <f>INDEX(Personendaten!$C$2:$C$32,MATCH(A899,Personendaten!$A$2:$A$32,0))</f>
        <v/>
      </c>
      <c r="J899" s="22">
        <f>IF(AND(F899&lt;&gt;"",G899=""),1,0)</f>
        <v/>
      </c>
      <c r="K899" s="22">
        <f>IF(LEFT(C899,7)&lt;&gt;"Sprint_","",IF(COUNTIFS(Versuchsdaten!$A$2:$A$1117,$A899,Versuchsdaten!$B$2:$B$1117,$B899,Versuchsdaten!$C$2:$C$1117,"Sprint_5m",Versuchsdaten!$E$2:$E$1117,$E899,Versuchsdaten!$J$2:$J$1117,1)=1,SUMIFS(Versuchsdaten!$F$2:$F$1117,Versuchsdaten!$A$2:$A$1117,$A899,Versuchsdaten!$B$2:$B$1117,$B899,Versuchsdaten!$C$2:$C$1117,"Sprint_5m",Versuchsdaten!$E$2:$E$1117,$E899,Versuchsdaten!$J$2:$J$1117,1),""))</f>
        <v/>
      </c>
      <c r="L899" s="22">
        <f>IF(LEFT(C899,7)&lt;&gt;"Sprint_","",IF(COUNTIFS(Versuchsdaten!$A$2:$A$1117,$A899,Versuchsdaten!$B$2:$B$1117,$B899,Versuchsdaten!$C$2:$C$1117,"Sprint_10m",Versuchsdaten!$E$2:$E$1117,$E899,Versuchsdaten!$J$2:$J$1117,1)=1,SUMIFS(Versuchsdaten!$F$2:$F$1117,Versuchsdaten!$A$2:$A$1117,$A899,Versuchsdaten!$B$2:$B$1117,$B899,Versuchsdaten!$C$2:$C$1117,"Sprint_10m",Versuchsdaten!$E$2:$E$1117,$E899,Versuchsdaten!$J$2:$J$1117,1),""))</f>
        <v/>
      </c>
      <c r="M899" s="22">
        <f>IF(LEFT(C899,7)&lt;&gt;"Sprint_","",IF(COUNTIFS(Versuchsdaten!$A$2:$A$1117,$A899,Versuchsdaten!$B$2:$B$1117,$B899,Versuchsdaten!$C$2:$C$1117,"Sprint_30m",Versuchsdaten!$E$2:$E$1117,$E899,Versuchsdaten!$J$2:$J$1117,1)=1,SUMIFS(Versuchsdaten!$F$2:$F$1117,Versuchsdaten!$A$2:$A$1117,$A899,Versuchsdaten!$B$2:$B$1117,$B899,Versuchsdaten!$C$2:$C$1117,"Sprint_30m",Versuchsdaten!$E$2:$E$1117,$E899,Versuchsdaten!$J$2:$J$1117,1),""))</f>
        <v/>
      </c>
      <c r="N899" s="22">
        <f>IF(LEFT(C899,7)&lt;&gt;"Sprint_",0,IF(IF(ISNUMBER(K899),IF(K899&lt;=0,1,IF(5/K899&gt;10,1,0)),0)+IF(ISNUMBER(L899),IF(ISNUMBER(K899),IF(L899-K899&lt;=0,1,IF(5/(L899-K899)&gt;10,1,0)),IF(L899&lt;=0,1,IF(10/L899&gt;10,1,0))),0)+IF(ISNUMBER(M899),IF(ISNUMBER(L899),IF(M899-L899&lt;=0,1,IF(20/(M899-L899)&gt;10,1,0)),IF(ISNUMBER(K899),IF(M899-K899&lt;=0,1,IF(25/(M899-K899)&gt;10,1,0)),IF(M899&lt;=0,1,IF(30/M899&gt;10,1,0)))),0)&gt;0,1,0))</f>
        <v/>
      </c>
      <c r="O899" s="22">
        <f>IF(AND(J899=1,N899=0),1,0)</f>
        <v/>
      </c>
      <c r="P899" s="22">
        <f>INDEX(Personendaten!$J$2:$J$32,MATCH(A899,Personendaten!$A$2:$A$32,0))</f>
        <v/>
      </c>
      <c r="Q899" s="22">
        <f>IF(O899=1,"",IF(AND(B899="post",P899="nicht angetreten"),"NANG",IF(N899=1,"AUSL",IFERROR(VLOOKUP(H899,Vokabular!$A$2:$B$8,2,FALSE),"UNBEKANNT"))))</f>
        <v/>
      </c>
    </row>
    <row r="900">
      <c r="A900" s="5" t="inlineStr">
        <is>
          <t>VS-01</t>
        </is>
      </c>
      <c r="B900" s="5" t="inlineStr">
        <is>
          <t>post</t>
        </is>
      </c>
      <c r="C900" s="5" t="inlineStr">
        <is>
          <t>COD_505</t>
        </is>
      </c>
      <c r="D900" s="5" t="inlineStr">
        <is>
          <t>R</t>
        </is>
      </c>
      <c r="E900" s="5" t="n">
        <v>2</v>
      </c>
      <c r="F900" s="5" t="n">
        <v>2.5</v>
      </c>
      <c r="G900" s="5" t="n"/>
      <c r="H900" s="5" t="n"/>
      <c r="I900" s="22">
        <f>INDEX(Personendaten!$C$2:$C$32,MATCH(A900,Personendaten!$A$2:$A$32,0))</f>
        <v/>
      </c>
      <c r="J900" s="22">
        <f>IF(AND(F900&lt;&gt;"",G900=""),1,0)</f>
        <v/>
      </c>
      <c r="K900" s="22">
        <f>IF(LEFT(C900,7)&lt;&gt;"Sprint_","",IF(COUNTIFS(Versuchsdaten!$A$2:$A$1117,$A900,Versuchsdaten!$B$2:$B$1117,$B900,Versuchsdaten!$C$2:$C$1117,"Sprint_5m",Versuchsdaten!$E$2:$E$1117,$E900,Versuchsdaten!$J$2:$J$1117,1)=1,SUMIFS(Versuchsdaten!$F$2:$F$1117,Versuchsdaten!$A$2:$A$1117,$A900,Versuchsdaten!$B$2:$B$1117,$B900,Versuchsdaten!$C$2:$C$1117,"Sprint_5m",Versuchsdaten!$E$2:$E$1117,$E900,Versuchsdaten!$J$2:$J$1117,1),""))</f>
        <v/>
      </c>
      <c r="L900" s="22">
        <f>IF(LEFT(C900,7)&lt;&gt;"Sprint_","",IF(COUNTIFS(Versuchsdaten!$A$2:$A$1117,$A900,Versuchsdaten!$B$2:$B$1117,$B900,Versuchsdaten!$C$2:$C$1117,"Sprint_10m",Versuchsdaten!$E$2:$E$1117,$E900,Versuchsdaten!$J$2:$J$1117,1)=1,SUMIFS(Versuchsdaten!$F$2:$F$1117,Versuchsdaten!$A$2:$A$1117,$A900,Versuchsdaten!$B$2:$B$1117,$B900,Versuchsdaten!$C$2:$C$1117,"Sprint_10m",Versuchsdaten!$E$2:$E$1117,$E900,Versuchsdaten!$J$2:$J$1117,1),""))</f>
        <v/>
      </c>
      <c r="M900" s="22">
        <f>IF(LEFT(C900,7)&lt;&gt;"Sprint_","",IF(COUNTIFS(Versuchsdaten!$A$2:$A$1117,$A900,Versuchsdaten!$B$2:$B$1117,$B900,Versuchsdaten!$C$2:$C$1117,"Sprint_30m",Versuchsdaten!$E$2:$E$1117,$E900,Versuchsdaten!$J$2:$J$1117,1)=1,SUMIFS(Versuchsdaten!$F$2:$F$1117,Versuchsdaten!$A$2:$A$1117,$A900,Versuchsdaten!$B$2:$B$1117,$B900,Versuchsdaten!$C$2:$C$1117,"Sprint_30m",Versuchsdaten!$E$2:$E$1117,$E900,Versuchsdaten!$J$2:$J$1117,1),""))</f>
        <v/>
      </c>
      <c r="N900" s="22">
        <f>IF(LEFT(C900,7)&lt;&gt;"Sprint_",0,IF(IF(ISNUMBER(K900),IF(K900&lt;=0,1,IF(5/K900&gt;10,1,0)),0)+IF(ISNUMBER(L900),IF(ISNUMBER(K900),IF(L900-K900&lt;=0,1,IF(5/(L900-K900)&gt;10,1,0)),IF(L900&lt;=0,1,IF(10/L900&gt;10,1,0))),0)+IF(ISNUMBER(M900),IF(ISNUMBER(L900),IF(M900-L900&lt;=0,1,IF(20/(M900-L900)&gt;10,1,0)),IF(ISNUMBER(K900),IF(M900-K900&lt;=0,1,IF(25/(M900-K900)&gt;10,1,0)),IF(M900&lt;=0,1,IF(30/M900&gt;10,1,0)))),0)&gt;0,1,0))</f>
        <v/>
      </c>
      <c r="O900" s="22">
        <f>IF(AND(J900=1,N900=0),1,0)</f>
        <v/>
      </c>
      <c r="P900" s="22">
        <f>INDEX(Personendaten!$J$2:$J$32,MATCH(A900,Personendaten!$A$2:$A$32,0))</f>
        <v/>
      </c>
      <c r="Q900" s="22">
        <f>IF(O900=1,"",IF(AND(B900="post",P900="nicht angetreten"),"NANG",IF(N900=1,"AUSL",IFERROR(VLOOKUP(H900,Vokabular!$A$2:$B$8,2,FALSE),"UNBEKANNT"))))</f>
        <v/>
      </c>
    </row>
    <row r="901">
      <c r="A901" s="5" t="inlineStr">
        <is>
          <t>VS-01</t>
        </is>
      </c>
      <c r="B901" s="5" t="inlineStr">
        <is>
          <t>post</t>
        </is>
      </c>
      <c r="C901" s="5" t="inlineStr">
        <is>
          <t>COD_505</t>
        </is>
      </c>
      <c r="D901" s="5" t="inlineStr">
        <is>
          <t>R</t>
        </is>
      </c>
      <c r="E901" s="5" t="n">
        <v>3</v>
      </c>
      <c r="F901" s="5" t="n"/>
      <c r="G901" s="5" t="n"/>
      <c r="H901" s="5" t="inlineStr">
        <is>
          <t>Nur 2 Versuche aus Zeitmangel</t>
        </is>
      </c>
      <c r="I901" s="22">
        <f>INDEX(Personendaten!$C$2:$C$32,MATCH(A901,Personendaten!$A$2:$A$32,0))</f>
        <v/>
      </c>
      <c r="J901" s="22">
        <f>IF(AND(F901&lt;&gt;"",G901=""),1,0)</f>
        <v/>
      </c>
      <c r="K901" s="22">
        <f>IF(LEFT(C901,7)&lt;&gt;"Sprint_","",IF(COUNTIFS(Versuchsdaten!$A$2:$A$1117,$A901,Versuchsdaten!$B$2:$B$1117,$B901,Versuchsdaten!$C$2:$C$1117,"Sprint_5m",Versuchsdaten!$E$2:$E$1117,$E901,Versuchsdaten!$J$2:$J$1117,1)=1,SUMIFS(Versuchsdaten!$F$2:$F$1117,Versuchsdaten!$A$2:$A$1117,$A901,Versuchsdaten!$B$2:$B$1117,$B901,Versuchsdaten!$C$2:$C$1117,"Sprint_5m",Versuchsdaten!$E$2:$E$1117,$E901,Versuchsdaten!$J$2:$J$1117,1),""))</f>
        <v/>
      </c>
      <c r="L901" s="22">
        <f>IF(LEFT(C901,7)&lt;&gt;"Sprint_","",IF(COUNTIFS(Versuchsdaten!$A$2:$A$1117,$A901,Versuchsdaten!$B$2:$B$1117,$B901,Versuchsdaten!$C$2:$C$1117,"Sprint_10m",Versuchsdaten!$E$2:$E$1117,$E901,Versuchsdaten!$J$2:$J$1117,1)=1,SUMIFS(Versuchsdaten!$F$2:$F$1117,Versuchsdaten!$A$2:$A$1117,$A901,Versuchsdaten!$B$2:$B$1117,$B901,Versuchsdaten!$C$2:$C$1117,"Sprint_10m",Versuchsdaten!$E$2:$E$1117,$E901,Versuchsdaten!$J$2:$J$1117,1),""))</f>
        <v/>
      </c>
      <c r="M901" s="22">
        <f>IF(LEFT(C901,7)&lt;&gt;"Sprint_","",IF(COUNTIFS(Versuchsdaten!$A$2:$A$1117,$A901,Versuchsdaten!$B$2:$B$1117,$B901,Versuchsdaten!$C$2:$C$1117,"Sprint_30m",Versuchsdaten!$E$2:$E$1117,$E901,Versuchsdaten!$J$2:$J$1117,1)=1,SUMIFS(Versuchsdaten!$F$2:$F$1117,Versuchsdaten!$A$2:$A$1117,$A901,Versuchsdaten!$B$2:$B$1117,$B901,Versuchsdaten!$C$2:$C$1117,"Sprint_30m",Versuchsdaten!$E$2:$E$1117,$E901,Versuchsdaten!$J$2:$J$1117,1),""))</f>
        <v/>
      </c>
      <c r="N901" s="22">
        <f>IF(LEFT(C901,7)&lt;&gt;"Sprint_",0,IF(IF(ISNUMBER(K901),IF(K901&lt;=0,1,IF(5/K901&gt;10,1,0)),0)+IF(ISNUMBER(L901),IF(ISNUMBER(K901),IF(L901-K901&lt;=0,1,IF(5/(L901-K901)&gt;10,1,0)),IF(L901&lt;=0,1,IF(10/L901&gt;10,1,0))),0)+IF(ISNUMBER(M901),IF(ISNUMBER(L901),IF(M901-L901&lt;=0,1,IF(20/(M901-L901)&gt;10,1,0)),IF(ISNUMBER(K901),IF(M901-K901&lt;=0,1,IF(25/(M901-K901)&gt;10,1,0)),IF(M901&lt;=0,1,IF(30/M901&gt;10,1,0)))),0)&gt;0,1,0))</f>
        <v/>
      </c>
      <c r="O901" s="22">
        <f>IF(AND(J901=1,N901=0),1,0)</f>
        <v/>
      </c>
      <c r="P901" s="22">
        <f>INDEX(Personendaten!$J$2:$J$32,MATCH(A901,Personendaten!$A$2:$A$32,0))</f>
        <v/>
      </c>
      <c r="Q901" s="22">
        <f>IF(O901=1,"",IF(AND(B901="post",P901="nicht angetreten"),"NANG",IF(N901=1,"AUSL",IFERROR(VLOOKUP(H901,Vokabular!$A$2:$B$8,2,FALSE),"UNBEKANNT"))))</f>
        <v/>
      </c>
    </row>
    <row r="902">
      <c r="A902" s="5" t="inlineStr">
        <is>
          <t>VS-02</t>
        </is>
      </c>
      <c r="B902" s="5" t="inlineStr">
        <is>
          <t>post</t>
        </is>
      </c>
      <c r="C902" s="5" t="inlineStr">
        <is>
          <t>Sprint_5m</t>
        </is>
      </c>
      <c r="D902" s="5" t="inlineStr">
        <is>
          <t>–</t>
        </is>
      </c>
      <c r="E902" s="5" t="n">
        <v>1</v>
      </c>
      <c r="F902" s="5" t="n"/>
      <c r="G902" s="5" t="n"/>
      <c r="H902" s="5" t="inlineStr">
        <is>
          <t>System nicht aufgenommen</t>
        </is>
      </c>
      <c r="I902" s="22">
        <f>INDEX(Personendaten!$C$2:$C$32,MATCH(A902,Personendaten!$A$2:$A$32,0))</f>
        <v/>
      </c>
      <c r="J902" s="22">
        <f>IF(AND(F902&lt;&gt;"",G902=""),1,0)</f>
        <v/>
      </c>
      <c r="K902" s="22">
        <f>IF(LEFT(C902,7)&lt;&gt;"Sprint_","",IF(COUNTIFS(Versuchsdaten!$A$2:$A$1117,$A902,Versuchsdaten!$B$2:$B$1117,$B902,Versuchsdaten!$C$2:$C$1117,"Sprint_5m",Versuchsdaten!$E$2:$E$1117,$E902,Versuchsdaten!$J$2:$J$1117,1)=1,SUMIFS(Versuchsdaten!$F$2:$F$1117,Versuchsdaten!$A$2:$A$1117,$A902,Versuchsdaten!$B$2:$B$1117,$B902,Versuchsdaten!$C$2:$C$1117,"Sprint_5m",Versuchsdaten!$E$2:$E$1117,$E902,Versuchsdaten!$J$2:$J$1117,1),""))</f>
        <v/>
      </c>
      <c r="L902" s="22">
        <f>IF(LEFT(C902,7)&lt;&gt;"Sprint_","",IF(COUNTIFS(Versuchsdaten!$A$2:$A$1117,$A902,Versuchsdaten!$B$2:$B$1117,$B902,Versuchsdaten!$C$2:$C$1117,"Sprint_10m",Versuchsdaten!$E$2:$E$1117,$E902,Versuchsdaten!$J$2:$J$1117,1)=1,SUMIFS(Versuchsdaten!$F$2:$F$1117,Versuchsdaten!$A$2:$A$1117,$A902,Versuchsdaten!$B$2:$B$1117,$B902,Versuchsdaten!$C$2:$C$1117,"Sprint_10m",Versuchsdaten!$E$2:$E$1117,$E902,Versuchsdaten!$J$2:$J$1117,1),""))</f>
        <v/>
      </c>
      <c r="M902" s="22">
        <f>IF(LEFT(C902,7)&lt;&gt;"Sprint_","",IF(COUNTIFS(Versuchsdaten!$A$2:$A$1117,$A902,Versuchsdaten!$B$2:$B$1117,$B902,Versuchsdaten!$C$2:$C$1117,"Sprint_30m",Versuchsdaten!$E$2:$E$1117,$E902,Versuchsdaten!$J$2:$J$1117,1)=1,SUMIFS(Versuchsdaten!$F$2:$F$1117,Versuchsdaten!$A$2:$A$1117,$A902,Versuchsdaten!$B$2:$B$1117,$B902,Versuchsdaten!$C$2:$C$1117,"Sprint_30m",Versuchsdaten!$E$2:$E$1117,$E902,Versuchsdaten!$J$2:$J$1117,1),""))</f>
        <v/>
      </c>
      <c r="N902" s="22">
        <f>IF(LEFT(C902,7)&lt;&gt;"Sprint_",0,IF(IF(ISNUMBER(K902),IF(K902&lt;=0,1,IF(5/K902&gt;10,1,0)),0)+IF(ISNUMBER(L902),IF(ISNUMBER(K902),IF(L902-K902&lt;=0,1,IF(5/(L902-K902)&gt;10,1,0)),IF(L902&lt;=0,1,IF(10/L902&gt;10,1,0))),0)+IF(ISNUMBER(M902),IF(ISNUMBER(L902),IF(M902-L902&lt;=0,1,IF(20/(M902-L902)&gt;10,1,0)),IF(ISNUMBER(K902),IF(M902-K902&lt;=0,1,IF(25/(M902-K902)&gt;10,1,0)),IF(M902&lt;=0,1,IF(30/M902&gt;10,1,0)))),0)&gt;0,1,0))</f>
        <v/>
      </c>
      <c r="O902" s="22">
        <f>IF(AND(J902=1,N902=0),1,0)</f>
        <v/>
      </c>
      <c r="P902" s="22">
        <f>INDEX(Personendaten!$J$2:$J$32,MATCH(A902,Personendaten!$A$2:$A$32,0))</f>
        <v/>
      </c>
      <c r="Q902" s="22">
        <f>IF(O902=1,"",IF(AND(B902="post",P902="nicht angetreten"),"NANG",IF(N902=1,"AUSL",IFERROR(VLOOKUP(H902,Vokabular!$A$2:$B$8,2,FALSE),"UNBEKANNT"))))</f>
        <v/>
      </c>
    </row>
    <row r="903">
      <c r="A903" s="5" t="inlineStr">
        <is>
          <t>VS-02</t>
        </is>
      </c>
      <c r="B903" s="5" t="inlineStr">
        <is>
          <t>post</t>
        </is>
      </c>
      <c r="C903" s="5" t="inlineStr">
        <is>
          <t>Sprint_5m</t>
        </is>
      </c>
      <c r="D903" s="5" t="inlineStr">
        <is>
          <t>–</t>
        </is>
      </c>
      <c r="E903" s="5" t="n">
        <v>2</v>
      </c>
      <c r="F903" s="5" t="n">
        <v>1.26</v>
      </c>
      <c r="G903" s="5" t="n"/>
      <c r="H903" s="5" t="n"/>
      <c r="I903" s="22">
        <f>INDEX(Personendaten!$C$2:$C$32,MATCH(A903,Personendaten!$A$2:$A$32,0))</f>
        <v/>
      </c>
      <c r="J903" s="22">
        <f>IF(AND(F903&lt;&gt;"",G903=""),1,0)</f>
        <v/>
      </c>
      <c r="K903" s="22">
        <f>IF(LEFT(C903,7)&lt;&gt;"Sprint_","",IF(COUNTIFS(Versuchsdaten!$A$2:$A$1117,$A903,Versuchsdaten!$B$2:$B$1117,$B903,Versuchsdaten!$C$2:$C$1117,"Sprint_5m",Versuchsdaten!$E$2:$E$1117,$E903,Versuchsdaten!$J$2:$J$1117,1)=1,SUMIFS(Versuchsdaten!$F$2:$F$1117,Versuchsdaten!$A$2:$A$1117,$A903,Versuchsdaten!$B$2:$B$1117,$B903,Versuchsdaten!$C$2:$C$1117,"Sprint_5m",Versuchsdaten!$E$2:$E$1117,$E903,Versuchsdaten!$J$2:$J$1117,1),""))</f>
        <v/>
      </c>
      <c r="L903" s="22">
        <f>IF(LEFT(C903,7)&lt;&gt;"Sprint_","",IF(COUNTIFS(Versuchsdaten!$A$2:$A$1117,$A903,Versuchsdaten!$B$2:$B$1117,$B903,Versuchsdaten!$C$2:$C$1117,"Sprint_10m",Versuchsdaten!$E$2:$E$1117,$E903,Versuchsdaten!$J$2:$J$1117,1)=1,SUMIFS(Versuchsdaten!$F$2:$F$1117,Versuchsdaten!$A$2:$A$1117,$A903,Versuchsdaten!$B$2:$B$1117,$B903,Versuchsdaten!$C$2:$C$1117,"Sprint_10m",Versuchsdaten!$E$2:$E$1117,$E903,Versuchsdaten!$J$2:$J$1117,1),""))</f>
        <v/>
      </c>
      <c r="M903" s="22">
        <f>IF(LEFT(C903,7)&lt;&gt;"Sprint_","",IF(COUNTIFS(Versuchsdaten!$A$2:$A$1117,$A903,Versuchsdaten!$B$2:$B$1117,$B903,Versuchsdaten!$C$2:$C$1117,"Sprint_30m",Versuchsdaten!$E$2:$E$1117,$E903,Versuchsdaten!$J$2:$J$1117,1)=1,SUMIFS(Versuchsdaten!$F$2:$F$1117,Versuchsdaten!$A$2:$A$1117,$A903,Versuchsdaten!$B$2:$B$1117,$B903,Versuchsdaten!$C$2:$C$1117,"Sprint_30m",Versuchsdaten!$E$2:$E$1117,$E903,Versuchsdaten!$J$2:$J$1117,1),""))</f>
        <v/>
      </c>
      <c r="N903" s="22">
        <f>IF(LEFT(C903,7)&lt;&gt;"Sprint_",0,IF(IF(ISNUMBER(K903),IF(K903&lt;=0,1,IF(5/K903&gt;10,1,0)),0)+IF(ISNUMBER(L903),IF(ISNUMBER(K903),IF(L903-K903&lt;=0,1,IF(5/(L903-K903)&gt;10,1,0)),IF(L903&lt;=0,1,IF(10/L903&gt;10,1,0))),0)+IF(ISNUMBER(M903),IF(ISNUMBER(L903),IF(M903-L903&lt;=0,1,IF(20/(M903-L903)&gt;10,1,0)),IF(ISNUMBER(K903),IF(M903-K903&lt;=0,1,IF(25/(M903-K903)&gt;10,1,0)),IF(M903&lt;=0,1,IF(30/M903&gt;10,1,0)))),0)&gt;0,1,0))</f>
        <v/>
      </c>
      <c r="O903" s="22">
        <f>IF(AND(J903=1,N903=0),1,0)</f>
        <v/>
      </c>
      <c r="P903" s="22">
        <f>INDEX(Personendaten!$J$2:$J$32,MATCH(A903,Personendaten!$A$2:$A$32,0))</f>
        <v/>
      </c>
      <c r="Q903" s="22">
        <f>IF(O903=1,"",IF(AND(B903="post",P903="nicht angetreten"),"NANG",IF(N903=1,"AUSL",IFERROR(VLOOKUP(H903,Vokabular!$A$2:$B$8,2,FALSE),"UNBEKANNT"))))</f>
        <v/>
      </c>
    </row>
    <row r="904">
      <c r="A904" s="5" t="inlineStr">
        <is>
          <t>VS-02</t>
        </is>
      </c>
      <c r="B904" s="5" t="inlineStr">
        <is>
          <t>post</t>
        </is>
      </c>
      <c r="C904" s="5" t="inlineStr">
        <is>
          <t>Sprint_5m</t>
        </is>
      </c>
      <c r="D904" s="5" t="inlineStr">
        <is>
          <t>–</t>
        </is>
      </c>
      <c r="E904" s="5" t="n">
        <v>3</v>
      </c>
      <c r="F904" s="5" t="n">
        <v>1.24</v>
      </c>
      <c r="G904" s="5" t="n"/>
      <c r="H904" s="5" t="n"/>
      <c r="I904" s="22">
        <f>INDEX(Personendaten!$C$2:$C$32,MATCH(A904,Personendaten!$A$2:$A$32,0))</f>
        <v/>
      </c>
      <c r="J904" s="22">
        <f>IF(AND(F904&lt;&gt;"",G904=""),1,0)</f>
        <v/>
      </c>
      <c r="K904" s="22">
        <f>IF(LEFT(C904,7)&lt;&gt;"Sprint_","",IF(COUNTIFS(Versuchsdaten!$A$2:$A$1117,$A904,Versuchsdaten!$B$2:$B$1117,$B904,Versuchsdaten!$C$2:$C$1117,"Sprint_5m",Versuchsdaten!$E$2:$E$1117,$E904,Versuchsdaten!$J$2:$J$1117,1)=1,SUMIFS(Versuchsdaten!$F$2:$F$1117,Versuchsdaten!$A$2:$A$1117,$A904,Versuchsdaten!$B$2:$B$1117,$B904,Versuchsdaten!$C$2:$C$1117,"Sprint_5m",Versuchsdaten!$E$2:$E$1117,$E904,Versuchsdaten!$J$2:$J$1117,1),""))</f>
        <v/>
      </c>
      <c r="L904" s="22">
        <f>IF(LEFT(C904,7)&lt;&gt;"Sprint_","",IF(COUNTIFS(Versuchsdaten!$A$2:$A$1117,$A904,Versuchsdaten!$B$2:$B$1117,$B904,Versuchsdaten!$C$2:$C$1117,"Sprint_10m",Versuchsdaten!$E$2:$E$1117,$E904,Versuchsdaten!$J$2:$J$1117,1)=1,SUMIFS(Versuchsdaten!$F$2:$F$1117,Versuchsdaten!$A$2:$A$1117,$A904,Versuchsdaten!$B$2:$B$1117,$B904,Versuchsdaten!$C$2:$C$1117,"Sprint_10m",Versuchsdaten!$E$2:$E$1117,$E904,Versuchsdaten!$J$2:$J$1117,1),""))</f>
        <v/>
      </c>
      <c r="M904" s="22">
        <f>IF(LEFT(C904,7)&lt;&gt;"Sprint_","",IF(COUNTIFS(Versuchsdaten!$A$2:$A$1117,$A904,Versuchsdaten!$B$2:$B$1117,$B904,Versuchsdaten!$C$2:$C$1117,"Sprint_30m",Versuchsdaten!$E$2:$E$1117,$E904,Versuchsdaten!$J$2:$J$1117,1)=1,SUMIFS(Versuchsdaten!$F$2:$F$1117,Versuchsdaten!$A$2:$A$1117,$A904,Versuchsdaten!$B$2:$B$1117,$B904,Versuchsdaten!$C$2:$C$1117,"Sprint_30m",Versuchsdaten!$E$2:$E$1117,$E904,Versuchsdaten!$J$2:$J$1117,1),""))</f>
        <v/>
      </c>
      <c r="N904" s="22">
        <f>IF(LEFT(C904,7)&lt;&gt;"Sprint_",0,IF(IF(ISNUMBER(K904),IF(K904&lt;=0,1,IF(5/K904&gt;10,1,0)),0)+IF(ISNUMBER(L904),IF(ISNUMBER(K904),IF(L904-K904&lt;=0,1,IF(5/(L904-K904)&gt;10,1,0)),IF(L904&lt;=0,1,IF(10/L904&gt;10,1,0))),0)+IF(ISNUMBER(M904),IF(ISNUMBER(L904),IF(M904-L904&lt;=0,1,IF(20/(M904-L904)&gt;10,1,0)),IF(ISNUMBER(K904),IF(M904-K904&lt;=0,1,IF(25/(M904-K904)&gt;10,1,0)),IF(M904&lt;=0,1,IF(30/M904&gt;10,1,0)))),0)&gt;0,1,0))</f>
        <v/>
      </c>
      <c r="O904" s="22">
        <f>IF(AND(J904=1,N904=0),1,0)</f>
        <v/>
      </c>
      <c r="P904" s="22">
        <f>INDEX(Personendaten!$J$2:$J$32,MATCH(A904,Personendaten!$A$2:$A$32,0))</f>
        <v/>
      </c>
      <c r="Q904" s="22">
        <f>IF(O904=1,"",IF(AND(B904="post",P904="nicht angetreten"),"NANG",IF(N904=1,"AUSL",IFERROR(VLOOKUP(H904,Vokabular!$A$2:$B$8,2,FALSE),"UNBEKANNT"))))</f>
        <v/>
      </c>
    </row>
    <row r="905">
      <c r="A905" s="5" t="inlineStr">
        <is>
          <t>VS-02</t>
        </is>
      </c>
      <c r="B905" s="5" t="inlineStr">
        <is>
          <t>post</t>
        </is>
      </c>
      <c r="C905" s="5" t="inlineStr">
        <is>
          <t>Sprint_10m</t>
        </is>
      </c>
      <c r="D905" s="5" t="inlineStr">
        <is>
          <t>–</t>
        </is>
      </c>
      <c r="E905" s="5" t="n">
        <v>1</v>
      </c>
      <c r="F905" s="5" t="n"/>
      <c r="G905" s="5" t="n"/>
      <c r="H905" s="5" t="inlineStr">
        <is>
          <t>System nicht aufgenommen</t>
        </is>
      </c>
      <c r="I905" s="22">
        <f>INDEX(Personendaten!$C$2:$C$32,MATCH(A905,Personendaten!$A$2:$A$32,0))</f>
        <v/>
      </c>
      <c r="J905" s="22">
        <f>IF(AND(F905&lt;&gt;"",G905=""),1,0)</f>
        <v/>
      </c>
      <c r="K905" s="22">
        <f>IF(LEFT(C905,7)&lt;&gt;"Sprint_","",IF(COUNTIFS(Versuchsdaten!$A$2:$A$1117,$A905,Versuchsdaten!$B$2:$B$1117,$B905,Versuchsdaten!$C$2:$C$1117,"Sprint_5m",Versuchsdaten!$E$2:$E$1117,$E905,Versuchsdaten!$J$2:$J$1117,1)=1,SUMIFS(Versuchsdaten!$F$2:$F$1117,Versuchsdaten!$A$2:$A$1117,$A905,Versuchsdaten!$B$2:$B$1117,$B905,Versuchsdaten!$C$2:$C$1117,"Sprint_5m",Versuchsdaten!$E$2:$E$1117,$E905,Versuchsdaten!$J$2:$J$1117,1),""))</f>
        <v/>
      </c>
      <c r="L905" s="22">
        <f>IF(LEFT(C905,7)&lt;&gt;"Sprint_","",IF(COUNTIFS(Versuchsdaten!$A$2:$A$1117,$A905,Versuchsdaten!$B$2:$B$1117,$B905,Versuchsdaten!$C$2:$C$1117,"Sprint_10m",Versuchsdaten!$E$2:$E$1117,$E905,Versuchsdaten!$J$2:$J$1117,1)=1,SUMIFS(Versuchsdaten!$F$2:$F$1117,Versuchsdaten!$A$2:$A$1117,$A905,Versuchsdaten!$B$2:$B$1117,$B905,Versuchsdaten!$C$2:$C$1117,"Sprint_10m",Versuchsdaten!$E$2:$E$1117,$E905,Versuchsdaten!$J$2:$J$1117,1),""))</f>
        <v/>
      </c>
      <c r="M905" s="22">
        <f>IF(LEFT(C905,7)&lt;&gt;"Sprint_","",IF(COUNTIFS(Versuchsdaten!$A$2:$A$1117,$A905,Versuchsdaten!$B$2:$B$1117,$B905,Versuchsdaten!$C$2:$C$1117,"Sprint_30m",Versuchsdaten!$E$2:$E$1117,$E905,Versuchsdaten!$J$2:$J$1117,1)=1,SUMIFS(Versuchsdaten!$F$2:$F$1117,Versuchsdaten!$A$2:$A$1117,$A905,Versuchsdaten!$B$2:$B$1117,$B905,Versuchsdaten!$C$2:$C$1117,"Sprint_30m",Versuchsdaten!$E$2:$E$1117,$E905,Versuchsdaten!$J$2:$J$1117,1),""))</f>
        <v/>
      </c>
      <c r="N905" s="22">
        <f>IF(LEFT(C905,7)&lt;&gt;"Sprint_",0,IF(IF(ISNUMBER(K905),IF(K905&lt;=0,1,IF(5/K905&gt;10,1,0)),0)+IF(ISNUMBER(L905),IF(ISNUMBER(K905),IF(L905-K905&lt;=0,1,IF(5/(L905-K905)&gt;10,1,0)),IF(L905&lt;=0,1,IF(10/L905&gt;10,1,0))),0)+IF(ISNUMBER(M905),IF(ISNUMBER(L905),IF(M905-L905&lt;=0,1,IF(20/(M905-L905)&gt;10,1,0)),IF(ISNUMBER(K905),IF(M905-K905&lt;=0,1,IF(25/(M905-K905)&gt;10,1,0)),IF(M905&lt;=0,1,IF(30/M905&gt;10,1,0)))),0)&gt;0,1,0))</f>
        <v/>
      </c>
      <c r="O905" s="22">
        <f>IF(AND(J905=1,N905=0),1,0)</f>
        <v/>
      </c>
      <c r="P905" s="22">
        <f>INDEX(Personendaten!$J$2:$J$32,MATCH(A905,Personendaten!$A$2:$A$32,0))</f>
        <v/>
      </c>
      <c r="Q905" s="22">
        <f>IF(O905=1,"",IF(AND(B905="post",P905="nicht angetreten"),"NANG",IF(N905=1,"AUSL",IFERROR(VLOOKUP(H905,Vokabular!$A$2:$B$8,2,FALSE),"UNBEKANNT"))))</f>
        <v/>
      </c>
    </row>
    <row r="906">
      <c r="A906" s="5" t="inlineStr">
        <is>
          <t>VS-02</t>
        </is>
      </c>
      <c r="B906" s="5" t="inlineStr">
        <is>
          <t>post</t>
        </is>
      </c>
      <c r="C906" s="5" t="inlineStr">
        <is>
          <t>Sprint_10m</t>
        </is>
      </c>
      <c r="D906" s="5" t="inlineStr">
        <is>
          <t>–</t>
        </is>
      </c>
      <c r="E906" s="5" t="n">
        <v>2</v>
      </c>
      <c r="F906" s="5" t="n"/>
      <c r="G906" s="5" t="n"/>
      <c r="H906" s="5" t="inlineStr">
        <is>
          <t>System nicht aufgenommen</t>
        </is>
      </c>
      <c r="I906" s="22">
        <f>INDEX(Personendaten!$C$2:$C$32,MATCH(A906,Personendaten!$A$2:$A$32,0))</f>
        <v/>
      </c>
      <c r="J906" s="22">
        <f>IF(AND(F906&lt;&gt;"",G906=""),1,0)</f>
        <v/>
      </c>
      <c r="K906" s="22">
        <f>IF(LEFT(C906,7)&lt;&gt;"Sprint_","",IF(COUNTIFS(Versuchsdaten!$A$2:$A$1117,$A906,Versuchsdaten!$B$2:$B$1117,$B906,Versuchsdaten!$C$2:$C$1117,"Sprint_5m",Versuchsdaten!$E$2:$E$1117,$E906,Versuchsdaten!$J$2:$J$1117,1)=1,SUMIFS(Versuchsdaten!$F$2:$F$1117,Versuchsdaten!$A$2:$A$1117,$A906,Versuchsdaten!$B$2:$B$1117,$B906,Versuchsdaten!$C$2:$C$1117,"Sprint_5m",Versuchsdaten!$E$2:$E$1117,$E906,Versuchsdaten!$J$2:$J$1117,1),""))</f>
        <v/>
      </c>
      <c r="L906" s="22">
        <f>IF(LEFT(C906,7)&lt;&gt;"Sprint_","",IF(COUNTIFS(Versuchsdaten!$A$2:$A$1117,$A906,Versuchsdaten!$B$2:$B$1117,$B906,Versuchsdaten!$C$2:$C$1117,"Sprint_10m",Versuchsdaten!$E$2:$E$1117,$E906,Versuchsdaten!$J$2:$J$1117,1)=1,SUMIFS(Versuchsdaten!$F$2:$F$1117,Versuchsdaten!$A$2:$A$1117,$A906,Versuchsdaten!$B$2:$B$1117,$B906,Versuchsdaten!$C$2:$C$1117,"Sprint_10m",Versuchsdaten!$E$2:$E$1117,$E906,Versuchsdaten!$J$2:$J$1117,1),""))</f>
        <v/>
      </c>
      <c r="M906" s="22">
        <f>IF(LEFT(C906,7)&lt;&gt;"Sprint_","",IF(COUNTIFS(Versuchsdaten!$A$2:$A$1117,$A906,Versuchsdaten!$B$2:$B$1117,$B906,Versuchsdaten!$C$2:$C$1117,"Sprint_30m",Versuchsdaten!$E$2:$E$1117,$E906,Versuchsdaten!$J$2:$J$1117,1)=1,SUMIFS(Versuchsdaten!$F$2:$F$1117,Versuchsdaten!$A$2:$A$1117,$A906,Versuchsdaten!$B$2:$B$1117,$B906,Versuchsdaten!$C$2:$C$1117,"Sprint_30m",Versuchsdaten!$E$2:$E$1117,$E906,Versuchsdaten!$J$2:$J$1117,1),""))</f>
        <v/>
      </c>
      <c r="N906" s="22">
        <f>IF(LEFT(C906,7)&lt;&gt;"Sprint_",0,IF(IF(ISNUMBER(K906),IF(K906&lt;=0,1,IF(5/K906&gt;10,1,0)),0)+IF(ISNUMBER(L906),IF(ISNUMBER(K906),IF(L906-K906&lt;=0,1,IF(5/(L906-K906)&gt;10,1,0)),IF(L906&lt;=0,1,IF(10/L906&gt;10,1,0))),0)+IF(ISNUMBER(M906),IF(ISNUMBER(L906),IF(M906-L906&lt;=0,1,IF(20/(M906-L906)&gt;10,1,0)),IF(ISNUMBER(K906),IF(M906-K906&lt;=0,1,IF(25/(M906-K906)&gt;10,1,0)),IF(M906&lt;=0,1,IF(30/M906&gt;10,1,0)))),0)&gt;0,1,0))</f>
        <v/>
      </c>
      <c r="O906" s="22">
        <f>IF(AND(J906=1,N906=0),1,0)</f>
        <v/>
      </c>
      <c r="P906" s="22">
        <f>INDEX(Personendaten!$J$2:$J$32,MATCH(A906,Personendaten!$A$2:$A$32,0))</f>
        <v/>
      </c>
      <c r="Q906" s="22">
        <f>IF(O906=1,"",IF(AND(B906="post",P906="nicht angetreten"),"NANG",IF(N906=1,"AUSL",IFERROR(VLOOKUP(H906,Vokabular!$A$2:$B$8,2,FALSE),"UNBEKANNT"))))</f>
        <v/>
      </c>
    </row>
    <row r="907">
      <c r="A907" s="5" t="inlineStr">
        <is>
          <t>VS-02</t>
        </is>
      </c>
      <c r="B907" s="5" t="inlineStr">
        <is>
          <t>post</t>
        </is>
      </c>
      <c r="C907" s="5" t="inlineStr">
        <is>
          <t>Sprint_10m</t>
        </is>
      </c>
      <c r="D907" s="5" t="inlineStr">
        <is>
          <t>–</t>
        </is>
      </c>
      <c r="E907" s="5" t="n">
        <v>3</v>
      </c>
      <c r="F907" s="5" t="n">
        <v>2.06</v>
      </c>
      <c r="G907" s="5" t="n"/>
      <c r="H907" s="5" t="n"/>
      <c r="I907" s="22">
        <f>INDEX(Personendaten!$C$2:$C$32,MATCH(A907,Personendaten!$A$2:$A$32,0))</f>
        <v/>
      </c>
      <c r="J907" s="22">
        <f>IF(AND(F907&lt;&gt;"",G907=""),1,0)</f>
        <v/>
      </c>
      <c r="K907" s="22">
        <f>IF(LEFT(C907,7)&lt;&gt;"Sprint_","",IF(COUNTIFS(Versuchsdaten!$A$2:$A$1117,$A907,Versuchsdaten!$B$2:$B$1117,$B907,Versuchsdaten!$C$2:$C$1117,"Sprint_5m",Versuchsdaten!$E$2:$E$1117,$E907,Versuchsdaten!$J$2:$J$1117,1)=1,SUMIFS(Versuchsdaten!$F$2:$F$1117,Versuchsdaten!$A$2:$A$1117,$A907,Versuchsdaten!$B$2:$B$1117,$B907,Versuchsdaten!$C$2:$C$1117,"Sprint_5m",Versuchsdaten!$E$2:$E$1117,$E907,Versuchsdaten!$J$2:$J$1117,1),""))</f>
        <v/>
      </c>
      <c r="L907" s="22">
        <f>IF(LEFT(C907,7)&lt;&gt;"Sprint_","",IF(COUNTIFS(Versuchsdaten!$A$2:$A$1117,$A907,Versuchsdaten!$B$2:$B$1117,$B907,Versuchsdaten!$C$2:$C$1117,"Sprint_10m",Versuchsdaten!$E$2:$E$1117,$E907,Versuchsdaten!$J$2:$J$1117,1)=1,SUMIFS(Versuchsdaten!$F$2:$F$1117,Versuchsdaten!$A$2:$A$1117,$A907,Versuchsdaten!$B$2:$B$1117,$B907,Versuchsdaten!$C$2:$C$1117,"Sprint_10m",Versuchsdaten!$E$2:$E$1117,$E907,Versuchsdaten!$J$2:$J$1117,1),""))</f>
        <v/>
      </c>
      <c r="M907" s="22">
        <f>IF(LEFT(C907,7)&lt;&gt;"Sprint_","",IF(COUNTIFS(Versuchsdaten!$A$2:$A$1117,$A907,Versuchsdaten!$B$2:$B$1117,$B907,Versuchsdaten!$C$2:$C$1117,"Sprint_30m",Versuchsdaten!$E$2:$E$1117,$E907,Versuchsdaten!$J$2:$J$1117,1)=1,SUMIFS(Versuchsdaten!$F$2:$F$1117,Versuchsdaten!$A$2:$A$1117,$A907,Versuchsdaten!$B$2:$B$1117,$B907,Versuchsdaten!$C$2:$C$1117,"Sprint_30m",Versuchsdaten!$E$2:$E$1117,$E907,Versuchsdaten!$J$2:$J$1117,1),""))</f>
        <v/>
      </c>
      <c r="N907" s="22">
        <f>IF(LEFT(C907,7)&lt;&gt;"Sprint_",0,IF(IF(ISNUMBER(K907),IF(K907&lt;=0,1,IF(5/K907&gt;10,1,0)),0)+IF(ISNUMBER(L907),IF(ISNUMBER(K907),IF(L907-K907&lt;=0,1,IF(5/(L907-K907)&gt;10,1,0)),IF(L907&lt;=0,1,IF(10/L907&gt;10,1,0))),0)+IF(ISNUMBER(M907),IF(ISNUMBER(L907),IF(M907-L907&lt;=0,1,IF(20/(M907-L907)&gt;10,1,0)),IF(ISNUMBER(K907),IF(M907-K907&lt;=0,1,IF(25/(M907-K907)&gt;10,1,0)),IF(M907&lt;=0,1,IF(30/M907&gt;10,1,0)))),0)&gt;0,1,0))</f>
        <v/>
      </c>
      <c r="O907" s="22">
        <f>IF(AND(J907=1,N907=0),1,0)</f>
        <v/>
      </c>
      <c r="P907" s="22">
        <f>INDEX(Personendaten!$J$2:$J$32,MATCH(A907,Personendaten!$A$2:$A$32,0))</f>
        <v/>
      </c>
      <c r="Q907" s="22">
        <f>IF(O907=1,"",IF(AND(B907="post",P907="nicht angetreten"),"NANG",IF(N907=1,"AUSL",IFERROR(VLOOKUP(H907,Vokabular!$A$2:$B$8,2,FALSE),"UNBEKANNT"))))</f>
        <v/>
      </c>
    </row>
    <row r="908">
      <c r="A908" s="5" t="inlineStr">
        <is>
          <t>VS-02</t>
        </is>
      </c>
      <c r="B908" s="5" t="inlineStr">
        <is>
          <t>post</t>
        </is>
      </c>
      <c r="C908" s="5" t="inlineStr">
        <is>
          <t>Sprint_30m</t>
        </is>
      </c>
      <c r="D908" s="5" t="inlineStr">
        <is>
          <t>–</t>
        </is>
      </c>
      <c r="E908" s="5" t="n">
        <v>1</v>
      </c>
      <c r="F908" s="5" t="n">
        <v>4.91</v>
      </c>
      <c r="G908" s="5" t="n"/>
      <c r="H908" s="5" t="n"/>
      <c r="I908" s="22">
        <f>INDEX(Personendaten!$C$2:$C$32,MATCH(A908,Personendaten!$A$2:$A$32,0))</f>
        <v/>
      </c>
      <c r="J908" s="22">
        <f>IF(AND(F908&lt;&gt;"",G908=""),1,0)</f>
        <v/>
      </c>
      <c r="K908" s="22">
        <f>IF(LEFT(C908,7)&lt;&gt;"Sprint_","",IF(COUNTIFS(Versuchsdaten!$A$2:$A$1117,$A908,Versuchsdaten!$B$2:$B$1117,$B908,Versuchsdaten!$C$2:$C$1117,"Sprint_5m",Versuchsdaten!$E$2:$E$1117,$E908,Versuchsdaten!$J$2:$J$1117,1)=1,SUMIFS(Versuchsdaten!$F$2:$F$1117,Versuchsdaten!$A$2:$A$1117,$A908,Versuchsdaten!$B$2:$B$1117,$B908,Versuchsdaten!$C$2:$C$1117,"Sprint_5m",Versuchsdaten!$E$2:$E$1117,$E908,Versuchsdaten!$J$2:$J$1117,1),""))</f>
        <v/>
      </c>
      <c r="L908" s="22">
        <f>IF(LEFT(C908,7)&lt;&gt;"Sprint_","",IF(COUNTIFS(Versuchsdaten!$A$2:$A$1117,$A908,Versuchsdaten!$B$2:$B$1117,$B908,Versuchsdaten!$C$2:$C$1117,"Sprint_10m",Versuchsdaten!$E$2:$E$1117,$E908,Versuchsdaten!$J$2:$J$1117,1)=1,SUMIFS(Versuchsdaten!$F$2:$F$1117,Versuchsdaten!$A$2:$A$1117,$A908,Versuchsdaten!$B$2:$B$1117,$B908,Versuchsdaten!$C$2:$C$1117,"Sprint_10m",Versuchsdaten!$E$2:$E$1117,$E908,Versuchsdaten!$J$2:$J$1117,1),""))</f>
        <v/>
      </c>
      <c r="M908" s="22">
        <f>IF(LEFT(C908,7)&lt;&gt;"Sprint_","",IF(COUNTIFS(Versuchsdaten!$A$2:$A$1117,$A908,Versuchsdaten!$B$2:$B$1117,$B908,Versuchsdaten!$C$2:$C$1117,"Sprint_30m",Versuchsdaten!$E$2:$E$1117,$E908,Versuchsdaten!$J$2:$J$1117,1)=1,SUMIFS(Versuchsdaten!$F$2:$F$1117,Versuchsdaten!$A$2:$A$1117,$A908,Versuchsdaten!$B$2:$B$1117,$B908,Versuchsdaten!$C$2:$C$1117,"Sprint_30m",Versuchsdaten!$E$2:$E$1117,$E908,Versuchsdaten!$J$2:$J$1117,1),""))</f>
        <v/>
      </c>
      <c r="N908" s="22">
        <f>IF(LEFT(C908,7)&lt;&gt;"Sprint_",0,IF(IF(ISNUMBER(K908),IF(K908&lt;=0,1,IF(5/K908&gt;10,1,0)),0)+IF(ISNUMBER(L908),IF(ISNUMBER(K908),IF(L908-K908&lt;=0,1,IF(5/(L908-K908)&gt;10,1,0)),IF(L908&lt;=0,1,IF(10/L908&gt;10,1,0))),0)+IF(ISNUMBER(M908),IF(ISNUMBER(L908),IF(M908-L908&lt;=0,1,IF(20/(M908-L908)&gt;10,1,0)),IF(ISNUMBER(K908),IF(M908-K908&lt;=0,1,IF(25/(M908-K908)&gt;10,1,0)),IF(M908&lt;=0,1,IF(30/M908&gt;10,1,0)))),0)&gt;0,1,0))</f>
        <v/>
      </c>
      <c r="O908" s="22">
        <f>IF(AND(J908=1,N908=0),1,0)</f>
        <v/>
      </c>
      <c r="P908" s="22">
        <f>INDEX(Personendaten!$J$2:$J$32,MATCH(A908,Personendaten!$A$2:$A$32,0))</f>
        <v/>
      </c>
      <c r="Q908" s="22">
        <f>IF(O908=1,"",IF(AND(B908="post",P908="nicht angetreten"),"NANG",IF(N908=1,"AUSL",IFERROR(VLOOKUP(H908,Vokabular!$A$2:$B$8,2,FALSE),"UNBEKANNT"))))</f>
        <v/>
      </c>
    </row>
    <row r="909">
      <c r="A909" s="5" t="inlineStr">
        <is>
          <t>VS-02</t>
        </is>
      </c>
      <c r="B909" s="5" t="inlineStr">
        <is>
          <t>post</t>
        </is>
      </c>
      <c r="C909" s="5" t="inlineStr">
        <is>
          <t>Sprint_30m</t>
        </is>
      </c>
      <c r="D909" s="5" t="inlineStr">
        <is>
          <t>–</t>
        </is>
      </c>
      <c r="E909" s="5" t="n">
        <v>2</v>
      </c>
      <c r="F909" s="5" t="n">
        <v>5.08</v>
      </c>
      <c r="G909" s="5" t="n"/>
      <c r="H909" s="5" t="n"/>
      <c r="I909" s="22">
        <f>INDEX(Personendaten!$C$2:$C$32,MATCH(A909,Personendaten!$A$2:$A$32,0))</f>
        <v/>
      </c>
      <c r="J909" s="22">
        <f>IF(AND(F909&lt;&gt;"",G909=""),1,0)</f>
        <v/>
      </c>
      <c r="K909" s="22">
        <f>IF(LEFT(C909,7)&lt;&gt;"Sprint_","",IF(COUNTIFS(Versuchsdaten!$A$2:$A$1117,$A909,Versuchsdaten!$B$2:$B$1117,$B909,Versuchsdaten!$C$2:$C$1117,"Sprint_5m",Versuchsdaten!$E$2:$E$1117,$E909,Versuchsdaten!$J$2:$J$1117,1)=1,SUMIFS(Versuchsdaten!$F$2:$F$1117,Versuchsdaten!$A$2:$A$1117,$A909,Versuchsdaten!$B$2:$B$1117,$B909,Versuchsdaten!$C$2:$C$1117,"Sprint_5m",Versuchsdaten!$E$2:$E$1117,$E909,Versuchsdaten!$J$2:$J$1117,1),""))</f>
        <v/>
      </c>
      <c r="L909" s="22">
        <f>IF(LEFT(C909,7)&lt;&gt;"Sprint_","",IF(COUNTIFS(Versuchsdaten!$A$2:$A$1117,$A909,Versuchsdaten!$B$2:$B$1117,$B909,Versuchsdaten!$C$2:$C$1117,"Sprint_10m",Versuchsdaten!$E$2:$E$1117,$E909,Versuchsdaten!$J$2:$J$1117,1)=1,SUMIFS(Versuchsdaten!$F$2:$F$1117,Versuchsdaten!$A$2:$A$1117,$A909,Versuchsdaten!$B$2:$B$1117,$B909,Versuchsdaten!$C$2:$C$1117,"Sprint_10m",Versuchsdaten!$E$2:$E$1117,$E909,Versuchsdaten!$J$2:$J$1117,1),""))</f>
        <v/>
      </c>
      <c r="M909" s="22">
        <f>IF(LEFT(C909,7)&lt;&gt;"Sprint_","",IF(COUNTIFS(Versuchsdaten!$A$2:$A$1117,$A909,Versuchsdaten!$B$2:$B$1117,$B909,Versuchsdaten!$C$2:$C$1117,"Sprint_30m",Versuchsdaten!$E$2:$E$1117,$E909,Versuchsdaten!$J$2:$J$1117,1)=1,SUMIFS(Versuchsdaten!$F$2:$F$1117,Versuchsdaten!$A$2:$A$1117,$A909,Versuchsdaten!$B$2:$B$1117,$B909,Versuchsdaten!$C$2:$C$1117,"Sprint_30m",Versuchsdaten!$E$2:$E$1117,$E909,Versuchsdaten!$J$2:$J$1117,1),""))</f>
        <v/>
      </c>
      <c r="N909" s="22">
        <f>IF(LEFT(C909,7)&lt;&gt;"Sprint_",0,IF(IF(ISNUMBER(K909),IF(K909&lt;=0,1,IF(5/K909&gt;10,1,0)),0)+IF(ISNUMBER(L909),IF(ISNUMBER(K909),IF(L909-K909&lt;=0,1,IF(5/(L909-K909)&gt;10,1,0)),IF(L909&lt;=0,1,IF(10/L909&gt;10,1,0))),0)+IF(ISNUMBER(M909),IF(ISNUMBER(L909),IF(M909-L909&lt;=0,1,IF(20/(M909-L909)&gt;10,1,0)),IF(ISNUMBER(K909),IF(M909-K909&lt;=0,1,IF(25/(M909-K909)&gt;10,1,0)),IF(M909&lt;=0,1,IF(30/M909&gt;10,1,0)))),0)&gt;0,1,0))</f>
        <v/>
      </c>
      <c r="O909" s="22">
        <f>IF(AND(J909=1,N909=0),1,0)</f>
        <v/>
      </c>
      <c r="P909" s="22">
        <f>INDEX(Personendaten!$J$2:$J$32,MATCH(A909,Personendaten!$A$2:$A$32,0))</f>
        <v/>
      </c>
      <c r="Q909" s="22">
        <f>IF(O909=1,"",IF(AND(B909="post",P909="nicht angetreten"),"NANG",IF(N909=1,"AUSL",IFERROR(VLOOKUP(H909,Vokabular!$A$2:$B$8,2,FALSE),"UNBEKANNT"))))</f>
        <v/>
      </c>
    </row>
    <row r="910">
      <c r="A910" s="5" t="inlineStr">
        <is>
          <t>VS-02</t>
        </is>
      </c>
      <c r="B910" s="5" t="inlineStr">
        <is>
          <t>post</t>
        </is>
      </c>
      <c r="C910" s="5" t="inlineStr">
        <is>
          <t>Sprint_30m</t>
        </is>
      </c>
      <c r="D910" s="5" t="inlineStr">
        <is>
          <t>–</t>
        </is>
      </c>
      <c r="E910" s="5" t="n">
        <v>3</v>
      </c>
      <c r="F910" s="5" t="n">
        <v>5.05</v>
      </c>
      <c r="G910" s="5" t="n"/>
      <c r="H910" s="5" t="n"/>
      <c r="I910" s="22">
        <f>INDEX(Personendaten!$C$2:$C$32,MATCH(A910,Personendaten!$A$2:$A$32,0))</f>
        <v/>
      </c>
      <c r="J910" s="22">
        <f>IF(AND(F910&lt;&gt;"",G910=""),1,0)</f>
        <v/>
      </c>
      <c r="K910" s="22">
        <f>IF(LEFT(C910,7)&lt;&gt;"Sprint_","",IF(COUNTIFS(Versuchsdaten!$A$2:$A$1117,$A910,Versuchsdaten!$B$2:$B$1117,$B910,Versuchsdaten!$C$2:$C$1117,"Sprint_5m",Versuchsdaten!$E$2:$E$1117,$E910,Versuchsdaten!$J$2:$J$1117,1)=1,SUMIFS(Versuchsdaten!$F$2:$F$1117,Versuchsdaten!$A$2:$A$1117,$A910,Versuchsdaten!$B$2:$B$1117,$B910,Versuchsdaten!$C$2:$C$1117,"Sprint_5m",Versuchsdaten!$E$2:$E$1117,$E910,Versuchsdaten!$J$2:$J$1117,1),""))</f>
        <v/>
      </c>
      <c r="L910" s="22">
        <f>IF(LEFT(C910,7)&lt;&gt;"Sprint_","",IF(COUNTIFS(Versuchsdaten!$A$2:$A$1117,$A910,Versuchsdaten!$B$2:$B$1117,$B910,Versuchsdaten!$C$2:$C$1117,"Sprint_10m",Versuchsdaten!$E$2:$E$1117,$E910,Versuchsdaten!$J$2:$J$1117,1)=1,SUMIFS(Versuchsdaten!$F$2:$F$1117,Versuchsdaten!$A$2:$A$1117,$A910,Versuchsdaten!$B$2:$B$1117,$B910,Versuchsdaten!$C$2:$C$1117,"Sprint_10m",Versuchsdaten!$E$2:$E$1117,$E910,Versuchsdaten!$J$2:$J$1117,1),""))</f>
        <v/>
      </c>
      <c r="M910" s="22">
        <f>IF(LEFT(C910,7)&lt;&gt;"Sprint_","",IF(COUNTIFS(Versuchsdaten!$A$2:$A$1117,$A910,Versuchsdaten!$B$2:$B$1117,$B910,Versuchsdaten!$C$2:$C$1117,"Sprint_30m",Versuchsdaten!$E$2:$E$1117,$E910,Versuchsdaten!$J$2:$J$1117,1)=1,SUMIFS(Versuchsdaten!$F$2:$F$1117,Versuchsdaten!$A$2:$A$1117,$A910,Versuchsdaten!$B$2:$B$1117,$B910,Versuchsdaten!$C$2:$C$1117,"Sprint_30m",Versuchsdaten!$E$2:$E$1117,$E910,Versuchsdaten!$J$2:$J$1117,1),""))</f>
        <v/>
      </c>
      <c r="N910" s="22">
        <f>IF(LEFT(C910,7)&lt;&gt;"Sprint_",0,IF(IF(ISNUMBER(K910),IF(K910&lt;=0,1,IF(5/K910&gt;10,1,0)),0)+IF(ISNUMBER(L910),IF(ISNUMBER(K910),IF(L910-K910&lt;=0,1,IF(5/(L910-K910)&gt;10,1,0)),IF(L910&lt;=0,1,IF(10/L910&gt;10,1,0))),0)+IF(ISNUMBER(M910),IF(ISNUMBER(L910),IF(M910-L910&lt;=0,1,IF(20/(M910-L910)&gt;10,1,0)),IF(ISNUMBER(K910),IF(M910-K910&lt;=0,1,IF(25/(M910-K910)&gt;10,1,0)),IF(M910&lt;=0,1,IF(30/M910&gt;10,1,0)))),0)&gt;0,1,0))</f>
        <v/>
      </c>
      <c r="O910" s="22">
        <f>IF(AND(J910=1,N910=0),1,0)</f>
        <v/>
      </c>
      <c r="P910" s="22">
        <f>INDEX(Personendaten!$J$2:$J$32,MATCH(A910,Personendaten!$A$2:$A$32,0))</f>
        <v/>
      </c>
      <c r="Q910" s="22">
        <f>IF(O910=1,"",IF(AND(B910="post",P910="nicht angetreten"),"NANG",IF(N910=1,"AUSL",IFERROR(VLOOKUP(H910,Vokabular!$A$2:$B$8,2,FALSE),"UNBEKANNT"))))</f>
        <v/>
      </c>
    </row>
    <row r="911">
      <c r="A911" s="5" t="inlineStr">
        <is>
          <t>VS-02</t>
        </is>
      </c>
      <c r="B911" s="5" t="inlineStr">
        <is>
          <t>post</t>
        </is>
      </c>
      <c r="C911" s="5" t="inlineStr">
        <is>
          <t>Standweitsprung</t>
        </is>
      </c>
      <c r="D911" s="5" t="inlineStr">
        <is>
          <t>–</t>
        </is>
      </c>
      <c r="E911" s="5" t="n">
        <v>1</v>
      </c>
      <c r="F911" s="5" t="n">
        <v>194</v>
      </c>
      <c r="G911" s="5" t="n"/>
      <c r="H911" s="5" t="n"/>
      <c r="I911" s="22">
        <f>INDEX(Personendaten!$C$2:$C$32,MATCH(A911,Personendaten!$A$2:$A$32,0))</f>
        <v/>
      </c>
      <c r="J911" s="22">
        <f>IF(AND(F911&lt;&gt;"",G911=""),1,0)</f>
        <v/>
      </c>
      <c r="K911" s="22">
        <f>IF(LEFT(C911,7)&lt;&gt;"Sprint_","",IF(COUNTIFS(Versuchsdaten!$A$2:$A$1117,$A911,Versuchsdaten!$B$2:$B$1117,$B911,Versuchsdaten!$C$2:$C$1117,"Sprint_5m",Versuchsdaten!$E$2:$E$1117,$E911,Versuchsdaten!$J$2:$J$1117,1)=1,SUMIFS(Versuchsdaten!$F$2:$F$1117,Versuchsdaten!$A$2:$A$1117,$A911,Versuchsdaten!$B$2:$B$1117,$B911,Versuchsdaten!$C$2:$C$1117,"Sprint_5m",Versuchsdaten!$E$2:$E$1117,$E911,Versuchsdaten!$J$2:$J$1117,1),""))</f>
        <v/>
      </c>
      <c r="L911" s="22">
        <f>IF(LEFT(C911,7)&lt;&gt;"Sprint_","",IF(COUNTIFS(Versuchsdaten!$A$2:$A$1117,$A911,Versuchsdaten!$B$2:$B$1117,$B911,Versuchsdaten!$C$2:$C$1117,"Sprint_10m",Versuchsdaten!$E$2:$E$1117,$E911,Versuchsdaten!$J$2:$J$1117,1)=1,SUMIFS(Versuchsdaten!$F$2:$F$1117,Versuchsdaten!$A$2:$A$1117,$A911,Versuchsdaten!$B$2:$B$1117,$B911,Versuchsdaten!$C$2:$C$1117,"Sprint_10m",Versuchsdaten!$E$2:$E$1117,$E911,Versuchsdaten!$J$2:$J$1117,1),""))</f>
        <v/>
      </c>
      <c r="M911" s="22">
        <f>IF(LEFT(C911,7)&lt;&gt;"Sprint_","",IF(COUNTIFS(Versuchsdaten!$A$2:$A$1117,$A911,Versuchsdaten!$B$2:$B$1117,$B911,Versuchsdaten!$C$2:$C$1117,"Sprint_30m",Versuchsdaten!$E$2:$E$1117,$E911,Versuchsdaten!$J$2:$J$1117,1)=1,SUMIFS(Versuchsdaten!$F$2:$F$1117,Versuchsdaten!$A$2:$A$1117,$A911,Versuchsdaten!$B$2:$B$1117,$B911,Versuchsdaten!$C$2:$C$1117,"Sprint_30m",Versuchsdaten!$E$2:$E$1117,$E911,Versuchsdaten!$J$2:$J$1117,1),""))</f>
        <v/>
      </c>
      <c r="N911" s="22">
        <f>IF(LEFT(C911,7)&lt;&gt;"Sprint_",0,IF(IF(ISNUMBER(K911),IF(K911&lt;=0,1,IF(5/K911&gt;10,1,0)),0)+IF(ISNUMBER(L911),IF(ISNUMBER(K911),IF(L911-K911&lt;=0,1,IF(5/(L911-K911)&gt;10,1,0)),IF(L911&lt;=0,1,IF(10/L911&gt;10,1,0))),0)+IF(ISNUMBER(M911),IF(ISNUMBER(L911),IF(M911-L911&lt;=0,1,IF(20/(M911-L911)&gt;10,1,0)),IF(ISNUMBER(K911),IF(M911-K911&lt;=0,1,IF(25/(M911-K911)&gt;10,1,0)),IF(M911&lt;=0,1,IF(30/M911&gt;10,1,0)))),0)&gt;0,1,0))</f>
        <v/>
      </c>
      <c r="O911" s="22">
        <f>IF(AND(J911=1,N911=0),1,0)</f>
        <v/>
      </c>
      <c r="P911" s="22">
        <f>INDEX(Personendaten!$J$2:$J$32,MATCH(A911,Personendaten!$A$2:$A$32,0))</f>
        <v/>
      </c>
      <c r="Q911" s="22">
        <f>IF(O911=1,"",IF(AND(B911="post",P911="nicht angetreten"),"NANG",IF(N911=1,"AUSL",IFERROR(VLOOKUP(H911,Vokabular!$A$2:$B$8,2,FALSE),"UNBEKANNT"))))</f>
        <v/>
      </c>
    </row>
    <row r="912">
      <c r="A912" s="5" t="inlineStr">
        <is>
          <t>VS-02</t>
        </is>
      </c>
      <c r="B912" s="5" t="inlineStr">
        <is>
          <t>post</t>
        </is>
      </c>
      <c r="C912" s="5" t="inlineStr">
        <is>
          <t>Standweitsprung</t>
        </is>
      </c>
      <c r="D912" s="5" t="inlineStr">
        <is>
          <t>–</t>
        </is>
      </c>
      <c r="E912" s="5" t="n">
        <v>2</v>
      </c>
      <c r="F912" s="5" t="n">
        <v>197</v>
      </c>
      <c r="G912" s="5" t="n"/>
      <c r="H912" s="5" t="n"/>
      <c r="I912" s="22">
        <f>INDEX(Personendaten!$C$2:$C$32,MATCH(A912,Personendaten!$A$2:$A$32,0))</f>
        <v/>
      </c>
      <c r="J912" s="22">
        <f>IF(AND(F912&lt;&gt;"",G912=""),1,0)</f>
        <v/>
      </c>
      <c r="K912" s="22">
        <f>IF(LEFT(C912,7)&lt;&gt;"Sprint_","",IF(COUNTIFS(Versuchsdaten!$A$2:$A$1117,$A912,Versuchsdaten!$B$2:$B$1117,$B912,Versuchsdaten!$C$2:$C$1117,"Sprint_5m",Versuchsdaten!$E$2:$E$1117,$E912,Versuchsdaten!$J$2:$J$1117,1)=1,SUMIFS(Versuchsdaten!$F$2:$F$1117,Versuchsdaten!$A$2:$A$1117,$A912,Versuchsdaten!$B$2:$B$1117,$B912,Versuchsdaten!$C$2:$C$1117,"Sprint_5m",Versuchsdaten!$E$2:$E$1117,$E912,Versuchsdaten!$J$2:$J$1117,1),""))</f>
        <v/>
      </c>
      <c r="L912" s="22">
        <f>IF(LEFT(C912,7)&lt;&gt;"Sprint_","",IF(COUNTIFS(Versuchsdaten!$A$2:$A$1117,$A912,Versuchsdaten!$B$2:$B$1117,$B912,Versuchsdaten!$C$2:$C$1117,"Sprint_10m",Versuchsdaten!$E$2:$E$1117,$E912,Versuchsdaten!$J$2:$J$1117,1)=1,SUMIFS(Versuchsdaten!$F$2:$F$1117,Versuchsdaten!$A$2:$A$1117,$A912,Versuchsdaten!$B$2:$B$1117,$B912,Versuchsdaten!$C$2:$C$1117,"Sprint_10m",Versuchsdaten!$E$2:$E$1117,$E912,Versuchsdaten!$J$2:$J$1117,1),""))</f>
        <v/>
      </c>
      <c r="M912" s="22">
        <f>IF(LEFT(C912,7)&lt;&gt;"Sprint_","",IF(COUNTIFS(Versuchsdaten!$A$2:$A$1117,$A912,Versuchsdaten!$B$2:$B$1117,$B912,Versuchsdaten!$C$2:$C$1117,"Sprint_30m",Versuchsdaten!$E$2:$E$1117,$E912,Versuchsdaten!$J$2:$J$1117,1)=1,SUMIFS(Versuchsdaten!$F$2:$F$1117,Versuchsdaten!$A$2:$A$1117,$A912,Versuchsdaten!$B$2:$B$1117,$B912,Versuchsdaten!$C$2:$C$1117,"Sprint_30m",Versuchsdaten!$E$2:$E$1117,$E912,Versuchsdaten!$J$2:$J$1117,1),""))</f>
        <v/>
      </c>
      <c r="N912" s="22">
        <f>IF(LEFT(C912,7)&lt;&gt;"Sprint_",0,IF(IF(ISNUMBER(K912),IF(K912&lt;=0,1,IF(5/K912&gt;10,1,0)),0)+IF(ISNUMBER(L912),IF(ISNUMBER(K912),IF(L912-K912&lt;=0,1,IF(5/(L912-K912)&gt;10,1,0)),IF(L912&lt;=0,1,IF(10/L912&gt;10,1,0))),0)+IF(ISNUMBER(M912),IF(ISNUMBER(L912),IF(M912-L912&lt;=0,1,IF(20/(M912-L912)&gt;10,1,0)),IF(ISNUMBER(K912),IF(M912-K912&lt;=0,1,IF(25/(M912-K912)&gt;10,1,0)),IF(M912&lt;=0,1,IF(30/M912&gt;10,1,0)))),0)&gt;0,1,0))</f>
        <v/>
      </c>
      <c r="O912" s="22">
        <f>IF(AND(J912=1,N912=0),1,0)</f>
        <v/>
      </c>
      <c r="P912" s="22">
        <f>INDEX(Personendaten!$J$2:$J$32,MATCH(A912,Personendaten!$A$2:$A$32,0))</f>
        <v/>
      </c>
      <c r="Q912" s="22">
        <f>IF(O912=1,"",IF(AND(B912="post",P912="nicht angetreten"),"NANG",IF(N912=1,"AUSL",IFERROR(VLOOKUP(H912,Vokabular!$A$2:$B$8,2,FALSE),"UNBEKANNT"))))</f>
        <v/>
      </c>
    </row>
    <row r="913">
      <c r="A913" s="5" t="inlineStr">
        <is>
          <t>VS-02</t>
        </is>
      </c>
      <c r="B913" s="5" t="inlineStr">
        <is>
          <t>post</t>
        </is>
      </c>
      <c r="C913" s="5" t="inlineStr">
        <is>
          <t>Standweitsprung</t>
        </is>
      </c>
      <c r="D913" s="5" t="inlineStr">
        <is>
          <t>–</t>
        </is>
      </c>
      <c r="E913" s="5" t="n">
        <v>3</v>
      </c>
      <c r="F913" s="5" t="n"/>
      <c r="G913" s="5" t="n"/>
      <c r="H913" s="5" t="inlineStr">
        <is>
          <t>Nur 2 Versuche aus Zeitmangel</t>
        </is>
      </c>
      <c r="I913" s="22">
        <f>INDEX(Personendaten!$C$2:$C$32,MATCH(A913,Personendaten!$A$2:$A$32,0))</f>
        <v/>
      </c>
      <c r="J913" s="22">
        <f>IF(AND(F913&lt;&gt;"",G913=""),1,0)</f>
        <v/>
      </c>
      <c r="K913" s="22">
        <f>IF(LEFT(C913,7)&lt;&gt;"Sprint_","",IF(COUNTIFS(Versuchsdaten!$A$2:$A$1117,$A913,Versuchsdaten!$B$2:$B$1117,$B913,Versuchsdaten!$C$2:$C$1117,"Sprint_5m",Versuchsdaten!$E$2:$E$1117,$E913,Versuchsdaten!$J$2:$J$1117,1)=1,SUMIFS(Versuchsdaten!$F$2:$F$1117,Versuchsdaten!$A$2:$A$1117,$A913,Versuchsdaten!$B$2:$B$1117,$B913,Versuchsdaten!$C$2:$C$1117,"Sprint_5m",Versuchsdaten!$E$2:$E$1117,$E913,Versuchsdaten!$J$2:$J$1117,1),""))</f>
        <v/>
      </c>
      <c r="L913" s="22">
        <f>IF(LEFT(C913,7)&lt;&gt;"Sprint_","",IF(COUNTIFS(Versuchsdaten!$A$2:$A$1117,$A913,Versuchsdaten!$B$2:$B$1117,$B913,Versuchsdaten!$C$2:$C$1117,"Sprint_10m",Versuchsdaten!$E$2:$E$1117,$E913,Versuchsdaten!$J$2:$J$1117,1)=1,SUMIFS(Versuchsdaten!$F$2:$F$1117,Versuchsdaten!$A$2:$A$1117,$A913,Versuchsdaten!$B$2:$B$1117,$B913,Versuchsdaten!$C$2:$C$1117,"Sprint_10m",Versuchsdaten!$E$2:$E$1117,$E913,Versuchsdaten!$J$2:$J$1117,1),""))</f>
        <v/>
      </c>
      <c r="M913" s="22">
        <f>IF(LEFT(C913,7)&lt;&gt;"Sprint_","",IF(COUNTIFS(Versuchsdaten!$A$2:$A$1117,$A913,Versuchsdaten!$B$2:$B$1117,$B913,Versuchsdaten!$C$2:$C$1117,"Sprint_30m",Versuchsdaten!$E$2:$E$1117,$E913,Versuchsdaten!$J$2:$J$1117,1)=1,SUMIFS(Versuchsdaten!$F$2:$F$1117,Versuchsdaten!$A$2:$A$1117,$A913,Versuchsdaten!$B$2:$B$1117,$B913,Versuchsdaten!$C$2:$C$1117,"Sprint_30m",Versuchsdaten!$E$2:$E$1117,$E913,Versuchsdaten!$J$2:$J$1117,1),""))</f>
        <v/>
      </c>
      <c r="N913" s="22">
        <f>IF(LEFT(C913,7)&lt;&gt;"Sprint_",0,IF(IF(ISNUMBER(K913),IF(K913&lt;=0,1,IF(5/K913&gt;10,1,0)),0)+IF(ISNUMBER(L913),IF(ISNUMBER(K913),IF(L913-K913&lt;=0,1,IF(5/(L913-K913)&gt;10,1,0)),IF(L913&lt;=0,1,IF(10/L913&gt;10,1,0))),0)+IF(ISNUMBER(M913),IF(ISNUMBER(L913),IF(M913-L913&lt;=0,1,IF(20/(M913-L913)&gt;10,1,0)),IF(ISNUMBER(K913),IF(M913-K913&lt;=0,1,IF(25/(M913-K913)&gt;10,1,0)),IF(M913&lt;=0,1,IF(30/M913&gt;10,1,0)))),0)&gt;0,1,0))</f>
        <v/>
      </c>
      <c r="O913" s="22">
        <f>IF(AND(J913=1,N913=0),1,0)</f>
        <v/>
      </c>
      <c r="P913" s="22">
        <f>INDEX(Personendaten!$J$2:$J$32,MATCH(A913,Personendaten!$A$2:$A$32,0))</f>
        <v/>
      </c>
      <c r="Q913" s="22">
        <f>IF(O913=1,"",IF(AND(B913="post",P913="nicht angetreten"),"NANG",IF(N913=1,"AUSL",IFERROR(VLOOKUP(H913,Vokabular!$A$2:$B$8,2,FALSE),"UNBEKANNT"))))</f>
        <v/>
      </c>
    </row>
    <row r="914">
      <c r="A914" s="5" t="inlineStr">
        <is>
          <t>VS-02</t>
        </is>
      </c>
      <c r="B914" s="5" t="inlineStr">
        <is>
          <t>post</t>
        </is>
      </c>
      <c r="C914" s="5" t="inlineStr">
        <is>
          <t>COD_505</t>
        </is>
      </c>
      <c r="D914" s="5" t="inlineStr">
        <is>
          <t>L</t>
        </is>
      </c>
      <c r="E914" s="5" t="n">
        <v>1</v>
      </c>
      <c r="F914" s="5" t="n">
        <v>2.53</v>
      </c>
      <c r="G914" s="5" t="n"/>
      <c r="H914" s="5" t="n"/>
      <c r="I914" s="22">
        <f>INDEX(Personendaten!$C$2:$C$32,MATCH(A914,Personendaten!$A$2:$A$32,0))</f>
        <v/>
      </c>
      <c r="J914" s="22">
        <f>IF(AND(F914&lt;&gt;"",G914=""),1,0)</f>
        <v/>
      </c>
      <c r="K914" s="22">
        <f>IF(LEFT(C914,7)&lt;&gt;"Sprint_","",IF(COUNTIFS(Versuchsdaten!$A$2:$A$1117,$A914,Versuchsdaten!$B$2:$B$1117,$B914,Versuchsdaten!$C$2:$C$1117,"Sprint_5m",Versuchsdaten!$E$2:$E$1117,$E914,Versuchsdaten!$J$2:$J$1117,1)=1,SUMIFS(Versuchsdaten!$F$2:$F$1117,Versuchsdaten!$A$2:$A$1117,$A914,Versuchsdaten!$B$2:$B$1117,$B914,Versuchsdaten!$C$2:$C$1117,"Sprint_5m",Versuchsdaten!$E$2:$E$1117,$E914,Versuchsdaten!$J$2:$J$1117,1),""))</f>
        <v/>
      </c>
      <c r="L914" s="22">
        <f>IF(LEFT(C914,7)&lt;&gt;"Sprint_","",IF(COUNTIFS(Versuchsdaten!$A$2:$A$1117,$A914,Versuchsdaten!$B$2:$B$1117,$B914,Versuchsdaten!$C$2:$C$1117,"Sprint_10m",Versuchsdaten!$E$2:$E$1117,$E914,Versuchsdaten!$J$2:$J$1117,1)=1,SUMIFS(Versuchsdaten!$F$2:$F$1117,Versuchsdaten!$A$2:$A$1117,$A914,Versuchsdaten!$B$2:$B$1117,$B914,Versuchsdaten!$C$2:$C$1117,"Sprint_10m",Versuchsdaten!$E$2:$E$1117,$E914,Versuchsdaten!$J$2:$J$1117,1),""))</f>
        <v/>
      </c>
      <c r="M914" s="22">
        <f>IF(LEFT(C914,7)&lt;&gt;"Sprint_","",IF(COUNTIFS(Versuchsdaten!$A$2:$A$1117,$A914,Versuchsdaten!$B$2:$B$1117,$B914,Versuchsdaten!$C$2:$C$1117,"Sprint_30m",Versuchsdaten!$E$2:$E$1117,$E914,Versuchsdaten!$J$2:$J$1117,1)=1,SUMIFS(Versuchsdaten!$F$2:$F$1117,Versuchsdaten!$A$2:$A$1117,$A914,Versuchsdaten!$B$2:$B$1117,$B914,Versuchsdaten!$C$2:$C$1117,"Sprint_30m",Versuchsdaten!$E$2:$E$1117,$E914,Versuchsdaten!$J$2:$J$1117,1),""))</f>
        <v/>
      </c>
      <c r="N914" s="22">
        <f>IF(LEFT(C914,7)&lt;&gt;"Sprint_",0,IF(IF(ISNUMBER(K914),IF(K914&lt;=0,1,IF(5/K914&gt;10,1,0)),0)+IF(ISNUMBER(L914),IF(ISNUMBER(K914),IF(L914-K914&lt;=0,1,IF(5/(L914-K914)&gt;10,1,0)),IF(L914&lt;=0,1,IF(10/L914&gt;10,1,0))),0)+IF(ISNUMBER(M914),IF(ISNUMBER(L914),IF(M914-L914&lt;=0,1,IF(20/(M914-L914)&gt;10,1,0)),IF(ISNUMBER(K914),IF(M914-K914&lt;=0,1,IF(25/(M914-K914)&gt;10,1,0)),IF(M914&lt;=0,1,IF(30/M914&gt;10,1,0)))),0)&gt;0,1,0))</f>
        <v/>
      </c>
      <c r="O914" s="22">
        <f>IF(AND(J914=1,N914=0),1,0)</f>
        <v/>
      </c>
      <c r="P914" s="22">
        <f>INDEX(Personendaten!$J$2:$J$32,MATCH(A914,Personendaten!$A$2:$A$32,0))</f>
        <v/>
      </c>
      <c r="Q914" s="22">
        <f>IF(O914=1,"",IF(AND(B914="post",P914="nicht angetreten"),"NANG",IF(N914=1,"AUSL",IFERROR(VLOOKUP(H914,Vokabular!$A$2:$B$8,2,FALSE),"UNBEKANNT"))))</f>
        <v/>
      </c>
    </row>
    <row r="915">
      <c r="A915" s="5" t="inlineStr">
        <is>
          <t>VS-02</t>
        </is>
      </c>
      <c r="B915" s="5" t="inlineStr">
        <is>
          <t>post</t>
        </is>
      </c>
      <c r="C915" s="5" t="inlineStr">
        <is>
          <t>COD_505</t>
        </is>
      </c>
      <c r="D915" s="5" t="inlineStr">
        <is>
          <t>L</t>
        </is>
      </c>
      <c r="E915" s="5" t="n">
        <v>2</v>
      </c>
      <c r="F915" s="5" t="n">
        <v>2.53</v>
      </c>
      <c r="G915" s="5" t="n"/>
      <c r="H915" s="5" t="n"/>
      <c r="I915" s="22">
        <f>INDEX(Personendaten!$C$2:$C$32,MATCH(A915,Personendaten!$A$2:$A$32,0))</f>
        <v/>
      </c>
      <c r="J915" s="22">
        <f>IF(AND(F915&lt;&gt;"",G915=""),1,0)</f>
        <v/>
      </c>
      <c r="K915" s="22">
        <f>IF(LEFT(C915,7)&lt;&gt;"Sprint_","",IF(COUNTIFS(Versuchsdaten!$A$2:$A$1117,$A915,Versuchsdaten!$B$2:$B$1117,$B915,Versuchsdaten!$C$2:$C$1117,"Sprint_5m",Versuchsdaten!$E$2:$E$1117,$E915,Versuchsdaten!$J$2:$J$1117,1)=1,SUMIFS(Versuchsdaten!$F$2:$F$1117,Versuchsdaten!$A$2:$A$1117,$A915,Versuchsdaten!$B$2:$B$1117,$B915,Versuchsdaten!$C$2:$C$1117,"Sprint_5m",Versuchsdaten!$E$2:$E$1117,$E915,Versuchsdaten!$J$2:$J$1117,1),""))</f>
        <v/>
      </c>
      <c r="L915" s="22">
        <f>IF(LEFT(C915,7)&lt;&gt;"Sprint_","",IF(COUNTIFS(Versuchsdaten!$A$2:$A$1117,$A915,Versuchsdaten!$B$2:$B$1117,$B915,Versuchsdaten!$C$2:$C$1117,"Sprint_10m",Versuchsdaten!$E$2:$E$1117,$E915,Versuchsdaten!$J$2:$J$1117,1)=1,SUMIFS(Versuchsdaten!$F$2:$F$1117,Versuchsdaten!$A$2:$A$1117,$A915,Versuchsdaten!$B$2:$B$1117,$B915,Versuchsdaten!$C$2:$C$1117,"Sprint_10m",Versuchsdaten!$E$2:$E$1117,$E915,Versuchsdaten!$J$2:$J$1117,1),""))</f>
        <v/>
      </c>
      <c r="M915" s="22">
        <f>IF(LEFT(C915,7)&lt;&gt;"Sprint_","",IF(COUNTIFS(Versuchsdaten!$A$2:$A$1117,$A915,Versuchsdaten!$B$2:$B$1117,$B915,Versuchsdaten!$C$2:$C$1117,"Sprint_30m",Versuchsdaten!$E$2:$E$1117,$E915,Versuchsdaten!$J$2:$J$1117,1)=1,SUMIFS(Versuchsdaten!$F$2:$F$1117,Versuchsdaten!$A$2:$A$1117,$A915,Versuchsdaten!$B$2:$B$1117,$B915,Versuchsdaten!$C$2:$C$1117,"Sprint_30m",Versuchsdaten!$E$2:$E$1117,$E915,Versuchsdaten!$J$2:$J$1117,1),""))</f>
        <v/>
      </c>
      <c r="N915" s="22">
        <f>IF(LEFT(C915,7)&lt;&gt;"Sprint_",0,IF(IF(ISNUMBER(K915),IF(K915&lt;=0,1,IF(5/K915&gt;10,1,0)),0)+IF(ISNUMBER(L915),IF(ISNUMBER(K915),IF(L915-K915&lt;=0,1,IF(5/(L915-K915)&gt;10,1,0)),IF(L915&lt;=0,1,IF(10/L915&gt;10,1,0))),0)+IF(ISNUMBER(M915),IF(ISNUMBER(L915),IF(M915-L915&lt;=0,1,IF(20/(M915-L915)&gt;10,1,0)),IF(ISNUMBER(K915),IF(M915-K915&lt;=0,1,IF(25/(M915-K915)&gt;10,1,0)),IF(M915&lt;=0,1,IF(30/M915&gt;10,1,0)))),0)&gt;0,1,0))</f>
        <v/>
      </c>
      <c r="O915" s="22">
        <f>IF(AND(J915=1,N915=0),1,0)</f>
        <v/>
      </c>
      <c r="P915" s="22">
        <f>INDEX(Personendaten!$J$2:$J$32,MATCH(A915,Personendaten!$A$2:$A$32,0))</f>
        <v/>
      </c>
      <c r="Q915" s="22">
        <f>IF(O915=1,"",IF(AND(B915="post",P915="nicht angetreten"),"NANG",IF(N915=1,"AUSL",IFERROR(VLOOKUP(H915,Vokabular!$A$2:$B$8,2,FALSE),"UNBEKANNT"))))</f>
        <v/>
      </c>
    </row>
    <row r="916">
      <c r="A916" s="5" t="inlineStr">
        <is>
          <t>VS-02</t>
        </is>
      </c>
      <c r="B916" s="5" t="inlineStr">
        <is>
          <t>post</t>
        </is>
      </c>
      <c r="C916" s="5" t="inlineStr">
        <is>
          <t>COD_505</t>
        </is>
      </c>
      <c r="D916" s="5" t="inlineStr">
        <is>
          <t>L</t>
        </is>
      </c>
      <c r="E916" s="5" t="n">
        <v>3</v>
      </c>
      <c r="F916" s="5" t="n"/>
      <c r="G916" s="5" t="n"/>
      <c r="H916" s="5" t="inlineStr">
        <is>
          <t>Nur 2 Versuche aus Zeitmangel</t>
        </is>
      </c>
      <c r="I916" s="22">
        <f>INDEX(Personendaten!$C$2:$C$32,MATCH(A916,Personendaten!$A$2:$A$32,0))</f>
        <v/>
      </c>
      <c r="J916" s="22">
        <f>IF(AND(F916&lt;&gt;"",G916=""),1,0)</f>
        <v/>
      </c>
      <c r="K916" s="22">
        <f>IF(LEFT(C916,7)&lt;&gt;"Sprint_","",IF(COUNTIFS(Versuchsdaten!$A$2:$A$1117,$A916,Versuchsdaten!$B$2:$B$1117,$B916,Versuchsdaten!$C$2:$C$1117,"Sprint_5m",Versuchsdaten!$E$2:$E$1117,$E916,Versuchsdaten!$J$2:$J$1117,1)=1,SUMIFS(Versuchsdaten!$F$2:$F$1117,Versuchsdaten!$A$2:$A$1117,$A916,Versuchsdaten!$B$2:$B$1117,$B916,Versuchsdaten!$C$2:$C$1117,"Sprint_5m",Versuchsdaten!$E$2:$E$1117,$E916,Versuchsdaten!$J$2:$J$1117,1),""))</f>
        <v/>
      </c>
      <c r="L916" s="22">
        <f>IF(LEFT(C916,7)&lt;&gt;"Sprint_","",IF(COUNTIFS(Versuchsdaten!$A$2:$A$1117,$A916,Versuchsdaten!$B$2:$B$1117,$B916,Versuchsdaten!$C$2:$C$1117,"Sprint_10m",Versuchsdaten!$E$2:$E$1117,$E916,Versuchsdaten!$J$2:$J$1117,1)=1,SUMIFS(Versuchsdaten!$F$2:$F$1117,Versuchsdaten!$A$2:$A$1117,$A916,Versuchsdaten!$B$2:$B$1117,$B916,Versuchsdaten!$C$2:$C$1117,"Sprint_10m",Versuchsdaten!$E$2:$E$1117,$E916,Versuchsdaten!$J$2:$J$1117,1),""))</f>
        <v/>
      </c>
      <c r="M916" s="22">
        <f>IF(LEFT(C916,7)&lt;&gt;"Sprint_","",IF(COUNTIFS(Versuchsdaten!$A$2:$A$1117,$A916,Versuchsdaten!$B$2:$B$1117,$B916,Versuchsdaten!$C$2:$C$1117,"Sprint_30m",Versuchsdaten!$E$2:$E$1117,$E916,Versuchsdaten!$J$2:$J$1117,1)=1,SUMIFS(Versuchsdaten!$F$2:$F$1117,Versuchsdaten!$A$2:$A$1117,$A916,Versuchsdaten!$B$2:$B$1117,$B916,Versuchsdaten!$C$2:$C$1117,"Sprint_30m",Versuchsdaten!$E$2:$E$1117,$E916,Versuchsdaten!$J$2:$J$1117,1),""))</f>
        <v/>
      </c>
      <c r="N916" s="22">
        <f>IF(LEFT(C916,7)&lt;&gt;"Sprint_",0,IF(IF(ISNUMBER(K916),IF(K916&lt;=0,1,IF(5/K916&gt;10,1,0)),0)+IF(ISNUMBER(L916),IF(ISNUMBER(K916),IF(L916-K916&lt;=0,1,IF(5/(L916-K916)&gt;10,1,0)),IF(L916&lt;=0,1,IF(10/L916&gt;10,1,0))),0)+IF(ISNUMBER(M916),IF(ISNUMBER(L916),IF(M916-L916&lt;=0,1,IF(20/(M916-L916)&gt;10,1,0)),IF(ISNUMBER(K916),IF(M916-K916&lt;=0,1,IF(25/(M916-K916)&gt;10,1,0)),IF(M916&lt;=0,1,IF(30/M916&gt;10,1,0)))),0)&gt;0,1,0))</f>
        <v/>
      </c>
      <c r="O916" s="22">
        <f>IF(AND(J916=1,N916=0),1,0)</f>
        <v/>
      </c>
      <c r="P916" s="22">
        <f>INDEX(Personendaten!$J$2:$J$32,MATCH(A916,Personendaten!$A$2:$A$32,0))</f>
        <v/>
      </c>
      <c r="Q916" s="22">
        <f>IF(O916=1,"",IF(AND(B916="post",P916="nicht angetreten"),"NANG",IF(N916=1,"AUSL",IFERROR(VLOOKUP(H916,Vokabular!$A$2:$B$8,2,FALSE),"UNBEKANNT"))))</f>
        <v/>
      </c>
    </row>
    <row r="917">
      <c r="A917" s="5" t="inlineStr">
        <is>
          <t>VS-02</t>
        </is>
      </c>
      <c r="B917" s="5" t="inlineStr">
        <is>
          <t>post</t>
        </is>
      </c>
      <c r="C917" s="5" t="inlineStr">
        <is>
          <t>COD_505</t>
        </is>
      </c>
      <c r="D917" s="5" t="inlineStr">
        <is>
          <t>R</t>
        </is>
      </c>
      <c r="E917" s="5" t="n">
        <v>1</v>
      </c>
      <c r="F917" s="5" t="n">
        <v>2.59</v>
      </c>
      <c r="G917" s="5" t="n"/>
      <c r="H917" s="5" t="n"/>
      <c r="I917" s="22">
        <f>INDEX(Personendaten!$C$2:$C$32,MATCH(A917,Personendaten!$A$2:$A$32,0))</f>
        <v/>
      </c>
      <c r="J917" s="22">
        <f>IF(AND(F917&lt;&gt;"",G917=""),1,0)</f>
        <v/>
      </c>
      <c r="K917" s="22">
        <f>IF(LEFT(C917,7)&lt;&gt;"Sprint_","",IF(COUNTIFS(Versuchsdaten!$A$2:$A$1117,$A917,Versuchsdaten!$B$2:$B$1117,$B917,Versuchsdaten!$C$2:$C$1117,"Sprint_5m",Versuchsdaten!$E$2:$E$1117,$E917,Versuchsdaten!$J$2:$J$1117,1)=1,SUMIFS(Versuchsdaten!$F$2:$F$1117,Versuchsdaten!$A$2:$A$1117,$A917,Versuchsdaten!$B$2:$B$1117,$B917,Versuchsdaten!$C$2:$C$1117,"Sprint_5m",Versuchsdaten!$E$2:$E$1117,$E917,Versuchsdaten!$J$2:$J$1117,1),""))</f>
        <v/>
      </c>
      <c r="L917" s="22">
        <f>IF(LEFT(C917,7)&lt;&gt;"Sprint_","",IF(COUNTIFS(Versuchsdaten!$A$2:$A$1117,$A917,Versuchsdaten!$B$2:$B$1117,$B917,Versuchsdaten!$C$2:$C$1117,"Sprint_10m",Versuchsdaten!$E$2:$E$1117,$E917,Versuchsdaten!$J$2:$J$1117,1)=1,SUMIFS(Versuchsdaten!$F$2:$F$1117,Versuchsdaten!$A$2:$A$1117,$A917,Versuchsdaten!$B$2:$B$1117,$B917,Versuchsdaten!$C$2:$C$1117,"Sprint_10m",Versuchsdaten!$E$2:$E$1117,$E917,Versuchsdaten!$J$2:$J$1117,1),""))</f>
        <v/>
      </c>
      <c r="M917" s="22">
        <f>IF(LEFT(C917,7)&lt;&gt;"Sprint_","",IF(COUNTIFS(Versuchsdaten!$A$2:$A$1117,$A917,Versuchsdaten!$B$2:$B$1117,$B917,Versuchsdaten!$C$2:$C$1117,"Sprint_30m",Versuchsdaten!$E$2:$E$1117,$E917,Versuchsdaten!$J$2:$J$1117,1)=1,SUMIFS(Versuchsdaten!$F$2:$F$1117,Versuchsdaten!$A$2:$A$1117,$A917,Versuchsdaten!$B$2:$B$1117,$B917,Versuchsdaten!$C$2:$C$1117,"Sprint_30m",Versuchsdaten!$E$2:$E$1117,$E917,Versuchsdaten!$J$2:$J$1117,1),""))</f>
        <v/>
      </c>
      <c r="N917" s="22">
        <f>IF(LEFT(C917,7)&lt;&gt;"Sprint_",0,IF(IF(ISNUMBER(K917),IF(K917&lt;=0,1,IF(5/K917&gt;10,1,0)),0)+IF(ISNUMBER(L917),IF(ISNUMBER(K917),IF(L917-K917&lt;=0,1,IF(5/(L917-K917)&gt;10,1,0)),IF(L917&lt;=0,1,IF(10/L917&gt;10,1,0))),0)+IF(ISNUMBER(M917),IF(ISNUMBER(L917),IF(M917-L917&lt;=0,1,IF(20/(M917-L917)&gt;10,1,0)),IF(ISNUMBER(K917),IF(M917-K917&lt;=0,1,IF(25/(M917-K917)&gt;10,1,0)),IF(M917&lt;=0,1,IF(30/M917&gt;10,1,0)))),0)&gt;0,1,0))</f>
        <v/>
      </c>
      <c r="O917" s="22">
        <f>IF(AND(J917=1,N917=0),1,0)</f>
        <v/>
      </c>
      <c r="P917" s="22">
        <f>INDEX(Personendaten!$J$2:$J$32,MATCH(A917,Personendaten!$A$2:$A$32,0))</f>
        <v/>
      </c>
      <c r="Q917" s="22">
        <f>IF(O917=1,"",IF(AND(B917="post",P917="nicht angetreten"),"NANG",IF(N917=1,"AUSL",IFERROR(VLOOKUP(H917,Vokabular!$A$2:$B$8,2,FALSE),"UNBEKANNT"))))</f>
        <v/>
      </c>
    </row>
    <row r="918">
      <c r="A918" s="5" t="inlineStr">
        <is>
          <t>VS-02</t>
        </is>
      </c>
      <c r="B918" s="5" t="inlineStr">
        <is>
          <t>post</t>
        </is>
      </c>
      <c r="C918" s="5" t="inlineStr">
        <is>
          <t>COD_505</t>
        </is>
      </c>
      <c r="D918" s="5" t="inlineStr">
        <is>
          <t>R</t>
        </is>
      </c>
      <c r="E918" s="5" t="n">
        <v>2</v>
      </c>
      <c r="F918" s="5" t="n"/>
      <c r="G918" s="5" t="inlineStr">
        <is>
          <t>x</t>
        </is>
      </c>
      <c r="H918" s="5" t="inlineStr">
        <is>
          <t>Fehlversuch</t>
        </is>
      </c>
      <c r="I918" s="22">
        <f>INDEX(Personendaten!$C$2:$C$32,MATCH(A918,Personendaten!$A$2:$A$32,0))</f>
        <v/>
      </c>
      <c r="J918" s="22">
        <f>IF(AND(F918&lt;&gt;"",G918=""),1,0)</f>
        <v/>
      </c>
      <c r="K918" s="22">
        <f>IF(LEFT(C918,7)&lt;&gt;"Sprint_","",IF(COUNTIFS(Versuchsdaten!$A$2:$A$1117,$A918,Versuchsdaten!$B$2:$B$1117,$B918,Versuchsdaten!$C$2:$C$1117,"Sprint_5m",Versuchsdaten!$E$2:$E$1117,$E918,Versuchsdaten!$J$2:$J$1117,1)=1,SUMIFS(Versuchsdaten!$F$2:$F$1117,Versuchsdaten!$A$2:$A$1117,$A918,Versuchsdaten!$B$2:$B$1117,$B918,Versuchsdaten!$C$2:$C$1117,"Sprint_5m",Versuchsdaten!$E$2:$E$1117,$E918,Versuchsdaten!$J$2:$J$1117,1),""))</f>
        <v/>
      </c>
      <c r="L918" s="22">
        <f>IF(LEFT(C918,7)&lt;&gt;"Sprint_","",IF(COUNTIFS(Versuchsdaten!$A$2:$A$1117,$A918,Versuchsdaten!$B$2:$B$1117,$B918,Versuchsdaten!$C$2:$C$1117,"Sprint_10m",Versuchsdaten!$E$2:$E$1117,$E918,Versuchsdaten!$J$2:$J$1117,1)=1,SUMIFS(Versuchsdaten!$F$2:$F$1117,Versuchsdaten!$A$2:$A$1117,$A918,Versuchsdaten!$B$2:$B$1117,$B918,Versuchsdaten!$C$2:$C$1117,"Sprint_10m",Versuchsdaten!$E$2:$E$1117,$E918,Versuchsdaten!$J$2:$J$1117,1),""))</f>
        <v/>
      </c>
      <c r="M918" s="22">
        <f>IF(LEFT(C918,7)&lt;&gt;"Sprint_","",IF(COUNTIFS(Versuchsdaten!$A$2:$A$1117,$A918,Versuchsdaten!$B$2:$B$1117,$B918,Versuchsdaten!$C$2:$C$1117,"Sprint_30m",Versuchsdaten!$E$2:$E$1117,$E918,Versuchsdaten!$J$2:$J$1117,1)=1,SUMIFS(Versuchsdaten!$F$2:$F$1117,Versuchsdaten!$A$2:$A$1117,$A918,Versuchsdaten!$B$2:$B$1117,$B918,Versuchsdaten!$C$2:$C$1117,"Sprint_30m",Versuchsdaten!$E$2:$E$1117,$E918,Versuchsdaten!$J$2:$J$1117,1),""))</f>
        <v/>
      </c>
      <c r="N918" s="22">
        <f>IF(LEFT(C918,7)&lt;&gt;"Sprint_",0,IF(IF(ISNUMBER(K918),IF(K918&lt;=0,1,IF(5/K918&gt;10,1,0)),0)+IF(ISNUMBER(L918),IF(ISNUMBER(K918),IF(L918-K918&lt;=0,1,IF(5/(L918-K918)&gt;10,1,0)),IF(L918&lt;=0,1,IF(10/L918&gt;10,1,0))),0)+IF(ISNUMBER(M918),IF(ISNUMBER(L918),IF(M918-L918&lt;=0,1,IF(20/(M918-L918)&gt;10,1,0)),IF(ISNUMBER(K918),IF(M918-K918&lt;=0,1,IF(25/(M918-K918)&gt;10,1,0)),IF(M918&lt;=0,1,IF(30/M918&gt;10,1,0)))),0)&gt;0,1,0))</f>
        <v/>
      </c>
      <c r="O918" s="22">
        <f>IF(AND(J918=1,N918=0),1,0)</f>
        <v/>
      </c>
      <c r="P918" s="22">
        <f>INDEX(Personendaten!$J$2:$J$32,MATCH(A918,Personendaten!$A$2:$A$32,0))</f>
        <v/>
      </c>
      <c r="Q918" s="22">
        <f>IF(O918=1,"",IF(AND(B918="post",P918="nicht angetreten"),"NANG",IF(N918=1,"AUSL",IFERROR(VLOOKUP(H918,Vokabular!$A$2:$B$8,2,FALSE),"UNBEKANNT"))))</f>
        <v/>
      </c>
    </row>
    <row r="919">
      <c r="A919" s="5" t="inlineStr">
        <is>
          <t>VS-02</t>
        </is>
      </c>
      <c r="B919" s="5" t="inlineStr">
        <is>
          <t>post</t>
        </is>
      </c>
      <c r="C919" s="5" t="inlineStr">
        <is>
          <t>COD_505</t>
        </is>
      </c>
      <c r="D919" s="5" t="inlineStr">
        <is>
          <t>R</t>
        </is>
      </c>
      <c r="E919" s="5" t="n">
        <v>3</v>
      </c>
      <c r="F919" s="5" t="n"/>
      <c r="G919" s="5" t="n"/>
      <c r="H919" s="5" t="inlineStr">
        <is>
          <t>Nur 2 Versuche aus Zeitmangel</t>
        </is>
      </c>
      <c r="I919" s="22">
        <f>INDEX(Personendaten!$C$2:$C$32,MATCH(A919,Personendaten!$A$2:$A$32,0))</f>
        <v/>
      </c>
      <c r="J919" s="22">
        <f>IF(AND(F919&lt;&gt;"",G919=""),1,0)</f>
        <v/>
      </c>
      <c r="K919" s="22">
        <f>IF(LEFT(C919,7)&lt;&gt;"Sprint_","",IF(COUNTIFS(Versuchsdaten!$A$2:$A$1117,$A919,Versuchsdaten!$B$2:$B$1117,$B919,Versuchsdaten!$C$2:$C$1117,"Sprint_5m",Versuchsdaten!$E$2:$E$1117,$E919,Versuchsdaten!$J$2:$J$1117,1)=1,SUMIFS(Versuchsdaten!$F$2:$F$1117,Versuchsdaten!$A$2:$A$1117,$A919,Versuchsdaten!$B$2:$B$1117,$B919,Versuchsdaten!$C$2:$C$1117,"Sprint_5m",Versuchsdaten!$E$2:$E$1117,$E919,Versuchsdaten!$J$2:$J$1117,1),""))</f>
        <v/>
      </c>
      <c r="L919" s="22">
        <f>IF(LEFT(C919,7)&lt;&gt;"Sprint_","",IF(COUNTIFS(Versuchsdaten!$A$2:$A$1117,$A919,Versuchsdaten!$B$2:$B$1117,$B919,Versuchsdaten!$C$2:$C$1117,"Sprint_10m",Versuchsdaten!$E$2:$E$1117,$E919,Versuchsdaten!$J$2:$J$1117,1)=1,SUMIFS(Versuchsdaten!$F$2:$F$1117,Versuchsdaten!$A$2:$A$1117,$A919,Versuchsdaten!$B$2:$B$1117,$B919,Versuchsdaten!$C$2:$C$1117,"Sprint_10m",Versuchsdaten!$E$2:$E$1117,$E919,Versuchsdaten!$J$2:$J$1117,1),""))</f>
        <v/>
      </c>
      <c r="M919" s="22">
        <f>IF(LEFT(C919,7)&lt;&gt;"Sprint_","",IF(COUNTIFS(Versuchsdaten!$A$2:$A$1117,$A919,Versuchsdaten!$B$2:$B$1117,$B919,Versuchsdaten!$C$2:$C$1117,"Sprint_30m",Versuchsdaten!$E$2:$E$1117,$E919,Versuchsdaten!$J$2:$J$1117,1)=1,SUMIFS(Versuchsdaten!$F$2:$F$1117,Versuchsdaten!$A$2:$A$1117,$A919,Versuchsdaten!$B$2:$B$1117,$B919,Versuchsdaten!$C$2:$C$1117,"Sprint_30m",Versuchsdaten!$E$2:$E$1117,$E919,Versuchsdaten!$J$2:$J$1117,1),""))</f>
        <v/>
      </c>
      <c r="N919" s="22">
        <f>IF(LEFT(C919,7)&lt;&gt;"Sprint_",0,IF(IF(ISNUMBER(K919),IF(K919&lt;=0,1,IF(5/K919&gt;10,1,0)),0)+IF(ISNUMBER(L919),IF(ISNUMBER(K919),IF(L919-K919&lt;=0,1,IF(5/(L919-K919)&gt;10,1,0)),IF(L919&lt;=0,1,IF(10/L919&gt;10,1,0))),0)+IF(ISNUMBER(M919),IF(ISNUMBER(L919),IF(M919-L919&lt;=0,1,IF(20/(M919-L919)&gt;10,1,0)),IF(ISNUMBER(K919),IF(M919-K919&lt;=0,1,IF(25/(M919-K919)&gt;10,1,0)),IF(M919&lt;=0,1,IF(30/M919&gt;10,1,0)))),0)&gt;0,1,0))</f>
        <v/>
      </c>
      <c r="O919" s="22">
        <f>IF(AND(J919=1,N919=0),1,0)</f>
        <v/>
      </c>
      <c r="P919" s="22">
        <f>INDEX(Personendaten!$J$2:$J$32,MATCH(A919,Personendaten!$A$2:$A$32,0))</f>
        <v/>
      </c>
      <c r="Q919" s="22">
        <f>IF(O919=1,"",IF(AND(B919="post",P919="nicht angetreten"),"NANG",IF(N919=1,"AUSL",IFERROR(VLOOKUP(H919,Vokabular!$A$2:$B$8,2,FALSE),"UNBEKANNT"))))</f>
        <v/>
      </c>
    </row>
    <row r="920">
      <c r="A920" s="5" t="inlineStr">
        <is>
          <t>VS-03</t>
        </is>
      </c>
      <c r="B920" s="5" t="inlineStr">
        <is>
          <t>post</t>
        </is>
      </c>
      <c r="C920" s="5" t="inlineStr">
        <is>
          <t>Sprint_5m</t>
        </is>
      </c>
      <c r="D920" s="5" t="inlineStr">
        <is>
          <t>–</t>
        </is>
      </c>
      <c r="E920" s="5" t="n">
        <v>1</v>
      </c>
      <c r="F920" s="5" t="n"/>
      <c r="G920" s="5" t="n"/>
      <c r="H920" s="5" t="inlineStr">
        <is>
          <t>Nur 2 Versuche aus Zeitmangel</t>
        </is>
      </c>
      <c r="I920" s="22">
        <f>INDEX(Personendaten!$C$2:$C$32,MATCH(A920,Personendaten!$A$2:$A$32,0))</f>
        <v/>
      </c>
      <c r="J920" s="22">
        <f>IF(AND(F920&lt;&gt;"",G920=""),1,0)</f>
        <v/>
      </c>
      <c r="K920" s="22">
        <f>IF(LEFT(C920,7)&lt;&gt;"Sprint_","",IF(COUNTIFS(Versuchsdaten!$A$2:$A$1117,$A920,Versuchsdaten!$B$2:$B$1117,$B920,Versuchsdaten!$C$2:$C$1117,"Sprint_5m",Versuchsdaten!$E$2:$E$1117,$E920,Versuchsdaten!$J$2:$J$1117,1)=1,SUMIFS(Versuchsdaten!$F$2:$F$1117,Versuchsdaten!$A$2:$A$1117,$A920,Versuchsdaten!$B$2:$B$1117,$B920,Versuchsdaten!$C$2:$C$1117,"Sprint_5m",Versuchsdaten!$E$2:$E$1117,$E920,Versuchsdaten!$J$2:$J$1117,1),""))</f>
        <v/>
      </c>
      <c r="L920" s="22">
        <f>IF(LEFT(C920,7)&lt;&gt;"Sprint_","",IF(COUNTIFS(Versuchsdaten!$A$2:$A$1117,$A920,Versuchsdaten!$B$2:$B$1117,$B920,Versuchsdaten!$C$2:$C$1117,"Sprint_10m",Versuchsdaten!$E$2:$E$1117,$E920,Versuchsdaten!$J$2:$J$1117,1)=1,SUMIFS(Versuchsdaten!$F$2:$F$1117,Versuchsdaten!$A$2:$A$1117,$A920,Versuchsdaten!$B$2:$B$1117,$B920,Versuchsdaten!$C$2:$C$1117,"Sprint_10m",Versuchsdaten!$E$2:$E$1117,$E920,Versuchsdaten!$J$2:$J$1117,1),""))</f>
        <v/>
      </c>
      <c r="M920" s="22">
        <f>IF(LEFT(C920,7)&lt;&gt;"Sprint_","",IF(COUNTIFS(Versuchsdaten!$A$2:$A$1117,$A920,Versuchsdaten!$B$2:$B$1117,$B920,Versuchsdaten!$C$2:$C$1117,"Sprint_30m",Versuchsdaten!$E$2:$E$1117,$E920,Versuchsdaten!$J$2:$J$1117,1)=1,SUMIFS(Versuchsdaten!$F$2:$F$1117,Versuchsdaten!$A$2:$A$1117,$A920,Versuchsdaten!$B$2:$B$1117,$B920,Versuchsdaten!$C$2:$C$1117,"Sprint_30m",Versuchsdaten!$E$2:$E$1117,$E920,Versuchsdaten!$J$2:$J$1117,1),""))</f>
        <v/>
      </c>
      <c r="N920" s="22">
        <f>IF(LEFT(C920,7)&lt;&gt;"Sprint_",0,IF(IF(ISNUMBER(K920),IF(K920&lt;=0,1,IF(5/K920&gt;10,1,0)),0)+IF(ISNUMBER(L920),IF(ISNUMBER(K920),IF(L920-K920&lt;=0,1,IF(5/(L920-K920)&gt;10,1,0)),IF(L920&lt;=0,1,IF(10/L920&gt;10,1,0))),0)+IF(ISNUMBER(M920),IF(ISNUMBER(L920),IF(M920-L920&lt;=0,1,IF(20/(M920-L920)&gt;10,1,0)),IF(ISNUMBER(K920),IF(M920-K920&lt;=0,1,IF(25/(M920-K920)&gt;10,1,0)),IF(M920&lt;=0,1,IF(30/M920&gt;10,1,0)))),0)&gt;0,1,0))</f>
        <v/>
      </c>
      <c r="O920" s="22">
        <f>IF(AND(J920=1,N920=0),1,0)</f>
        <v/>
      </c>
      <c r="P920" s="22">
        <f>INDEX(Personendaten!$J$2:$J$32,MATCH(A920,Personendaten!$A$2:$A$32,0))</f>
        <v/>
      </c>
      <c r="Q920" s="22">
        <f>IF(O920=1,"",IF(AND(B920="post",P920="nicht angetreten"),"NANG",IF(N920=1,"AUSL",IFERROR(VLOOKUP(H920,Vokabular!$A$2:$B$8,2,FALSE),"UNBEKANNT"))))</f>
        <v/>
      </c>
    </row>
    <row r="921">
      <c r="A921" s="5" t="inlineStr">
        <is>
          <t>VS-03</t>
        </is>
      </c>
      <c r="B921" s="5" t="inlineStr">
        <is>
          <t>post</t>
        </is>
      </c>
      <c r="C921" s="5" t="inlineStr">
        <is>
          <t>Sprint_5m</t>
        </is>
      </c>
      <c r="D921" s="5" t="inlineStr">
        <is>
          <t>–</t>
        </is>
      </c>
      <c r="E921" s="5" t="n">
        <v>2</v>
      </c>
      <c r="F921" s="5" t="n">
        <v>1.15</v>
      </c>
      <c r="G921" s="5" t="n"/>
      <c r="H921" s="5" t="n"/>
      <c r="I921" s="22">
        <f>INDEX(Personendaten!$C$2:$C$32,MATCH(A921,Personendaten!$A$2:$A$32,0))</f>
        <v/>
      </c>
      <c r="J921" s="22">
        <f>IF(AND(F921&lt;&gt;"",G921=""),1,0)</f>
        <v/>
      </c>
      <c r="K921" s="22">
        <f>IF(LEFT(C921,7)&lt;&gt;"Sprint_","",IF(COUNTIFS(Versuchsdaten!$A$2:$A$1117,$A921,Versuchsdaten!$B$2:$B$1117,$B921,Versuchsdaten!$C$2:$C$1117,"Sprint_5m",Versuchsdaten!$E$2:$E$1117,$E921,Versuchsdaten!$J$2:$J$1117,1)=1,SUMIFS(Versuchsdaten!$F$2:$F$1117,Versuchsdaten!$A$2:$A$1117,$A921,Versuchsdaten!$B$2:$B$1117,$B921,Versuchsdaten!$C$2:$C$1117,"Sprint_5m",Versuchsdaten!$E$2:$E$1117,$E921,Versuchsdaten!$J$2:$J$1117,1),""))</f>
        <v/>
      </c>
      <c r="L921" s="22">
        <f>IF(LEFT(C921,7)&lt;&gt;"Sprint_","",IF(COUNTIFS(Versuchsdaten!$A$2:$A$1117,$A921,Versuchsdaten!$B$2:$B$1117,$B921,Versuchsdaten!$C$2:$C$1117,"Sprint_10m",Versuchsdaten!$E$2:$E$1117,$E921,Versuchsdaten!$J$2:$J$1117,1)=1,SUMIFS(Versuchsdaten!$F$2:$F$1117,Versuchsdaten!$A$2:$A$1117,$A921,Versuchsdaten!$B$2:$B$1117,$B921,Versuchsdaten!$C$2:$C$1117,"Sprint_10m",Versuchsdaten!$E$2:$E$1117,$E921,Versuchsdaten!$J$2:$J$1117,1),""))</f>
        <v/>
      </c>
      <c r="M921" s="22">
        <f>IF(LEFT(C921,7)&lt;&gt;"Sprint_","",IF(COUNTIFS(Versuchsdaten!$A$2:$A$1117,$A921,Versuchsdaten!$B$2:$B$1117,$B921,Versuchsdaten!$C$2:$C$1117,"Sprint_30m",Versuchsdaten!$E$2:$E$1117,$E921,Versuchsdaten!$J$2:$J$1117,1)=1,SUMIFS(Versuchsdaten!$F$2:$F$1117,Versuchsdaten!$A$2:$A$1117,$A921,Versuchsdaten!$B$2:$B$1117,$B921,Versuchsdaten!$C$2:$C$1117,"Sprint_30m",Versuchsdaten!$E$2:$E$1117,$E921,Versuchsdaten!$J$2:$J$1117,1),""))</f>
        <v/>
      </c>
      <c r="N921" s="22">
        <f>IF(LEFT(C921,7)&lt;&gt;"Sprint_",0,IF(IF(ISNUMBER(K921),IF(K921&lt;=0,1,IF(5/K921&gt;10,1,0)),0)+IF(ISNUMBER(L921),IF(ISNUMBER(K921),IF(L921-K921&lt;=0,1,IF(5/(L921-K921)&gt;10,1,0)),IF(L921&lt;=0,1,IF(10/L921&gt;10,1,0))),0)+IF(ISNUMBER(M921),IF(ISNUMBER(L921),IF(M921-L921&lt;=0,1,IF(20/(M921-L921)&gt;10,1,0)),IF(ISNUMBER(K921),IF(M921-K921&lt;=0,1,IF(25/(M921-K921)&gt;10,1,0)),IF(M921&lt;=0,1,IF(30/M921&gt;10,1,0)))),0)&gt;0,1,0))</f>
        <v/>
      </c>
      <c r="O921" s="22">
        <f>IF(AND(J921=1,N921=0),1,0)</f>
        <v/>
      </c>
      <c r="P921" s="22">
        <f>INDEX(Personendaten!$J$2:$J$32,MATCH(A921,Personendaten!$A$2:$A$32,0))</f>
        <v/>
      </c>
      <c r="Q921" s="22">
        <f>IF(O921=1,"",IF(AND(B921="post",P921="nicht angetreten"),"NANG",IF(N921=1,"AUSL",IFERROR(VLOOKUP(H921,Vokabular!$A$2:$B$8,2,FALSE),"UNBEKANNT"))))</f>
        <v/>
      </c>
    </row>
    <row r="922">
      <c r="A922" s="5" t="inlineStr">
        <is>
          <t>VS-03</t>
        </is>
      </c>
      <c r="B922" s="5" t="inlineStr">
        <is>
          <t>post</t>
        </is>
      </c>
      <c r="C922" s="5" t="inlineStr">
        <is>
          <t>Sprint_5m</t>
        </is>
      </c>
      <c r="D922" s="5" t="inlineStr">
        <is>
          <t>–</t>
        </is>
      </c>
      <c r="E922" s="5" t="n">
        <v>3</v>
      </c>
      <c r="F922" s="5" t="n">
        <v>1.21</v>
      </c>
      <c r="G922" s="5" t="n"/>
      <c r="H922" s="5" t="n"/>
      <c r="I922" s="22">
        <f>INDEX(Personendaten!$C$2:$C$32,MATCH(A922,Personendaten!$A$2:$A$32,0))</f>
        <v/>
      </c>
      <c r="J922" s="22">
        <f>IF(AND(F922&lt;&gt;"",G922=""),1,0)</f>
        <v/>
      </c>
      <c r="K922" s="22">
        <f>IF(LEFT(C922,7)&lt;&gt;"Sprint_","",IF(COUNTIFS(Versuchsdaten!$A$2:$A$1117,$A922,Versuchsdaten!$B$2:$B$1117,$B922,Versuchsdaten!$C$2:$C$1117,"Sprint_5m",Versuchsdaten!$E$2:$E$1117,$E922,Versuchsdaten!$J$2:$J$1117,1)=1,SUMIFS(Versuchsdaten!$F$2:$F$1117,Versuchsdaten!$A$2:$A$1117,$A922,Versuchsdaten!$B$2:$B$1117,$B922,Versuchsdaten!$C$2:$C$1117,"Sprint_5m",Versuchsdaten!$E$2:$E$1117,$E922,Versuchsdaten!$J$2:$J$1117,1),""))</f>
        <v/>
      </c>
      <c r="L922" s="22">
        <f>IF(LEFT(C922,7)&lt;&gt;"Sprint_","",IF(COUNTIFS(Versuchsdaten!$A$2:$A$1117,$A922,Versuchsdaten!$B$2:$B$1117,$B922,Versuchsdaten!$C$2:$C$1117,"Sprint_10m",Versuchsdaten!$E$2:$E$1117,$E922,Versuchsdaten!$J$2:$J$1117,1)=1,SUMIFS(Versuchsdaten!$F$2:$F$1117,Versuchsdaten!$A$2:$A$1117,$A922,Versuchsdaten!$B$2:$B$1117,$B922,Versuchsdaten!$C$2:$C$1117,"Sprint_10m",Versuchsdaten!$E$2:$E$1117,$E922,Versuchsdaten!$J$2:$J$1117,1),""))</f>
        <v/>
      </c>
      <c r="M922" s="22">
        <f>IF(LEFT(C922,7)&lt;&gt;"Sprint_","",IF(COUNTIFS(Versuchsdaten!$A$2:$A$1117,$A922,Versuchsdaten!$B$2:$B$1117,$B922,Versuchsdaten!$C$2:$C$1117,"Sprint_30m",Versuchsdaten!$E$2:$E$1117,$E922,Versuchsdaten!$J$2:$J$1117,1)=1,SUMIFS(Versuchsdaten!$F$2:$F$1117,Versuchsdaten!$A$2:$A$1117,$A922,Versuchsdaten!$B$2:$B$1117,$B922,Versuchsdaten!$C$2:$C$1117,"Sprint_30m",Versuchsdaten!$E$2:$E$1117,$E922,Versuchsdaten!$J$2:$J$1117,1),""))</f>
        <v/>
      </c>
      <c r="N922" s="22">
        <f>IF(LEFT(C922,7)&lt;&gt;"Sprint_",0,IF(IF(ISNUMBER(K922),IF(K922&lt;=0,1,IF(5/K922&gt;10,1,0)),0)+IF(ISNUMBER(L922),IF(ISNUMBER(K922),IF(L922-K922&lt;=0,1,IF(5/(L922-K922)&gt;10,1,0)),IF(L922&lt;=0,1,IF(10/L922&gt;10,1,0))),0)+IF(ISNUMBER(M922),IF(ISNUMBER(L922),IF(M922-L922&lt;=0,1,IF(20/(M922-L922)&gt;10,1,0)),IF(ISNUMBER(K922),IF(M922-K922&lt;=0,1,IF(25/(M922-K922)&gt;10,1,0)),IF(M922&lt;=0,1,IF(30/M922&gt;10,1,0)))),0)&gt;0,1,0))</f>
        <v/>
      </c>
      <c r="O922" s="22">
        <f>IF(AND(J922=1,N922=0),1,0)</f>
        <v/>
      </c>
      <c r="P922" s="22">
        <f>INDEX(Personendaten!$J$2:$J$32,MATCH(A922,Personendaten!$A$2:$A$32,0))</f>
        <v/>
      </c>
      <c r="Q922" s="22">
        <f>IF(O922=1,"",IF(AND(B922="post",P922="nicht angetreten"),"NANG",IF(N922=1,"AUSL",IFERROR(VLOOKUP(H922,Vokabular!$A$2:$B$8,2,FALSE),"UNBEKANNT"))))</f>
        <v/>
      </c>
    </row>
    <row r="923">
      <c r="A923" s="5" t="inlineStr">
        <is>
          <t>VS-03</t>
        </is>
      </c>
      <c r="B923" s="5" t="inlineStr">
        <is>
          <t>post</t>
        </is>
      </c>
      <c r="C923" s="5" t="inlineStr">
        <is>
          <t>Sprint_10m</t>
        </is>
      </c>
      <c r="D923" s="5" t="inlineStr">
        <is>
          <t>–</t>
        </is>
      </c>
      <c r="E923" s="5" t="n">
        <v>1</v>
      </c>
      <c r="F923" s="5" t="n"/>
      <c r="G923" s="5" t="n"/>
      <c r="H923" s="5" t="inlineStr">
        <is>
          <t>Nur 2 Versuche aus Zeitmangel</t>
        </is>
      </c>
      <c r="I923" s="22">
        <f>INDEX(Personendaten!$C$2:$C$32,MATCH(A923,Personendaten!$A$2:$A$32,0))</f>
        <v/>
      </c>
      <c r="J923" s="22">
        <f>IF(AND(F923&lt;&gt;"",G923=""),1,0)</f>
        <v/>
      </c>
      <c r="K923" s="22">
        <f>IF(LEFT(C923,7)&lt;&gt;"Sprint_","",IF(COUNTIFS(Versuchsdaten!$A$2:$A$1117,$A923,Versuchsdaten!$B$2:$B$1117,$B923,Versuchsdaten!$C$2:$C$1117,"Sprint_5m",Versuchsdaten!$E$2:$E$1117,$E923,Versuchsdaten!$J$2:$J$1117,1)=1,SUMIFS(Versuchsdaten!$F$2:$F$1117,Versuchsdaten!$A$2:$A$1117,$A923,Versuchsdaten!$B$2:$B$1117,$B923,Versuchsdaten!$C$2:$C$1117,"Sprint_5m",Versuchsdaten!$E$2:$E$1117,$E923,Versuchsdaten!$J$2:$J$1117,1),""))</f>
        <v/>
      </c>
      <c r="L923" s="22">
        <f>IF(LEFT(C923,7)&lt;&gt;"Sprint_","",IF(COUNTIFS(Versuchsdaten!$A$2:$A$1117,$A923,Versuchsdaten!$B$2:$B$1117,$B923,Versuchsdaten!$C$2:$C$1117,"Sprint_10m",Versuchsdaten!$E$2:$E$1117,$E923,Versuchsdaten!$J$2:$J$1117,1)=1,SUMIFS(Versuchsdaten!$F$2:$F$1117,Versuchsdaten!$A$2:$A$1117,$A923,Versuchsdaten!$B$2:$B$1117,$B923,Versuchsdaten!$C$2:$C$1117,"Sprint_10m",Versuchsdaten!$E$2:$E$1117,$E923,Versuchsdaten!$J$2:$J$1117,1),""))</f>
        <v/>
      </c>
      <c r="M923" s="22">
        <f>IF(LEFT(C923,7)&lt;&gt;"Sprint_","",IF(COUNTIFS(Versuchsdaten!$A$2:$A$1117,$A923,Versuchsdaten!$B$2:$B$1117,$B923,Versuchsdaten!$C$2:$C$1117,"Sprint_30m",Versuchsdaten!$E$2:$E$1117,$E923,Versuchsdaten!$J$2:$J$1117,1)=1,SUMIFS(Versuchsdaten!$F$2:$F$1117,Versuchsdaten!$A$2:$A$1117,$A923,Versuchsdaten!$B$2:$B$1117,$B923,Versuchsdaten!$C$2:$C$1117,"Sprint_30m",Versuchsdaten!$E$2:$E$1117,$E923,Versuchsdaten!$J$2:$J$1117,1),""))</f>
        <v/>
      </c>
      <c r="N923" s="22">
        <f>IF(LEFT(C923,7)&lt;&gt;"Sprint_",0,IF(IF(ISNUMBER(K923),IF(K923&lt;=0,1,IF(5/K923&gt;10,1,0)),0)+IF(ISNUMBER(L923),IF(ISNUMBER(K923),IF(L923-K923&lt;=0,1,IF(5/(L923-K923)&gt;10,1,0)),IF(L923&lt;=0,1,IF(10/L923&gt;10,1,0))),0)+IF(ISNUMBER(M923),IF(ISNUMBER(L923),IF(M923-L923&lt;=0,1,IF(20/(M923-L923)&gt;10,1,0)),IF(ISNUMBER(K923),IF(M923-K923&lt;=0,1,IF(25/(M923-K923)&gt;10,1,0)),IF(M923&lt;=0,1,IF(30/M923&gt;10,1,0)))),0)&gt;0,1,0))</f>
        <v/>
      </c>
      <c r="O923" s="22">
        <f>IF(AND(J923=1,N923=0),1,0)</f>
        <v/>
      </c>
      <c r="P923" s="22">
        <f>INDEX(Personendaten!$J$2:$J$32,MATCH(A923,Personendaten!$A$2:$A$32,0))</f>
        <v/>
      </c>
      <c r="Q923" s="22">
        <f>IF(O923=1,"",IF(AND(B923="post",P923="nicht angetreten"),"NANG",IF(N923=1,"AUSL",IFERROR(VLOOKUP(H923,Vokabular!$A$2:$B$8,2,FALSE),"UNBEKANNT"))))</f>
        <v/>
      </c>
    </row>
    <row r="924">
      <c r="A924" s="5" t="inlineStr">
        <is>
          <t>VS-03</t>
        </is>
      </c>
      <c r="B924" s="5" t="inlineStr">
        <is>
          <t>post</t>
        </is>
      </c>
      <c r="C924" s="5" t="inlineStr">
        <is>
          <t>Sprint_10m</t>
        </is>
      </c>
      <c r="D924" s="5" t="inlineStr">
        <is>
          <t>–</t>
        </is>
      </c>
      <c r="E924" s="5" t="n">
        <v>2</v>
      </c>
      <c r="F924" s="5" t="n"/>
      <c r="G924" s="5" t="n"/>
      <c r="H924" s="5" t="inlineStr">
        <is>
          <t>Nur 2 Versuche aus Zeitmangel</t>
        </is>
      </c>
      <c r="I924" s="22">
        <f>INDEX(Personendaten!$C$2:$C$32,MATCH(A924,Personendaten!$A$2:$A$32,0))</f>
        <v/>
      </c>
      <c r="J924" s="22">
        <f>IF(AND(F924&lt;&gt;"",G924=""),1,0)</f>
        <v/>
      </c>
      <c r="K924" s="22">
        <f>IF(LEFT(C924,7)&lt;&gt;"Sprint_","",IF(COUNTIFS(Versuchsdaten!$A$2:$A$1117,$A924,Versuchsdaten!$B$2:$B$1117,$B924,Versuchsdaten!$C$2:$C$1117,"Sprint_5m",Versuchsdaten!$E$2:$E$1117,$E924,Versuchsdaten!$J$2:$J$1117,1)=1,SUMIFS(Versuchsdaten!$F$2:$F$1117,Versuchsdaten!$A$2:$A$1117,$A924,Versuchsdaten!$B$2:$B$1117,$B924,Versuchsdaten!$C$2:$C$1117,"Sprint_5m",Versuchsdaten!$E$2:$E$1117,$E924,Versuchsdaten!$J$2:$J$1117,1),""))</f>
        <v/>
      </c>
      <c r="L924" s="22">
        <f>IF(LEFT(C924,7)&lt;&gt;"Sprint_","",IF(COUNTIFS(Versuchsdaten!$A$2:$A$1117,$A924,Versuchsdaten!$B$2:$B$1117,$B924,Versuchsdaten!$C$2:$C$1117,"Sprint_10m",Versuchsdaten!$E$2:$E$1117,$E924,Versuchsdaten!$J$2:$J$1117,1)=1,SUMIFS(Versuchsdaten!$F$2:$F$1117,Versuchsdaten!$A$2:$A$1117,$A924,Versuchsdaten!$B$2:$B$1117,$B924,Versuchsdaten!$C$2:$C$1117,"Sprint_10m",Versuchsdaten!$E$2:$E$1117,$E924,Versuchsdaten!$J$2:$J$1117,1),""))</f>
        <v/>
      </c>
      <c r="M924" s="22">
        <f>IF(LEFT(C924,7)&lt;&gt;"Sprint_","",IF(COUNTIFS(Versuchsdaten!$A$2:$A$1117,$A924,Versuchsdaten!$B$2:$B$1117,$B924,Versuchsdaten!$C$2:$C$1117,"Sprint_30m",Versuchsdaten!$E$2:$E$1117,$E924,Versuchsdaten!$J$2:$J$1117,1)=1,SUMIFS(Versuchsdaten!$F$2:$F$1117,Versuchsdaten!$A$2:$A$1117,$A924,Versuchsdaten!$B$2:$B$1117,$B924,Versuchsdaten!$C$2:$C$1117,"Sprint_30m",Versuchsdaten!$E$2:$E$1117,$E924,Versuchsdaten!$J$2:$J$1117,1),""))</f>
        <v/>
      </c>
      <c r="N924" s="22">
        <f>IF(LEFT(C924,7)&lt;&gt;"Sprint_",0,IF(IF(ISNUMBER(K924),IF(K924&lt;=0,1,IF(5/K924&gt;10,1,0)),0)+IF(ISNUMBER(L924),IF(ISNUMBER(K924),IF(L924-K924&lt;=0,1,IF(5/(L924-K924)&gt;10,1,0)),IF(L924&lt;=0,1,IF(10/L924&gt;10,1,0))),0)+IF(ISNUMBER(M924),IF(ISNUMBER(L924),IF(M924-L924&lt;=0,1,IF(20/(M924-L924)&gt;10,1,0)),IF(ISNUMBER(K924),IF(M924-K924&lt;=0,1,IF(25/(M924-K924)&gt;10,1,0)),IF(M924&lt;=0,1,IF(30/M924&gt;10,1,0)))),0)&gt;0,1,0))</f>
        <v/>
      </c>
      <c r="O924" s="22">
        <f>IF(AND(J924=1,N924=0),1,0)</f>
        <v/>
      </c>
      <c r="P924" s="22">
        <f>INDEX(Personendaten!$J$2:$J$32,MATCH(A924,Personendaten!$A$2:$A$32,0))</f>
        <v/>
      </c>
      <c r="Q924" s="22">
        <f>IF(O924=1,"",IF(AND(B924="post",P924="nicht angetreten"),"NANG",IF(N924=1,"AUSL",IFERROR(VLOOKUP(H924,Vokabular!$A$2:$B$8,2,FALSE),"UNBEKANNT"))))</f>
        <v/>
      </c>
    </row>
    <row r="925">
      <c r="A925" s="5" t="inlineStr">
        <is>
          <t>VS-03</t>
        </is>
      </c>
      <c r="B925" s="5" t="inlineStr">
        <is>
          <t>post</t>
        </is>
      </c>
      <c r="C925" s="5" t="inlineStr">
        <is>
          <t>Sprint_10m</t>
        </is>
      </c>
      <c r="D925" s="5" t="inlineStr">
        <is>
          <t>–</t>
        </is>
      </c>
      <c r="E925" s="5" t="n">
        <v>3</v>
      </c>
      <c r="F925" s="5" t="n">
        <v>2.06</v>
      </c>
      <c r="G925" s="5" t="n"/>
      <c r="H925" s="5" t="n"/>
      <c r="I925" s="22">
        <f>INDEX(Personendaten!$C$2:$C$32,MATCH(A925,Personendaten!$A$2:$A$32,0))</f>
        <v/>
      </c>
      <c r="J925" s="22">
        <f>IF(AND(F925&lt;&gt;"",G925=""),1,0)</f>
        <v/>
      </c>
      <c r="K925" s="22">
        <f>IF(LEFT(C925,7)&lt;&gt;"Sprint_","",IF(COUNTIFS(Versuchsdaten!$A$2:$A$1117,$A925,Versuchsdaten!$B$2:$B$1117,$B925,Versuchsdaten!$C$2:$C$1117,"Sprint_5m",Versuchsdaten!$E$2:$E$1117,$E925,Versuchsdaten!$J$2:$J$1117,1)=1,SUMIFS(Versuchsdaten!$F$2:$F$1117,Versuchsdaten!$A$2:$A$1117,$A925,Versuchsdaten!$B$2:$B$1117,$B925,Versuchsdaten!$C$2:$C$1117,"Sprint_5m",Versuchsdaten!$E$2:$E$1117,$E925,Versuchsdaten!$J$2:$J$1117,1),""))</f>
        <v/>
      </c>
      <c r="L925" s="22">
        <f>IF(LEFT(C925,7)&lt;&gt;"Sprint_","",IF(COUNTIFS(Versuchsdaten!$A$2:$A$1117,$A925,Versuchsdaten!$B$2:$B$1117,$B925,Versuchsdaten!$C$2:$C$1117,"Sprint_10m",Versuchsdaten!$E$2:$E$1117,$E925,Versuchsdaten!$J$2:$J$1117,1)=1,SUMIFS(Versuchsdaten!$F$2:$F$1117,Versuchsdaten!$A$2:$A$1117,$A925,Versuchsdaten!$B$2:$B$1117,$B925,Versuchsdaten!$C$2:$C$1117,"Sprint_10m",Versuchsdaten!$E$2:$E$1117,$E925,Versuchsdaten!$J$2:$J$1117,1),""))</f>
        <v/>
      </c>
      <c r="M925" s="22">
        <f>IF(LEFT(C925,7)&lt;&gt;"Sprint_","",IF(COUNTIFS(Versuchsdaten!$A$2:$A$1117,$A925,Versuchsdaten!$B$2:$B$1117,$B925,Versuchsdaten!$C$2:$C$1117,"Sprint_30m",Versuchsdaten!$E$2:$E$1117,$E925,Versuchsdaten!$J$2:$J$1117,1)=1,SUMIFS(Versuchsdaten!$F$2:$F$1117,Versuchsdaten!$A$2:$A$1117,$A925,Versuchsdaten!$B$2:$B$1117,$B925,Versuchsdaten!$C$2:$C$1117,"Sprint_30m",Versuchsdaten!$E$2:$E$1117,$E925,Versuchsdaten!$J$2:$J$1117,1),""))</f>
        <v/>
      </c>
      <c r="N925" s="22">
        <f>IF(LEFT(C925,7)&lt;&gt;"Sprint_",0,IF(IF(ISNUMBER(K925),IF(K925&lt;=0,1,IF(5/K925&gt;10,1,0)),0)+IF(ISNUMBER(L925),IF(ISNUMBER(K925),IF(L925-K925&lt;=0,1,IF(5/(L925-K925)&gt;10,1,0)),IF(L925&lt;=0,1,IF(10/L925&gt;10,1,0))),0)+IF(ISNUMBER(M925),IF(ISNUMBER(L925),IF(M925-L925&lt;=0,1,IF(20/(M925-L925)&gt;10,1,0)),IF(ISNUMBER(K925),IF(M925-K925&lt;=0,1,IF(25/(M925-K925)&gt;10,1,0)),IF(M925&lt;=0,1,IF(30/M925&gt;10,1,0)))),0)&gt;0,1,0))</f>
        <v/>
      </c>
      <c r="O925" s="22">
        <f>IF(AND(J925=1,N925=0),1,0)</f>
        <v/>
      </c>
      <c r="P925" s="22">
        <f>INDEX(Personendaten!$J$2:$J$32,MATCH(A925,Personendaten!$A$2:$A$32,0))</f>
        <v/>
      </c>
      <c r="Q925" s="22">
        <f>IF(O925=1,"",IF(AND(B925="post",P925="nicht angetreten"),"NANG",IF(N925=1,"AUSL",IFERROR(VLOOKUP(H925,Vokabular!$A$2:$B$8,2,FALSE),"UNBEKANNT"))))</f>
        <v/>
      </c>
    </row>
    <row r="926">
      <c r="A926" s="5" t="inlineStr">
        <is>
          <t>VS-03</t>
        </is>
      </c>
      <c r="B926" s="5" t="inlineStr">
        <is>
          <t>post</t>
        </is>
      </c>
      <c r="C926" s="5" t="inlineStr">
        <is>
          <t>Sprint_30m</t>
        </is>
      </c>
      <c r="D926" s="5" t="inlineStr">
        <is>
          <t>–</t>
        </is>
      </c>
      <c r="E926" s="5" t="n">
        <v>1</v>
      </c>
      <c r="F926" s="5" t="n"/>
      <c r="G926" s="5" t="n"/>
      <c r="H926" s="5" t="inlineStr">
        <is>
          <t>Nur 2 Versuche aus Zeitmangel</t>
        </is>
      </c>
      <c r="I926" s="22">
        <f>INDEX(Personendaten!$C$2:$C$32,MATCH(A926,Personendaten!$A$2:$A$32,0))</f>
        <v/>
      </c>
      <c r="J926" s="22">
        <f>IF(AND(F926&lt;&gt;"",G926=""),1,0)</f>
        <v/>
      </c>
      <c r="K926" s="22">
        <f>IF(LEFT(C926,7)&lt;&gt;"Sprint_","",IF(COUNTIFS(Versuchsdaten!$A$2:$A$1117,$A926,Versuchsdaten!$B$2:$B$1117,$B926,Versuchsdaten!$C$2:$C$1117,"Sprint_5m",Versuchsdaten!$E$2:$E$1117,$E926,Versuchsdaten!$J$2:$J$1117,1)=1,SUMIFS(Versuchsdaten!$F$2:$F$1117,Versuchsdaten!$A$2:$A$1117,$A926,Versuchsdaten!$B$2:$B$1117,$B926,Versuchsdaten!$C$2:$C$1117,"Sprint_5m",Versuchsdaten!$E$2:$E$1117,$E926,Versuchsdaten!$J$2:$J$1117,1),""))</f>
        <v/>
      </c>
      <c r="L926" s="22">
        <f>IF(LEFT(C926,7)&lt;&gt;"Sprint_","",IF(COUNTIFS(Versuchsdaten!$A$2:$A$1117,$A926,Versuchsdaten!$B$2:$B$1117,$B926,Versuchsdaten!$C$2:$C$1117,"Sprint_10m",Versuchsdaten!$E$2:$E$1117,$E926,Versuchsdaten!$J$2:$J$1117,1)=1,SUMIFS(Versuchsdaten!$F$2:$F$1117,Versuchsdaten!$A$2:$A$1117,$A926,Versuchsdaten!$B$2:$B$1117,$B926,Versuchsdaten!$C$2:$C$1117,"Sprint_10m",Versuchsdaten!$E$2:$E$1117,$E926,Versuchsdaten!$J$2:$J$1117,1),""))</f>
        <v/>
      </c>
      <c r="M926" s="22">
        <f>IF(LEFT(C926,7)&lt;&gt;"Sprint_","",IF(COUNTIFS(Versuchsdaten!$A$2:$A$1117,$A926,Versuchsdaten!$B$2:$B$1117,$B926,Versuchsdaten!$C$2:$C$1117,"Sprint_30m",Versuchsdaten!$E$2:$E$1117,$E926,Versuchsdaten!$J$2:$J$1117,1)=1,SUMIFS(Versuchsdaten!$F$2:$F$1117,Versuchsdaten!$A$2:$A$1117,$A926,Versuchsdaten!$B$2:$B$1117,$B926,Versuchsdaten!$C$2:$C$1117,"Sprint_30m",Versuchsdaten!$E$2:$E$1117,$E926,Versuchsdaten!$J$2:$J$1117,1),""))</f>
        <v/>
      </c>
      <c r="N926" s="22">
        <f>IF(LEFT(C926,7)&lt;&gt;"Sprint_",0,IF(IF(ISNUMBER(K926),IF(K926&lt;=0,1,IF(5/K926&gt;10,1,0)),0)+IF(ISNUMBER(L926),IF(ISNUMBER(K926),IF(L926-K926&lt;=0,1,IF(5/(L926-K926)&gt;10,1,0)),IF(L926&lt;=0,1,IF(10/L926&gt;10,1,0))),0)+IF(ISNUMBER(M926),IF(ISNUMBER(L926),IF(M926-L926&lt;=0,1,IF(20/(M926-L926)&gt;10,1,0)),IF(ISNUMBER(K926),IF(M926-K926&lt;=0,1,IF(25/(M926-K926)&gt;10,1,0)),IF(M926&lt;=0,1,IF(30/M926&gt;10,1,0)))),0)&gt;0,1,0))</f>
        <v/>
      </c>
      <c r="O926" s="22">
        <f>IF(AND(J926=1,N926=0),1,0)</f>
        <v/>
      </c>
      <c r="P926" s="22">
        <f>INDEX(Personendaten!$J$2:$J$32,MATCH(A926,Personendaten!$A$2:$A$32,0))</f>
        <v/>
      </c>
      <c r="Q926" s="22">
        <f>IF(O926=1,"",IF(AND(B926="post",P926="nicht angetreten"),"NANG",IF(N926=1,"AUSL",IFERROR(VLOOKUP(H926,Vokabular!$A$2:$B$8,2,FALSE),"UNBEKANNT"))))</f>
        <v/>
      </c>
    </row>
    <row r="927">
      <c r="A927" s="5" t="inlineStr">
        <is>
          <t>VS-03</t>
        </is>
      </c>
      <c r="B927" s="5" t="inlineStr">
        <is>
          <t>post</t>
        </is>
      </c>
      <c r="C927" s="5" t="inlineStr">
        <is>
          <t>Sprint_30m</t>
        </is>
      </c>
      <c r="D927" s="5" t="inlineStr">
        <is>
          <t>–</t>
        </is>
      </c>
      <c r="E927" s="5" t="n">
        <v>2</v>
      </c>
      <c r="F927" s="5" t="n">
        <v>5.23</v>
      </c>
      <c r="G927" s="5" t="n"/>
      <c r="H927" s="5" t="n"/>
      <c r="I927" s="22">
        <f>INDEX(Personendaten!$C$2:$C$32,MATCH(A927,Personendaten!$A$2:$A$32,0))</f>
        <v/>
      </c>
      <c r="J927" s="22">
        <f>IF(AND(F927&lt;&gt;"",G927=""),1,0)</f>
        <v/>
      </c>
      <c r="K927" s="22">
        <f>IF(LEFT(C927,7)&lt;&gt;"Sprint_","",IF(COUNTIFS(Versuchsdaten!$A$2:$A$1117,$A927,Versuchsdaten!$B$2:$B$1117,$B927,Versuchsdaten!$C$2:$C$1117,"Sprint_5m",Versuchsdaten!$E$2:$E$1117,$E927,Versuchsdaten!$J$2:$J$1117,1)=1,SUMIFS(Versuchsdaten!$F$2:$F$1117,Versuchsdaten!$A$2:$A$1117,$A927,Versuchsdaten!$B$2:$B$1117,$B927,Versuchsdaten!$C$2:$C$1117,"Sprint_5m",Versuchsdaten!$E$2:$E$1117,$E927,Versuchsdaten!$J$2:$J$1117,1),""))</f>
        <v/>
      </c>
      <c r="L927" s="22">
        <f>IF(LEFT(C927,7)&lt;&gt;"Sprint_","",IF(COUNTIFS(Versuchsdaten!$A$2:$A$1117,$A927,Versuchsdaten!$B$2:$B$1117,$B927,Versuchsdaten!$C$2:$C$1117,"Sprint_10m",Versuchsdaten!$E$2:$E$1117,$E927,Versuchsdaten!$J$2:$J$1117,1)=1,SUMIFS(Versuchsdaten!$F$2:$F$1117,Versuchsdaten!$A$2:$A$1117,$A927,Versuchsdaten!$B$2:$B$1117,$B927,Versuchsdaten!$C$2:$C$1117,"Sprint_10m",Versuchsdaten!$E$2:$E$1117,$E927,Versuchsdaten!$J$2:$J$1117,1),""))</f>
        <v/>
      </c>
      <c r="M927" s="22">
        <f>IF(LEFT(C927,7)&lt;&gt;"Sprint_","",IF(COUNTIFS(Versuchsdaten!$A$2:$A$1117,$A927,Versuchsdaten!$B$2:$B$1117,$B927,Versuchsdaten!$C$2:$C$1117,"Sprint_30m",Versuchsdaten!$E$2:$E$1117,$E927,Versuchsdaten!$J$2:$J$1117,1)=1,SUMIFS(Versuchsdaten!$F$2:$F$1117,Versuchsdaten!$A$2:$A$1117,$A927,Versuchsdaten!$B$2:$B$1117,$B927,Versuchsdaten!$C$2:$C$1117,"Sprint_30m",Versuchsdaten!$E$2:$E$1117,$E927,Versuchsdaten!$J$2:$J$1117,1),""))</f>
        <v/>
      </c>
      <c r="N927" s="22">
        <f>IF(LEFT(C927,7)&lt;&gt;"Sprint_",0,IF(IF(ISNUMBER(K927),IF(K927&lt;=0,1,IF(5/K927&gt;10,1,0)),0)+IF(ISNUMBER(L927),IF(ISNUMBER(K927),IF(L927-K927&lt;=0,1,IF(5/(L927-K927)&gt;10,1,0)),IF(L927&lt;=0,1,IF(10/L927&gt;10,1,0))),0)+IF(ISNUMBER(M927),IF(ISNUMBER(L927),IF(M927-L927&lt;=0,1,IF(20/(M927-L927)&gt;10,1,0)),IF(ISNUMBER(K927),IF(M927-K927&lt;=0,1,IF(25/(M927-K927)&gt;10,1,0)),IF(M927&lt;=0,1,IF(30/M927&gt;10,1,0)))),0)&gt;0,1,0))</f>
        <v/>
      </c>
      <c r="O927" s="22">
        <f>IF(AND(J927=1,N927=0),1,0)</f>
        <v/>
      </c>
      <c r="P927" s="22">
        <f>INDEX(Personendaten!$J$2:$J$32,MATCH(A927,Personendaten!$A$2:$A$32,0))</f>
        <v/>
      </c>
      <c r="Q927" s="22">
        <f>IF(O927=1,"",IF(AND(B927="post",P927="nicht angetreten"),"NANG",IF(N927=1,"AUSL",IFERROR(VLOOKUP(H927,Vokabular!$A$2:$B$8,2,FALSE),"UNBEKANNT"))))</f>
        <v/>
      </c>
    </row>
    <row r="928">
      <c r="A928" s="5" t="inlineStr">
        <is>
          <t>VS-03</t>
        </is>
      </c>
      <c r="B928" s="5" t="inlineStr">
        <is>
          <t>post</t>
        </is>
      </c>
      <c r="C928" s="5" t="inlineStr">
        <is>
          <t>Sprint_30m</t>
        </is>
      </c>
      <c r="D928" s="5" t="inlineStr">
        <is>
          <t>–</t>
        </is>
      </c>
      <c r="E928" s="5" t="n">
        <v>3</v>
      </c>
      <c r="F928" s="5" t="n">
        <v>5.26</v>
      </c>
      <c r="G928" s="5" t="n"/>
      <c r="H928" s="5" t="n"/>
      <c r="I928" s="22">
        <f>INDEX(Personendaten!$C$2:$C$32,MATCH(A928,Personendaten!$A$2:$A$32,0))</f>
        <v/>
      </c>
      <c r="J928" s="22">
        <f>IF(AND(F928&lt;&gt;"",G928=""),1,0)</f>
        <v/>
      </c>
      <c r="K928" s="22">
        <f>IF(LEFT(C928,7)&lt;&gt;"Sprint_","",IF(COUNTIFS(Versuchsdaten!$A$2:$A$1117,$A928,Versuchsdaten!$B$2:$B$1117,$B928,Versuchsdaten!$C$2:$C$1117,"Sprint_5m",Versuchsdaten!$E$2:$E$1117,$E928,Versuchsdaten!$J$2:$J$1117,1)=1,SUMIFS(Versuchsdaten!$F$2:$F$1117,Versuchsdaten!$A$2:$A$1117,$A928,Versuchsdaten!$B$2:$B$1117,$B928,Versuchsdaten!$C$2:$C$1117,"Sprint_5m",Versuchsdaten!$E$2:$E$1117,$E928,Versuchsdaten!$J$2:$J$1117,1),""))</f>
        <v/>
      </c>
      <c r="L928" s="22">
        <f>IF(LEFT(C928,7)&lt;&gt;"Sprint_","",IF(COUNTIFS(Versuchsdaten!$A$2:$A$1117,$A928,Versuchsdaten!$B$2:$B$1117,$B928,Versuchsdaten!$C$2:$C$1117,"Sprint_10m",Versuchsdaten!$E$2:$E$1117,$E928,Versuchsdaten!$J$2:$J$1117,1)=1,SUMIFS(Versuchsdaten!$F$2:$F$1117,Versuchsdaten!$A$2:$A$1117,$A928,Versuchsdaten!$B$2:$B$1117,$B928,Versuchsdaten!$C$2:$C$1117,"Sprint_10m",Versuchsdaten!$E$2:$E$1117,$E928,Versuchsdaten!$J$2:$J$1117,1),""))</f>
        <v/>
      </c>
      <c r="M928" s="22">
        <f>IF(LEFT(C928,7)&lt;&gt;"Sprint_","",IF(COUNTIFS(Versuchsdaten!$A$2:$A$1117,$A928,Versuchsdaten!$B$2:$B$1117,$B928,Versuchsdaten!$C$2:$C$1117,"Sprint_30m",Versuchsdaten!$E$2:$E$1117,$E928,Versuchsdaten!$J$2:$J$1117,1)=1,SUMIFS(Versuchsdaten!$F$2:$F$1117,Versuchsdaten!$A$2:$A$1117,$A928,Versuchsdaten!$B$2:$B$1117,$B928,Versuchsdaten!$C$2:$C$1117,"Sprint_30m",Versuchsdaten!$E$2:$E$1117,$E928,Versuchsdaten!$J$2:$J$1117,1),""))</f>
        <v/>
      </c>
      <c r="N928" s="22">
        <f>IF(LEFT(C928,7)&lt;&gt;"Sprint_",0,IF(IF(ISNUMBER(K928),IF(K928&lt;=0,1,IF(5/K928&gt;10,1,0)),0)+IF(ISNUMBER(L928),IF(ISNUMBER(K928),IF(L928-K928&lt;=0,1,IF(5/(L928-K928)&gt;10,1,0)),IF(L928&lt;=0,1,IF(10/L928&gt;10,1,0))),0)+IF(ISNUMBER(M928),IF(ISNUMBER(L928),IF(M928-L928&lt;=0,1,IF(20/(M928-L928)&gt;10,1,0)),IF(ISNUMBER(K928),IF(M928-K928&lt;=0,1,IF(25/(M928-K928)&gt;10,1,0)),IF(M928&lt;=0,1,IF(30/M928&gt;10,1,0)))),0)&gt;0,1,0))</f>
        <v/>
      </c>
      <c r="O928" s="22">
        <f>IF(AND(J928=1,N928=0),1,0)</f>
        <v/>
      </c>
      <c r="P928" s="22">
        <f>INDEX(Personendaten!$J$2:$J$32,MATCH(A928,Personendaten!$A$2:$A$32,0))</f>
        <v/>
      </c>
      <c r="Q928" s="22">
        <f>IF(O928=1,"",IF(AND(B928="post",P928="nicht angetreten"),"NANG",IF(N928=1,"AUSL",IFERROR(VLOOKUP(H928,Vokabular!$A$2:$B$8,2,FALSE),"UNBEKANNT"))))</f>
        <v/>
      </c>
    </row>
    <row r="929">
      <c r="A929" s="5" t="inlineStr">
        <is>
          <t>VS-03</t>
        </is>
      </c>
      <c r="B929" s="5" t="inlineStr">
        <is>
          <t>post</t>
        </is>
      </c>
      <c r="C929" s="5" t="inlineStr">
        <is>
          <t>Standweitsprung</t>
        </is>
      </c>
      <c r="D929" s="5" t="inlineStr">
        <is>
          <t>–</t>
        </is>
      </c>
      <c r="E929" s="5" t="n">
        <v>1</v>
      </c>
      <c r="F929" s="5" t="n">
        <v>218</v>
      </c>
      <c r="G929" s="5" t="n"/>
      <c r="H929" s="5" t="n"/>
      <c r="I929" s="22">
        <f>INDEX(Personendaten!$C$2:$C$32,MATCH(A929,Personendaten!$A$2:$A$32,0))</f>
        <v/>
      </c>
      <c r="J929" s="22">
        <f>IF(AND(F929&lt;&gt;"",G929=""),1,0)</f>
        <v/>
      </c>
      <c r="K929" s="22">
        <f>IF(LEFT(C929,7)&lt;&gt;"Sprint_","",IF(COUNTIFS(Versuchsdaten!$A$2:$A$1117,$A929,Versuchsdaten!$B$2:$B$1117,$B929,Versuchsdaten!$C$2:$C$1117,"Sprint_5m",Versuchsdaten!$E$2:$E$1117,$E929,Versuchsdaten!$J$2:$J$1117,1)=1,SUMIFS(Versuchsdaten!$F$2:$F$1117,Versuchsdaten!$A$2:$A$1117,$A929,Versuchsdaten!$B$2:$B$1117,$B929,Versuchsdaten!$C$2:$C$1117,"Sprint_5m",Versuchsdaten!$E$2:$E$1117,$E929,Versuchsdaten!$J$2:$J$1117,1),""))</f>
        <v/>
      </c>
      <c r="L929" s="22">
        <f>IF(LEFT(C929,7)&lt;&gt;"Sprint_","",IF(COUNTIFS(Versuchsdaten!$A$2:$A$1117,$A929,Versuchsdaten!$B$2:$B$1117,$B929,Versuchsdaten!$C$2:$C$1117,"Sprint_10m",Versuchsdaten!$E$2:$E$1117,$E929,Versuchsdaten!$J$2:$J$1117,1)=1,SUMIFS(Versuchsdaten!$F$2:$F$1117,Versuchsdaten!$A$2:$A$1117,$A929,Versuchsdaten!$B$2:$B$1117,$B929,Versuchsdaten!$C$2:$C$1117,"Sprint_10m",Versuchsdaten!$E$2:$E$1117,$E929,Versuchsdaten!$J$2:$J$1117,1),""))</f>
        <v/>
      </c>
      <c r="M929" s="22">
        <f>IF(LEFT(C929,7)&lt;&gt;"Sprint_","",IF(COUNTIFS(Versuchsdaten!$A$2:$A$1117,$A929,Versuchsdaten!$B$2:$B$1117,$B929,Versuchsdaten!$C$2:$C$1117,"Sprint_30m",Versuchsdaten!$E$2:$E$1117,$E929,Versuchsdaten!$J$2:$J$1117,1)=1,SUMIFS(Versuchsdaten!$F$2:$F$1117,Versuchsdaten!$A$2:$A$1117,$A929,Versuchsdaten!$B$2:$B$1117,$B929,Versuchsdaten!$C$2:$C$1117,"Sprint_30m",Versuchsdaten!$E$2:$E$1117,$E929,Versuchsdaten!$J$2:$J$1117,1),""))</f>
        <v/>
      </c>
      <c r="N929" s="22">
        <f>IF(LEFT(C929,7)&lt;&gt;"Sprint_",0,IF(IF(ISNUMBER(K929),IF(K929&lt;=0,1,IF(5/K929&gt;10,1,0)),0)+IF(ISNUMBER(L929),IF(ISNUMBER(K929),IF(L929-K929&lt;=0,1,IF(5/(L929-K929)&gt;10,1,0)),IF(L929&lt;=0,1,IF(10/L929&gt;10,1,0))),0)+IF(ISNUMBER(M929),IF(ISNUMBER(L929),IF(M929-L929&lt;=0,1,IF(20/(M929-L929)&gt;10,1,0)),IF(ISNUMBER(K929),IF(M929-K929&lt;=0,1,IF(25/(M929-K929)&gt;10,1,0)),IF(M929&lt;=0,1,IF(30/M929&gt;10,1,0)))),0)&gt;0,1,0))</f>
        <v/>
      </c>
      <c r="O929" s="22">
        <f>IF(AND(J929=1,N929=0),1,0)</f>
        <v/>
      </c>
      <c r="P929" s="22">
        <f>INDEX(Personendaten!$J$2:$J$32,MATCH(A929,Personendaten!$A$2:$A$32,0))</f>
        <v/>
      </c>
      <c r="Q929" s="22">
        <f>IF(O929=1,"",IF(AND(B929="post",P929="nicht angetreten"),"NANG",IF(N929=1,"AUSL",IFERROR(VLOOKUP(H929,Vokabular!$A$2:$B$8,2,FALSE),"UNBEKANNT"))))</f>
        <v/>
      </c>
    </row>
    <row r="930">
      <c r="A930" s="5" t="inlineStr">
        <is>
          <t>VS-03</t>
        </is>
      </c>
      <c r="B930" s="5" t="inlineStr">
        <is>
          <t>post</t>
        </is>
      </c>
      <c r="C930" s="5" t="inlineStr">
        <is>
          <t>Standweitsprung</t>
        </is>
      </c>
      <c r="D930" s="5" t="inlineStr">
        <is>
          <t>–</t>
        </is>
      </c>
      <c r="E930" s="5" t="n">
        <v>2</v>
      </c>
      <c r="F930" s="5" t="n">
        <v>226</v>
      </c>
      <c r="G930" s="5" t="n"/>
      <c r="H930" s="5" t="n"/>
      <c r="I930" s="22">
        <f>INDEX(Personendaten!$C$2:$C$32,MATCH(A930,Personendaten!$A$2:$A$32,0))</f>
        <v/>
      </c>
      <c r="J930" s="22">
        <f>IF(AND(F930&lt;&gt;"",G930=""),1,0)</f>
        <v/>
      </c>
      <c r="K930" s="22">
        <f>IF(LEFT(C930,7)&lt;&gt;"Sprint_","",IF(COUNTIFS(Versuchsdaten!$A$2:$A$1117,$A930,Versuchsdaten!$B$2:$B$1117,$B930,Versuchsdaten!$C$2:$C$1117,"Sprint_5m",Versuchsdaten!$E$2:$E$1117,$E930,Versuchsdaten!$J$2:$J$1117,1)=1,SUMIFS(Versuchsdaten!$F$2:$F$1117,Versuchsdaten!$A$2:$A$1117,$A930,Versuchsdaten!$B$2:$B$1117,$B930,Versuchsdaten!$C$2:$C$1117,"Sprint_5m",Versuchsdaten!$E$2:$E$1117,$E930,Versuchsdaten!$J$2:$J$1117,1),""))</f>
        <v/>
      </c>
      <c r="L930" s="22">
        <f>IF(LEFT(C930,7)&lt;&gt;"Sprint_","",IF(COUNTIFS(Versuchsdaten!$A$2:$A$1117,$A930,Versuchsdaten!$B$2:$B$1117,$B930,Versuchsdaten!$C$2:$C$1117,"Sprint_10m",Versuchsdaten!$E$2:$E$1117,$E930,Versuchsdaten!$J$2:$J$1117,1)=1,SUMIFS(Versuchsdaten!$F$2:$F$1117,Versuchsdaten!$A$2:$A$1117,$A930,Versuchsdaten!$B$2:$B$1117,$B930,Versuchsdaten!$C$2:$C$1117,"Sprint_10m",Versuchsdaten!$E$2:$E$1117,$E930,Versuchsdaten!$J$2:$J$1117,1),""))</f>
        <v/>
      </c>
      <c r="M930" s="22">
        <f>IF(LEFT(C930,7)&lt;&gt;"Sprint_","",IF(COUNTIFS(Versuchsdaten!$A$2:$A$1117,$A930,Versuchsdaten!$B$2:$B$1117,$B930,Versuchsdaten!$C$2:$C$1117,"Sprint_30m",Versuchsdaten!$E$2:$E$1117,$E930,Versuchsdaten!$J$2:$J$1117,1)=1,SUMIFS(Versuchsdaten!$F$2:$F$1117,Versuchsdaten!$A$2:$A$1117,$A930,Versuchsdaten!$B$2:$B$1117,$B930,Versuchsdaten!$C$2:$C$1117,"Sprint_30m",Versuchsdaten!$E$2:$E$1117,$E930,Versuchsdaten!$J$2:$J$1117,1),""))</f>
        <v/>
      </c>
      <c r="N930" s="22">
        <f>IF(LEFT(C930,7)&lt;&gt;"Sprint_",0,IF(IF(ISNUMBER(K930),IF(K930&lt;=0,1,IF(5/K930&gt;10,1,0)),0)+IF(ISNUMBER(L930),IF(ISNUMBER(K930),IF(L930-K930&lt;=0,1,IF(5/(L930-K930)&gt;10,1,0)),IF(L930&lt;=0,1,IF(10/L930&gt;10,1,0))),0)+IF(ISNUMBER(M930),IF(ISNUMBER(L930),IF(M930-L930&lt;=0,1,IF(20/(M930-L930)&gt;10,1,0)),IF(ISNUMBER(K930),IF(M930-K930&lt;=0,1,IF(25/(M930-K930)&gt;10,1,0)),IF(M930&lt;=0,1,IF(30/M930&gt;10,1,0)))),0)&gt;0,1,0))</f>
        <v/>
      </c>
      <c r="O930" s="22">
        <f>IF(AND(J930=1,N930=0),1,0)</f>
        <v/>
      </c>
      <c r="P930" s="22">
        <f>INDEX(Personendaten!$J$2:$J$32,MATCH(A930,Personendaten!$A$2:$A$32,0))</f>
        <v/>
      </c>
      <c r="Q930" s="22">
        <f>IF(O930=1,"",IF(AND(B930="post",P930="nicht angetreten"),"NANG",IF(N930=1,"AUSL",IFERROR(VLOOKUP(H930,Vokabular!$A$2:$B$8,2,FALSE),"UNBEKANNT"))))</f>
        <v/>
      </c>
    </row>
    <row r="931">
      <c r="A931" s="5" t="inlineStr">
        <is>
          <t>VS-03</t>
        </is>
      </c>
      <c r="B931" s="5" t="inlineStr">
        <is>
          <t>post</t>
        </is>
      </c>
      <c r="C931" s="5" t="inlineStr">
        <is>
          <t>Standweitsprung</t>
        </is>
      </c>
      <c r="D931" s="5" t="inlineStr">
        <is>
          <t>–</t>
        </is>
      </c>
      <c r="E931" s="5" t="n">
        <v>3</v>
      </c>
      <c r="F931" s="5" t="n"/>
      <c r="G931" s="5" t="n"/>
      <c r="H931" s="5" t="inlineStr">
        <is>
          <t>Nur 2 Versuche aus Zeitmangel</t>
        </is>
      </c>
      <c r="I931" s="22">
        <f>INDEX(Personendaten!$C$2:$C$32,MATCH(A931,Personendaten!$A$2:$A$32,0))</f>
        <v/>
      </c>
      <c r="J931" s="22">
        <f>IF(AND(F931&lt;&gt;"",G931=""),1,0)</f>
        <v/>
      </c>
      <c r="K931" s="22">
        <f>IF(LEFT(C931,7)&lt;&gt;"Sprint_","",IF(COUNTIFS(Versuchsdaten!$A$2:$A$1117,$A931,Versuchsdaten!$B$2:$B$1117,$B931,Versuchsdaten!$C$2:$C$1117,"Sprint_5m",Versuchsdaten!$E$2:$E$1117,$E931,Versuchsdaten!$J$2:$J$1117,1)=1,SUMIFS(Versuchsdaten!$F$2:$F$1117,Versuchsdaten!$A$2:$A$1117,$A931,Versuchsdaten!$B$2:$B$1117,$B931,Versuchsdaten!$C$2:$C$1117,"Sprint_5m",Versuchsdaten!$E$2:$E$1117,$E931,Versuchsdaten!$J$2:$J$1117,1),""))</f>
        <v/>
      </c>
      <c r="L931" s="22">
        <f>IF(LEFT(C931,7)&lt;&gt;"Sprint_","",IF(COUNTIFS(Versuchsdaten!$A$2:$A$1117,$A931,Versuchsdaten!$B$2:$B$1117,$B931,Versuchsdaten!$C$2:$C$1117,"Sprint_10m",Versuchsdaten!$E$2:$E$1117,$E931,Versuchsdaten!$J$2:$J$1117,1)=1,SUMIFS(Versuchsdaten!$F$2:$F$1117,Versuchsdaten!$A$2:$A$1117,$A931,Versuchsdaten!$B$2:$B$1117,$B931,Versuchsdaten!$C$2:$C$1117,"Sprint_10m",Versuchsdaten!$E$2:$E$1117,$E931,Versuchsdaten!$J$2:$J$1117,1),""))</f>
        <v/>
      </c>
      <c r="M931" s="22">
        <f>IF(LEFT(C931,7)&lt;&gt;"Sprint_","",IF(COUNTIFS(Versuchsdaten!$A$2:$A$1117,$A931,Versuchsdaten!$B$2:$B$1117,$B931,Versuchsdaten!$C$2:$C$1117,"Sprint_30m",Versuchsdaten!$E$2:$E$1117,$E931,Versuchsdaten!$J$2:$J$1117,1)=1,SUMIFS(Versuchsdaten!$F$2:$F$1117,Versuchsdaten!$A$2:$A$1117,$A931,Versuchsdaten!$B$2:$B$1117,$B931,Versuchsdaten!$C$2:$C$1117,"Sprint_30m",Versuchsdaten!$E$2:$E$1117,$E931,Versuchsdaten!$J$2:$J$1117,1),""))</f>
        <v/>
      </c>
      <c r="N931" s="22">
        <f>IF(LEFT(C931,7)&lt;&gt;"Sprint_",0,IF(IF(ISNUMBER(K931),IF(K931&lt;=0,1,IF(5/K931&gt;10,1,0)),0)+IF(ISNUMBER(L931),IF(ISNUMBER(K931),IF(L931-K931&lt;=0,1,IF(5/(L931-K931)&gt;10,1,0)),IF(L931&lt;=0,1,IF(10/L931&gt;10,1,0))),0)+IF(ISNUMBER(M931),IF(ISNUMBER(L931),IF(M931-L931&lt;=0,1,IF(20/(M931-L931)&gt;10,1,0)),IF(ISNUMBER(K931),IF(M931-K931&lt;=0,1,IF(25/(M931-K931)&gt;10,1,0)),IF(M931&lt;=0,1,IF(30/M931&gt;10,1,0)))),0)&gt;0,1,0))</f>
        <v/>
      </c>
      <c r="O931" s="22">
        <f>IF(AND(J931=1,N931=0),1,0)</f>
        <v/>
      </c>
      <c r="P931" s="22">
        <f>INDEX(Personendaten!$J$2:$J$32,MATCH(A931,Personendaten!$A$2:$A$32,0))</f>
        <v/>
      </c>
      <c r="Q931" s="22">
        <f>IF(O931=1,"",IF(AND(B931="post",P931="nicht angetreten"),"NANG",IF(N931=1,"AUSL",IFERROR(VLOOKUP(H931,Vokabular!$A$2:$B$8,2,FALSE),"UNBEKANNT"))))</f>
        <v/>
      </c>
    </row>
    <row r="932">
      <c r="A932" s="5" t="inlineStr">
        <is>
          <t>VS-03</t>
        </is>
      </c>
      <c r="B932" s="5" t="inlineStr">
        <is>
          <t>post</t>
        </is>
      </c>
      <c r="C932" s="5" t="inlineStr">
        <is>
          <t>COD_505</t>
        </is>
      </c>
      <c r="D932" s="5" t="inlineStr">
        <is>
          <t>L</t>
        </is>
      </c>
      <c r="E932" s="5" t="n">
        <v>1</v>
      </c>
      <c r="F932" s="5" t="n">
        <v>2.59</v>
      </c>
      <c r="G932" s="5" t="n"/>
      <c r="H932" s="5" t="n"/>
      <c r="I932" s="22">
        <f>INDEX(Personendaten!$C$2:$C$32,MATCH(A932,Personendaten!$A$2:$A$32,0))</f>
        <v/>
      </c>
      <c r="J932" s="22">
        <f>IF(AND(F932&lt;&gt;"",G932=""),1,0)</f>
        <v/>
      </c>
      <c r="K932" s="22">
        <f>IF(LEFT(C932,7)&lt;&gt;"Sprint_","",IF(COUNTIFS(Versuchsdaten!$A$2:$A$1117,$A932,Versuchsdaten!$B$2:$B$1117,$B932,Versuchsdaten!$C$2:$C$1117,"Sprint_5m",Versuchsdaten!$E$2:$E$1117,$E932,Versuchsdaten!$J$2:$J$1117,1)=1,SUMIFS(Versuchsdaten!$F$2:$F$1117,Versuchsdaten!$A$2:$A$1117,$A932,Versuchsdaten!$B$2:$B$1117,$B932,Versuchsdaten!$C$2:$C$1117,"Sprint_5m",Versuchsdaten!$E$2:$E$1117,$E932,Versuchsdaten!$J$2:$J$1117,1),""))</f>
        <v/>
      </c>
      <c r="L932" s="22">
        <f>IF(LEFT(C932,7)&lt;&gt;"Sprint_","",IF(COUNTIFS(Versuchsdaten!$A$2:$A$1117,$A932,Versuchsdaten!$B$2:$B$1117,$B932,Versuchsdaten!$C$2:$C$1117,"Sprint_10m",Versuchsdaten!$E$2:$E$1117,$E932,Versuchsdaten!$J$2:$J$1117,1)=1,SUMIFS(Versuchsdaten!$F$2:$F$1117,Versuchsdaten!$A$2:$A$1117,$A932,Versuchsdaten!$B$2:$B$1117,$B932,Versuchsdaten!$C$2:$C$1117,"Sprint_10m",Versuchsdaten!$E$2:$E$1117,$E932,Versuchsdaten!$J$2:$J$1117,1),""))</f>
        <v/>
      </c>
      <c r="M932" s="22">
        <f>IF(LEFT(C932,7)&lt;&gt;"Sprint_","",IF(COUNTIFS(Versuchsdaten!$A$2:$A$1117,$A932,Versuchsdaten!$B$2:$B$1117,$B932,Versuchsdaten!$C$2:$C$1117,"Sprint_30m",Versuchsdaten!$E$2:$E$1117,$E932,Versuchsdaten!$J$2:$J$1117,1)=1,SUMIFS(Versuchsdaten!$F$2:$F$1117,Versuchsdaten!$A$2:$A$1117,$A932,Versuchsdaten!$B$2:$B$1117,$B932,Versuchsdaten!$C$2:$C$1117,"Sprint_30m",Versuchsdaten!$E$2:$E$1117,$E932,Versuchsdaten!$J$2:$J$1117,1),""))</f>
        <v/>
      </c>
      <c r="N932" s="22">
        <f>IF(LEFT(C932,7)&lt;&gt;"Sprint_",0,IF(IF(ISNUMBER(K932),IF(K932&lt;=0,1,IF(5/K932&gt;10,1,0)),0)+IF(ISNUMBER(L932),IF(ISNUMBER(K932),IF(L932-K932&lt;=0,1,IF(5/(L932-K932)&gt;10,1,0)),IF(L932&lt;=0,1,IF(10/L932&gt;10,1,0))),0)+IF(ISNUMBER(M932),IF(ISNUMBER(L932),IF(M932-L932&lt;=0,1,IF(20/(M932-L932)&gt;10,1,0)),IF(ISNUMBER(K932),IF(M932-K932&lt;=0,1,IF(25/(M932-K932)&gt;10,1,0)),IF(M932&lt;=0,1,IF(30/M932&gt;10,1,0)))),0)&gt;0,1,0))</f>
        <v/>
      </c>
      <c r="O932" s="22">
        <f>IF(AND(J932=1,N932=0),1,0)</f>
        <v/>
      </c>
      <c r="P932" s="22">
        <f>INDEX(Personendaten!$J$2:$J$32,MATCH(A932,Personendaten!$A$2:$A$32,0))</f>
        <v/>
      </c>
      <c r="Q932" s="22">
        <f>IF(O932=1,"",IF(AND(B932="post",P932="nicht angetreten"),"NANG",IF(N932=1,"AUSL",IFERROR(VLOOKUP(H932,Vokabular!$A$2:$B$8,2,FALSE),"UNBEKANNT"))))</f>
        <v/>
      </c>
    </row>
    <row r="933">
      <c r="A933" s="5" t="inlineStr">
        <is>
          <t>VS-03</t>
        </is>
      </c>
      <c r="B933" s="5" t="inlineStr">
        <is>
          <t>post</t>
        </is>
      </c>
      <c r="C933" s="5" t="inlineStr">
        <is>
          <t>COD_505</t>
        </is>
      </c>
      <c r="D933" s="5" t="inlineStr">
        <is>
          <t>L</t>
        </is>
      </c>
      <c r="E933" s="5" t="n">
        <v>2</v>
      </c>
      <c r="F933" s="5" t="n">
        <v>2.68</v>
      </c>
      <c r="G933" s="5" t="n"/>
      <c r="H933" s="5" t="n"/>
      <c r="I933" s="22">
        <f>INDEX(Personendaten!$C$2:$C$32,MATCH(A933,Personendaten!$A$2:$A$32,0))</f>
        <v/>
      </c>
      <c r="J933" s="22">
        <f>IF(AND(F933&lt;&gt;"",G933=""),1,0)</f>
        <v/>
      </c>
      <c r="K933" s="22">
        <f>IF(LEFT(C933,7)&lt;&gt;"Sprint_","",IF(COUNTIFS(Versuchsdaten!$A$2:$A$1117,$A933,Versuchsdaten!$B$2:$B$1117,$B933,Versuchsdaten!$C$2:$C$1117,"Sprint_5m",Versuchsdaten!$E$2:$E$1117,$E933,Versuchsdaten!$J$2:$J$1117,1)=1,SUMIFS(Versuchsdaten!$F$2:$F$1117,Versuchsdaten!$A$2:$A$1117,$A933,Versuchsdaten!$B$2:$B$1117,$B933,Versuchsdaten!$C$2:$C$1117,"Sprint_5m",Versuchsdaten!$E$2:$E$1117,$E933,Versuchsdaten!$J$2:$J$1117,1),""))</f>
        <v/>
      </c>
      <c r="L933" s="22">
        <f>IF(LEFT(C933,7)&lt;&gt;"Sprint_","",IF(COUNTIFS(Versuchsdaten!$A$2:$A$1117,$A933,Versuchsdaten!$B$2:$B$1117,$B933,Versuchsdaten!$C$2:$C$1117,"Sprint_10m",Versuchsdaten!$E$2:$E$1117,$E933,Versuchsdaten!$J$2:$J$1117,1)=1,SUMIFS(Versuchsdaten!$F$2:$F$1117,Versuchsdaten!$A$2:$A$1117,$A933,Versuchsdaten!$B$2:$B$1117,$B933,Versuchsdaten!$C$2:$C$1117,"Sprint_10m",Versuchsdaten!$E$2:$E$1117,$E933,Versuchsdaten!$J$2:$J$1117,1),""))</f>
        <v/>
      </c>
      <c r="M933" s="22">
        <f>IF(LEFT(C933,7)&lt;&gt;"Sprint_","",IF(COUNTIFS(Versuchsdaten!$A$2:$A$1117,$A933,Versuchsdaten!$B$2:$B$1117,$B933,Versuchsdaten!$C$2:$C$1117,"Sprint_30m",Versuchsdaten!$E$2:$E$1117,$E933,Versuchsdaten!$J$2:$J$1117,1)=1,SUMIFS(Versuchsdaten!$F$2:$F$1117,Versuchsdaten!$A$2:$A$1117,$A933,Versuchsdaten!$B$2:$B$1117,$B933,Versuchsdaten!$C$2:$C$1117,"Sprint_30m",Versuchsdaten!$E$2:$E$1117,$E933,Versuchsdaten!$J$2:$J$1117,1),""))</f>
        <v/>
      </c>
      <c r="N933" s="22">
        <f>IF(LEFT(C933,7)&lt;&gt;"Sprint_",0,IF(IF(ISNUMBER(K933),IF(K933&lt;=0,1,IF(5/K933&gt;10,1,0)),0)+IF(ISNUMBER(L933),IF(ISNUMBER(K933),IF(L933-K933&lt;=0,1,IF(5/(L933-K933)&gt;10,1,0)),IF(L933&lt;=0,1,IF(10/L933&gt;10,1,0))),0)+IF(ISNUMBER(M933),IF(ISNUMBER(L933),IF(M933-L933&lt;=0,1,IF(20/(M933-L933)&gt;10,1,0)),IF(ISNUMBER(K933),IF(M933-K933&lt;=0,1,IF(25/(M933-K933)&gt;10,1,0)),IF(M933&lt;=0,1,IF(30/M933&gt;10,1,0)))),0)&gt;0,1,0))</f>
        <v/>
      </c>
      <c r="O933" s="22">
        <f>IF(AND(J933=1,N933=0),1,0)</f>
        <v/>
      </c>
      <c r="P933" s="22">
        <f>INDEX(Personendaten!$J$2:$J$32,MATCH(A933,Personendaten!$A$2:$A$32,0))</f>
        <v/>
      </c>
      <c r="Q933" s="22">
        <f>IF(O933=1,"",IF(AND(B933="post",P933="nicht angetreten"),"NANG",IF(N933=1,"AUSL",IFERROR(VLOOKUP(H933,Vokabular!$A$2:$B$8,2,FALSE),"UNBEKANNT"))))</f>
        <v/>
      </c>
    </row>
    <row r="934">
      <c r="A934" s="5" t="inlineStr">
        <is>
          <t>VS-03</t>
        </is>
      </c>
      <c r="B934" s="5" t="inlineStr">
        <is>
          <t>post</t>
        </is>
      </c>
      <c r="C934" s="5" t="inlineStr">
        <is>
          <t>COD_505</t>
        </is>
      </c>
      <c r="D934" s="5" t="inlineStr">
        <is>
          <t>L</t>
        </is>
      </c>
      <c r="E934" s="5" t="n">
        <v>3</v>
      </c>
      <c r="F934" s="5" t="n"/>
      <c r="G934" s="5" t="n"/>
      <c r="H934" s="5" t="inlineStr">
        <is>
          <t>Nur 2 Versuche aus Zeitmangel</t>
        </is>
      </c>
      <c r="I934" s="22">
        <f>INDEX(Personendaten!$C$2:$C$32,MATCH(A934,Personendaten!$A$2:$A$32,0))</f>
        <v/>
      </c>
      <c r="J934" s="22">
        <f>IF(AND(F934&lt;&gt;"",G934=""),1,0)</f>
        <v/>
      </c>
      <c r="K934" s="22">
        <f>IF(LEFT(C934,7)&lt;&gt;"Sprint_","",IF(COUNTIFS(Versuchsdaten!$A$2:$A$1117,$A934,Versuchsdaten!$B$2:$B$1117,$B934,Versuchsdaten!$C$2:$C$1117,"Sprint_5m",Versuchsdaten!$E$2:$E$1117,$E934,Versuchsdaten!$J$2:$J$1117,1)=1,SUMIFS(Versuchsdaten!$F$2:$F$1117,Versuchsdaten!$A$2:$A$1117,$A934,Versuchsdaten!$B$2:$B$1117,$B934,Versuchsdaten!$C$2:$C$1117,"Sprint_5m",Versuchsdaten!$E$2:$E$1117,$E934,Versuchsdaten!$J$2:$J$1117,1),""))</f>
        <v/>
      </c>
      <c r="L934" s="22">
        <f>IF(LEFT(C934,7)&lt;&gt;"Sprint_","",IF(COUNTIFS(Versuchsdaten!$A$2:$A$1117,$A934,Versuchsdaten!$B$2:$B$1117,$B934,Versuchsdaten!$C$2:$C$1117,"Sprint_10m",Versuchsdaten!$E$2:$E$1117,$E934,Versuchsdaten!$J$2:$J$1117,1)=1,SUMIFS(Versuchsdaten!$F$2:$F$1117,Versuchsdaten!$A$2:$A$1117,$A934,Versuchsdaten!$B$2:$B$1117,$B934,Versuchsdaten!$C$2:$C$1117,"Sprint_10m",Versuchsdaten!$E$2:$E$1117,$E934,Versuchsdaten!$J$2:$J$1117,1),""))</f>
        <v/>
      </c>
      <c r="M934" s="22">
        <f>IF(LEFT(C934,7)&lt;&gt;"Sprint_","",IF(COUNTIFS(Versuchsdaten!$A$2:$A$1117,$A934,Versuchsdaten!$B$2:$B$1117,$B934,Versuchsdaten!$C$2:$C$1117,"Sprint_30m",Versuchsdaten!$E$2:$E$1117,$E934,Versuchsdaten!$J$2:$J$1117,1)=1,SUMIFS(Versuchsdaten!$F$2:$F$1117,Versuchsdaten!$A$2:$A$1117,$A934,Versuchsdaten!$B$2:$B$1117,$B934,Versuchsdaten!$C$2:$C$1117,"Sprint_30m",Versuchsdaten!$E$2:$E$1117,$E934,Versuchsdaten!$J$2:$J$1117,1),""))</f>
        <v/>
      </c>
      <c r="N934" s="22">
        <f>IF(LEFT(C934,7)&lt;&gt;"Sprint_",0,IF(IF(ISNUMBER(K934),IF(K934&lt;=0,1,IF(5/K934&gt;10,1,0)),0)+IF(ISNUMBER(L934),IF(ISNUMBER(K934),IF(L934-K934&lt;=0,1,IF(5/(L934-K934)&gt;10,1,0)),IF(L934&lt;=0,1,IF(10/L934&gt;10,1,0))),0)+IF(ISNUMBER(M934),IF(ISNUMBER(L934),IF(M934-L934&lt;=0,1,IF(20/(M934-L934)&gt;10,1,0)),IF(ISNUMBER(K934),IF(M934-K934&lt;=0,1,IF(25/(M934-K934)&gt;10,1,0)),IF(M934&lt;=0,1,IF(30/M934&gt;10,1,0)))),0)&gt;0,1,0))</f>
        <v/>
      </c>
      <c r="O934" s="22">
        <f>IF(AND(J934=1,N934=0),1,0)</f>
        <v/>
      </c>
      <c r="P934" s="22">
        <f>INDEX(Personendaten!$J$2:$J$32,MATCH(A934,Personendaten!$A$2:$A$32,0))</f>
        <v/>
      </c>
      <c r="Q934" s="22">
        <f>IF(O934=1,"",IF(AND(B934="post",P934="nicht angetreten"),"NANG",IF(N934=1,"AUSL",IFERROR(VLOOKUP(H934,Vokabular!$A$2:$B$8,2,FALSE),"UNBEKANNT"))))</f>
        <v/>
      </c>
    </row>
    <row r="935">
      <c r="A935" s="5" t="inlineStr">
        <is>
          <t>VS-03</t>
        </is>
      </c>
      <c r="B935" s="5" t="inlineStr">
        <is>
          <t>post</t>
        </is>
      </c>
      <c r="C935" s="5" t="inlineStr">
        <is>
          <t>COD_505</t>
        </is>
      </c>
      <c r="D935" s="5" t="inlineStr">
        <is>
          <t>R</t>
        </is>
      </c>
      <c r="E935" s="5" t="n">
        <v>1</v>
      </c>
      <c r="F935" s="5" t="n">
        <v>2.66</v>
      </c>
      <c r="G935" s="5" t="n"/>
      <c r="H935" s="5" t="n"/>
      <c r="I935" s="22">
        <f>INDEX(Personendaten!$C$2:$C$32,MATCH(A935,Personendaten!$A$2:$A$32,0))</f>
        <v/>
      </c>
      <c r="J935" s="22">
        <f>IF(AND(F935&lt;&gt;"",G935=""),1,0)</f>
        <v/>
      </c>
      <c r="K935" s="22">
        <f>IF(LEFT(C935,7)&lt;&gt;"Sprint_","",IF(COUNTIFS(Versuchsdaten!$A$2:$A$1117,$A935,Versuchsdaten!$B$2:$B$1117,$B935,Versuchsdaten!$C$2:$C$1117,"Sprint_5m",Versuchsdaten!$E$2:$E$1117,$E935,Versuchsdaten!$J$2:$J$1117,1)=1,SUMIFS(Versuchsdaten!$F$2:$F$1117,Versuchsdaten!$A$2:$A$1117,$A935,Versuchsdaten!$B$2:$B$1117,$B935,Versuchsdaten!$C$2:$C$1117,"Sprint_5m",Versuchsdaten!$E$2:$E$1117,$E935,Versuchsdaten!$J$2:$J$1117,1),""))</f>
        <v/>
      </c>
      <c r="L935" s="22">
        <f>IF(LEFT(C935,7)&lt;&gt;"Sprint_","",IF(COUNTIFS(Versuchsdaten!$A$2:$A$1117,$A935,Versuchsdaten!$B$2:$B$1117,$B935,Versuchsdaten!$C$2:$C$1117,"Sprint_10m",Versuchsdaten!$E$2:$E$1117,$E935,Versuchsdaten!$J$2:$J$1117,1)=1,SUMIFS(Versuchsdaten!$F$2:$F$1117,Versuchsdaten!$A$2:$A$1117,$A935,Versuchsdaten!$B$2:$B$1117,$B935,Versuchsdaten!$C$2:$C$1117,"Sprint_10m",Versuchsdaten!$E$2:$E$1117,$E935,Versuchsdaten!$J$2:$J$1117,1),""))</f>
        <v/>
      </c>
      <c r="M935" s="22">
        <f>IF(LEFT(C935,7)&lt;&gt;"Sprint_","",IF(COUNTIFS(Versuchsdaten!$A$2:$A$1117,$A935,Versuchsdaten!$B$2:$B$1117,$B935,Versuchsdaten!$C$2:$C$1117,"Sprint_30m",Versuchsdaten!$E$2:$E$1117,$E935,Versuchsdaten!$J$2:$J$1117,1)=1,SUMIFS(Versuchsdaten!$F$2:$F$1117,Versuchsdaten!$A$2:$A$1117,$A935,Versuchsdaten!$B$2:$B$1117,$B935,Versuchsdaten!$C$2:$C$1117,"Sprint_30m",Versuchsdaten!$E$2:$E$1117,$E935,Versuchsdaten!$J$2:$J$1117,1),""))</f>
        <v/>
      </c>
      <c r="N935" s="22">
        <f>IF(LEFT(C935,7)&lt;&gt;"Sprint_",0,IF(IF(ISNUMBER(K935),IF(K935&lt;=0,1,IF(5/K935&gt;10,1,0)),0)+IF(ISNUMBER(L935),IF(ISNUMBER(K935),IF(L935-K935&lt;=0,1,IF(5/(L935-K935)&gt;10,1,0)),IF(L935&lt;=0,1,IF(10/L935&gt;10,1,0))),0)+IF(ISNUMBER(M935),IF(ISNUMBER(L935),IF(M935-L935&lt;=0,1,IF(20/(M935-L935)&gt;10,1,0)),IF(ISNUMBER(K935),IF(M935-K935&lt;=0,1,IF(25/(M935-K935)&gt;10,1,0)),IF(M935&lt;=0,1,IF(30/M935&gt;10,1,0)))),0)&gt;0,1,0))</f>
        <v/>
      </c>
      <c r="O935" s="22">
        <f>IF(AND(J935=1,N935=0),1,0)</f>
        <v/>
      </c>
      <c r="P935" s="22">
        <f>INDEX(Personendaten!$J$2:$J$32,MATCH(A935,Personendaten!$A$2:$A$32,0))</f>
        <v/>
      </c>
      <c r="Q935" s="22">
        <f>IF(O935=1,"",IF(AND(B935="post",P935="nicht angetreten"),"NANG",IF(N935=1,"AUSL",IFERROR(VLOOKUP(H935,Vokabular!$A$2:$B$8,2,FALSE),"UNBEKANNT"))))</f>
        <v/>
      </c>
    </row>
    <row r="936">
      <c r="A936" s="5" t="inlineStr">
        <is>
          <t>VS-03</t>
        </is>
      </c>
      <c r="B936" s="5" t="inlineStr">
        <is>
          <t>post</t>
        </is>
      </c>
      <c r="C936" s="5" t="inlineStr">
        <is>
          <t>COD_505</t>
        </is>
      </c>
      <c r="D936" s="5" t="inlineStr">
        <is>
          <t>R</t>
        </is>
      </c>
      <c r="E936" s="5" t="n">
        <v>2</v>
      </c>
      <c r="F936" s="5" t="n">
        <v>2.71</v>
      </c>
      <c r="G936" s="5" t="n"/>
      <c r="H936" s="5" t="n"/>
      <c r="I936" s="22">
        <f>INDEX(Personendaten!$C$2:$C$32,MATCH(A936,Personendaten!$A$2:$A$32,0))</f>
        <v/>
      </c>
      <c r="J936" s="22">
        <f>IF(AND(F936&lt;&gt;"",G936=""),1,0)</f>
        <v/>
      </c>
      <c r="K936" s="22">
        <f>IF(LEFT(C936,7)&lt;&gt;"Sprint_","",IF(COUNTIFS(Versuchsdaten!$A$2:$A$1117,$A936,Versuchsdaten!$B$2:$B$1117,$B936,Versuchsdaten!$C$2:$C$1117,"Sprint_5m",Versuchsdaten!$E$2:$E$1117,$E936,Versuchsdaten!$J$2:$J$1117,1)=1,SUMIFS(Versuchsdaten!$F$2:$F$1117,Versuchsdaten!$A$2:$A$1117,$A936,Versuchsdaten!$B$2:$B$1117,$B936,Versuchsdaten!$C$2:$C$1117,"Sprint_5m",Versuchsdaten!$E$2:$E$1117,$E936,Versuchsdaten!$J$2:$J$1117,1),""))</f>
        <v/>
      </c>
      <c r="L936" s="22">
        <f>IF(LEFT(C936,7)&lt;&gt;"Sprint_","",IF(COUNTIFS(Versuchsdaten!$A$2:$A$1117,$A936,Versuchsdaten!$B$2:$B$1117,$B936,Versuchsdaten!$C$2:$C$1117,"Sprint_10m",Versuchsdaten!$E$2:$E$1117,$E936,Versuchsdaten!$J$2:$J$1117,1)=1,SUMIFS(Versuchsdaten!$F$2:$F$1117,Versuchsdaten!$A$2:$A$1117,$A936,Versuchsdaten!$B$2:$B$1117,$B936,Versuchsdaten!$C$2:$C$1117,"Sprint_10m",Versuchsdaten!$E$2:$E$1117,$E936,Versuchsdaten!$J$2:$J$1117,1),""))</f>
        <v/>
      </c>
      <c r="M936" s="22">
        <f>IF(LEFT(C936,7)&lt;&gt;"Sprint_","",IF(COUNTIFS(Versuchsdaten!$A$2:$A$1117,$A936,Versuchsdaten!$B$2:$B$1117,$B936,Versuchsdaten!$C$2:$C$1117,"Sprint_30m",Versuchsdaten!$E$2:$E$1117,$E936,Versuchsdaten!$J$2:$J$1117,1)=1,SUMIFS(Versuchsdaten!$F$2:$F$1117,Versuchsdaten!$A$2:$A$1117,$A936,Versuchsdaten!$B$2:$B$1117,$B936,Versuchsdaten!$C$2:$C$1117,"Sprint_30m",Versuchsdaten!$E$2:$E$1117,$E936,Versuchsdaten!$J$2:$J$1117,1),""))</f>
        <v/>
      </c>
      <c r="N936" s="22">
        <f>IF(LEFT(C936,7)&lt;&gt;"Sprint_",0,IF(IF(ISNUMBER(K936),IF(K936&lt;=0,1,IF(5/K936&gt;10,1,0)),0)+IF(ISNUMBER(L936),IF(ISNUMBER(K936),IF(L936-K936&lt;=0,1,IF(5/(L936-K936)&gt;10,1,0)),IF(L936&lt;=0,1,IF(10/L936&gt;10,1,0))),0)+IF(ISNUMBER(M936),IF(ISNUMBER(L936),IF(M936-L936&lt;=0,1,IF(20/(M936-L936)&gt;10,1,0)),IF(ISNUMBER(K936),IF(M936-K936&lt;=0,1,IF(25/(M936-K936)&gt;10,1,0)),IF(M936&lt;=0,1,IF(30/M936&gt;10,1,0)))),0)&gt;0,1,0))</f>
        <v/>
      </c>
      <c r="O936" s="22">
        <f>IF(AND(J936=1,N936=0),1,0)</f>
        <v/>
      </c>
      <c r="P936" s="22">
        <f>INDEX(Personendaten!$J$2:$J$32,MATCH(A936,Personendaten!$A$2:$A$32,0))</f>
        <v/>
      </c>
      <c r="Q936" s="22">
        <f>IF(O936=1,"",IF(AND(B936="post",P936="nicht angetreten"),"NANG",IF(N936=1,"AUSL",IFERROR(VLOOKUP(H936,Vokabular!$A$2:$B$8,2,FALSE),"UNBEKANNT"))))</f>
        <v/>
      </c>
    </row>
    <row r="937">
      <c r="A937" s="5" t="inlineStr">
        <is>
          <t>VS-03</t>
        </is>
      </c>
      <c r="B937" s="5" t="inlineStr">
        <is>
          <t>post</t>
        </is>
      </c>
      <c r="C937" s="5" t="inlineStr">
        <is>
          <t>COD_505</t>
        </is>
      </c>
      <c r="D937" s="5" t="inlineStr">
        <is>
          <t>R</t>
        </is>
      </c>
      <c r="E937" s="5" t="n">
        <v>3</v>
      </c>
      <c r="F937" s="5" t="n"/>
      <c r="G937" s="5" t="n"/>
      <c r="H937" s="5" t="inlineStr">
        <is>
          <t>Nur 2 Versuche aus Zeitmangel</t>
        </is>
      </c>
      <c r="I937" s="22">
        <f>INDEX(Personendaten!$C$2:$C$32,MATCH(A937,Personendaten!$A$2:$A$32,0))</f>
        <v/>
      </c>
      <c r="J937" s="22">
        <f>IF(AND(F937&lt;&gt;"",G937=""),1,0)</f>
        <v/>
      </c>
      <c r="K937" s="22">
        <f>IF(LEFT(C937,7)&lt;&gt;"Sprint_","",IF(COUNTIFS(Versuchsdaten!$A$2:$A$1117,$A937,Versuchsdaten!$B$2:$B$1117,$B937,Versuchsdaten!$C$2:$C$1117,"Sprint_5m",Versuchsdaten!$E$2:$E$1117,$E937,Versuchsdaten!$J$2:$J$1117,1)=1,SUMIFS(Versuchsdaten!$F$2:$F$1117,Versuchsdaten!$A$2:$A$1117,$A937,Versuchsdaten!$B$2:$B$1117,$B937,Versuchsdaten!$C$2:$C$1117,"Sprint_5m",Versuchsdaten!$E$2:$E$1117,$E937,Versuchsdaten!$J$2:$J$1117,1),""))</f>
        <v/>
      </c>
      <c r="L937" s="22">
        <f>IF(LEFT(C937,7)&lt;&gt;"Sprint_","",IF(COUNTIFS(Versuchsdaten!$A$2:$A$1117,$A937,Versuchsdaten!$B$2:$B$1117,$B937,Versuchsdaten!$C$2:$C$1117,"Sprint_10m",Versuchsdaten!$E$2:$E$1117,$E937,Versuchsdaten!$J$2:$J$1117,1)=1,SUMIFS(Versuchsdaten!$F$2:$F$1117,Versuchsdaten!$A$2:$A$1117,$A937,Versuchsdaten!$B$2:$B$1117,$B937,Versuchsdaten!$C$2:$C$1117,"Sprint_10m",Versuchsdaten!$E$2:$E$1117,$E937,Versuchsdaten!$J$2:$J$1117,1),""))</f>
        <v/>
      </c>
      <c r="M937" s="22">
        <f>IF(LEFT(C937,7)&lt;&gt;"Sprint_","",IF(COUNTIFS(Versuchsdaten!$A$2:$A$1117,$A937,Versuchsdaten!$B$2:$B$1117,$B937,Versuchsdaten!$C$2:$C$1117,"Sprint_30m",Versuchsdaten!$E$2:$E$1117,$E937,Versuchsdaten!$J$2:$J$1117,1)=1,SUMIFS(Versuchsdaten!$F$2:$F$1117,Versuchsdaten!$A$2:$A$1117,$A937,Versuchsdaten!$B$2:$B$1117,$B937,Versuchsdaten!$C$2:$C$1117,"Sprint_30m",Versuchsdaten!$E$2:$E$1117,$E937,Versuchsdaten!$J$2:$J$1117,1),""))</f>
        <v/>
      </c>
      <c r="N937" s="22">
        <f>IF(LEFT(C937,7)&lt;&gt;"Sprint_",0,IF(IF(ISNUMBER(K937),IF(K937&lt;=0,1,IF(5/K937&gt;10,1,0)),0)+IF(ISNUMBER(L937),IF(ISNUMBER(K937),IF(L937-K937&lt;=0,1,IF(5/(L937-K937)&gt;10,1,0)),IF(L937&lt;=0,1,IF(10/L937&gt;10,1,0))),0)+IF(ISNUMBER(M937),IF(ISNUMBER(L937),IF(M937-L937&lt;=0,1,IF(20/(M937-L937)&gt;10,1,0)),IF(ISNUMBER(K937),IF(M937-K937&lt;=0,1,IF(25/(M937-K937)&gt;10,1,0)),IF(M937&lt;=0,1,IF(30/M937&gt;10,1,0)))),0)&gt;0,1,0))</f>
        <v/>
      </c>
      <c r="O937" s="22">
        <f>IF(AND(J937=1,N937=0),1,0)</f>
        <v/>
      </c>
      <c r="P937" s="22">
        <f>INDEX(Personendaten!$J$2:$J$32,MATCH(A937,Personendaten!$A$2:$A$32,0))</f>
        <v/>
      </c>
      <c r="Q937" s="22">
        <f>IF(O937=1,"",IF(AND(B937="post",P937="nicht angetreten"),"NANG",IF(N937=1,"AUSL",IFERROR(VLOOKUP(H937,Vokabular!$A$2:$B$8,2,FALSE),"UNBEKANNT"))))</f>
        <v/>
      </c>
    </row>
    <row r="938">
      <c r="A938" s="5" t="inlineStr">
        <is>
          <t>VS-04</t>
        </is>
      </c>
      <c r="B938" s="5" t="inlineStr">
        <is>
          <t>post</t>
        </is>
      </c>
      <c r="C938" s="5" t="inlineStr">
        <is>
          <t>Sprint_5m</t>
        </is>
      </c>
      <c r="D938" s="5" t="inlineStr">
        <is>
          <t>–</t>
        </is>
      </c>
      <c r="E938" s="5" t="n">
        <v>1</v>
      </c>
      <c r="F938" s="5" t="n">
        <v>1.15</v>
      </c>
      <c r="G938" s="5" t="n"/>
      <c r="H938" s="5" t="n"/>
      <c r="I938" s="22">
        <f>INDEX(Personendaten!$C$2:$C$32,MATCH(A938,Personendaten!$A$2:$A$32,0))</f>
        <v/>
      </c>
      <c r="J938" s="22">
        <f>IF(AND(F938&lt;&gt;"",G938=""),1,0)</f>
        <v/>
      </c>
      <c r="K938" s="22">
        <f>IF(LEFT(C938,7)&lt;&gt;"Sprint_","",IF(COUNTIFS(Versuchsdaten!$A$2:$A$1117,$A938,Versuchsdaten!$B$2:$B$1117,$B938,Versuchsdaten!$C$2:$C$1117,"Sprint_5m",Versuchsdaten!$E$2:$E$1117,$E938,Versuchsdaten!$J$2:$J$1117,1)=1,SUMIFS(Versuchsdaten!$F$2:$F$1117,Versuchsdaten!$A$2:$A$1117,$A938,Versuchsdaten!$B$2:$B$1117,$B938,Versuchsdaten!$C$2:$C$1117,"Sprint_5m",Versuchsdaten!$E$2:$E$1117,$E938,Versuchsdaten!$J$2:$J$1117,1),""))</f>
        <v/>
      </c>
      <c r="L938" s="22">
        <f>IF(LEFT(C938,7)&lt;&gt;"Sprint_","",IF(COUNTIFS(Versuchsdaten!$A$2:$A$1117,$A938,Versuchsdaten!$B$2:$B$1117,$B938,Versuchsdaten!$C$2:$C$1117,"Sprint_10m",Versuchsdaten!$E$2:$E$1117,$E938,Versuchsdaten!$J$2:$J$1117,1)=1,SUMIFS(Versuchsdaten!$F$2:$F$1117,Versuchsdaten!$A$2:$A$1117,$A938,Versuchsdaten!$B$2:$B$1117,$B938,Versuchsdaten!$C$2:$C$1117,"Sprint_10m",Versuchsdaten!$E$2:$E$1117,$E938,Versuchsdaten!$J$2:$J$1117,1),""))</f>
        <v/>
      </c>
      <c r="M938" s="22">
        <f>IF(LEFT(C938,7)&lt;&gt;"Sprint_","",IF(COUNTIFS(Versuchsdaten!$A$2:$A$1117,$A938,Versuchsdaten!$B$2:$B$1117,$B938,Versuchsdaten!$C$2:$C$1117,"Sprint_30m",Versuchsdaten!$E$2:$E$1117,$E938,Versuchsdaten!$J$2:$J$1117,1)=1,SUMIFS(Versuchsdaten!$F$2:$F$1117,Versuchsdaten!$A$2:$A$1117,$A938,Versuchsdaten!$B$2:$B$1117,$B938,Versuchsdaten!$C$2:$C$1117,"Sprint_30m",Versuchsdaten!$E$2:$E$1117,$E938,Versuchsdaten!$J$2:$J$1117,1),""))</f>
        <v/>
      </c>
      <c r="N938" s="22">
        <f>IF(LEFT(C938,7)&lt;&gt;"Sprint_",0,IF(IF(ISNUMBER(K938),IF(K938&lt;=0,1,IF(5/K938&gt;10,1,0)),0)+IF(ISNUMBER(L938),IF(ISNUMBER(K938),IF(L938-K938&lt;=0,1,IF(5/(L938-K938)&gt;10,1,0)),IF(L938&lt;=0,1,IF(10/L938&gt;10,1,0))),0)+IF(ISNUMBER(M938),IF(ISNUMBER(L938),IF(M938-L938&lt;=0,1,IF(20/(M938-L938)&gt;10,1,0)),IF(ISNUMBER(K938),IF(M938-K938&lt;=0,1,IF(25/(M938-K938)&gt;10,1,0)),IF(M938&lt;=0,1,IF(30/M938&gt;10,1,0)))),0)&gt;0,1,0))</f>
        <v/>
      </c>
      <c r="O938" s="22">
        <f>IF(AND(J938=1,N938=0),1,0)</f>
        <v/>
      </c>
      <c r="P938" s="22">
        <f>INDEX(Personendaten!$J$2:$J$32,MATCH(A938,Personendaten!$A$2:$A$32,0))</f>
        <v/>
      </c>
      <c r="Q938" s="22">
        <f>IF(O938=1,"",IF(AND(B938="post",P938="nicht angetreten"),"NANG",IF(N938=1,"AUSL",IFERROR(VLOOKUP(H938,Vokabular!$A$2:$B$8,2,FALSE),"UNBEKANNT"))))</f>
        <v/>
      </c>
    </row>
    <row r="939">
      <c r="A939" s="5" t="inlineStr">
        <is>
          <t>VS-04</t>
        </is>
      </c>
      <c r="B939" s="5" t="inlineStr">
        <is>
          <t>post</t>
        </is>
      </c>
      <c r="C939" s="5" t="inlineStr">
        <is>
          <t>Sprint_5m</t>
        </is>
      </c>
      <c r="D939" s="5" t="inlineStr">
        <is>
          <t>–</t>
        </is>
      </c>
      <c r="E939" s="5" t="n">
        <v>2</v>
      </c>
      <c r="F939" s="5" t="n">
        <v>1.23</v>
      </c>
      <c r="G939" s="5" t="n"/>
      <c r="H939" s="5" t="n"/>
      <c r="I939" s="22">
        <f>INDEX(Personendaten!$C$2:$C$32,MATCH(A939,Personendaten!$A$2:$A$32,0))</f>
        <v/>
      </c>
      <c r="J939" s="22">
        <f>IF(AND(F939&lt;&gt;"",G939=""),1,0)</f>
        <v/>
      </c>
      <c r="K939" s="22">
        <f>IF(LEFT(C939,7)&lt;&gt;"Sprint_","",IF(COUNTIFS(Versuchsdaten!$A$2:$A$1117,$A939,Versuchsdaten!$B$2:$B$1117,$B939,Versuchsdaten!$C$2:$C$1117,"Sprint_5m",Versuchsdaten!$E$2:$E$1117,$E939,Versuchsdaten!$J$2:$J$1117,1)=1,SUMIFS(Versuchsdaten!$F$2:$F$1117,Versuchsdaten!$A$2:$A$1117,$A939,Versuchsdaten!$B$2:$B$1117,$B939,Versuchsdaten!$C$2:$C$1117,"Sprint_5m",Versuchsdaten!$E$2:$E$1117,$E939,Versuchsdaten!$J$2:$J$1117,1),""))</f>
        <v/>
      </c>
      <c r="L939" s="22">
        <f>IF(LEFT(C939,7)&lt;&gt;"Sprint_","",IF(COUNTIFS(Versuchsdaten!$A$2:$A$1117,$A939,Versuchsdaten!$B$2:$B$1117,$B939,Versuchsdaten!$C$2:$C$1117,"Sprint_10m",Versuchsdaten!$E$2:$E$1117,$E939,Versuchsdaten!$J$2:$J$1117,1)=1,SUMIFS(Versuchsdaten!$F$2:$F$1117,Versuchsdaten!$A$2:$A$1117,$A939,Versuchsdaten!$B$2:$B$1117,$B939,Versuchsdaten!$C$2:$C$1117,"Sprint_10m",Versuchsdaten!$E$2:$E$1117,$E939,Versuchsdaten!$J$2:$J$1117,1),""))</f>
        <v/>
      </c>
      <c r="M939" s="22">
        <f>IF(LEFT(C939,7)&lt;&gt;"Sprint_","",IF(COUNTIFS(Versuchsdaten!$A$2:$A$1117,$A939,Versuchsdaten!$B$2:$B$1117,$B939,Versuchsdaten!$C$2:$C$1117,"Sprint_30m",Versuchsdaten!$E$2:$E$1117,$E939,Versuchsdaten!$J$2:$J$1117,1)=1,SUMIFS(Versuchsdaten!$F$2:$F$1117,Versuchsdaten!$A$2:$A$1117,$A939,Versuchsdaten!$B$2:$B$1117,$B939,Versuchsdaten!$C$2:$C$1117,"Sprint_30m",Versuchsdaten!$E$2:$E$1117,$E939,Versuchsdaten!$J$2:$J$1117,1),""))</f>
        <v/>
      </c>
      <c r="N939" s="22">
        <f>IF(LEFT(C939,7)&lt;&gt;"Sprint_",0,IF(IF(ISNUMBER(K939),IF(K939&lt;=0,1,IF(5/K939&gt;10,1,0)),0)+IF(ISNUMBER(L939),IF(ISNUMBER(K939),IF(L939-K939&lt;=0,1,IF(5/(L939-K939)&gt;10,1,0)),IF(L939&lt;=0,1,IF(10/L939&gt;10,1,0))),0)+IF(ISNUMBER(M939),IF(ISNUMBER(L939),IF(M939-L939&lt;=0,1,IF(20/(M939-L939)&gt;10,1,0)),IF(ISNUMBER(K939),IF(M939-K939&lt;=0,1,IF(25/(M939-K939)&gt;10,1,0)),IF(M939&lt;=0,1,IF(30/M939&gt;10,1,0)))),0)&gt;0,1,0))</f>
        <v/>
      </c>
      <c r="O939" s="22">
        <f>IF(AND(J939=1,N939=0),1,0)</f>
        <v/>
      </c>
      <c r="P939" s="22">
        <f>INDEX(Personendaten!$J$2:$J$32,MATCH(A939,Personendaten!$A$2:$A$32,0))</f>
        <v/>
      </c>
      <c r="Q939" s="22">
        <f>IF(O939=1,"",IF(AND(B939="post",P939="nicht angetreten"),"NANG",IF(N939=1,"AUSL",IFERROR(VLOOKUP(H939,Vokabular!$A$2:$B$8,2,FALSE),"UNBEKANNT"))))</f>
        <v/>
      </c>
    </row>
    <row r="940">
      <c r="A940" s="5" t="inlineStr">
        <is>
          <t>VS-04</t>
        </is>
      </c>
      <c r="B940" s="5" t="inlineStr">
        <is>
          <t>post</t>
        </is>
      </c>
      <c r="C940" s="5" t="inlineStr">
        <is>
          <t>Sprint_5m</t>
        </is>
      </c>
      <c r="D940" s="5" t="inlineStr">
        <is>
          <t>–</t>
        </is>
      </c>
      <c r="E940" s="5" t="n">
        <v>3</v>
      </c>
      <c r="F940" s="5" t="n">
        <v>1.13</v>
      </c>
      <c r="G940" s="5" t="n"/>
      <c r="H940" s="5" t="n"/>
      <c r="I940" s="22">
        <f>INDEX(Personendaten!$C$2:$C$32,MATCH(A940,Personendaten!$A$2:$A$32,0))</f>
        <v/>
      </c>
      <c r="J940" s="22">
        <f>IF(AND(F940&lt;&gt;"",G940=""),1,0)</f>
        <v/>
      </c>
      <c r="K940" s="22">
        <f>IF(LEFT(C940,7)&lt;&gt;"Sprint_","",IF(COUNTIFS(Versuchsdaten!$A$2:$A$1117,$A940,Versuchsdaten!$B$2:$B$1117,$B940,Versuchsdaten!$C$2:$C$1117,"Sprint_5m",Versuchsdaten!$E$2:$E$1117,$E940,Versuchsdaten!$J$2:$J$1117,1)=1,SUMIFS(Versuchsdaten!$F$2:$F$1117,Versuchsdaten!$A$2:$A$1117,$A940,Versuchsdaten!$B$2:$B$1117,$B940,Versuchsdaten!$C$2:$C$1117,"Sprint_5m",Versuchsdaten!$E$2:$E$1117,$E940,Versuchsdaten!$J$2:$J$1117,1),""))</f>
        <v/>
      </c>
      <c r="L940" s="22">
        <f>IF(LEFT(C940,7)&lt;&gt;"Sprint_","",IF(COUNTIFS(Versuchsdaten!$A$2:$A$1117,$A940,Versuchsdaten!$B$2:$B$1117,$B940,Versuchsdaten!$C$2:$C$1117,"Sprint_10m",Versuchsdaten!$E$2:$E$1117,$E940,Versuchsdaten!$J$2:$J$1117,1)=1,SUMIFS(Versuchsdaten!$F$2:$F$1117,Versuchsdaten!$A$2:$A$1117,$A940,Versuchsdaten!$B$2:$B$1117,$B940,Versuchsdaten!$C$2:$C$1117,"Sprint_10m",Versuchsdaten!$E$2:$E$1117,$E940,Versuchsdaten!$J$2:$J$1117,1),""))</f>
        <v/>
      </c>
      <c r="M940" s="22">
        <f>IF(LEFT(C940,7)&lt;&gt;"Sprint_","",IF(COUNTIFS(Versuchsdaten!$A$2:$A$1117,$A940,Versuchsdaten!$B$2:$B$1117,$B940,Versuchsdaten!$C$2:$C$1117,"Sprint_30m",Versuchsdaten!$E$2:$E$1117,$E940,Versuchsdaten!$J$2:$J$1117,1)=1,SUMIFS(Versuchsdaten!$F$2:$F$1117,Versuchsdaten!$A$2:$A$1117,$A940,Versuchsdaten!$B$2:$B$1117,$B940,Versuchsdaten!$C$2:$C$1117,"Sprint_30m",Versuchsdaten!$E$2:$E$1117,$E940,Versuchsdaten!$J$2:$J$1117,1),""))</f>
        <v/>
      </c>
      <c r="N940" s="22">
        <f>IF(LEFT(C940,7)&lt;&gt;"Sprint_",0,IF(IF(ISNUMBER(K940),IF(K940&lt;=0,1,IF(5/K940&gt;10,1,0)),0)+IF(ISNUMBER(L940),IF(ISNUMBER(K940),IF(L940-K940&lt;=0,1,IF(5/(L940-K940)&gt;10,1,0)),IF(L940&lt;=0,1,IF(10/L940&gt;10,1,0))),0)+IF(ISNUMBER(M940),IF(ISNUMBER(L940),IF(M940-L940&lt;=0,1,IF(20/(M940-L940)&gt;10,1,0)),IF(ISNUMBER(K940),IF(M940-K940&lt;=0,1,IF(25/(M940-K940)&gt;10,1,0)),IF(M940&lt;=0,1,IF(30/M940&gt;10,1,0)))),0)&gt;0,1,0))</f>
        <v/>
      </c>
      <c r="O940" s="22">
        <f>IF(AND(J940=1,N940=0),1,0)</f>
        <v/>
      </c>
      <c r="P940" s="22">
        <f>INDEX(Personendaten!$J$2:$J$32,MATCH(A940,Personendaten!$A$2:$A$32,0))</f>
        <v/>
      </c>
      <c r="Q940" s="22">
        <f>IF(O940=1,"",IF(AND(B940="post",P940="nicht angetreten"),"NANG",IF(N940=1,"AUSL",IFERROR(VLOOKUP(H940,Vokabular!$A$2:$B$8,2,FALSE),"UNBEKANNT"))))</f>
        <v/>
      </c>
    </row>
    <row r="941">
      <c r="A941" s="5" t="inlineStr">
        <is>
          <t>VS-04</t>
        </is>
      </c>
      <c r="B941" s="5" t="inlineStr">
        <is>
          <t>post</t>
        </is>
      </c>
      <c r="C941" s="5" t="inlineStr">
        <is>
          <t>Sprint_10m</t>
        </is>
      </c>
      <c r="D941" s="5" t="inlineStr">
        <is>
          <t>–</t>
        </is>
      </c>
      <c r="E941" s="5" t="n">
        <v>1</v>
      </c>
      <c r="F941" s="5" t="n">
        <v>2.03</v>
      </c>
      <c r="G941" s="5" t="n"/>
      <c r="H941" s="5" t="n"/>
      <c r="I941" s="22">
        <f>INDEX(Personendaten!$C$2:$C$32,MATCH(A941,Personendaten!$A$2:$A$32,0))</f>
        <v/>
      </c>
      <c r="J941" s="22">
        <f>IF(AND(F941&lt;&gt;"",G941=""),1,0)</f>
        <v/>
      </c>
      <c r="K941" s="22">
        <f>IF(LEFT(C941,7)&lt;&gt;"Sprint_","",IF(COUNTIFS(Versuchsdaten!$A$2:$A$1117,$A941,Versuchsdaten!$B$2:$B$1117,$B941,Versuchsdaten!$C$2:$C$1117,"Sprint_5m",Versuchsdaten!$E$2:$E$1117,$E941,Versuchsdaten!$J$2:$J$1117,1)=1,SUMIFS(Versuchsdaten!$F$2:$F$1117,Versuchsdaten!$A$2:$A$1117,$A941,Versuchsdaten!$B$2:$B$1117,$B941,Versuchsdaten!$C$2:$C$1117,"Sprint_5m",Versuchsdaten!$E$2:$E$1117,$E941,Versuchsdaten!$J$2:$J$1117,1),""))</f>
        <v/>
      </c>
      <c r="L941" s="22">
        <f>IF(LEFT(C941,7)&lt;&gt;"Sprint_","",IF(COUNTIFS(Versuchsdaten!$A$2:$A$1117,$A941,Versuchsdaten!$B$2:$B$1117,$B941,Versuchsdaten!$C$2:$C$1117,"Sprint_10m",Versuchsdaten!$E$2:$E$1117,$E941,Versuchsdaten!$J$2:$J$1117,1)=1,SUMIFS(Versuchsdaten!$F$2:$F$1117,Versuchsdaten!$A$2:$A$1117,$A941,Versuchsdaten!$B$2:$B$1117,$B941,Versuchsdaten!$C$2:$C$1117,"Sprint_10m",Versuchsdaten!$E$2:$E$1117,$E941,Versuchsdaten!$J$2:$J$1117,1),""))</f>
        <v/>
      </c>
      <c r="M941" s="22">
        <f>IF(LEFT(C941,7)&lt;&gt;"Sprint_","",IF(COUNTIFS(Versuchsdaten!$A$2:$A$1117,$A941,Versuchsdaten!$B$2:$B$1117,$B941,Versuchsdaten!$C$2:$C$1117,"Sprint_30m",Versuchsdaten!$E$2:$E$1117,$E941,Versuchsdaten!$J$2:$J$1117,1)=1,SUMIFS(Versuchsdaten!$F$2:$F$1117,Versuchsdaten!$A$2:$A$1117,$A941,Versuchsdaten!$B$2:$B$1117,$B941,Versuchsdaten!$C$2:$C$1117,"Sprint_30m",Versuchsdaten!$E$2:$E$1117,$E941,Versuchsdaten!$J$2:$J$1117,1),""))</f>
        <v/>
      </c>
      <c r="N941" s="22">
        <f>IF(LEFT(C941,7)&lt;&gt;"Sprint_",0,IF(IF(ISNUMBER(K941),IF(K941&lt;=0,1,IF(5/K941&gt;10,1,0)),0)+IF(ISNUMBER(L941),IF(ISNUMBER(K941),IF(L941-K941&lt;=0,1,IF(5/(L941-K941)&gt;10,1,0)),IF(L941&lt;=0,1,IF(10/L941&gt;10,1,0))),0)+IF(ISNUMBER(M941),IF(ISNUMBER(L941),IF(M941-L941&lt;=0,1,IF(20/(M941-L941)&gt;10,1,0)),IF(ISNUMBER(K941),IF(M941-K941&lt;=0,1,IF(25/(M941-K941)&gt;10,1,0)),IF(M941&lt;=0,1,IF(30/M941&gt;10,1,0)))),0)&gt;0,1,0))</f>
        <v/>
      </c>
      <c r="O941" s="22">
        <f>IF(AND(J941=1,N941=0),1,0)</f>
        <v/>
      </c>
      <c r="P941" s="22">
        <f>INDEX(Personendaten!$J$2:$J$32,MATCH(A941,Personendaten!$A$2:$A$32,0))</f>
        <v/>
      </c>
      <c r="Q941" s="22">
        <f>IF(O941=1,"",IF(AND(B941="post",P941="nicht angetreten"),"NANG",IF(N941=1,"AUSL",IFERROR(VLOOKUP(H941,Vokabular!$A$2:$B$8,2,FALSE),"UNBEKANNT"))))</f>
        <v/>
      </c>
    </row>
    <row r="942">
      <c r="A942" s="5" t="inlineStr">
        <is>
          <t>VS-04</t>
        </is>
      </c>
      <c r="B942" s="5" t="inlineStr">
        <is>
          <t>post</t>
        </is>
      </c>
      <c r="C942" s="5" t="inlineStr">
        <is>
          <t>Sprint_10m</t>
        </is>
      </c>
      <c r="D942" s="5" t="inlineStr">
        <is>
          <t>–</t>
        </is>
      </c>
      <c r="E942" s="5" t="n">
        <v>2</v>
      </c>
      <c r="F942" s="5" t="n">
        <v>2.05</v>
      </c>
      <c r="G942" s="5" t="n"/>
      <c r="H942" s="5" t="n"/>
      <c r="I942" s="22">
        <f>INDEX(Personendaten!$C$2:$C$32,MATCH(A942,Personendaten!$A$2:$A$32,0))</f>
        <v/>
      </c>
      <c r="J942" s="22">
        <f>IF(AND(F942&lt;&gt;"",G942=""),1,0)</f>
        <v/>
      </c>
      <c r="K942" s="22">
        <f>IF(LEFT(C942,7)&lt;&gt;"Sprint_","",IF(COUNTIFS(Versuchsdaten!$A$2:$A$1117,$A942,Versuchsdaten!$B$2:$B$1117,$B942,Versuchsdaten!$C$2:$C$1117,"Sprint_5m",Versuchsdaten!$E$2:$E$1117,$E942,Versuchsdaten!$J$2:$J$1117,1)=1,SUMIFS(Versuchsdaten!$F$2:$F$1117,Versuchsdaten!$A$2:$A$1117,$A942,Versuchsdaten!$B$2:$B$1117,$B942,Versuchsdaten!$C$2:$C$1117,"Sprint_5m",Versuchsdaten!$E$2:$E$1117,$E942,Versuchsdaten!$J$2:$J$1117,1),""))</f>
        <v/>
      </c>
      <c r="L942" s="22">
        <f>IF(LEFT(C942,7)&lt;&gt;"Sprint_","",IF(COUNTIFS(Versuchsdaten!$A$2:$A$1117,$A942,Versuchsdaten!$B$2:$B$1117,$B942,Versuchsdaten!$C$2:$C$1117,"Sprint_10m",Versuchsdaten!$E$2:$E$1117,$E942,Versuchsdaten!$J$2:$J$1117,1)=1,SUMIFS(Versuchsdaten!$F$2:$F$1117,Versuchsdaten!$A$2:$A$1117,$A942,Versuchsdaten!$B$2:$B$1117,$B942,Versuchsdaten!$C$2:$C$1117,"Sprint_10m",Versuchsdaten!$E$2:$E$1117,$E942,Versuchsdaten!$J$2:$J$1117,1),""))</f>
        <v/>
      </c>
      <c r="M942" s="22">
        <f>IF(LEFT(C942,7)&lt;&gt;"Sprint_","",IF(COUNTIFS(Versuchsdaten!$A$2:$A$1117,$A942,Versuchsdaten!$B$2:$B$1117,$B942,Versuchsdaten!$C$2:$C$1117,"Sprint_30m",Versuchsdaten!$E$2:$E$1117,$E942,Versuchsdaten!$J$2:$J$1117,1)=1,SUMIFS(Versuchsdaten!$F$2:$F$1117,Versuchsdaten!$A$2:$A$1117,$A942,Versuchsdaten!$B$2:$B$1117,$B942,Versuchsdaten!$C$2:$C$1117,"Sprint_30m",Versuchsdaten!$E$2:$E$1117,$E942,Versuchsdaten!$J$2:$J$1117,1),""))</f>
        <v/>
      </c>
      <c r="N942" s="22">
        <f>IF(LEFT(C942,7)&lt;&gt;"Sprint_",0,IF(IF(ISNUMBER(K942),IF(K942&lt;=0,1,IF(5/K942&gt;10,1,0)),0)+IF(ISNUMBER(L942),IF(ISNUMBER(K942),IF(L942-K942&lt;=0,1,IF(5/(L942-K942)&gt;10,1,0)),IF(L942&lt;=0,1,IF(10/L942&gt;10,1,0))),0)+IF(ISNUMBER(M942),IF(ISNUMBER(L942),IF(M942-L942&lt;=0,1,IF(20/(M942-L942)&gt;10,1,0)),IF(ISNUMBER(K942),IF(M942-K942&lt;=0,1,IF(25/(M942-K942)&gt;10,1,0)),IF(M942&lt;=0,1,IF(30/M942&gt;10,1,0)))),0)&gt;0,1,0))</f>
        <v/>
      </c>
      <c r="O942" s="22">
        <f>IF(AND(J942=1,N942=0),1,0)</f>
        <v/>
      </c>
      <c r="P942" s="22">
        <f>INDEX(Personendaten!$J$2:$J$32,MATCH(A942,Personendaten!$A$2:$A$32,0))</f>
        <v/>
      </c>
      <c r="Q942" s="22">
        <f>IF(O942=1,"",IF(AND(B942="post",P942="nicht angetreten"),"NANG",IF(N942=1,"AUSL",IFERROR(VLOOKUP(H942,Vokabular!$A$2:$B$8,2,FALSE),"UNBEKANNT"))))</f>
        <v/>
      </c>
    </row>
    <row r="943">
      <c r="A943" s="5" t="inlineStr">
        <is>
          <t>VS-04</t>
        </is>
      </c>
      <c r="B943" s="5" t="inlineStr">
        <is>
          <t>post</t>
        </is>
      </c>
      <c r="C943" s="5" t="inlineStr">
        <is>
          <t>Sprint_10m</t>
        </is>
      </c>
      <c r="D943" s="5" t="inlineStr">
        <is>
          <t>–</t>
        </is>
      </c>
      <c r="E943" s="5" t="n">
        <v>3</v>
      </c>
      <c r="F943" s="5" t="n">
        <v>1.93</v>
      </c>
      <c r="G943" s="5" t="n"/>
      <c r="H943" s="5" t="n"/>
      <c r="I943" s="22">
        <f>INDEX(Personendaten!$C$2:$C$32,MATCH(A943,Personendaten!$A$2:$A$32,0))</f>
        <v/>
      </c>
      <c r="J943" s="22">
        <f>IF(AND(F943&lt;&gt;"",G943=""),1,0)</f>
        <v/>
      </c>
      <c r="K943" s="22">
        <f>IF(LEFT(C943,7)&lt;&gt;"Sprint_","",IF(COUNTIFS(Versuchsdaten!$A$2:$A$1117,$A943,Versuchsdaten!$B$2:$B$1117,$B943,Versuchsdaten!$C$2:$C$1117,"Sprint_5m",Versuchsdaten!$E$2:$E$1117,$E943,Versuchsdaten!$J$2:$J$1117,1)=1,SUMIFS(Versuchsdaten!$F$2:$F$1117,Versuchsdaten!$A$2:$A$1117,$A943,Versuchsdaten!$B$2:$B$1117,$B943,Versuchsdaten!$C$2:$C$1117,"Sprint_5m",Versuchsdaten!$E$2:$E$1117,$E943,Versuchsdaten!$J$2:$J$1117,1),""))</f>
        <v/>
      </c>
      <c r="L943" s="22">
        <f>IF(LEFT(C943,7)&lt;&gt;"Sprint_","",IF(COUNTIFS(Versuchsdaten!$A$2:$A$1117,$A943,Versuchsdaten!$B$2:$B$1117,$B943,Versuchsdaten!$C$2:$C$1117,"Sprint_10m",Versuchsdaten!$E$2:$E$1117,$E943,Versuchsdaten!$J$2:$J$1117,1)=1,SUMIFS(Versuchsdaten!$F$2:$F$1117,Versuchsdaten!$A$2:$A$1117,$A943,Versuchsdaten!$B$2:$B$1117,$B943,Versuchsdaten!$C$2:$C$1117,"Sprint_10m",Versuchsdaten!$E$2:$E$1117,$E943,Versuchsdaten!$J$2:$J$1117,1),""))</f>
        <v/>
      </c>
      <c r="M943" s="22">
        <f>IF(LEFT(C943,7)&lt;&gt;"Sprint_","",IF(COUNTIFS(Versuchsdaten!$A$2:$A$1117,$A943,Versuchsdaten!$B$2:$B$1117,$B943,Versuchsdaten!$C$2:$C$1117,"Sprint_30m",Versuchsdaten!$E$2:$E$1117,$E943,Versuchsdaten!$J$2:$J$1117,1)=1,SUMIFS(Versuchsdaten!$F$2:$F$1117,Versuchsdaten!$A$2:$A$1117,$A943,Versuchsdaten!$B$2:$B$1117,$B943,Versuchsdaten!$C$2:$C$1117,"Sprint_30m",Versuchsdaten!$E$2:$E$1117,$E943,Versuchsdaten!$J$2:$J$1117,1),""))</f>
        <v/>
      </c>
      <c r="N943" s="22">
        <f>IF(LEFT(C943,7)&lt;&gt;"Sprint_",0,IF(IF(ISNUMBER(K943),IF(K943&lt;=0,1,IF(5/K943&gt;10,1,0)),0)+IF(ISNUMBER(L943),IF(ISNUMBER(K943),IF(L943-K943&lt;=0,1,IF(5/(L943-K943)&gt;10,1,0)),IF(L943&lt;=0,1,IF(10/L943&gt;10,1,0))),0)+IF(ISNUMBER(M943),IF(ISNUMBER(L943),IF(M943-L943&lt;=0,1,IF(20/(M943-L943)&gt;10,1,0)),IF(ISNUMBER(K943),IF(M943-K943&lt;=0,1,IF(25/(M943-K943)&gt;10,1,0)),IF(M943&lt;=0,1,IF(30/M943&gt;10,1,0)))),0)&gt;0,1,0))</f>
        <v/>
      </c>
      <c r="O943" s="22">
        <f>IF(AND(J943=1,N943=0),1,0)</f>
        <v/>
      </c>
      <c r="P943" s="22">
        <f>INDEX(Personendaten!$J$2:$J$32,MATCH(A943,Personendaten!$A$2:$A$32,0))</f>
        <v/>
      </c>
      <c r="Q943" s="22">
        <f>IF(O943=1,"",IF(AND(B943="post",P943="nicht angetreten"),"NANG",IF(N943=1,"AUSL",IFERROR(VLOOKUP(H943,Vokabular!$A$2:$B$8,2,FALSE),"UNBEKANNT"))))</f>
        <v/>
      </c>
    </row>
    <row r="944">
      <c r="A944" s="5" t="inlineStr">
        <is>
          <t>VS-04</t>
        </is>
      </c>
      <c r="B944" s="5" t="inlineStr">
        <is>
          <t>post</t>
        </is>
      </c>
      <c r="C944" s="5" t="inlineStr">
        <is>
          <t>Sprint_30m</t>
        </is>
      </c>
      <c r="D944" s="5" t="inlineStr">
        <is>
          <t>–</t>
        </is>
      </c>
      <c r="E944" s="5" t="n">
        <v>1</v>
      </c>
      <c r="F944" s="5" t="n">
        <v>5.02</v>
      </c>
      <c r="G944" s="5" t="n"/>
      <c r="H944" s="5" t="n"/>
      <c r="I944" s="22">
        <f>INDEX(Personendaten!$C$2:$C$32,MATCH(A944,Personendaten!$A$2:$A$32,0))</f>
        <v/>
      </c>
      <c r="J944" s="22">
        <f>IF(AND(F944&lt;&gt;"",G944=""),1,0)</f>
        <v/>
      </c>
      <c r="K944" s="22">
        <f>IF(LEFT(C944,7)&lt;&gt;"Sprint_","",IF(COUNTIFS(Versuchsdaten!$A$2:$A$1117,$A944,Versuchsdaten!$B$2:$B$1117,$B944,Versuchsdaten!$C$2:$C$1117,"Sprint_5m",Versuchsdaten!$E$2:$E$1117,$E944,Versuchsdaten!$J$2:$J$1117,1)=1,SUMIFS(Versuchsdaten!$F$2:$F$1117,Versuchsdaten!$A$2:$A$1117,$A944,Versuchsdaten!$B$2:$B$1117,$B944,Versuchsdaten!$C$2:$C$1117,"Sprint_5m",Versuchsdaten!$E$2:$E$1117,$E944,Versuchsdaten!$J$2:$J$1117,1),""))</f>
        <v/>
      </c>
      <c r="L944" s="22">
        <f>IF(LEFT(C944,7)&lt;&gt;"Sprint_","",IF(COUNTIFS(Versuchsdaten!$A$2:$A$1117,$A944,Versuchsdaten!$B$2:$B$1117,$B944,Versuchsdaten!$C$2:$C$1117,"Sprint_10m",Versuchsdaten!$E$2:$E$1117,$E944,Versuchsdaten!$J$2:$J$1117,1)=1,SUMIFS(Versuchsdaten!$F$2:$F$1117,Versuchsdaten!$A$2:$A$1117,$A944,Versuchsdaten!$B$2:$B$1117,$B944,Versuchsdaten!$C$2:$C$1117,"Sprint_10m",Versuchsdaten!$E$2:$E$1117,$E944,Versuchsdaten!$J$2:$J$1117,1),""))</f>
        <v/>
      </c>
      <c r="M944" s="22">
        <f>IF(LEFT(C944,7)&lt;&gt;"Sprint_","",IF(COUNTIFS(Versuchsdaten!$A$2:$A$1117,$A944,Versuchsdaten!$B$2:$B$1117,$B944,Versuchsdaten!$C$2:$C$1117,"Sprint_30m",Versuchsdaten!$E$2:$E$1117,$E944,Versuchsdaten!$J$2:$J$1117,1)=1,SUMIFS(Versuchsdaten!$F$2:$F$1117,Versuchsdaten!$A$2:$A$1117,$A944,Versuchsdaten!$B$2:$B$1117,$B944,Versuchsdaten!$C$2:$C$1117,"Sprint_30m",Versuchsdaten!$E$2:$E$1117,$E944,Versuchsdaten!$J$2:$J$1117,1),""))</f>
        <v/>
      </c>
      <c r="N944" s="22">
        <f>IF(LEFT(C944,7)&lt;&gt;"Sprint_",0,IF(IF(ISNUMBER(K944),IF(K944&lt;=0,1,IF(5/K944&gt;10,1,0)),0)+IF(ISNUMBER(L944),IF(ISNUMBER(K944),IF(L944-K944&lt;=0,1,IF(5/(L944-K944)&gt;10,1,0)),IF(L944&lt;=0,1,IF(10/L944&gt;10,1,0))),0)+IF(ISNUMBER(M944),IF(ISNUMBER(L944),IF(M944-L944&lt;=0,1,IF(20/(M944-L944)&gt;10,1,0)),IF(ISNUMBER(K944),IF(M944-K944&lt;=0,1,IF(25/(M944-K944)&gt;10,1,0)),IF(M944&lt;=0,1,IF(30/M944&gt;10,1,0)))),0)&gt;0,1,0))</f>
        <v/>
      </c>
      <c r="O944" s="22">
        <f>IF(AND(J944=1,N944=0),1,0)</f>
        <v/>
      </c>
      <c r="P944" s="22">
        <f>INDEX(Personendaten!$J$2:$J$32,MATCH(A944,Personendaten!$A$2:$A$32,0))</f>
        <v/>
      </c>
      <c r="Q944" s="22">
        <f>IF(O944=1,"",IF(AND(B944="post",P944="nicht angetreten"),"NANG",IF(N944=1,"AUSL",IFERROR(VLOOKUP(H944,Vokabular!$A$2:$B$8,2,FALSE),"UNBEKANNT"))))</f>
        <v/>
      </c>
    </row>
    <row r="945">
      <c r="A945" s="5" t="inlineStr">
        <is>
          <t>VS-04</t>
        </is>
      </c>
      <c r="B945" s="5" t="inlineStr">
        <is>
          <t>post</t>
        </is>
      </c>
      <c r="C945" s="5" t="inlineStr">
        <is>
          <t>Sprint_30m</t>
        </is>
      </c>
      <c r="D945" s="5" t="inlineStr">
        <is>
          <t>–</t>
        </is>
      </c>
      <c r="E945" s="5" t="n">
        <v>2</v>
      </c>
      <c r="F945" s="5" t="n">
        <v>5.17</v>
      </c>
      <c r="G945" s="5" t="n"/>
      <c r="H945" s="5" t="n"/>
      <c r="I945" s="22">
        <f>INDEX(Personendaten!$C$2:$C$32,MATCH(A945,Personendaten!$A$2:$A$32,0))</f>
        <v/>
      </c>
      <c r="J945" s="22">
        <f>IF(AND(F945&lt;&gt;"",G945=""),1,0)</f>
        <v/>
      </c>
      <c r="K945" s="22">
        <f>IF(LEFT(C945,7)&lt;&gt;"Sprint_","",IF(COUNTIFS(Versuchsdaten!$A$2:$A$1117,$A945,Versuchsdaten!$B$2:$B$1117,$B945,Versuchsdaten!$C$2:$C$1117,"Sprint_5m",Versuchsdaten!$E$2:$E$1117,$E945,Versuchsdaten!$J$2:$J$1117,1)=1,SUMIFS(Versuchsdaten!$F$2:$F$1117,Versuchsdaten!$A$2:$A$1117,$A945,Versuchsdaten!$B$2:$B$1117,$B945,Versuchsdaten!$C$2:$C$1117,"Sprint_5m",Versuchsdaten!$E$2:$E$1117,$E945,Versuchsdaten!$J$2:$J$1117,1),""))</f>
        <v/>
      </c>
      <c r="L945" s="22">
        <f>IF(LEFT(C945,7)&lt;&gt;"Sprint_","",IF(COUNTIFS(Versuchsdaten!$A$2:$A$1117,$A945,Versuchsdaten!$B$2:$B$1117,$B945,Versuchsdaten!$C$2:$C$1117,"Sprint_10m",Versuchsdaten!$E$2:$E$1117,$E945,Versuchsdaten!$J$2:$J$1117,1)=1,SUMIFS(Versuchsdaten!$F$2:$F$1117,Versuchsdaten!$A$2:$A$1117,$A945,Versuchsdaten!$B$2:$B$1117,$B945,Versuchsdaten!$C$2:$C$1117,"Sprint_10m",Versuchsdaten!$E$2:$E$1117,$E945,Versuchsdaten!$J$2:$J$1117,1),""))</f>
        <v/>
      </c>
      <c r="M945" s="22">
        <f>IF(LEFT(C945,7)&lt;&gt;"Sprint_","",IF(COUNTIFS(Versuchsdaten!$A$2:$A$1117,$A945,Versuchsdaten!$B$2:$B$1117,$B945,Versuchsdaten!$C$2:$C$1117,"Sprint_30m",Versuchsdaten!$E$2:$E$1117,$E945,Versuchsdaten!$J$2:$J$1117,1)=1,SUMIFS(Versuchsdaten!$F$2:$F$1117,Versuchsdaten!$A$2:$A$1117,$A945,Versuchsdaten!$B$2:$B$1117,$B945,Versuchsdaten!$C$2:$C$1117,"Sprint_30m",Versuchsdaten!$E$2:$E$1117,$E945,Versuchsdaten!$J$2:$J$1117,1),""))</f>
        <v/>
      </c>
      <c r="N945" s="22">
        <f>IF(LEFT(C945,7)&lt;&gt;"Sprint_",0,IF(IF(ISNUMBER(K945),IF(K945&lt;=0,1,IF(5/K945&gt;10,1,0)),0)+IF(ISNUMBER(L945),IF(ISNUMBER(K945),IF(L945-K945&lt;=0,1,IF(5/(L945-K945)&gt;10,1,0)),IF(L945&lt;=0,1,IF(10/L945&gt;10,1,0))),0)+IF(ISNUMBER(M945),IF(ISNUMBER(L945),IF(M945-L945&lt;=0,1,IF(20/(M945-L945)&gt;10,1,0)),IF(ISNUMBER(K945),IF(M945-K945&lt;=0,1,IF(25/(M945-K945)&gt;10,1,0)),IF(M945&lt;=0,1,IF(30/M945&gt;10,1,0)))),0)&gt;0,1,0))</f>
        <v/>
      </c>
      <c r="O945" s="22">
        <f>IF(AND(J945=1,N945=0),1,0)</f>
        <v/>
      </c>
      <c r="P945" s="22">
        <f>INDEX(Personendaten!$J$2:$J$32,MATCH(A945,Personendaten!$A$2:$A$32,0))</f>
        <v/>
      </c>
      <c r="Q945" s="22">
        <f>IF(O945=1,"",IF(AND(B945="post",P945="nicht angetreten"),"NANG",IF(N945=1,"AUSL",IFERROR(VLOOKUP(H945,Vokabular!$A$2:$B$8,2,FALSE),"UNBEKANNT"))))</f>
        <v/>
      </c>
    </row>
    <row r="946">
      <c r="A946" s="5" t="inlineStr">
        <is>
          <t>VS-04</t>
        </is>
      </c>
      <c r="B946" s="5" t="inlineStr">
        <is>
          <t>post</t>
        </is>
      </c>
      <c r="C946" s="5" t="inlineStr">
        <is>
          <t>Sprint_30m</t>
        </is>
      </c>
      <c r="D946" s="5" t="inlineStr">
        <is>
          <t>–</t>
        </is>
      </c>
      <c r="E946" s="5" t="n">
        <v>3</v>
      </c>
      <c r="F946" s="5" t="n">
        <v>4.99</v>
      </c>
      <c r="G946" s="5" t="n"/>
      <c r="H946" s="5" t="n"/>
      <c r="I946" s="22">
        <f>INDEX(Personendaten!$C$2:$C$32,MATCH(A946,Personendaten!$A$2:$A$32,0))</f>
        <v/>
      </c>
      <c r="J946" s="22">
        <f>IF(AND(F946&lt;&gt;"",G946=""),1,0)</f>
        <v/>
      </c>
      <c r="K946" s="22">
        <f>IF(LEFT(C946,7)&lt;&gt;"Sprint_","",IF(COUNTIFS(Versuchsdaten!$A$2:$A$1117,$A946,Versuchsdaten!$B$2:$B$1117,$B946,Versuchsdaten!$C$2:$C$1117,"Sprint_5m",Versuchsdaten!$E$2:$E$1117,$E946,Versuchsdaten!$J$2:$J$1117,1)=1,SUMIFS(Versuchsdaten!$F$2:$F$1117,Versuchsdaten!$A$2:$A$1117,$A946,Versuchsdaten!$B$2:$B$1117,$B946,Versuchsdaten!$C$2:$C$1117,"Sprint_5m",Versuchsdaten!$E$2:$E$1117,$E946,Versuchsdaten!$J$2:$J$1117,1),""))</f>
        <v/>
      </c>
      <c r="L946" s="22">
        <f>IF(LEFT(C946,7)&lt;&gt;"Sprint_","",IF(COUNTIFS(Versuchsdaten!$A$2:$A$1117,$A946,Versuchsdaten!$B$2:$B$1117,$B946,Versuchsdaten!$C$2:$C$1117,"Sprint_10m",Versuchsdaten!$E$2:$E$1117,$E946,Versuchsdaten!$J$2:$J$1117,1)=1,SUMIFS(Versuchsdaten!$F$2:$F$1117,Versuchsdaten!$A$2:$A$1117,$A946,Versuchsdaten!$B$2:$B$1117,$B946,Versuchsdaten!$C$2:$C$1117,"Sprint_10m",Versuchsdaten!$E$2:$E$1117,$E946,Versuchsdaten!$J$2:$J$1117,1),""))</f>
        <v/>
      </c>
      <c r="M946" s="22">
        <f>IF(LEFT(C946,7)&lt;&gt;"Sprint_","",IF(COUNTIFS(Versuchsdaten!$A$2:$A$1117,$A946,Versuchsdaten!$B$2:$B$1117,$B946,Versuchsdaten!$C$2:$C$1117,"Sprint_30m",Versuchsdaten!$E$2:$E$1117,$E946,Versuchsdaten!$J$2:$J$1117,1)=1,SUMIFS(Versuchsdaten!$F$2:$F$1117,Versuchsdaten!$A$2:$A$1117,$A946,Versuchsdaten!$B$2:$B$1117,$B946,Versuchsdaten!$C$2:$C$1117,"Sprint_30m",Versuchsdaten!$E$2:$E$1117,$E946,Versuchsdaten!$J$2:$J$1117,1),""))</f>
        <v/>
      </c>
      <c r="N946" s="22">
        <f>IF(LEFT(C946,7)&lt;&gt;"Sprint_",0,IF(IF(ISNUMBER(K946),IF(K946&lt;=0,1,IF(5/K946&gt;10,1,0)),0)+IF(ISNUMBER(L946),IF(ISNUMBER(K946),IF(L946-K946&lt;=0,1,IF(5/(L946-K946)&gt;10,1,0)),IF(L946&lt;=0,1,IF(10/L946&gt;10,1,0))),0)+IF(ISNUMBER(M946),IF(ISNUMBER(L946),IF(M946-L946&lt;=0,1,IF(20/(M946-L946)&gt;10,1,0)),IF(ISNUMBER(K946),IF(M946-K946&lt;=0,1,IF(25/(M946-K946)&gt;10,1,0)),IF(M946&lt;=0,1,IF(30/M946&gt;10,1,0)))),0)&gt;0,1,0))</f>
        <v/>
      </c>
      <c r="O946" s="22">
        <f>IF(AND(J946=1,N946=0),1,0)</f>
        <v/>
      </c>
      <c r="P946" s="22">
        <f>INDEX(Personendaten!$J$2:$J$32,MATCH(A946,Personendaten!$A$2:$A$32,0))</f>
        <v/>
      </c>
      <c r="Q946" s="22">
        <f>IF(O946=1,"",IF(AND(B946="post",P946="nicht angetreten"),"NANG",IF(N946=1,"AUSL",IFERROR(VLOOKUP(H946,Vokabular!$A$2:$B$8,2,FALSE),"UNBEKANNT"))))</f>
        <v/>
      </c>
    </row>
    <row r="947">
      <c r="A947" s="5" t="inlineStr">
        <is>
          <t>VS-04</t>
        </is>
      </c>
      <c r="B947" s="5" t="inlineStr">
        <is>
          <t>post</t>
        </is>
      </c>
      <c r="C947" s="5" t="inlineStr">
        <is>
          <t>Standweitsprung</t>
        </is>
      </c>
      <c r="D947" s="5" t="inlineStr">
        <is>
          <t>–</t>
        </is>
      </c>
      <c r="E947" s="5" t="n">
        <v>1</v>
      </c>
      <c r="F947" s="5" t="n">
        <v>212</v>
      </c>
      <c r="G947" s="5" t="n"/>
      <c r="H947" s="5" t="n"/>
      <c r="I947" s="22">
        <f>INDEX(Personendaten!$C$2:$C$32,MATCH(A947,Personendaten!$A$2:$A$32,0))</f>
        <v/>
      </c>
      <c r="J947" s="22">
        <f>IF(AND(F947&lt;&gt;"",G947=""),1,0)</f>
        <v/>
      </c>
      <c r="K947" s="22">
        <f>IF(LEFT(C947,7)&lt;&gt;"Sprint_","",IF(COUNTIFS(Versuchsdaten!$A$2:$A$1117,$A947,Versuchsdaten!$B$2:$B$1117,$B947,Versuchsdaten!$C$2:$C$1117,"Sprint_5m",Versuchsdaten!$E$2:$E$1117,$E947,Versuchsdaten!$J$2:$J$1117,1)=1,SUMIFS(Versuchsdaten!$F$2:$F$1117,Versuchsdaten!$A$2:$A$1117,$A947,Versuchsdaten!$B$2:$B$1117,$B947,Versuchsdaten!$C$2:$C$1117,"Sprint_5m",Versuchsdaten!$E$2:$E$1117,$E947,Versuchsdaten!$J$2:$J$1117,1),""))</f>
        <v/>
      </c>
      <c r="L947" s="22">
        <f>IF(LEFT(C947,7)&lt;&gt;"Sprint_","",IF(COUNTIFS(Versuchsdaten!$A$2:$A$1117,$A947,Versuchsdaten!$B$2:$B$1117,$B947,Versuchsdaten!$C$2:$C$1117,"Sprint_10m",Versuchsdaten!$E$2:$E$1117,$E947,Versuchsdaten!$J$2:$J$1117,1)=1,SUMIFS(Versuchsdaten!$F$2:$F$1117,Versuchsdaten!$A$2:$A$1117,$A947,Versuchsdaten!$B$2:$B$1117,$B947,Versuchsdaten!$C$2:$C$1117,"Sprint_10m",Versuchsdaten!$E$2:$E$1117,$E947,Versuchsdaten!$J$2:$J$1117,1),""))</f>
        <v/>
      </c>
      <c r="M947" s="22">
        <f>IF(LEFT(C947,7)&lt;&gt;"Sprint_","",IF(COUNTIFS(Versuchsdaten!$A$2:$A$1117,$A947,Versuchsdaten!$B$2:$B$1117,$B947,Versuchsdaten!$C$2:$C$1117,"Sprint_30m",Versuchsdaten!$E$2:$E$1117,$E947,Versuchsdaten!$J$2:$J$1117,1)=1,SUMIFS(Versuchsdaten!$F$2:$F$1117,Versuchsdaten!$A$2:$A$1117,$A947,Versuchsdaten!$B$2:$B$1117,$B947,Versuchsdaten!$C$2:$C$1117,"Sprint_30m",Versuchsdaten!$E$2:$E$1117,$E947,Versuchsdaten!$J$2:$J$1117,1),""))</f>
        <v/>
      </c>
      <c r="N947" s="22">
        <f>IF(LEFT(C947,7)&lt;&gt;"Sprint_",0,IF(IF(ISNUMBER(K947),IF(K947&lt;=0,1,IF(5/K947&gt;10,1,0)),0)+IF(ISNUMBER(L947),IF(ISNUMBER(K947),IF(L947-K947&lt;=0,1,IF(5/(L947-K947)&gt;10,1,0)),IF(L947&lt;=0,1,IF(10/L947&gt;10,1,0))),0)+IF(ISNUMBER(M947),IF(ISNUMBER(L947),IF(M947-L947&lt;=0,1,IF(20/(M947-L947)&gt;10,1,0)),IF(ISNUMBER(K947),IF(M947-K947&lt;=0,1,IF(25/(M947-K947)&gt;10,1,0)),IF(M947&lt;=0,1,IF(30/M947&gt;10,1,0)))),0)&gt;0,1,0))</f>
        <v/>
      </c>
      <c r="O947" s="22">
        <f>IF(AND(J947=1,N947=0),1,0)</f>
        <v/>
      </c>
      <c r="P947" s="22">
        <f>INDEX(Personendaten!$J$2:$J$32,MATCH(A947,Personendaten!$A$2:$A$32,0))</f>
        <v/>
      </c>
      <c r="Q947" s="22">
        <f>IF(O947=1,"",IF(AND(B947="post",P947="nicht angetreten"),"NANG",IF(N947=1,"AUSL",IFERROR(VLOOKUP(H947,Vokabular!$A$2:$B$8,2,FALSE),"UNBEKANNT"))))</f>
        <v/>
      </c>
    </row>
    <row r="948">
      <c r="A948" s="5" t="inlineStr">
        <is>
          <t>VS-04</t>
        </is>
      </c>
      <c r="B948" s="5" t="inlineStr">
        <is>
          <t>post</t>
        </is>
      </c>
      <c r="C948" s="5" t="inlineStr">
        <is>
          <t>Standweitsprung</t>
        </is>
      </c>
      <c r="D948" s="5" t="inlineStr">
        <is>
          <t>–</t>
        </is>
      </c>
      <c r="E948" s="5" t="n">
        <v>2</v>
      </c>
      <c r="F948" s="5" t="n">
        <v>210</v>
      </c>
      <c r="G948" s="5" t="n"/>
      <c r="H948" s="5" t="n"/>
      <c r="I948" s="22">
        <f>INDEX(Personendaten!$C$2:$C$32,MATCH(A948,Personendaten!$A$2:$A$32,0))</f>
        <v/>
      </c>
      <c r="J948" s="22">
        <f>IF(AND(F948&lt;&gt;"",G948=""),1,0)</f>
        <v/>
      </c>
      <c r="K948" s="22">
        <f>IF(LEFT(C948,7)&lt;&gt;"Sprint_","",IF(COUNTIFS(Versuchsdaten!$A$2:$A$1117,$A948,Versuchsdaten!$B$2:$B$1117,$B948,Versuchsdaten!$C$2:$C$1117,"Sprint_5m",Versuchsdaten!$E$2:$E$1117,$E948,Versuchsdaten!$J$2:$J$1117,1)=1,SUMIFS(Versuchsdaten!$F$2:$F$1117,Versuchsdaten!$A$2:$A$1117,$A948,Versuchsdaten!$B$2:$B$1117,$B948,Versuchsdaten!$C$2:$C$1117,"Sprint_5m",Versuchsdaten!$E$2:$E$1117,$E948,Versuchsdaten!$J$2:$J$1117,1),""))</f>
        <v/>
      </c>
      <c r="L948" s="22">
        <f>IF(LEFT(C948,7)&lt;&gt;"Sprint_","",IF(COUNTIFS(Versuchsdaten!$A$2:$A$1117,$A948,Versuchsdaten!$B$2:$B$1117,$B948,Versuchsdaten!$C$2:$C$1117,"Sprint_10m",Versuchsdaten!$E$2:$E$1117,$E948,Versuchsdaten!$J$2:$J$1117,1)=1,SUMIFS(Versuchsdaten!$F$2:$F$1117,Versuchsdaten!$A$2:$A$1117,$A948,Versuchsdaten!$B$2:$B$1117,$B948,Versuchsdaten!$C$2:$C$1117,"Sprint_10m",Versuchsdaten!$E$2:$E$1117,$E948,Versuchsdaten!$J$2:$J$1117,1),""))</f>
        <v/>
      </c>
      <c r="M948" s="22">
        <f>IF(LEFT(C948,7)&lt;&gt;"Sprint_","",IF(COUNTIFS(Versuchsdaten!$A$2:$A$1117,$A948,Versuchsdaten!$B$2:$B$1117,$B948,Versuchsdaten!$C$2:$C$1117,"Sprint_30m",Versuchsdaten!$E$2:$E$1117,$E948,Versuchsdaten!$J$2:$J$1117,1)=1,SUMIFS(Versuchsdaten!$F$2:$F$1117,Versuchsdaten!$A$2:$A$1117,$A948,Versuchsdaten!$B$2:$B$1117,$B948,Versuchsdaten!$C$2:$C$1117,"Sprint_30m",Versuchsdaten!$E$2:$E$1117,$E948,Versuchsdaten!$J$2:$J$1117,1),""))</f>
        <v/>
      </c>
      <c r="N948" s="22">
        <f>IF(LEFT(C948,7)&lt;&gt;"Sprint_",0,IF(IF(ISNUMBER(K948),IF(K948&lt;=0,1,IF(5/K948&gt;10,1,0)),0)+IF(ISNUMBER(L948),IF(ISNUMBER(K948),IF(L948-K948&lt;=0,1,IF(5/(L948-K948)&gt;10,1,0)),IF(L948&lt;=0,1,IF(10/L948&gt;10,1,0))),0)+IF(ISNUMBER(M948),IF(ISNUMBER(L948),IF(M948-L948&lt;=0,1,IF(20/(M948-L948)&gt;10,1,0)),IF(ISNUMBER(K948),IF(M948-K948&lt;=0,1,IF(25/(M948-K948)&gt;10,1,0)),IF(M948&lt;=0,1,IF(30/M948&gt;10,1,0)))),0)&gt;0,1,0))</f>
        <v/>
      </c>
      <c r="O948" s="22">
        <f>IF(AND(J948=1,N948=0),1,0)</f>
        <v/>
      </c>
      <c r="P948" s="22">
        <f>INDEX(Personendaten!$J$2:$J$32,MATCH(A948,Personendaten!$A$2:$A$32,0))</f>
        <v/>
      </c>
      <c r="Q948" s="22">
        <f>IF(O948=1,"",IF(AND(B948="post",P948="nicht angetreten"),"NANG",IF(N948=1,"AUSL",IFERROR(VLOOKUP(H948,Vokabular!$A$2:$B$8,2,FALSE),"UNBEKANNT"))))</f>
        <v/>
      </c>
    </row>
    <row r="949">
      <c r="A949" s="5" t="inlineStr">
        <is>
          <t>VS-04</t>
        </is>
      </c>
      <c r="B949" s="5" t="inlineStr">
        <is>
          <t>post</t>
        </is>
      </c>
      <c r="C949" s="5" t="inlineStr">
        <is>
          <t>Standweitsprung</t>
        </is>
      </c>
      <c r="D949" s="5" t="inlineStr">
        <is>
          <t>–</t>
        </is>
      </c>
      <c r="E949" s="5" t="n">
        <v>3</v>
      </c>
      <c r="F949" s="5" t="n"/>
      <c r="G949" s="5" t="n"/>
      <c r="H949" s="5" t="inlineStr">
        <is>
          <t>Nur 2 Versuche aus Zeitmangel</t>
        </is>
      </c>
      <c r="I949" s="22">
        <f>INDEX(Personendaten!$C$2:$C$32,MATCH(A949,Personendaten!$A$2:$A$32,0))</f>
        <v/>
      </c>
      <c r="J949" s="22">
        <f>IF(AND(F949&lt;&gt;"",G949=""),1,0)</f>
        <v/>
      </c>
      <c r="K949" s="22">
        <f>IF(LEFT(C949,7)&lt;&gt;"Sprint_","",IF(COUNTIFS(Versuchsdaten!$A$2:$A$1117,$A949,Versuchsdaten!$B$2:$B$1117,$B949,Versuchsdaten!$C$2:$C$1117,"Sprint_5m",Versuchsdaten!$E$2:$E$1117,$E949,Versuchsdaten!$J$2:$J$1117,1)=1,SUMIFS(Versuchsdaten!$F$2:$F$1117,Versuchsdaten!$A$2:$A$1117,$A949,Versuchsdaten!$B$2:$B$1117,$B949,Versuchsdaten!$C$2:$C$1117,"Sprint_5m",Versuchsdaten!$E$2:$E$1117,$E949,Versuchsdaten!$J$2:$J$1117,1),""))</f>
        <v/>
      </c>
      <c r="L949" s="22">
        <f>IF(LEFT(C949,7)&lt;&gt;"Sprint_","",IF(COUNTIFS(Versuchsdaten!$A$2:$A$1117,$A949,Versuchsdaten!$B$2:$B$1117,$B949,Versuchsdaten!$C$2:$C$1117,"Sprint_10m",Versuchsdaten!$E$2:$E$1117,$E949,Versuchsdaten!$J$2:$J$1117,1)=1,SUMIFS(Versuchsdaten!$F$2:$F$1117,Versuchsdaten!$A$2:$A$1117,$A949,Versuchsdaten!$B$2:$B$1117,$B949,Versuchsdaten!$C$2:$C$1117,"Sprint_10m",Versuchsdaten!$E$2:$E$1117,$E949,Versuchsdaten!$J$2:$J$1117,1),""))</f>
        <v/>
      </c>
      <c r="M949" s="22">
        <f>IF(LEFT(C949,7)&lt;&gt;"Sprint_","",IF(COUNTIFS(Versuchsdaten!$A$2:$A$1117,$A949,Versuchsdaten!$B$2:$B$1117,$B949,Versuchsdaten!$C$2:$C$1117,"Sprint_30m",Versuchsdaten!$E$2:$E$1117,$E949,Versuchsdaten!$J$2:$J$1117,1)=1,SUMIFS(Versuchsdaten!$F$2:$F$1117,Versuchsdaten!$A$2:$A$1117,$A949,Versuchsdaten!$B$2:$B$1117,$B949,Versuchsdaten!$C$2:$C$1117,"Sprint_30m",Versuchsdaten!$E$2:$E$1117,$E949,Versuchsdaten!$J$2:$J$1117,1),""))</f>
        <v/>
      </c>
      <c r="N949" s="22">
        <f>IF(LEFT(C949,7)&lt;&gt;"Sprint_",0,IF(IF(ISNUMBER(K949),IF(K949&lt;=0,1,IF(5/K949&gt;10,1,0)),0)+IF(ISNUMBER(L949),IF(ISNUMBER(K949),IF(L949-K949&lt;=0,1,IF(5/(L949-K949)&gt;10,1,0)),IF(L949&lt;=0,1,IF(10/L949&gt;10,1,0))),0)+IF(ISNUMBER(M949),IF(ISNUMBER(L949),IF(M949-L949&lt;=0,1,IF(20/(M949-L949)&gt;10,1,0)),IF(ISNUMBER(K949),IF(M949-K949&lt;=0,1,IF(25/(M949-K949)&gt;10,1,0)),IF(M949&lt;=0,1,IF(30/M949&gt;10,1,0)))),0)&gt;0,1,0))</f>
        <v/>
      </c>
      <c r="O949" s="22">
        <f>IF(AND(J949=1,N949=0),1,0)</f>
        <v/>
      </c>
      <c r="P949" s="22">
        <f>INDEX(Personendaten!$J$2:$J$32,MATCH(A949,Personendaten!$A$2:$A$32,0))</f>
        <v/>
      </c>
      <c r="Q949" s="22">
        <f>IF(O949=1,"",IF(AND(B949="post",P949="nicht angetreten"),"NANG",IF(N949=1,"AUSL",IFERROR(VLOOKUP(H949,Vokabular!$A$2:$B$8,2,FALSE),"UNBEKANNT"))))</f>
        <v/>
      </c>
    </row>
    <row r="950">
      <c r="A950" s="5" t="inlineStr">
        <is>
          <t>VS-04</t>
        </is>
      </c>
      <c r="B950" s="5" t="inlineStr">
        <is>
          <t>post</t>
        </is>
      </c>
      <c r="C950" s="5" t="inlineStr">
        <is>
          <t>COD_505</t>
        </is>
      </c>
      <c r="D950" s="5" t="inlineStr">
        <is>
          <t>L</t>
        </is>
      </c>
      <c r="E950" s="5" t="n">
        <v>1</v>
      </c>
      <c r="F950" s="5" t="n">
        <v>2.52</v>
      </c>
      <c r="G950" s="5" t="n"/>
      <c r="H950" s="5" t="n"/>
      <c r="I950" s="22">
        <f>INDEX(Personendaten!$C$2:$C$32,MATCH(A950,Personendaten!$A$2:$A$32,0))</f>
        <v/>
      </c>
      <c r="J950" s="22">
        <f>IF(AND(F950&lt;&gt;"",G950=""),1,0)</f>
        <v/>
      </c>
      <c r="K950" s="22">
        <f>IF(LEFT(C950,7)&lt;&gt;"Sprint_","",IF(COUNTIFS(Versuchsdaten!$A$2:$A$1117,$A950,Versuchsdaten!$B$2:$B$1117,$B950,Versuchsdaten!$C$2:$C$1117,"Sprint_5m",Versuchsdaten!$E$2:$E$1117,$E950,Versuchsdaten!$J$2:$J$1117,1)=1,SUMIFS(Versuchsdaten!$F$2:$F$1117,Versuchsdaten!$A$2:$A$1117,$A950,Versuchsdaten!$B$2:$B$1117,$B950,Versuchsdaten!$C$2:$C$1117,"Sprint_5m",Versuchsdaten!$E$2:$E$1117,$E950,Versuchsdaten!$J$2:$J$1117,1),""))</f>
        <v/>
      </c>
      <c r="L950" s="22">
        <f>IF(LEFT(C950,7)&lt;&gt;"Sprint_","",IF(COUNTIFS(Versuchsdaten!$A$2:$A$1117,$A950,Versuchsdaten!$B$2:$B$1117,$B950,Versuchsdaten!$C$2:$C$1117,"Sprint_10m",Versuchsdaten!$E$2:$E$1117,$E950,Versuchsdaten!$J$2:$J$1117,1)=1,SUMIFS(Versuchsdaten!$F$2:$F$1117,Versuchsdaten!$A$2:$A$1117,$A950,Versuchsdaten!$B$2:$B$1117,$B950,Versuchsdaten!$C$2:$C$1117,"Sprint_10m",Versuchsdaten!$E$2:$E$1117,$E950,Versuchsdaten!$J$2:$J$1117,1),""))</f>
        <v/>
      </c>
      <c r="M950" s="22">
        <f>IF(LEFT(C950,7)&lt;&gt;"Sprint_","",IF(COUNTIFS(Versuchsdaten!$A$2:$A$1117,$A950,Versuchsdaten!$B$2:$B$1117,$B950,Versuchsdaten!$C$2:$C$1117,"Sprint_30m",Versuchsdaten!$E$2:$E$1117,$E950,Versuchsdaten!$J$2:$J$1117,1)=1,SUMIFS(Versuchsdaten!$F$2:$F$1117,Versuchsdaten!$A$2:$A$1117,$A950,Versuchsdaten!$B$2:$B$1117,$B950,Versuchsdaten!$C$2:$C$1117,"Sprint_30m",Versuchsdaten!$E$2:$E$1117,$E950,Versuchsdaten!$J$2:$J$1117,1),""))</f>
        <v/>
      </c>
      <c r="N950" s="22">
        <f>IF(LEFT(C950,7)&lt;&gt;"Sprint_",0,IF(IF(ISNUMBER(K950),IF(K950&lt;=0,1,IF(5/K950&gt;10,1,0)),0)+IF(ISNUMBER(L950),IF(ISNUMBER(K950),IF(L950-K950&lt;=0,1,IF(5/(L950-K950)&gt;10,1,0)),IF(L950&lt;=0,1,IF(10/L950&gt;10,1,0))),0)+IF(ISNUMBER(M950),IF(ISNUMBER(L950),IF(M950-L950&lt;=0,1,IF(20/(M950-L950)&gt;10,1,0)),IF(ISNUMBER(K950),IF(M950-K950&lt;=0,1,IF(25/(M950-K950)&gt;10,1,0)),IF(M950&lt;=0,1,IF(30/M950&gt;10,1,0)))),0)&gt;0,1,0))</f>
        <v/>
      </c>
      <c r="O950" s="22">
        <f>IF(AND(J950=1,N950=0),1,0)</f>
        <v/>
      </c>
      <c r="P950" s="22">
        <f>INDEX(Personendaten!$J$2:$J$32,MATCH(A950,Personendaten!$A$2:$A$32,0))</f>
        <v/>
      </c>
      <c r="Q950" s="22">
        <f>IF(O950=1,"",IF(AND(B950="post",P950="nicht angetreten"),"NANG",IF(N950=1,"AUSL",IFERROR(VLOOKUP(H950,Vokabular!$A$2:$B$8,2,FALSE),"UNBEKANNT"))))</f>
        <v/>
      </c>
    </row>
    <row r="951">
      <c r="A951" s="5" t="inlineStr">
        <is>
          <t>VS-04</t>
        </is>
      </c>
      <c r="B951" s="5" t="inlineStr">
        <is>
          <t>post</t>
        </is>
      </c>
      <c r="C951" s="5" t="inlineStr">
        <is>
          <t>COD_505</t>
        </is>
      </c>
      <c r="D951" s="5" t="inlineStr">
        <is>
          <t>L</t>
        </is>
      </c>
      <c r="E951" s="5" t="n">
        <v>2</v>
      </c>
      <c r="F951" s="5" t="n">
        <v>2.52</v>
      </c>
      <c r="G951" s="5" t="n"/>
      <c r="H951" s="5" t="n"/>
      <c r="I951" s="22">
        <f>INDEX(Personendaten!$C$2:$C$32,MATCH(A951,Personendaten!$A$2:$A$32,0))</f>
        <v/>
      </c>
      <c r="J951" s="22">
        <f>IF(AND(F951&lt;&gt;"",G951=""),1,0)</f>
        <v/>
      </c>
      <c r="K951" s="22">
        <f>IF(LEFT(C951,7)&lt;&gt;"Sprint_","",IF(COUNTIFS(Versuchsdaten!$A$2:$A$1117,$A951,Versuchsdaten!$B$2:$B$1117,$B951,Versuchsdaten!$C$2:$C$1117,"Sprint_5m",Versuchsdaten!$E$2:$E$1117,$E951,Versuchsdaten!$J$2:$J$1117,1)=1,SUMIFS(Versuchsdaten!$F$2:$F$1117,Versuchsdaten!$A$2:$A$1117,$A951,Versuchsdaten!$B$2:$B$1117,$B951,Versuchsdaten!$C$2:$C$1117,"Sprint_5m",Versuchsdaten!$E$2:$E$1117,$E951,Versuchsdaten!$J$2:$J$1117,1),""))</f>
        <v/>
      </c>
      <c r="L951" s="22">
        <f>IF(LEFT(C951,7)&lt;&gt;"Sprint_","",IF(COUNTIFS(Versuchsdaten!$A$2:$A$1117,$A951,Versuchsdaten!$B$2:$B$1117,$B951,Versuchsdaten!$C$2:$C$1117,"Sprint_10m",Versuchsdaten!$E$2:$E$1117,$E951,Versuchsdaten!$J$2:$J$1117,1)=1,SUMIFS(Versuchsdaten!$F$2:$F$1117,Versuchsdaten!$A$2:$A$1117,$A951,Versuchsdaten!$B$2:$B$1117,$B951,Versuchsdaten!$C$2:$C$1117,"Sprint_10m",Versuchsdaten!$E$2:$E$1117,$E951,Versuchsdaten!$J$2:$J$1117,1),""))</f>
        <v/>
      </c>
      <c r="M951" s="22">
        <f>IF(LEFT(C951,7)&lt;&gt;"Sprint_","",IF(COUNTIFS(Versuchsdaten!$A$2:$A$1117,$A951,Versuchsdaten!$B$2:$B$1117,$B951,Versuchsdaten!$C$2:$C$1117,"Sprint_30m",Versuchsdaten!$E$2:$E$1117,$E951,Versuchsdaten!$J$2:$J$1117,1)=1,SUMIFS(Versuchsdaten!$F$2:$F$1117,Versuchsdaten!$A$2:$A$1117,$A951,Versuchsdaten!$B$2:$B$1117,$B951,Versuchsdaten!$C$2:$C$1117,"Sprint_30m",Versuchsdaten!$E$2:$E$1117,$E951,Versuchsdaten!$J$2:$J$1117,1),""))</f>
        <v/>
      </c>
      <c r="N951" s="22">
        <f>IF(LEFT(C951,7)&lt;&gt;"Sprint_",0,IF(IF(ISNUMBER(K951),IF(K951&lt;=0,1,IF(5/K951&gt;10,1,0)),0)+IF(ISNUMBER(L951),IF(ISNUMBER(K951),IF(L951-K951&lt;=0,1,IF(5/(L951-K951)&gt;10,1,0)),IF(L951&lt;=0,1,IF(10/L951&gt;10,1,0))),0)+IF(ISNUMBER(M951),IF(ISNUMBER(L951),IF(M951-L951&lt;=0,1,IF(20/(M951-L951)&gt;10,1,0)),IF(ISNUMBER(K951),IF(M951-K951&lt;=0,1,IF(25/(M951-K951)&gt;10,1,0)),IF(M951&lt;=0,1,IF(30/M951&gt;10,1,0)))),0)&gt;0,1,0))</f>
        <v/>
      </c>
      <c r="O951" s="22">
        <f>IF(AND(J951=1,N951=0),1,0)</f>
        <v/>
      </c>
      <c r="P951" s="22">
        <f>INDEX(Personendaten!$J$2:$J$32,MATCH(A951,Personendaten!$A$2:$A$32,0))</f>
        <v/>
      </c>
      <c r="Q951" s="22">
        <f>IF(O951=1,"",IF(AND(B951="post",P951="nicht angetreten"),"NANG",IF(N951=1,"AUSL",IFERROR(VLOOKUP(H951,Vokabular!$A$2:$B$8,2,FALSE),"UNBEKANNT"))))</f>
        <v/>
      </c>
    </row>
    <row r="952">
      <c r="A952" s="5" t="inlineStr">
        <is>
          <t>VS-04</t>
        </is>
      </c>
      <c r="B952" s="5" t="inlineStr">
        <is>
          <t>post</t>
        </is>
      </c>
      <c r="C952" s="5" t="inlineStr">
        <is>
          <t>COD_505</t>
        </is>
      </c>
      <c r="D952" s="5" t="inlineStr">
        <is>
          <t>L</t>
        </is>
      </c>
      <c r="E952" s="5" t="n">
        <v>3</v>
      </c>
      <c r="F952" s="5" t="n"/>
      <c r="G952" s="5" t="n"/>
      <c r="H952" s="5" t="inlineStr">
        <is>
          <t>Nur 2 Versuche aus Zeitmangel</t>
        </is>
      </c>
      <c r="I952" s="22">
        <f>INDEX(Personendaten!$C$2:$C$32,MATCH(A952,Personendaten!$A$2:$A$32,0))</f>
        <v/>
      </c>
      <c r="J952" s="22">
        <f>IF(AND(F952&lt;&gt;"",G952=""),1,0)</f>
        <v/>
      </c>
      <c r="K952" s="22">
        <f>IF(LEFT(C952,7)&lt;&gt;"Sprint_","",IF(COUNTIFS(Versuchsdaten!$A$2:$A$1117,$A952,Versuchsdaten!$B$2:$B$1117,$B952,Versuchsdaten!$C$2:$C$1117,"Sprint_5m",Versuchsdaten!$E$2:$E$1117,$E952,Versuchsdaten!$J$2:$J$1117,1)=1,SUMIFS(Versuchsdaten!$F$2:$F$1117,Versuchsdaten!$A$2:$A$1117,$A952,Versuchsdaten!$B$2:$B$1117,$B952,Versuchsdaten!$C$2:$C$1117,"Sprint_5m",Versuchsdaten!$E$2:$E$1117,$E952,Versuchsdaten!$J$2:$J$1117,1),""))</f>
        <v/>
      </c>
      <c r="L952" s="22">
        <f>IF(LEFT(C952,7)&lt;&gt;"Sprint_","",IF(COUNTIFS(Versuchsdaten!$A$2:$A$1117,$A952,Versuchsdaten!$B$2:$B$1117,$B952,Versuchsdaten!$C$2:$C$1117,"Sprint_10m",Versuchsdaten!$E$2:$E$1117,$E952,Versuchsdaten!$J$2:$J$1117,1)=1,SUMIFS(Versuchsdaten!$F$2:$F$1117,Versuchsdaten!$A$2:$A$1117,$A952,Versuchsdaten!$B$2:$B$1117,$B952,Versuchsdaten!$C$2:$C$1117,"Sprint_10m",Versuchsdaten!$E$2:$E$1117,$E952,Versuchsdaten!$J$2:$J$1117,1),""))</f>
        <v/>
      </c>
      <c r="M952" s="22">
        <f>IF(LEFT(C952,7)&lt;&gt;"Sprint_","",IF(COUNTIFS(Versuchsdaten!$A$2:$A$1117,$A952,Versuchsdaten!$B$2:$B$1117,$B952,Versuchsdaten!$C$2:$C$1117,"Sprint_30m",Versuchsdaten!$E$2:$E$1117,$E952,Versuchsdaten!$J$2:$J$1117,1)=1,SUMIFS(Versuchsdaten!$F$2:$F$1117,Versuchsdaten!$A$2:$A$1117,$A952,Versuchsdaten!$B$2:$B$1117,$B952,Versuchsdaten!$C$2:$C$1117,"Sprint_30m",Versuchsdaten!$E$2:$E$1117,$E952,Versuchsdaten!$J$2:$J$1117,1),""))</f>
        <v/>
      </c>
      <c r="N952" s="22">
        <f>IF(LEFT(C952,7)&lt;&gt;"Sprint_",0,IF(IF(ISNUMBER(K952),IF(K952&lt;=0,1,IF(5/K952&gt;10,1,0)),0)+IF(ISNUMBER(L952),IF(ISNUMBER(K952),IF(L952-K952&lt;=0,1,IF(5/(L952-K952)&gt;10,1,0)),IF(L952&lt;=0,1,IF(10/L952&gt;10,1,0))),0)+IF(ISNUMBER(M952),IF(ISNUMBER(L952),IF(M952-L952&lt;=0,1,IF(20/(M952-L952)&gt;10,1,0)),IF(ISNUMBER(K952),IF(M952-K952&lt;=0,1,IF(25/(M952-K952)&gt;10,1,0)),IF(M952&lt;=0,1,IF(30/M952&gt;10,1,0)))),0)&gt;0,1,0))</f>
        <v/>
      </c>
      <c r="O952" s="22">
        <f>IF(AND(J952=1,N952=0),1,0)</f>
        <v/>
      </c>
      <c r="P952" s="22">
        <f>INDEX(Personendaten!$J$2:$J$32,MATCH(A952,Personendaten!$A$2:$A$32,0))</f>
        <v/>
      </c>
      <c r="Q952" s="22">
        <f>IF(O952=1,"",IF(AND(B952="post",P952="nicht angetreten"),"NANG",IF(N952=1,"AUSL",IFERROR(VLOOKUP(H952,Vokabular!$A$2:$B$8,2,FALSE),"UNBEKANNT"))))</f>
        <v/>
      </c>
    </row>
    <row r="953">
      <c r="A953" s="5" t="inlineStr">
        <is>
          <t>VS-04</t>
        </is>
      </c>
      <c r="B953" s="5" t="inlineStr">
        <is>
          <t>post</t>
        </is>
      </c>
      <c r="C953" s="5" t="inlineStr">
        <is>
          <t>COD_505</t>
        </is>
      </c>
      <c r="D953" s="5" t="inlineStr">
        <is>
          <t>R</t>
        </is>
      </c>
      <c r="E953" s="5" t="n">
        <v>1</v>
      </c>
      <c r="F953" s="5" t="n">
        <v>2.54</v>
      </c>
      <c r="G953" s="5" t="n"/>
      <c r="H953" s="5" t="n"/>
      <c r="I953" s="22">
        <f>INDEX(Personendaten!$C$2:$C$32,MATCH(A953,Personendaten!$A$2:$A$32,0))</f>
        <v/>
      </c>
      <c r="J953" s="22">
        <f>IF(AND(F953&lt;&gt;"",G953=""),1,0)</f>
        <v/>
      </c>
      <c r="K953" s="22">
        <f>IF(LEFT(C953,7)&lt;&gt;"Sprint_","",IF(COUNTIFS(Versuchsdaten!$A$2:$A$1117,$A953,Versuchsdaten!$B$2:$B$1117,$B953,Versuchsdaten!$C$2:$C$1117,"Sprint_5m",Versuchsdaten!$E$2:$E$1117,$E953,Versuchsdaten!$J$2:$J$1117,1)=1,SUMIFS(Versuchsdaten!$F$2:$F$1117,Versuchsdaten!$A$2:$A$1117,$A953,Versuchsdaten!$B$2:$B$1117,$B953,Versuchsdaten!$C$2:$C$1117,"Sprint_5m",Versuchsdaten!$E$2:$E$1117,$E953,Versuchsdaten!$J$2:$J$1117,1),""))</f>
        <v/>
      </c>
      <c r="L953" s="22">
        <f>IF(LEFT(C953,7)&lt;&gt;"Sprint_","",IF(COUNTIFS(Versuchsdaten!$A$2:$A$1117,$A953,Versuchsdaten!$B$2:$B$1117,$B953,Versuchsdaten!$C$2:$C$1117,"Sprint_10m",Versuchsdaten!$E$2:$E$1117,$E953,Versuchsdaten!$J$2:$J$1117,1)=1,SUMIFS(Versuchsdaten!$F$2:$F$1117,Versuchsdaten!$A$2:$A$1117,$A953,Versuchsdaten!$B$2:$B$1117,$B953,Versuchsdaten!$C$2:$C$1117,"Sprint_10m",Versuchsdaten!$E$2:$E$1117,$E953,Versuchsdaten!$J$2:$J$1117,1),""))</f>
        <v/>
      </c>
      <c r="M953" s="22">
        <f>IF(LEFT(C953,7)&lt;&gt;"Sprint_","",IF(COUNTIFS(Versuchsdaten!$A$2:$A$1117,$A953,Versuchsdaten!$B$2:$B$1117,$B953,Versuchsdaten!$C$2:$C$1117,"Sprint_30m",Versuchsdaten!$E$2:$E$1117,$E953,Versuchsdaten!$J$2:$J$1117,1)=1,SUMIFS(Versuchsdaten!$F$2:$F$1117,Versuchsdaten!$A$2:$A$1117,$A953,Versuchsdaten!$B$2:$B$1117,$B953,Versuchsdaten!$C$2:$C$1117,"Sprint_30m",Versuchsdaten!$E$2:$E$1117,$E953,Versuchsdaten!$J$2:$J$1117,1),""))</f>
        <v/>
      </c>
      <c r="N953" s="22">
        <f>IF(LEFT(C953,7)&lt;&gt;"Sprint_",0,IF(IF(ISNUMBER(K953),IF(K953&lt;=0,1,IF(5/K953&gt;10,1,0)),0)+IF(ISNUMBER(L953),IF(ISNUMBER(K953),IF(L953-K953&lt;=0,1,IF(5/(L953-K953)&gt;10,1,0)),IF(L953&lt;=0,1,IF(10/L953&gt;10,1,0))),0)+IF(ISNUMBER(M953),IF(ISNUMBER(L953),IF(M953-L953&lt;=0,1,IF(20/(M953-L953)&gt;10,1,0)),IF(ISNUMBER(K953),IF(M953-K953&lt;=0,1,IF(25/(M953-K953)&gt;10,1,0)),IF(M953&lt;=0,1,IF(30/M953&gt;10,1,0)))),0)&gt;0,1,0))</f>
        <v/>
      </c>
      <c r="O953" s="22">
        <f>IF(AND(J953=1,N953=0),1,0)</f>
        <v/>
      </c>
      <c r="P953" s="22">
        <f>INDEX(Personendaten!$J$2:$J$32,MATCH(A953,Personendaten!$A$2:$A$32,0))</f>
        <v/>
      </c>
      <c r="Q953" s="22">
        <f>IF(O953=1,"",IF(AND(B953="post",P953="nicht angetreten"),"NANG",IF(N953=1,"AUSL",IFERROR(VLOOKUP(H953,Vokabular!$A$2:$B$8,2,FALSE),"UNBEKANNT"))))</f>
        <v/>
      </c>
    </row>
    <row r="954">
      <c r="A954" s="5" t="inlineStr">
        <is>
          <t>VS-04</t>
        </is>
      </c>
      <c r="B954" s="5" t="inlineStr">
        <is>
          <t>post</t>
        </is>
      </c>
      <c r="C954" s="5" t="inlineStr">
        <is>
          <t>COD_505</t>
        </is>
      </c>
      <c r="D954" s="5" t="inlineStr">
        <is>
          <t>R</t>
        </is>
      </c>
      <c r="E954" s="5" t="n">
        <v>2</v>
      </c>
      <c r="F954" s="5" t="n">
        <v>2.56</v>
      </c>
      <c r="G954" s="5" t="n"/>
      <c r="H954" s="5" t="n"/>
      <c r="I954" s="22">
        <f>INDEX(Personendaten!$C$2:$C$32,MATCH(A954,Personendaten!$A$2:$A$32,0))</f>
        <v/>
      </c>
      <c r="J954" s="22">
        <f>IF(AND(F954&lt;&gt;"",G954=""),1,0)</f>
        <v/>
      </c>
      <c r="K954" s="22">
        <f>IF(LEFT(C954,7)&lt;&gt;"Sprint_","",IF(COUNTIFS(Versuchsdaten!$A$2:$A$1117,$A954,Versuchsdaten!$B$2:$B$1117,$B954,Versuchsdaten!$C$2:$C$1117,"Sprint_5m",Versuchsdaten!$E$2:$E$1117,$E954,Versuchsdaten!$J$2:$J$1117,1)=1,SUMIFS(Versuchsdaten!$F$2:$F$1117,Versuchsdaten!$A$2:$A$1117,$A954,Versuchsdaten!$B$2:$B$1117,$B954,Versuchsdaten!$C$2:$C$1117,"Sprint_5m",Versuchsdaten!$E$2:$E$1117,$E954,Versuchsdaten!$J$2:$J$1117,1),""))</f>
        <v/>
      </c>
      <c r="L954" s="22">
        <f>IF(LEFT(C954,7)&lt;&gt;"Sprint_","",IF(COUNTIFS(Versuchsdaten!$A$2:$A$1117,$A954,Versuchsdaten!$B$2:$B$1117,$B954,Versuchsdaten!$C$2:$C$1117,"Sprint_10m",Versuchsdaten!$E$2:$E$1117,$E954,Versuchsdaten!$J$2:$J$1117,1)=1,SUMIFS(Versuchsdaten!$F$2:$F$1117,Versuchsdaten!$A$2:$A$1117,$A954,Versuchsdaten!$B$2:$B$1117,$B954,Versuchsdaten!$C$2:$C$1117,"Sprint_10m",Versuchsdaten!$E$2:$E$1117,$E954,Versuchsdaten!$J$2:$J$1117,1),""))</f>
        <v/>
      </c>
      <c r="M954" s="22">
        <f>IF(LEFT(C954,7)&lt;&gt;"Sprint_","",IF(COUNTIFS(Versuchsdaten!$A$2:$A$1117,$A954,Versuchsdaten!$B$2:$B$1117,$B954,Versuchsdaten!$C$2:$C$1117,"Sprint_30m",Versuchsdaten!$E$2:$E$1117,$E954,Versuchsdaten!$J$2:$J$1117,1)=1,SUMIFS(Versuchsdaten!$F$2:$F$1117,Versuchsdaten!$A$2:$A$1117,$A954,Versuchsdaten!$B$2:$B$1117,$B954,Versuchsdaten!$C$2:$C$1117,"Sprint_30m",Versuchsdaten!$E$2:$E$1117,$E954,Versuchsdaten!$J$2:$J$1117,1),""))</f>
        <v/>
      </c>
      <c r="N954" s="22">
        <f>IF(LEFT(C954,7)&lt;&gt;"Sprint_",0,IF(IF(ISNUMBER(K954),IF(K954&lt;=0,1,IF(5/K954&gt;10,1,0)),0)+IF(ISNUMBER(L954),IF(ISNUMBER(K954),IF(L954-K954&lt;=0,1,IF(5/(L954-K954)&gt;10,1,0)),IF(L954&lt;=0,1,IF(10/L954&gt;10,1,0))),0)+IF(ISNUMBER(M954),IF(ISNUMBER(L954),IF(M954-L954&lt;=0,1,IF(20/(M954-L954)&gt;10,1,0)),IF(ISNUMBER(K954),IF(M954-K954&lt;=0,1,IF(25/(M954-K954)&gt;10,1,0)),IF(M954&lt;=0,1,IF(30/M954&gt;10,1,0)))),0)&gt;0,1,0))</f>
        <v/>
      </c>
      <c r="O954" s="22">
        <f>IF(AND(J954=1,N954=0),1,0)</f>
        <v/>
      </c>
      <c r="P954" s="22">
        <f>INDEX(Personendaten!$J$2:$J$32,MATCH(A954,Personendaten!$A$2:$A$32,0))</f>
        <v/>
      </c>
      <c r="Q954" s="22">
        <f>IF(O954=1,"",IF(AND(B954="post",P954="nicht angetreten"),"NANG",IF(N954=1,"AUSL",IFERROR(VLOOKUP(H954,Vokabular!$A$2:$B$8,2,FALSE),"UNBEKANNT"))))</f>
        <v/>
      </c>
    </row>
    <row r="955">
      <c r="A955" s="5" t="inlineStr">
        <is>
          <t>VS-04</t>
        </is>
      </c>
      <c r="B955" s="5" t="inlineStr">
        <is>
          <t>post</t>
        </is>
      </c>
      <c r="C955" s="5" t="inlineStr">
        <is>
          <t>COD_505</t>
        </is>
      </c>
      <c r="D955" s="5" t="inlineStr">
        <is>
          <t>R</t>
        </is>
      </c>
      <c r="E955" s="5" t="n">
        <v>3</v>
      </c>
      <c r="F955" s="5" t="n"/>
      <c r="G955" s="5" t="n"/>
      <c r="H955" s="5" t="inlineStr">
        <is>
          <t>Nur 2 Versuche aus Zeitmangel</t>
        </is>
      </c>
      <c r="I955" s="22">
        <f>INDEX(Personendaten!$C$2:$C$32,MATCH(A955,Personendaten!$A$2:$A$32,0))</f>
        <v/>
      </c>
      <c r="J955" s="22">
        <f>IF(AND(F955&lt;&gt;"",G955=""),1,0)</f>
        <v/>
      </c>
      <c r="K955" s="22">
        <f>IF(LEFT(C955,7)&lt;&gt;"Sprint_","",IF(COUNTIFS(Versuchsdaten!$A$2:$A$1117,$A955,Versuchsdaten!$B$2:$B$1117,$B955,Versuchsdaten!$C$2:$C$1117,"Sprint_5m",Versuchsdaten!$E$2:$E$1117,$E955,Versuchsdaten!$J$2:$J$1117,1)=1,SUMIFS(Versuchsdaten!$F$2:$F$1117,Versuchsdaten!$A$2:$A$1117,$A955,Versuchsdaten!$B$2:$B$1117,$B955,Versuchsdaten!$C$2:$C$1117,"Sprint_5m",Versuchsdaten!$E$2:$E$1117,$E955,Versuchsdaten!$J$2:$J$1117,1),""))</f>
        <v/>
      </c>
      <c r="L955" s="22">
        <f>IF(LEFT(C955,7)&lt;&gt;"Sprint_","",IF(COUNTIFS(Versuchsdaten!$A$2:$A$1117,$A955,Versuchsdaten!$B$2:$B$1117,$B955,Versuchsdaten!$C$2:$C$1117,"Sprint_10m",Versuchsdaten!$E$2:$E$1117,$E955,Versuchsdaten!$J$2:$J$1117,1)=1,SUMIFS(Versuchsdaten!$F$2:$F$1117,Versuchsdaten!$A$2:$A$1117,$A955,Versuchsdaten!$B$2:$B$1117,$B955,Versuchsdaten!$C$2:$C$1117,"Sprint_10m",Versuchsdaten!$E$2:$E$1117,$E955,Versuchsdaten!$J$2:$J$1117,1),""))</f>
        <v/>
      </c>
      <c r="M955" s="22">
        <f>IF(LEFT(C955,7)&lt;&gt;"Sprint_","",IF(COUNTIFS(Versuchsdaten!$A$2:$A$1117,$A955,Versuchsdaten!$B$2:$B$1117,$B955,Versuchsdaten!$C$2:$C$1117,"Sprint_30m",Versuchsdaten!$E$2:$E$1117,$E955,Versuchsdaten!$J$2:$J$1117,1)=1,SUMIFS(Versuchsdaten!$F$2:$F$1117,Versuchsdaten!$A$2:$A$1117,$A955,Versuchsdaten!$B$2:$B$1117,$B955,Versuchsdaten!$C$2:$C$1117,"Sprint_30m",Versuchsdaten!$E$2:$E$1117,$E955,Versuchsdaten!$J$2:$J$1117,1),""))</f>
        <v/>
      </c>
      <c r="N955" s="22">
        <f>IF(LEFT(C955,7)&lt;&gt;"Sprint_",0,IF(IF(ISNUMBER(K955),IF(K955&lt;=0,1,IF(5/K955&gt;10,1,0)),0)+IF(ISNUMBER(L955),IF(ISNUMBER(K955),IF(L955-K955&lt;=0,1,IF(5/(L955-K955)&gt;10,1,0)),IF(L955&lt;=0,1,IF(10/L955&gt;10,1,0))),0)+IF(ISNUMBER(M955),IF(ISNUMBER(L955),IF(M955-L955&lt;=0,1,IF(20/(M955-L955)&gt;10,1,0)),IF(ISNUMBER(K955),IF(M955-K955&lt;=0,1,IF(25/(M955-K955)&gt;10,1,0)),IF(M955&lt;=0,1,IF(30/M955&gt;10,1,0)))),0)&gt;0,1,0))</f>
        <v/>
      </c>
      <c r="O955" s="22">
        <f>IF(AND(J955=1,N955=0),1,0)</f>
        <v/>
      </c>
      <c r="P955" s="22">
        <f>INDEX(Personendaten!$J$2:$J$32,MATCH(A955,Personendaten!$A$2:$A$32,0))</f>
        <v/>
      </c>
      <c r="Q955" s="22">
        <f>IF(O955=1,"",IF(AND(B955="post",P955="nicht angetreten"),"NANG",IF(N955=1,"AUSL",IFERROR(VLOOKUP(H955,Vokabular!$A$2:$B$8,2,FALSE),"UNBEKANNT"))))</f>
        <v/>
      </c>
    </row>
    <row r="956">
      <c r="A956" s="5" t="inlineStr">
        <is>
          <t>VS-05</t>
        </is>
      </c>
      <c r="B956" s="5" t="inlineStr">
        <is>
          <t>post</t>
        </is>
      </c>
      <c r="C956" s="5" t="inlineStr">
        <is>
          <t>Sprint_5m</t>
        </is>
      </c>
      <c r="D956" s="5" t="inlineStr">
        <is>
          <t>–</t>
        </is>
      </c>
      <c r="E956" s="5" t="n">
        <v>1</v>
      </c>
      <c r="F956" s="5" t="n"/>
      <c r="G956" s="5" t="n"/>
      <c r="H956" s="5" t="inlineStr">
        <is>
          <t>System nicht aufgenommen</t>
        </is>
      </c>
      <c r="I956" s="22">
        <f>INDEX(Personendaten!$C$2:$C$32,MATCH(A956,Personendaten!$A$2:$A$32,0))</f>
        <v/>
      </c>
      <c r="J956" s="22">
        <f>IF(AND(F956&lt;&gt;"",G956=""),1,0)</f>
        <v/>
      </c>
      <c r="K956" s="22">
        <f>IF(LEFT(C956,7)&lt;&gt;"Sprint_","",IF(COUNTIFS(Versuchsdaten!$A$2:$A$1117,$A956,Versuchsdaten!$B$2:$B$1117,$B956,Versuchsdaten!$C$2:$C$1117,"Sprint_5m",Versuchsdaten!$E$2:$E$1117,$E956,Versuchsdaten!$J$2:$J$1117,1)=1,SUMIFS(Versuchsdaten!$F$2:$F$1117,Versuchsdaten!$A$2:$A$1117,$A956,Versuchsdaten!$B$2:$B$1117,$B956,Versuchsdaten!$C$2:$C$1117,"Sprint_5m",Versuchsdaten!$E$2:$E$1117,$E956,Versuchsdaten!$J$2:$J$1117,1),""))</f>
        <v/>
      </c>
      <c r="L956" s="22">
        <f>IF(LEFT(C956,7)&lt;&gt;"Sprint_","",IF(COUNTIFS(Versuchsdaten!$A$2:$A$1117,$A956,Versuchsdaten!$B$2:$B$1117,$B956,Versuchsdaten!$C$2:$C$1117,"Sprint_10m",Versuchsdaten!$E$2:$E$1117,$E956,Versuchsdaten!$J$2:$J$1117,1)=1,SUMIFS(Versuchsdaten!$F$2:$F$1117,Versuchsdaten!$A$2:$A$1117,$A956,Versuchsdaten!$B$2:$B$1117,$B956,Versuchsdaten!$C$2:$C$1117,"Sprint_10m",Versuchsdaten!$E$2:$E$1117,$E956,Versuchsdaten!$J$2:$J$1117,1),""))</f>
        <v/>
      </c>
      <c r="M956" s="22">
        <f>IF(LEFT(C956,7)&lt;&gt;"Sprint_","",IF(COUNTIFS(Versuchsdaten!$A$2:$A$1117,$A956,Versuchsdaten!$B$2:$B$1117,$B956,Versuchsdaten!$C$2:$C$1117,"Sprint_30m",Versuchsdaten!$E$2:$E$1117,$E956,Versuchsdaten!$J$2:$J$1117,1)=1,SUMIFS(Versuchsdaten!$F$2:$F$1117,Versuchsdaten!$A$2:$A$1117,$A956,Versuchsdaten!$B$2:$B$1117,$B956,Versuchsdaten!$C$2:$C$1117,"Sprint_30m",Versuchsdaten!$E$2:$E$1117,$E956,Versuchsdaten!$J$2:$J$1117,1),""))</f>
        <v/>
      </c>
      <c r="N956" s="22">
        <f>IF(LEFT(C956,7)&lt;&gt;"Sprint_",0,IF(IF(ISNUMBER(K956),IF(K956&lt;=0,1,IF(5/K956&gt;10,1,0)),0)+IF(ISNUMBER(L956),IF(ISNUMBER(K956),IF(L956-K956&lt;=0,1,IF(5/(L956-K956)&gt;10,1,0)),IF(L956&lt;=0,1,IF(10/L956&gt;10,1,0))),0)+IF(ISNUMBER(M956),IF(ISNUMBER(L956),IF(M956-L956&lt;=0,1,IF(20/(M956-L956)&gt;10,1,0)),IF(ISNUMBER(K956),IF(M956-K956&lt;=0,1,IF(25/(M956-K956)&gt;10,1,0)),IF(M956&lt;=0,1,IF(30/M956&gt;10,1,0)))),0)&gt;0,1,0))</f>
        <v/>
      </c>
      <c r="O956" s="22">
        <f>IF(AND(J956=1,N956=0),1,0)</f>
        <v/>
      </c>
      <c r="P956" s="22">
        <f>INDEX(Personendaten!$J$2:$J$32,MATCH(A956,Personendaten!$A$2:$A$32,0))</f>
        <v/>
      </c>
      <c r="Q956" s="22">
        <f>IF(O956=1,"",IF(AND(B956="post",P956="nicht angetreten"),"NANG",IF(N956=1,"AUSL",IFERROR(VLOOKUP(H956,Vokabular!$A$2:$B$8,2,FALSE),"UNBEKANNT"))))</f>
        <v/>
      </c>
    </row>
    <row r="957">
      <c r="A957" s="5" t="inlineStr">
        <is>
          <t>VS-05</t>
        </is>
      </c>
      <c r="B957" s="5" t="inlineStr">
        <is>
          <t>post</t>
        </is>
      </c>
      <c r="C957" s="5" t="inlineStr">
        <is>
          <t>Sprint_5m</t>
        </is>
      </c>
      <c r="D957" s="5" t="inlineStr">
        <is>
          <t>–</t>
        </is>
      </c>
      <c r="E957" s="5" t="n">
        <v>2</v>
      </c>
      <c r="F957" s="5" t="n"/>
      <c r="G957" s="5" t="n"/>
      <c r="H957" s="5" t="inlineStr">
        <is>
          <t>System nicht aufgenommen</t>
        </is>
      </c>
      <c r="I957" s="22">
        <f>INDEX(Personendaten!$C$2:$C$32,MATCH(A957,Personendaten!$A$2:$A$32,0))</f>
        <v/>
      </c>
      <c r="J957" s="22">
        <f>IF(AND(F957&lt;&gt;"",G957=""),1,0)</f>
        <v/>
      </c>
      <c r="K957" s="22">
        <f>IF(LEFT(C957,7)&lt;&gt;"Sprint_","",IF(COUNTIFS(Versuchsdaten!$A$2:$A$1117,$A957,Versuchsdaten!$B$2:$B$1117,$B957,Versuchsdaten!$C$2:$C$1117,"Sprint_5m",Versuchsdaten!$E$2:$E$1117,$E957,Versuchsdaten!$J$2:$J$1117,1)=1,SUMIFS(Versuchsdaten!$F$2:$F$1117,Versuchsdaten!$A$2:$A$1117,$A957,Versuchsdaten!$B$2:$B$1117,$B957,Versuchsdaten!$C$2:$C$1117,"Sprint_5m",Versuchsdaten!$E$2:$E$1117,$E957,Versuchsdaten!$J$2:$J$1117,1),""))</f>
        <v/>
      </c>
      <c r="L957" s="22">
        <f>IF(LEFT(C957,7)&lt;&gt;"Sprint_","",IF(COUNTIFS(Versuchsdaten!$A$2:$A$1117,$A957,Versuchsdaten!$B$2:$B$1117,$B957,Versuchsdaten!$C$2:$C$1117,"Sprint_10m",Versuchsdaten!$E$2:$E$1117,$E957,Versuchsdaten!$J$2:$J$1117,1)=1,SUMIFS(Versuchsdaten!$F$2:$F$1117,Versuchsdaten!$A$2:$A$1117,$A957,Versuchsdaten!$B$2:$B$1117,$B957,Versuchsdaten!$C$2:$C$1117,"Sprint_10m",Versuchsdaten!$E$2:$E$1117,$E957,Versuchsdaten!$J$2:$J$1117,1),""))</f>
        <v/>
      </c>
      <c r="M957" s="22">
        <f>IF(LEFT(C957,7)&lt;&gt;"Sprint_","",IF(COUNTIFS(Versuchsdaten!$A$2:$A$1117,$A957,Versuchsdaten!$B$2:$B$1117,$B957,Versuchsdaten!$C$2:$C$1117,"Sprint_30m",Versuchsdaten!$E$2:$E$1117,$E957,Versuchsdaten!$J$2:$J$1117,1)=1,SUMIFS(Versuchsdaten!$F$2:$F$1117,Versuchsdaten!$A$2:$A$1117,$A957,Versuchsdaten!$B$2:$B$1117,$B957,Versuchsdaten!$C$2:$C$1117,"Sprint_30m",Versuchsdaten!$E$2:$E$1117,$E957,Versuchsdaten!$J$2:$J$1117,1),""))</f>
        <v/>
      </c>
      <c r="N957" s="22">
        <f>IF(LEFT(C957,7)&lt;&gt;"Sprint_",0,IF(IF(ISNUMBER(K957),IF(K957&lt;=0,1,IF(5/K957&gt;10,1,0)),0)+IF(ISNUMBER(L957),IF(ISNUMBER(K957),IF(L957-K957&lt;=0,1,IF(5/(L957-K957)&gt;10,1,0)),IF(L957&lt;=0,1,IF(10/L957&gt;10,1,0))),0)+IF(ISNUMBER(M957),IF(ISNUMBER(L957),IF(M957-L957&lt;=0,1,IF(20/(M957-L957)&gt;10,1,0)),IF(ISNUMBER(K957),IF(M957-K957&lt;=0,1,IF(25/(M957-K957)&gt;10,1,0)),IF(M957&lt;=0,1,IF(30/M957&gt;10,1,0)))),0)&gt;0,1,0))</f>
        <v/>
      </c>
      <c r="O957" s="22">
        <f>IF(AND(J957=1,N957=0),1,0)</f>
        <v/>
      </c>
      <c r="P957" s="22">
        <f>INDEX(Personendaten!$J$2:$J$32,MATCH(A957,Personendaten!$A$2:$A$32,0))</f>
        <v/>
      </c>
      <c r="Q957" s="22">
        <f>IF(O957=1,"",IF(AND(B957="post",P957="nicht angetreten"),"NANG",IF(N957=1,"AUSL",IFERROR(VLOOKUP(H957,Vokabular!$A$2:$B$8,2,FALSE),"UNBEKANNT"))))</f>
        <v/>
      </c>
    </row>
    <row r="958">
      <c r="A958" s="5" t="inlineStr">
        <is>
          <t>VS-05</t>
        </is>
      </c>
      <c r="B958" s="5" t="inlineStr">
        <is>
          <t>post</t>
        </is>
      </c>
      <c r="C958" s="5" t="inlineStr">
        <is>
          <t>Sprint_5m</t>
        </is>
      </c>
      <c r="D958" s="5" t="inlineStr">
        <is>
          <t>–</t>
        </is>
      </c>
      <c r="E958" s="5" t="n">
        <v>3</v>
      </c>
      <c r="F958" s="5" t="n">
        <v>1.17</v>
      </c>
      <c r="G958" s="5" t="n"/>
      <c r="H958" s="5" t="n"/>
      <c r="I958" s="22">
        <f>INDEX(Personendaten!$C$2:$C$32,MATCH(A958,Personendaten!$A$2:$A$32,0))</f>
        <v/>
      </c>
      <c r="J958" s="22">
        <f>IF(AND(F958&lt;&gt;"",G958=""),1,0)</f>
        <v/>
      </c>
      <c r="K958" s="22">
        <f>IF(LEFT(C958,7)&lt;&gt;"Sprint_","",IF(COUNTIFS(Versuchsdaten!$A$2:$A$1117,$A958,Versuchsdaten!$B$2:$B$1117,$B958,Versuchsdaten!$C$2:$C$1117,"Sprint_5m",Versuchsdaten!$E$2:$E$1117,$E958,Versuchsdaten!$J$2:$J$1117,1)=1,SUMIFS(Versuchsdaten!$F$2:$F$1117,Versuchsdaten!$A$2:$A$1117,$A958,Versuchsdaten!$B$2:$B$1117,$B958,Versuchsdaten!$C$2:$C$1117,"Sprint_5m",Versuchsdaten!$E$2:$E$1117,$E958,Versuchsdaten!$J$2:$J$1117,1),""))</f>
        <v/>
      </c>
      <c r="L958" s="22">
        <f>IF(LEFT(C958,7)&lt;&gt;"Sprint_","",IF(COUNTIFS(Versuchsdaten!$A$2:$A$1117,$A958,Versuchsdaten!$B$2:$B$1117,$B958,Versuchsdaten!$C$2:$C$1117,"Sprint_10m",Versuchsdaten!$E$2:$E$1117,$E958,Versuchsdaten!$J$2:$J$1117,1)=1,SUMIFS(Versuchsdaten!$F$2:$F$1117,Versuchsdaten!$A$2:$A$1117,$A958,Versuchsdaten!$B$2:$B$1117,$B958,Versuchsdaten!$C$2:$C$1117,"Sprint_10m",Versuchsdaten!$E$2:$E$1117,$E958,Versuchsdaten!$J$2:$J$1117,1),""))</f>
        <v/>
      </c>
      <c r="M958" s="22">
        <f>IF(LEFT(C958,7)&lt;&gt;"Sprint_","",IF(COUNTIFS(Versuchsdaten!$A$2:$A$1117,$A958,Versuchsdaten!$B$2:$B$1117,$B958,Versuchsdaten!$C$2:$C$1117,"Sprint_30m",Versuchsdaten!$E$2:$E$1117,$E958,Versuchsdaten!$J$2:$J$1117,1)=1,SUMIFS(Versuchsdaten!$F$2:$F$1117,Versuchsdaten!$A$2:$A$1117,$A958,Versuchsdaten!$B$2:$B$1117,$B958,Versuchsdaten!$C$2:$C$1117,"Sprint_30m",Versuchsdaten!$E$2:$E$1117,$E958,Versuchsdaten!$J$2:$J$1117,1),""))</f>
        <v/>
      </c>
      <c r="N958" s="22">
        <f>IF(LEFT(C958,7)&lt;&gt;"Sprint_",0,IF(IF(ISNUMBER(K958),IF(K958&lt;=0,1,IF(5/K958&gt;10,1,0)),0)+IF(ISNUMBER(L958),IF(ISNUMBER(K958),IF(L958-K958&lt;=0,1,IF(5/(L958-K958)&gt;10,1,0)),IF(L958&lt;=0,1,IF(10/L958&gt;10,1,0))),0)+IF(ISNUMBER(M958),IF(ISNUMBER(L958),IF(M958-L958&lt;=0,1,IF(20/(M958-L958)&gt;10,1,0)),IF(ISNUMBER(K958),IF(M958-K958&lt;=0,1,IF(25/(M958-K958)&gt;10,1,0)),IF(M958&lt;=0,1,IF(30/M958&gt;10,1,0)))),0)&gt;0,1,0))</f>
        <v/>
      </c>
      <c r="O958" s="22">
        <f>IF(AND(J958=1,N958=0),1,0)</f>
        <v/>
      </c>
      <c r="P958" s="22">
        <f>INDEX(Personendaten!$J$2:$J$32,MATCH(A958,Personendaten!$A$2:$A$32,0))</f>
        <v/>
      </c>
      <c r="Q958" s="22">
        <f>IF(O958=1,"",IF(AND(B958="post",P958="nicht angetreten"),"NANG",IF(N958=1,"AUSL",IFERROR(VLOOKUP(H958,Vokabular!$A$2:$B$8,2,FALSE),"UNBEKANNT"))))</f>
        <v/>
      </c>
    </row>
    <row r="959">
      <c r="A959" s="5" t="inlineStr">
        <is>
          <t>VS-05</t>
        </is>
      </c>
      <c r="B959" s="5" t="inlineStr">
        <is>
          <t>post</t>
        </is>
      </c>
      <c r="C959" s="5" t="inlineStr">
        <is>
          <t>Sprint_10m</t>
        </is>
      </c>
      <c r="D959" s="5" t="inlineStr">
        <is>
          <t>–</t>
        </is>
      </c>
      <c r="E959" s="5" t="n">
        <v>1</v>
      </c>
      <c r="F959" s="5" t="n"/>
      <c r="G959" s="5" t="n"/>
      <c r="H959" s="5" t="inlineStr">
        <is>
          <t>System nicht aufgenommen</t>
        </is>
      </c>
      <c r="I959" s="22">
        <f>INDEX(Personendaten!$C$2:$C$32,MATCH(A959,Personendaten!$A$2:$A$32,0))</f>
        <v/>
      </c>
      <c r="J959" s="22">
        <f>IF(AND(F959&lt;&gt;"",G959=""),1,0)</f>
        <v/>
      </c>
      <c r="K959" s="22">
        <f>IF(LEFT(C959,7)&lt;&gt;"Sprint_","",IF(COUNTIFS(Versuchsdaten!$A$2:$A$1117,$A959,Versuchsdaten!$B$2:$B$1117,$B959,Versuchsdaten!$C$2:$C$1117,"Sprint_5m",Versuchsdaten!$E$2:$E$1117,$E959,Versuchsdaten!$J$2:$J$1117,1)=1,SUMIFS(Versuchsdaten!$F$2:$F$1117,Versuchsdaten!$A$2:$A$1117,$A959,Versuchsdaten!$B$2:$B$1117,$B959,Versuchsdaten!$C$2:$C$1117,"Sprint_5m",Versuchsdaten!$E$2:$E$1117,$E959,Versuchsdaten!$J$2:$J$1117,1),""))</f>
        <v/>
      </c>
      <c r="L959" s="22">
        <f>IF(LEFT(C959,7)&lt;&gt;"Sprint_","",IF(COUNTIFS(Versuchsdaten!$A$2:$A$1117,$A959,Versuchsdaten!$B$2:$B$1117,$B959,Versuchsdaten!$C$2:$C$1117,"Sprint_10m",Versuchsdaten!$E$2:$E$1117,$E959,Versuchsdaten!$J$2:$J$1117,1)=1,SUMIFS(Versuchsdaten!$F$2:$F$1117,Versuchsdaten!$A$2:$A$1117,$A959,Versuchsdaten!$B$2:$B$1117,$B959,Versuchsdaten!$C$2:$C$1117,"Sprint_10m",Versuchsdaten!$E$2:$E$1117,$E959,Versuchsdaten!$J$2:$J$1117,1),""))</f>
        <v/>
      </c>
      <c r="M959" s="22">
        <f>IF(LEFT(C959,7)&lt;&gt;"Sprint_","",IF(COUNTIFS(Versuchsdaten!$A$2:$A$1117,$A959,Versuchsdaten!$B$2:$B$1117,$B959,Versuchsdaten!$C$2:$C$1117,"Sprint_30m",Versuchsdaten!$E$2:$E$1117,$E959,Versuchsdaten!$J$2:$J$1117,1)=1,SUMIFS(Versuchsdaten!$F$2:$F$1117,Versuchsdaten!$A$2:$A$1117,$A959,Versuchsdaten!$B$2:$B$1117,$B959,Versuchsdaten!$C$2:$C$1117,"Sprint_30m",Versuchsdaten!$E$2:$E$1117,$E959,Versuchsdaten!$J$2:$J$1117,1),""))</f>
        <v/>
      </c>
      <c r="N959" s="22">
        <f>IF(LEFT(C959,7)&lt;&gt;"Sprint_",0,IF(IF(ISNUMBER(K959),IF(K959&lt;=0,1,IF(5/K959&gt;10,1,0)),0)+IF(ISNUMBER(L959),IF(ISNUMBER(K959),IF(L959-K959&lt;=0,1,IF(5/(L959-K959)&gt;10,1,0)),IF(L959&lt;=0,1,IF(10/L959&gt;10,1,0))),0)+IF(ISNUMBER(M959),IF(ISNUMBER(L959),IF(M959-L959&lt;=0,1,IF(20/(M959-L959)&gt;10,1,0)),IF(ISNUMBER(K959),IF(M959-K959&lt;=0,1,IF(25/(M959-K959)&gt;10,1,0)),IF(M959&lt;=0,1,IF(30/M959&gt;10,1,0)))),0)&gt;0,1,0))</f>
        <v/>
      </c>
      <c r="O959" s="22">
        <f>IF(AND(J959=1,N959=0),1,0)</f>
        <v/>
      </c>
      <c r="P959" s="22">
        <f>INDEX(Personendaten!$J$2:$J$32,MATCH(A959,Personendaten!$A$2:$A$32,0))</f>
        <v/>
      </c>
      <c r="Q959" s="22">
        <f>IF(O959=1,"",IF(AND(B959="post",P959="nicht angetreten"),"NANG",IF(N959=1,"AUSL",IFERROR(VLOOKUP(H959,Vokabular!$A$2:$B$8,2,FALSE),"UNBEKANNT"))))</f>
        <v/>
      </c>
    </row>
    <row r="960">
      <c r="A960" s="5" t="inlineStr">
        <is>
          <t>VS-05</t>
        </is>
      </c>
      <c r="B960" s="5" t="inlineStr">
        <is>
          <t>post</t>
        </is>
      </c>
      <c r="C960" s="5" t="inlineStr">
        <is>
          <t>Sprint_10m</t>
        </is>
      </c>
      <c r="D960" s="5" t="inlineStr">
        <is>
          <t>–</t>
        </is>
      </c>
      <c r="E960" s="5" t="n">
        <v>2</v>
      </c>
      <c r="F960" s="5" t="n"/>
      <c r="G960" s="5" t="n"/>
      <c r="H960" s="5" t="inlineStr">
        <is>
          <t>System nicht aufgenommen</t>
        </is>
      </c>
      <c r="I960" s="22">
        <f>INDEX(Personendaten!$C$2:$C$32,MATCH(A960,Personendaten!$A$2:$A$32,0))</f>
        <v/>
      </c>
      <c r="J960" s="22">
        <f>IF(AND(F960&lt;&gt;"",G960=""),1,0)</f>
        <v/>
      </c>
      <c r="K960" s="22">
        <f>IF(LEFT(C960,7)&lt;&gt;"Sprint_","",IF(COUNTIFS(Versuchsdaten!$A$2:$A$1117,$A960,Versuchsdaten!$B$2:$B$1117,$B960,Versuchsdaten!$C$2:$C$1117,"Sprint_5m",Versuchsdaten!$E$2:$E$1117,$E960,Versuchsdaten!$J$2:$J$1117,1)=1,SUMIFS(Versuchsdaten!$F$2:$F$1117,Versuchsdaten!$A$2:$A$1117,$A960,Versuchsdaten!$B$2:$B$1117,$B960,Versuchsdaten!$C$2:$C$1117,"Sprint_5m",Versuchsdaten!$E$2:$E$1117,$E960,Versuchsdaten!$J$2:$J$1117,1),""))</f>
        <v/>
      </c>
      <c r="L960" s="22">
        <f>IF(LEFT(C960,7)&lt;&gt;"Sprint_","",IF(COUNTIFS(Versuchsdaten!$A$2:$A$1117,$A960,Versuchsdaten!$B$2:$B$1117,$B960,Versuchsdaten!$C$2:$C$1117,"Sprint_10m",Versuchsdaten!$E$2:$E$1117,$E960,Versuchsdaten!$J$2:$J$1117,1)=1,SUMIFS(Versuchsdaten!$F$2:$F$1117,Versuchsdaten!$A$2:$A$1117,$A960,Versuchsdaten!$B$2:$B$1117,$B960,Versuchsdaten!$C$2:$C$1117,"Sprint_10m",Versuchsdaten!$E$2:$E$1117,$E960,Versuchsdaten!$J$2:$J$1117,1),""))</f>
        <v/>
      </c>
      <c r="M960" s="22">
        <f>IF(LEFT(C960,7)&lt;&gt;"Sprint_","",IF(COUNTIFS(Versuchsdaten!$A$2:$A$1117,$A960,Versuchsdaten!$B$2:$B$1117,$B960,Versuchsdaten!$C$2:$C$1117,"Sprint_30m",Versuchsdaten!$E$2:$E$1117,$E960,Versuchsdaten!$J$2:$J$1117,1)=1,SUMIFS(Versuchsdaten!$F$2:$F$1117,Versuchsdaten!$A$2:$A$1117,$A960,Versuchsdaten!$B$2:$B$1117,$B960,Versuchsdaten!$C$2:$C$1117,"Sprint_30m",Versuchsdaten!$E$2:$E$1117,$E960,Versuchsdaten!$J$2:$J$1117,1),""))</f>
        <v/>
      </c>
      <c r="N960" s="22">
        <f>IF(LEFT(C960,7)&lt;&gt;"Sprint_",0,IF(IF(ISNUMBER(K960),IF(K960&lt;=0,1,IF(5/K960&gt;10,1,0)),0)+IF(ISNUMBER(L960),IF(ISNUMBER(K960),IF(L960-K960&lt;=0,1,IF(5/(L960-K960)&gt;10,1,0)),IF(L960&lt;=0,1,IF(10/L960&gt;10,1,0))),0)+IF(ISNUMBER(M960),IF(ISNUMBER(L960),IF(M960-L960&lt;=0,1,IF(20/(M960-L960)&gt;10,1,0)),IF(ISNUMBER(K960),IF(M960-K960&lt;=0,1,IF(25/(M960-K960)&gt;10,1,0)),IF(M960&lt;=0,1,IF(30/M960&gt;10,1,0)))),0)&gt;0,1,0))</f>
        <v/>
      </c>
      <c r="O960" s="22">
        <f>IF(AND(J960=1,N960=0),1,0)</f>
        <v/>
      </c>
      <c r="P960" s="22">
        <f>INDEX(Personendaten!$J$2:$J$32,MATCH(A960,Personendaten!$A$2:$A$32,0))</f>
        <v/>
      </c>
      <c r="Q960" s="22">
        <f>IF(O960=1,"",IF(AND(B960="post",P960="nicht angetreten"),"NANG",IF(N960=1,"AUSL",IFERROR(VLOOKUP(H960,Vokabular!$A$2:$B$8,2,FALSE),"UNBEKANNT"))))</f>
        <v/>
      </c>
    </row>
    <row r="961">
      <c r="A961" s="5" t="inlineStr">
        <is>
          <t>VS-05</t>
        </is>
      </c>
      <c r="B961" s="5" t="inlineStr">
        <is>
          <t>post</t>
        </is>
      </c>
      <c r="C961" s="5" t="inlineStr">
        <is>
          <t>Sprint_10m</t>
        </is>
      </c>
      <c r="D961" s="5" t="inlineStr">
        <is>
          <t>–</t>
        </is>
      </c>
      <c r="E961" s="5" t="n">
        <v>3</v>
      </c>
      <c r="F961" s="5" t="n">
        <v>1.98</v>
      </c>
      <c r="G961" s="5" t="n"/>
      <c r="H961" s="5" t="n"/>
      <c r="I961" s="22">
        <f>INDEX(Personendaten!$C$2:$C$32,MATCH(A961,Personendaten!$A$2:$A$32,0))</f>
        <v/>
      </c>
      <c r="J961" s="22">
        <f>IF(AND(F961&lt;&gt;"",G961=""),1,0)</f>
        <v/>
      </c>
      <c r="K961" s="22">
        <f>IF(LEFT(C961,7)&lt;&gt;"Sprint_","",IF(COUNTIFS(Versuchsdaten!$A$2:$A$1117,$A961,Versuchsdaten!$B$2:$B$1117,$B961,Versuchsdaten!$C$2:$C$1117,"Sprint_5m",Versuchsdaten!$E$2:$E$1117,$E961,Versuchsdaten!$J$2:$J$1117,1)=1,SUMIFS(Versuchsdaten!$F$2:$F$1117,Versuchsdaten!$A$2:$A$1117,$A961,Versuchsdaten!$B$2:$B$1117,$B961,Versuchsdaten!$C$2:$C$1117,"Sprint_5m",Versuchsdaten!$E$2:$E$1117,$E961,Versuchsdaten!$J$2:$J$1117,1),""))</f>
        <v/>
      </c>
      <c r="L961" s="22">
        <f>IF(LEFT(C961,7)&lt;&gt;"Sprint_","",IF(COUNTIFS(Versuchsdaten!$A$2:$A$1117,$A961,Versuchsdaten!$B$2:$B$1117,$B961,Versuchsdaten!$C$2:$C$1117,"Sprint_10m",Versuchsdaten!$E$2:$E$1117,$E961,Versuchsdaten!$J$2:$J$1117,1)=1,SUMIFS(Versuchsdaten!$F$2:$F$1117,Versuchsdaten!$A$2:$A$1117,$A961,Versuchsdaten!$B$2:$B$1117,$B961,Versuchsdaten!$C$2:$C$1117,"Sprint_10m",Versuchsdaten!$E$2:$E$1117,$E961,Versuchsdaten!$J$2:$J$1117,1),""))</f>
        <v/>
      </c>
      <c r="M961" s="22">
        <f>IF(LEFT(C961,7)&lt;&gt;"Sprint_","",IF(COUNTIFS(Versuchsdaten!$A$2:$A$1117,$A961,Versuchsdaten!$B$2:$B$1117,$B961,Versuchsdaten!$C$2:$C$1117,"Sprint_30m",Versuchsdaten!$E$2:$E$1117,$E961,Versuchsdaten!$J$2:$J$1117,1)=1,SUMIFS(Versuchsdaten!$F$2:$F$1117,Versuchsdaten!$A$2:$A$1117,$A961,Versuchsdaten!$B$2:$B$1117,$B961,Versuchsdaten!$C$2:$C$1117,"Sprint_30m",Versuchsdaten!$E$2:$E$1117,$E961,Versuchsdaten!$J$2:$J$1117,1),""))</f>
        <v/>
      </c>
      <c r="N961" s="22">
        <f>IF(LEFT(C961,7)&lt;&gt;"Sprint_",0,IF(IF(ISNUMBER(K961),IF(K961&lt;=0,1,IF(5/K961&gt;10,1,0)),0)+IF(ISNUMBER(L961),IF(ISNUMBER(K961),IF(L961-K961&lt;=0,1,IF(5/(L961-K961)&gt;10,1,0)),IF(L961&lt;=0,1,IF(10/L961&gt;10,1,0))),0)+IF(ISNUMBER(M961),IF(ISNUMBER(L961),IF(M961-L961&lt;=0,1,IF(20/(M961-L961)&gt;10,1,0)),IF(ISNUMBER(K961),IF(M961-K961&lt;=0,1,IF(25/(M961-K961)&gt;10,1,0)),IF(M961&lt;=0,1,IF(30/M961&gt;10,1,0)))),0)&gt;0,1,0))</f>
        <v/>
      </c>
      <c r="O961" s="22">
        <f>IF(AND(J961=1,N961=0),1,0)</f>
        <v/>
      </c>
      <c r="P961" s="22">
        <f>INDEX(Personendaten!$J$2:$J$32,MATCH(A961,Personendaten!$A$2:$A$32,0))</f>
        <v/>
      </c>
      <c r="Q961" s="22">
        <f>IF(O961=1,"",IF(AND(B961="post",P961="nicht angetreten"),"NANG",IF(N961=1,"AUSL",IFERROR(VLOOKUP(H961,Vokabular!$A$2:$B$8,2,FALSE),"UNBEKANNT"))))</f>
        <v/>
      </c>
    </row>
    <row r="962">
      <c r="A962" s="5" t="inlineStr">
        <is>
          <t>VS-05</t>
        </is>
      </c>
      <c r="B962" s="5" t="inlineStr">
        <is>
          <t>post</t>
        </is>
      </c>
      <c r="C962" s="5" t="inlineStr">
        <is>
          <t>Sprint_30m</t>
        </is>
      </c>
      <c r="D962" s="5" t="inlineStr">
        <is>
          <t>–</t>
        </is>
      </c>
      <c r="E962" s="5" t="n">
        <v>1</v>
      </c>
      <c r="F962" s="5" t="n">
        <v>5.21</v>
      </c>
      <c r="G962" s="5" t="n"/>
      <c r="H962" s="5" t="n"/>
      <c r="I962" s="22">
        <f>INDEX(Personendaten!$C$2:$C$32,MATCH(A962,Personendaten!$A$2:$A$32,0))</f>
        <v/>
      </c>
      <c r="J962" s="22">
        <f>IF(AND(F962&lt;&gt;"",G962=""),1,0)</f>
        <v/>
      </c>
      <c r="K962" s="22">
        <f>IF(LEFT(C962,7)&lt;&gt;"Sprint_","",IF(COUNTIFS(Versuchsdaten!$A$2:$A$1117,$A962,Versuchsdaten!$B$2:$B$1117,$B962,Versuchsdaten!$C$2:$C$1117,"Sprint_5m",Versuchsdaten!$E$2:$E$1117,$E962,Versuchsdaten!$J$2:$J$1117,1)=1,SUMIFS(Versuchsdaten!$F$2:$F$1117,Versuchsdaten!$A$2:$A$1117,$A962,Versuchsdaten!$B$2:$B$1117,$B962,Versuchsdaten!$C$2:$C$1117,"Sprint_5m",Versuchsdaten!$E$2:$E$1117,$E962,Versuchsdaten!$J$2:$J$1117,1),""))</f>
        <v/>
      </c>
      <c r="L962" s="22">
        <f>IF(LEFT(C962,7)&lt;&gt;"Sprint_","",IF(COUNTIFS(Versuchsdaten!$A$2:$A$1117,$A962,Versuchsdaten!$B$2:$B$1117,$B962,Versuchsdaten!$C$2:$C$1117,"Sprint_10m",Versuchsdaten!$E$2:$E$1117,$E962,Versuchsdaten!$J$2:$J$1117,1)=1,SUMIFS(Versuchsdaten!$F$2:$F$1117,Versuchsdaten!$A$2:$A$1117,$A962,Versuchsdaten!$B$2:$B$1117,$B962,Versuchsdaten!$C$2:$C$1117,"Sprint_10m",Versuchsdaten!$E$2:$E$1117,$E962,Versuchsdaten!$J$2:$J$1117,1),""))</f>
        <v/>
      </c>
      <c r="M962" s="22">
        <f>IF(LEFT(C962,7)&lt;&gt;"Sprint_","",IF(COUNTIFS(Versuchsdaten!$A$2:$A$1117,$A962,Versuchsdaten!$B$2:$B$1117,$B962,Versuchsdaten!$C$2:$C$1117,"Sprint_30m",Versuchsdaten!$E$2:$E$1117,$E962,Versuchsdaten!$J$2:$J$1117,1)=1,SUMIFS(Versuchsdaten!$F$2:$F$1117,Versuchsdaten!$A$2:$A$1117,$A962,Versuchsdaten!$B$2:$B$1117,$B962,Versuchsdaten!$C$2:$C$1117,"Sprint_30m",Versuchsdaten!$E$2:$E$1117,$E962,Versuchsdaten!$J$2:$J$1117,1),""))</f>
        <v/>
      </c>
      <c r="N962" s="22">
        <f>IF(LEFT(C962,7)&lt;&gt;"Sprint_",0,IF(IF(ISNUMBER(K962),IF(K962&lt;=0,1,IF(5/K962&gt;10,1,0)),0)+IF(ISNUMBER(L962),IF(ISNUMBER(K962),IF(L962-K962&lt;=0,1,IF(5/(L962-K962)&gt;10,1,0)),IF(L962&lt;=0,1,IF(10/L962&gt;10,1,0))),0)+IF(ISNUMBER(M962),IF(ISNUMBER(L962),IF(M962-L962&lt;=0,1,IF(20/(M962-L962)&gt;10,1,0)),IF(ISNUMBER(K962),IF(M962-K962&lt;=0,1,IF(25/(M962-K962)&gt;10,1,0)),IF(M962&lt;=0,1,IF(30/M962&gt;10,1,0)))),0)&gt;0,1,0))</f>
        <v/>
      </c>
      <c r="O962" s="22">
        <f>IF(AND(J962=1,N962=0),1,0)</f>
        <v/>
      </c>
      <c r="P962" s="22">
        <f>INDEX(Personendaten!$J$2:$J$32,MATCH(A962,Personendaten!$A$2:$A$32,0))</f>
        <v/>
      </c>
      <c r="Q962" s="22">
        <f>IF(O962=1,"",IF(AND(B962="post",P962="nicht angetreten"),"NANG",IF(N962=1,"AUSL",IFERROR(VLOOKUP(H962,Vokabular!$A$2:$B$8,2,FALSE),"UNBEKANNT"))))</f>
        <v/>
      </c>
    </row>
    <row r="963">
      <c r="A963" s="5" t="inlineStr">
        <is>
          <t>VS-05</t>
        </is>
      </c>
      <c r="B963" s="5" t="inlineStr">
        <is>
          <t>post</t>
        </is>
      </c>
      <c r="C963" s="5" t="inlineStr">
        <is>
          <t>Sprint_30m</t>
        </is>
      </c>
      <c r="D963" s="5" t="inlineStr">
        <is>
          <t>–</t>
        </is>
      </c>
      <c r="E963" s="5" t="n">
        <v>2</v>
      </c>
      <c r="F963" s="5" t="n"/>
      <c r="G963" s="5" t="n"/>
      <c r="H963" s="5" t="inlineStr">
        <is>
          <t>System nicht aufgenommen</t>
        </is>
      </c>
      <c r="I963" s="22">
        <f>INDEX(Personendaten!$C$2:$C$32,MATCH(A963,Personendaten!$A$2:$A$32,0))</f>
        <v/>
      </c>
      <c r="J963" s="22">
        <f>IF(AND(F963&lt;&gt;"",G963=""),1,0)</f>
        <v/>
      </c>
      <c r="K963" s="22">
        <f>IF(LEFT(C963,7)&lt;&gt;"Sprint_","",IF(COUNTIFS(Versuchsdaten!$A$2:$A$1117,$A963,Versuchsdaten!$B$2:$B$1117,$B963,Versuchsdaten!$C$2:$C$1117,"Sprint_5m",Versuchsdaten!$E$2:$E$1117,$E963,Versuchsdaten!$J$2:$J$1117,1)=1,SUMIFS(Versuchsdaten!$F$2:$F$1117,Versuchsdaten!$A$2:$A$1117,$A963,Versuchsdaten!$B$2:$B$1117,$B963,Versuchsdaten!$C$2:$C$1117,"Sprint_5m",Versuchsdaten!$E$2:$E$1117,$E963,Versuchsdaten!$J$2:$J$1117,1),""))</f>
        <v/>
      </c>
      <c r="L963" s="22">
        <f>IF(LEFT(C963,7)&lt;&gt;"Sprint_","",IF(COUNTIFS(Versuchsdaten!$A$2:$A$1117,$A963,Versuchsdaten!$B$2:$B$1117,$B963,Versuchsdaten!$C$2:$C$1117,"Sprint_10m",Versuchsdaten!$E$2:$E$1117,$E963,Versuchsdaten!$J$2:$J$1117,1)=1,SUMIFS(Versuchsdaten!$F$2:$F$1117,Versuchsdaten!$A$2:$A$1117,$A963,Versuchsdaten!$B$2:$B$1117,$B963,Versuchsdaten!$C$2:$C$1117,"Sprint_10m",Versuchsdaten!$E$2:$E$1117,$E963,Versuchsdaten!$J$2:$J$1117,1),""))</f>
        <v/>
      </c>
      <c r="M963" s="22">
        <f>IF(LEFT(C963,7)&lt;&gt;"Sprint_","",IF(COUNTIFS(Versuchsdaten!$A$2:$A$1117,$A963,Versuchsdaten!$B$2:$B$1117,$B963,Versuchsdaten!$C$2:$C$1117,"Sprint_30m",Versuchsdaten!$E$2:$E$1117,$E963,Versuchsdaten!$J$2:$J$1117,1)=1,SUMIFS(Versuchsdaten!$F$2:$F$1117,Versuchsdaten!$A$2:$A$1117,$A963,Versuchsdaten!$B$2:$B$1117,$B963,Versuchsdaten!$C$2:$C$1117,"Sprint_30m",Versuchsdaten!$E$2:$E$1117,$E963,Versuchsdaten!$J$2:$J$1117,1),""))</f>
        <v/>
      </c>
      <c r="N963" s="22">
        <f>IF(LEFT(C963,7)&lt;&gt;"Sprint_",0,IF(IF(ISNUMBER(K963),IF(K963&lt;=0,1,IF(5/K963&gt;10,1,0)),0)+IF(ISNUMBER(L963),IF(ISNUMBER(K963),IF(L963-K963&lt;=0,1,IF(5/(L963-K963)&gt;10,1,0)),IF(L963&lt;=0,1,IF(10/L963&gt;10,1,0))),0)+IF(ISNUMBER(M963),IF(ISNUMBER(L963),IF(M963-L963&lt;=0,1,IF(20/(M963-L963)&gt;10,1,0)),IF(ISNUMBER(K963),IF(M963-K963&lt;=0,1,IF(25/(M963-K963)&gt;10,1,0)),IF(M963&lt;=0,1,IF(30/M963&gt;10,1,0)))),0)&gt;0,1,0))</f>
        <v/>
      </c>
      <c r="O963" s="22">
        <f>IF(AND(J963=1,N963=0),1,0)</f>
        <v/>
      </c>
      <c r="P963" s="22">
        <f>INDEX(Personendaten!$J$2:$J$32,MATCH(A963,Personendaten!$A$2:$A$32,0))</f>
        <v/>
      </c>
      <c r="Q963" s="22">
        <f>IF(O963=1,"",IF(AND(B963="post",P963="nicht angetreten"),"NANG",IF(N963=1,"AUSL",IFERROR(VLOOKUP(H963,Vokabular!$A$2:$B$8,2,FALSE),"UNBEKANNT"))))</f>
        <v/>
      </c>
    </row>
    <row r="964">
      <c r="A964" s="5" t="inlineStr">
        <is>
          <t>VS-05</t>
        </is>
      </c>
      <c r="B964" s="5" t="inlineStr">
        <is>
          <t>post</t>
        </is>
      </c>
      <c r="C964" s="5" t="inlineStr">
        <is>
          <t>Sprint_30m</t>
        </is>
      </c>
      <c r="D964" s="5" t="inlineStr">
        <is>
          <t>–</t>
        </is>
      </c>
      <c r="E964" s="5" t="n">
        <v>3</v>
      </c>
      <c r="F964" s="5" t="n">
        <v>5.03</v>
      </c>
      <c r="G964" s="5" t="n"/>
      <c r="H964" s="5" t="n"/>
      <c r="I964" s="22">
        <f>INDEX(Personendaten!$C$2:$C$32,MATCH(A964,Personendaten!$A$2:$A$32,0))</f>
        <v/>
      </c>
      <c r="J964" s="22">
        <f>IF(AND(F964&lt;&gt;"",G964=""),1,0)</f>
        <v/>
      </c>
      <c r="K964" s="22">
        <f>IF(LEFT(C964,7)&lt;&gt;"Sprint_","",IF(COUNTIFS(Versuchsdaten!$A$2:$A$1117,$A964,Versuchsdaten!$B$2:$B$1117,$B964,Versuchsdaten!$C$2:$C$1117,"Sprint_5m",Versuchsdaten!$E$2:$E$1117,$E964,Versuchsdaten!$J$2:$J$1117,1)=1,SUMIFS(Versuchsdaten!$F$2:$F$1117,Versuchsdaten!$A$2:$A$1117,$A964,Versuchsdaten!$B$2:$B$1117,$B964,Versuchsdaten!$C$2:$C$1117,"Sprint_5m",Versuchsdaten!$E$2:$E$1117,$E964,Versuchsdaten!$J$2:$J$1117,1),""))</f>
        <v/>
      </c>
      <c r="L964" s="22">
        <f>IF(LEFT(C964,7)&lt;&gt;"Sprint_","",IF(COUNTIFS(Versuchsdaten!$A$2:$A$1117,$A964,Versuchsdaten!$B$2:$B$1117,$B964,Versuchsdaten!$C$2:$C$1117,"Sprint_10m",Versuchsdaten!$E$2:$E$1117,$E964,Versuchsdaten!$J$2:$J$1117,1)=1,SUMIFS(Versuchsdaten!$F$2:$F$1117,Versuchsdaten!$A$2:$A$1117,$A964,Versuchsdaten!$B$2:$B$1117,$B964,Versuchsdaten!$C$2:$C$1117,"Sprint_10m",Versuchsdaten!$E$2:$E$1117,$E964,Versuchsdaten!$J$2:$J$1117,1),""))</f>
        <v/>
      </c>
      <c r="M964" s="22">
        <f>IF(LEFT(C964,7)&lt;&gt;"Sprint_","",IF(COUNTIFS(Versuchsdaten!$A$2:$A$1117,$A964,Versuchsdaten!$B$2:$B$1117,$B964,Versuchsdaten!$C$2:$C$1117,"Sprint_30m",Versuchsdaten!$E$2:$E$1117,$E964,Versuchsdaten!$J$2:$J$1117,1)=1,SUMIFS(Versuchsdaten!$F$2:$F$1117,Versuchsdaten!$A$2:$A$1117,$A964,Versuchsdaten!$B$2:$B$1117,$B964,Versuchsdaten!$C$2:$C$1117,"Sprint_30m",Versuchsdaten!$E$2:$E$1117,$E964,Versuchsdaten!$J$2:$J$1117,1),""))</f>
        <v/>
      </c>
      <c r="N964" s="22">
        <f>IF(LEFT(C964,7)&lt;&gt;"Sprint_",0,IF(IF(ISNUMBER(K964),IF(K964&lt;=0,1,IF(5/K964&gt;10,1,0)),0)+IF(ISNUMBER(L964),IF(ISNUMBER(K964),IF(L964-K964&lt;=0,1,IF(5/(L964-K964)&gt;10,1,0)),IF(L964&lt;=0,1,IF(10/L964&gt;10,1,0))),0)+IF(ISNUMBER(M964),IF(ISNUMBER(L964),IF(M964-L964&lt;=0,1,IF(20/(M964-L964)&gt;10,1,0)),IF(ISNUMBER(K964),IF(M964-K964&lt;=0,1,IF(25/(M964-K964)&gt;10,1,0)),IF(M964&lt;=0,1,IF(30/M964&gt;10,1,0)))),0)&gt;0,1,0))</f>
        <v/>
      </c>
      <c r="O964" s="22">
        <f>IF(AND(J964=1,N964=0),1,0)</f>
        <v/>
      </c>
      <c r="P964" s="22">
        <f>INDEX(Personendaten!$J$2:$J$32,MATCH(A964,Personendaten!$A$2:$A$32,0))</f>
        <v/>
      </c>
      <c r="Q964" s="22">
        <f>IF(O964=1,"",IF(AND(B964="post",P964="nicht angetreten"),"NANG",IF(N964=1,"AUSL",IFERROR(VLOOKUP(H964,Vokabular!$A$2:$B$8,2,FALSE),"UNBEKANNT"))))</f>
        <v/>
      </c>
    </row>
    <row r="965">
      <c r="A965" s="5" t="inlineStr">
        <is>
          <t>VS-05</t>
        </is>
      </c>
      <c r="B965" s="5" t="inlineStr">
        <is>
          <t>post</t>
        </is>
      </c>
      <c r="C965" s="5" t="inlineStr">
        <is>
          <t>Standweitsprung</t>
        </is>
      </c>
      <c r="D965" s="5" t="inlineStr">
        <is>
          <t>–</t>
        </is>
      </c>
      <c r="E965" s="5" t="n">
        <v>1</v>
      </c>
      <c r="F965" s="5" t="n">
        <v>225</v>
      </c>
      <c r="G965" s="5" t="n"/>
      <c r="H965" s="5" t="n"/>
      <c r="I965" s="22">
        <f>INDEX(Personendaten!$C$2:$C$32,MATCH(A965,Personendaten!$A$2:$A$32,0))</f>
        <v/>
      </c>
      <c r="J965" s="22">
        <f>IF(AND(F965&lt;&gt;"",G965=""),1,0)</f>
        <v/>
      </c>
      <c r="K965" s="22">
        <f>IF(LEFT(C965,7)&lt;&gt;"Sprint_","",IF(COUNTIFS(Versuchsdaten!$A$2:$A$1117,$A965,Versuchsdaten!$B$2:$B$1117,$B965,Versuchsdaten!$C$2:$C$1117,"Sprint_5m",Versuchsdaten!$E$2:$E$1117,$E965,Versuchsdaten!$J$2:$J$1117,1)=1,SUMIFS(Versuchsdaten!$F$2:$F$1117,Versuchsdaten!$A$2:$A$1117,$A965,Versuchsdaten!$B$2:$B$1117,$B965,Versuchsdaten!$C$2:$C$1117,"Sprint_5m",Versuchsdaten!$E$2:$E$1117,$E965,Versuchsdaten!$J$2:$J$1117,1),""))</f>
        <v/>
      </c>
      <c r="L965" s="22">
        <f>IF(LEFT(C965,7)&lt;&gt;"Sprint_","",IF(COUNTIFS(Versuchsdaten!$A$2:$A$1117,$A965,Versuchsdaten!$B$2:$B$1117,$B965,Versuchsdaten!$C$2:$C$1117,"Sprint_10m",Versuchsdaten!$E$2:$E$1117,$E965,Versuchsdaten!$J$2:$J$1117,1)=1,SUMIFS(Versuchsdaten!$F$2:$F$1117,Versuchsdaten!$A$2:$A$1117,$A965,Versuchsdaten!$B$2:$B$1117,$B965,Versuchsdaten!$C$2:$C$1117,"Sprint_10m",Versuchsdaten!$E$2:$E$1117,$E965,Versuchsdaten!$J$2:$J$1117,1),""))</f>
        <v/>
      </c>
      <c r="M965" s="22">
        <f>IF(LEFT(C965,7)&lt;&gt;"Sprint_","",IF(COUNTIFS(Versuchsdaten!$A$2:$A$1117,$A965,Versuchsdaten!$B$2:$B$1117,$B965,Versuchsdaten!$C$2:$C$1117,"Sprint_30m",Versuchsdaten!$E$2:$E$1117,$E965,Versuchsdaten!$J$2:$J$1117,1)=1,SUMIFS(Versuchsdaten!$F$2:$F$1117,Versuchsdaten!$A$2:$A$1117,$A965,Versuchsdaten!$B$2:$B$1117,$B965,Versuchsdaten!$C$2:$C$1117,"Sprint_30m",Versuchsdaten!$E$2:$E$1117,$E965,Versuchsdaten!$J$2:$J$1117,1),""))</f>
        <v/>
      </c>
      <c r="N965" s="22">
        <f>IF(LEFT(C965,7)&lt;&gt;"Sprint_",0,IF(IF(ISNUMBER(K965),IF(K965&lt;=0,1,IF(5/K965&gt;10,1,0)),0)+IF(ISNUMBER(L965),IF(ISNUMBER(K965),IF(L965-K965&lt;=0,1,IF(5/(L965-K965)&gt;10,1,0)),IF(L965&lt;=0,1,IF(10/L965&gt;10,1,0))),0)+IF(ISNUMBER(M965),IF(ISNUMBER(L965),IF(M965-L965&lt;=0,1,IF(20/(M965-L965)&gt;10,1,0)),IF(ISNUMBER(K965),IF(M965-K965&lt;=0,1,IF(25/(M965-K965)&gt;10,1,0)),IF(M965&lt;=0,1,IF(30/M965&gt;10,1,0)))),0)&gt;0,1,0))</f>
        <v/>
      </c>
      <c r="O965" s="22">
        <f>IF(AND(J965=1,N965=0),1,0)</f>
        <v/>
      </c>
      <c r="P965" s="22">
        <f>INDEX(Personendaten!$J$2:$J$32,MATCH(A965,Personendaten!$A$2:$A$32,0))</f>
        <v/>
      </c>
      <c r="Q965" s="22">
        <f>IF(O965=1,"",IF(AND(B965="post",P965="nicht angetreten"),"NANG",IF(N965=1,"AUSL",IFERROR(VLOOKUP(H965,Vokabular!$A$2:$B$8,2,FALSE),"UNBEKANNT"))))</f>
        <v/>
      </c>
    </row>
    <row r="966">
      <c r="A966" s="5" t="inlineStr">
        <is>
          <t>VS-05</t>
        </is>
      </c>
      <c r="B966" s="5" t="inlineStr">
        <is>
          <t>post</t>
        </is>
      </c>
      <c r="C966" s="5" t="inlineStr">
        <is>
          <t>Standweitsprung</t>
        </is>
      </c>
      <c r="D966" s="5" t="inlineStr">
        <is>
          <t>–</t>
        </is>
      </c>
      <c r="E966" s="5" t="n">
        <v>2</v>
      </c>
      <c r="F966" s="5" t="n">
        <v>225</v>
      </c>
      <c r="G966" s="5" t="n"/>
      <c r="H966" s="5" t="n"/>
      <c r="I966" s="22">
        <f>INDEX(Personendaten!$C$2:$C$32,MATCH(A966,Personendaten!$A$2:$A$32,0))</f>
        <v/>
      </c>
      <c r="J966" s="22">
        <f>IF(AND(F966&lt;&gt;"",G966=""),1,0)</f>
        <v/>
      </c>
      <c r="K966" s="22">
        <f>IF(LEFT(C966,7)&lt;&gt;"Sprint_","",IF(COUNTIFS(Versuchsdaten!$A$2:$A$1117,$A966,Versuchsdaten!$B$2:$B$1117,$B966,Versuchsdaten!$C$2:$C$1117,"Sprint_5m",Versuchsdaten!$E$2:$E$1117,$E966,Versuchsdaten!$J$2:$J$1117,1)=1,SUMIFS(Versuchsdaten!$F$2:$F$1117,Versuchsdaten!$A$2:$A$1117,$A966,Versuchsdaten!$B$2:$B$1117,$B966,Versuchsdaten!$C$2:$C$1117,"Sprint_5m",Versuchsdaten!$E$2:$E$1117,$E966,Versuchsdaten!$J$2:$J$1117,1),""))</f>
        <v/>
      </c>
      <c r="L966" s="22">
        <f>IF(LEFT(C966,7)&lt;&gt;"Sprint_","",IF(COUNTIFS(Versuchsdaten!$A$2:$A$1117,$A966,Versuchsdaten!$B$2:$B$1117,$B966,Versuchsdaten!$C$2:$C$1117,"Sprint_10m",Versuchsdaten!$E$2:$E$1117,$E966,Versuchsdaten!$J$2:$J$1117,1)=1,SUMIFS(Versuchsdaten!$F$2:$F$1117,Versuchsdaten!$A$2:$A$1117,$A966,Versuchsdaten!$B$2:$B$1117,$B966,Versuchsdaten!$C$2:$C$1117,"Sprint_10m",Versuchsdaten!$E$2:$E$1117,$E966,Versuchsdaten!$J$2:$J$1117,1),""))</f>
        <v/>
      </c>
      <c r="M966" s="22">
        <f>IF(LEFT(C966,7)&lt;&gt;"Sprint_","",IF(COUNTIFS(Versuchsdaten!$A$2:$A$1117,$A966,Versuchsdaten!$B$2:$B$1117,$B966,Versuchsdaten!$C$2:$C$1117,"Sprint_30m",Versuchsdaten!$E$2:$E$1117,$E966,Versuchsdaten!$J$2:$J$1117,1)=1,SUMIFS(Versuchsdaten!$F$2:$F$1117,Versuchsdaten!$A$2:$A$1117,$A966,Versuchsdaten!$B$2:$B$1117,$B966,Versuchsdaten!$C$2:$C$1117,"Sprint_30m",Versuchsdaten!$E$2:$E$1117,$E966,Versuchsdaten!$J$2:$J$1117,1),""))</f>
        <v/>
      </c>
      <c r="N966" s="22">
        <f>IF(LEFT(C966,7)&lt;&gt;"Sprint_",0,IF(IF(ISNUMBER(K966),IF(K966&lt;=0,1,IF(5/K966&gt;10,1,0)),0)+IF(ISNUMBER(L966),IF(ISNUMBER(K966),IF(L966-K966&lt;=0,1,IF(5/(L966-K966)&gt;10,1,0)),IF(L966&lt;=0,1,IF(10/L966&gt;10,1,0))),0)+IF(ISNUMBER(M966),IF(ISNUMBER(L966),IF(M966-L966&lt;=0,1,IF(20/(M966-L966)&gt;10,1,0)),IF(ISNUMBER(K966),IF(M966-K966&lt;=0,1,IF(25/(M966-K966)&gt;10,1,0)),IF(M966&lt;=0,1,IF(30/M966&gt;10,1,0)))),0)&gt;0,1,0))</f>
        <v/>
      </c>
      <c r="O966" s="22">
        <f>IF(AND(J966=1,N966=0),1,0)</f>
        <v/>
      </c>
      <c r="P966" s="22">
        <f>INDEX(Personendaten!$J$2:$J$32,MATCH(A966,Personendaten!$A$2:$A$32,0))</f>
        <v/>
      </c>
      <c r="Q966" s="22">
        <f>IF(O966=1,"",IF(AND(B966="post",P966="nicht angetreten"),"NANG",IF(N966=1,"AUSL",IFERROR(VLOOKUP(H966,Vokabular!$A$2:$B$8,2,FALSE),"UNBEKANNT"))))</f>
        <v/>
      </c>
    </row>
    <row r="967">
      <c r="A967" s="5" t="inlineStr">
        <is>
          <t>VS-05</t>
        </is>
      </c>
      <c r="B967" s="5" t="inlineStr">
        <is>
          <t>post</t>
        </is>
      </c>
      <c r="C967" s="5" t="inlineStr">
        <is>
          <t>Standweitsprung</t>
        </is>
      </c>
      <c r="D967" s="5" t="inlineStr">
        <is>
          <t>–</t>
        </is>
      </c>
      <c r="E967" s="5" t="n">
        <v>3</v>
      </c>
      <c r="F967" s="5" t="n"/>
      <c r="G967" s="5" t="n"/>
      <c r="H967" s="5" t="inlineStr">
        <is>
          <t>Nur 2 Versuche aus Zeitmangel</t>
        </is>
      </c>
      <c r="I967" s="22">
        <f>INDEX(Personendaten!$C$2:$C$32,MATCH(A967,Personendaten!$A$2:$A$32,0))</f>
        <v/>
      </c>
      <c r="J967" s="22">
        <f>IF(AND(F967&lt;&gt;"",G967=""),1,0)</f>
        <v/>
      </c>
      <c r="K967" s="22">
        <f>IF(LEFT(C967,7)&lt;&gt;"Sprint_","",IF(COUNTIFS(Versuchsdaten!$A$2:$A$1117,$A967,Versuchsdaten!$B$2:$B$1117,$B967,Versuchsdaten!$C$2:$C$1117,"Sprint_5m",Versuchsdaten!$E$2:$E$1117,$E967,Versuchsdaten!$J$2:$J$1117,1)=1,SUMIFS(Versuchsdaten!$F$2:$F$1117,Versuchsdaten!$A$2:$A$1117,$A967,Versuchsdaten!$B$2:$B$1117,$B967,Versuchsdaten!$C$2:$C$1117,"Sprint_5m",Versuchsdaten!$E$2:$E$1117,$E967,Versuchsdaten!$J$2:$J$1117,1),""))</f>
        <v/>
      </c>
      <c r="L967" s="22">
        <f>IF(LEFT(C967,7)&lt;&gt;"Sprint_","",IF(COUNTIFS(Versuchsdaten!$A$2:$A$1117,$A967,Versuchsdaten!$B$2:$B$1117,$B967,Versuchsdaten!$C$2:$C$1117,"Sprint_10m",Versuchsdaten!$E$2:$E$1117,$E967,Versuchsdaten!$J$2:$J$1117,1)=1,SUMIFS(Versuchsdaten!$F$2:$F$1117,Versuchsdaten!$A$2:$A$1117,$A967,Versuchsdaten!$B$2:$B$1117,$B967,Versuchsdaten!$C$2:$C$1117,"Sprint_10m",Versuchsdaten!$E$2:$E$1117,$E967,Versuchsdaten!$J$2:$J$1117,1),""))</f>
        <v/>
      </c>
      <c r="M967" s="22">
        <f>IF(LEFT(C967,7)&lt;&gt;"Sprint_","",IF(COUNTIFS(Versuchsdaten!$A$2:$A$1117,$A967,Versuchsdaten!$B$2:$B$1117,$B967,Versuchsdaten!$C$2:$C$1117,"Sprint_30m",Versuchsdaten!$E$2:$E$1117,$E967,Versuchsdaten!$J$2:$J$1117,1)=1,SUMIFS(Versuchsdaten!$F$2:$F$1117,Versuchsdaten!$A$2:$A$1117,$A967,Versuchsdaten!$B$2:$B$1117,$B967,Versuchsdaten!$C$2:$C$1117,"Sprint_30m",Versuchsdaten!$E$2:$E$1117,$E967,Versuchsdaten!$J$2:$J$1117,1),""))</f>
        <v/>
      </c>
      <c r="N967" s="22">
        <f>IF(LEFT(C967,7)&lt;&gt;"Sprint_",0,IF(IF(ISNUMBER(K967),IF(K967&lt;=0,1,IF(5/K967&gt;10,1,0)),0)+IF(ISNUMBER(L967),IF(ISNUMBER(K967),IF(L967-K967&lt;=0,1,IF(5/(L967-K967)&gt;10,1,0)),IF(L967&lt;=0,1,IF(10/L967&gt;10,1,0))),0)+IF(ISNUMBER(M967),IF(ISNUMBER(L967),IF(M967-L967&lt;=0,1,IF(20/(M967-L967)&gt;10,1,0)),IF(ISNUMBER(K967),IF(M967-K967&lt;=0,1,IF(25/(M967-K967)&gt;10,1,0)),IF(M967&lt;=0,1,IF(30/M967&gt;10,1,0)))),0)&gt;0,1,0))</f>
        <v/>
      </c>
      <c r="O967" s="22">
        <f>IF(AND(J967=1,N967=0),1,0)</f>
        <v/>
      </c>
      <c r="P967" s="22">
        <f>INDEX(Personendaten!$J$2:$J$32,MATCH(A967,Personendaten!$A$2:$A$32,0))</f>
        <v/>
      </c>
      <c r="Q967" s="22">
        <f>IF(O967=1,"",IF(AND(B967="post",P967="nicht angetreten"),"NANG",IF(N967=1,"AUSL",IFERROR(VLOOKUP(H967,Vokabular!$A$2:$B$8,2,FALSE),"UNBEKANNT"))))</f>
        <v/>
      </c>
    </row>
    <row r="968">
      <c r="A968" s="5" t="inlineStr">
        <is>
          <t>VS-05</t>
        </is>
      </c>
      <c r="B968" s="5" t="inlineStr">
        <is>
          <t>post</t>
        </is>
      </c>
      <c r="C968" s="5" t="inlineStr">
        <is>
          <t>COD_505</t>
        </is>
      </c>
      <c r="D968" s="5" t="inlineStr">
        <is>
          <t>L</t>
        </is>
      </c>
      <c r="E968" s="5" t="n">
        <v>1</v>
      </c>
      <c r="F968" s="5" t="n">
        <v>2.52</v>
      </c>
      <c r="G968" s="5" t="n"/>
      <c r="H968" s="5" t="n"/>
      <c r="I968" s="22">
        <f>INDEX(Personendaten!$C$2:$C$32,MATCH(A968,Personendaten!$A$2:$A$32,0))</f>
        <v/>
      </c>
      <c r="J968" s="22">
        <f>IF(AND(F968&lt;&gt;"",G968=""),1,0)</f>
        <v/>
      </c>
      <c r="K968" s="22">
        <f>IF(LEFT(C968,7)&lt;&gt;"Sprint_","",IF(COUNTIFS(Versuchsdaten!$A$2:$A$1117,$A968,Versuchsdaten!$B$2:$B$1117,$B968,Versuchsdaten!$C$2:$C$1117,"Sprint_5m",Versuchsdaten!$E$2:$E$1117,$E968,Versuchsdaten!$J$2:$J$1117,1)=1,SUMIFS(Versuchsdaten!$F$2:$F$1117,Versuchsdaten!$A$2:$A$1117,$A968,Versuchsdaten!$B$2:$B$1117,$B968,Versuchsdaten!$C$2:$C$1117,"Sprint_5m",Versuchsdaten!$E$2:$E$1117,$E968,Versuchsdaten!$J$2:$J$1117,1),""))</f>
        <v/>
      </c>
      <c r="L968" s="22">
        <f>IF(LEFT(C968,7)&lt;&gt;"Sprint_","",IF(COUNTIFS(Versuchsdaten!$A$2:$A$1117,$A968,Versuchsdaten!$B$2:$B$1117,$B968,Versuchsdaten!$C$2:$C$1117,"Sprint_10m",Versuchsdaten!$E$2:$E$1117,$E968,Versuchsdaten!$J$2:$J$1117,1)=1,SUMIFS(Versuchsdaten!$F$2:$F$1117,Versuchsdaten!$A$2:$A$1117,$A968,Versuchsdaten!$B$2:$B$1117,$B968,Versuchsdaten!$C$2:$C$1117,"Sprint_10m",Versuchsdaten!$E$2:$E$1117,$E968,Versuchsdaten!$J$2:$J$1117,1),""))</f>
        <v/>
      </c>
      <c r="M968" s="22">
        <f>IF(LEFT(C968,7)&lt;&gt;"Sprint_","",IF(COUNTIFS(Versuchsdaten!$A$2:$A$1117,$A968,Versuchsdaten!$B$2:$B$1117,$B968,Versuchsdaten!$C$2:$C$1117,"Sprint_30m",Versuchsdaten!$E$2:$E$1117,$E968,Versuchsdaten!$J$2:$J$1117,1)=1,SUMIFS(Versuchsdaten!$F$2:$F$1117,Versuchsdaten!$A$2:$A$1117,$A968,Versuchsdaten!$B$2:$B$1117,$B968,Versuchsdaten!$C$2:$C$1117,"Sprint_30m",Versuchsdaten!$E$2:$E$1117,$E968,Versuchsdaten!$J$2:$J$1117,1),""))</f>
        <v/>
      </c>
      <c r="N968" s="22">
        <f>IF(LEFT(C968,7)&lt;&gt;"Sprint_",0,IF(IF(ISNUMBER(K968),IF(K968&lt;=0,1,IF(5/K968&gt;10,1,0)),0)+IF(ISNUMBER(L968),IF(ISNUMBER(K968),IF(L968-K968&lt;=0,1,IF(5/(L968-K968)&gt;10,1,0)),IF(L968&lt;=0,1,IF(10/L968&gt;10,1,0))),0)+IF(ISNUMBER(M968),IF(ISNUMBER(L968),IF(M968-L968&lt;=0,1,IF(20/(M968-L968)&gt;10,1,0)),IF(ISNUMBER(K968),IF(M968-K968&lt;=0,1,IF(25/(M968-K968)&gt;10,1,0)),IF(M968&lt;=0,1,IF(30/M968&gt;10,1,0)))),0)&gt;0,1,0))</f>
        <v/>
      </c>
      <c r="O968" s="22">
        <f>IF(AND(J968=1,N968=0),1,0)</f>
        <v/>
      </c>
      <c r="P968" s="22">
        <f>INDEX(Personendaten!$J$2:$J$32,MATCH(A968,Personendaten!$A$2:$A$32,0))</f>
        <v/>
      </c>
      <c r="Q968" s="22">
        <f>IF(O968=1,"",IF(AND(B968="post",P968="nicht angetreten"),"NANG",IF(N968=1,"AUSL",IFERROR(VLOOKUP(H968,Vokabular!$A$2:$B$8,2,FALSE),"UNBEKANNT"))))</f>
        <v/>
      </c>
    </row>
    <row r="969">
      <c r="A969" s="5" t="inlineStr">
        <is>
          <t>VS-05</t>
        </is>
      </c>
      <c r="B969" s="5" t="inlineStr">
        <is>
          <t>post</t>
        </is>
      </c>
      <c r="C969" s="5" t="inlineStr">
        <is>
          <t>COD_505</t>
        </is>
      </c>
      <c r="D969" s="5" t="inlineStr">
        <is>
          <t>L</t>
        </is>
      </c>
      <c r="E969" s="5" t="n">
        <v>2</v>
      </c>
      <c r="F969" s="5" t="n">
        <v>2.51</v>
      </c>
      <c r="G969" s="5" t="n"/>
      <c r="H969" s="5" t="n"/>
      <c r="I969" s="22">
        <f>INDEX(Personendaten!$C$2:$C$32,MATCH(A969,Personendaten!$A$2:$A$32,0))</f>
        <v/>
      </c>
      <c r="J969" s="22">
        <f>IF(AND(F969&lt;&gt;"",G969=""),1,0)</f>
        <v/>
      </c>
      <c r="K969" s="22">
        <f>IF(LEFT(C969,7)&lt;&gt;"Sprint_","",IF(COUNTIFS(Versuchsdaten!$A$2:$A$1117,$A969,Versuchsdaten!$B$2:$B$1117,$B969,Versuchsdaten!$C$2:$C$1117,"Sprint_5m",Versuchsdaten!$E$2:$E$1117,$E969,Versuchsdaten!$J$2:$J$1117,1)=1,SUMIFS(Versuchsdaten!$F$2:$F$1117,Versuchsdaten!$A$2:$A$1117,$A969,Versuchsdaten!$B$2:$B$1117,$B969,Versuchsdaten!$C$2:$C$1117,"Sprint_5m",Versuchsdaten!$E$2:$E$1117,$E969,Versuchsdaten!$J$2:$J$1117,1),""))</f>
        <v/>
      </c>
      <c r="L969" s="22">
        <f>IF(LEFT(C969,7)&lt;&gt;"Sprint_","",IF(COUNTIFS(Versuchsdaten!$A$2:$A$1117,$A969,Versuchsdaten!$B$2:$B$1117,$B969,Versuchsdaten!$C$2:$C$1117,"Sprint_10m",Versuchsdaten!$E$2:$E$1117,$E969,Versuchsdaten!$J$2:$J$1117,1)=1,SUMIFS(Versuchsdaten!$F$2:$F$1117,Versuchsdaten!$A$2:$A$1117,$A969,Versuchsdaten!$B$2:$B$1117,$B969,Versuchsdaten!$C$2:$C$1117,"Sprint_10m",Versuchsdaten!$E$2:$E$1117,$E969,Versuchsdaten!$J$2:$J$1117,1),""))</f>
        <v/>
      </c>
      <c r="M969" s="22">
        <f>IF(LEFT(C969,7)&lt;&gt;"Sprint_","",IF(COUNTIFS(Versuchsdaten!$A$2:$A$1117,$A969,Versuchsdaten!$B$2:$B$1117,$B969,Versuchsdaten!$C$2:$C$1117,"Sprint_30m",Versuchsdaten!$E$2:$E$1117,$E969,Versuchsdaten!$J$2:$J$1117,1)=1,SUMIFS(Versuchsdaten!$F$2:$F$1117,Versuchsdaten!$A$2:$A$1117,$A969,Versuchsdaten!$B$2:$B$1117,$B969,Versuchsdaten!$C$2:$C$1117,"Sprint_30m",Versuchsdaten!$E$2:$E$1117,$E969,Versuchsdaten!$J$2:$J$1117,1),""))</f>
        <v/>
      </c>
      <c r="N969" s="22">
        <f>IF(LEFT(C969,7)&lt;&gt;"Sprint_",0,IF(IF(ISNUMBER(K969),IF(K969&lt;=0,1,IF(5/K969&gt;10,1,0)),0)+IF(ISNUMBER(L969),IF(ISNUMBER(K969),IF(L969-K969&lt;=0,1,IF(5/(L969-K969)&gt;10,1,0)),IF(L969&lt;=0,1,IF(10/L969&gt;10,1,0))),0)+IF(ISNUMBER(M969),IF(ISNUMBER(L969),IF(M969-L969&lt;=0,1,IF(20/(M969-L969)&gt;10,1,0)),IF(ISNUMBER(K969),IF(M969-K969&lt;=0,1,IF(25/(M969-K969)&gt;10,1,0)),IF(M969&lt;=0,1,IF(30/M969&gt;10,1,0)))),0)&gt;0,1,0))</f>
        <v/>
      </c>
      <c r="O969" s="22">
        <f>IF(AND(J969=1,N969=0),1,0)</f>
        <v/>
      </c>
      <c r="P969" s="22">
        <f>INDEX(Personendaten!$J$2:$J$32,MATCH(A969,Personendaten!$A$2:$A$32,0))</f>
        <v/>
      </c>
      <c r="Q969" s="22">
        <f>IF(O969=1,"",IF(AND(B969="post",P969="nicht angetreten"),"NANG",IF(N969=1,"AUSL",IFERROR(VLOOKUP(H969,Vokabular!$A$2:$B$8,2,FALSE),"UNBEKANNT"))))</f>
        <v/>
      </c>
    </row>
    <row r="970">
      <c r="A970" s="5" t="inlineStr">
        <is>
          <t>VS-05</t>
        </is>
      </c>
      <c r="B970" s="5" t="inlineStr">
        <is>
          <t>post</t>
        </is>
      </c>
      <c r="C970" s="5" t="inlineStr">
        <is>
          <t>COD_505</t>
        </is>
      </c>
      <c r="D970" s="5" t="inlineStr">
        <is>
          <t>L</t>
        </is>
      </c>
      <c r="E970" s="5" t="n">
        <v>3</v>
      </c>
      <c r="F970" s="5" t="n"/>
      <c r="G970" s="5" t="n"/>
      <c r="H970" s="5" t="inlineStr">
        <is>
          <t>Nur 2 Versuche aus Zeitmangel</t>
        </is>
      </c>
      <c r="I970" s="22">
        <f>INDEX(Personendaten!$C$2:$C$32,MATCH(A970,Personendaten!$A$2:$A$32,0))</f>
        <v/>
      </c>
      <c r="J970" s="22">
        <f>IF(AND(F970&lt;&gt;"",G970=""),1,0)</f>
        <v/>
      </c>
      <c r="K970" s="22">
        <f>IF(LEFT(C970,7)&lt;&gt;"Sprint_","",IF(COUNTIFS(Versuchsdaten!$A$2:$A$1117,$A970,Versuchsdaten!$B$2:$B$1117,$B970,Versuchsdaten!$C$2:$C$1117,"Sprint_5m",Versuchsdaten!$E$2:$E$1117,$E970,Versuchsdaten!$J$2:$J$1117,1)=1,SUMIFS(Versuchsdaten!$F$2:$F$1117,Versuchsdaten!$A$2:$A$1117,$A970,Versuchsdaten!$B$2:$B$1117,$B970,Versuchsdaten!$C$2:$C$1117,"Sprint_5m",Versuchsdaten!$E$2:$E$1117,$E970,Versuchsdaten!$J$2:$J$1117,1),""))</f>
        <v/>
      </c>
      <c r="L970" s="22">
        <f>IF(LEFT(C970,7)&lt;&gt;"Sprint_","",IF(COUNTIFS(Versuchsdaten!$A$2:$A$1117,$A970,Versuchsdaten!$B$2:$B$1117,$B970,Versuchsdaten!$C$2:$C$1117,"Sprint_10m",Versuchsdaten!$E$2:$E$1117,$E970,Versuchsdaten!$J$2:$J$1117,1)=1,SUMIFS(Versuchsdaten!$F$2:$F$1117,Versuchsdaten!$A$2:$A$1117,$A970,Versuchsdaten!$B$2:$B$1117,$B970,Versuchsdaten!$C$2:$C$1117,"Sprint_10m",Versuchsdaten!$E$2:$E$1117,$E970,Versuchsdaten!$J$2:$J$1117,1),""))</f>
        <v/>
      </c>
      <c r="M970" s="22">
        <f>IF(LEFT(C970,7)&lt;&gt;"Sprint_","",IF(COUNTIFS(Versuchsdaten!$A$2:$A$1117,$A970,Versuchsdaten!$B$2:$B$1117,$B970,Versuchsdaten!$C$2:$C$1117,"Sprint_30m",Versuchsdaten!$E$2:$E$1117,$E970,Versuchsdaten!$J$2:$J$1117,1)=1,SUMIFS(Versuchsdaten!$F$2:$F$1117,Versuchsdaten!$A$2:$A$1117,$A970,Versuchsdaten!$B$2:$B$1117,$B970,Versuchsdaten!$C$2:$C$1117,"Sprint_30m",Versuchsdaten!$E$2:$E$1117,$E970,Versuchsdaten!$J$2:$J$1117,1),""))</f>
        <v/>
      </c>
      <c r="N970" s="22">
        <f>IF(LEFT(C970,7)&lt;&gt;"Sprint_",0,IF(IF(ISNUMBER(K970),IF(K970&lt;=0,1,IF(5/K970&gt;10,1,0)),0)+IF(ISNUMBER(L970),IF(ISNUMBER(K970),IF(L970-K970&lt;=0,1,IF(5/(L970-K970)&gt;10,1,0)),IF(L970&lt;=0,1,IF(10/L970&gt;10,1,0))),0)+IF(ISNUMBER(M970),IF(ISNUMBER(L970),IF(M970-L970&lt;=0,1,IF(20/(M970-L970)&gt;10,1,0)),IF(ISNUMBER(K970),IF(M970-K970&lt;=0,1,IF(25/(M970-K970)&gt;10,1,0)),IF(M970&lt;=0,1,IF(30/M970&gt;10,1,0)))),0)&gt;0,1,0))</f>
        <v/>
      </c>
      <c r="O970" s="22">
        <f>IF(AND(J970=1,N970=0),1,0)</f>
        <v/>
      </c>
      <c r="P970" s="22">
        <f>INDEX(Personendaten!$J$2:$J$32,MATCH(A970,Personendaten!$A$2:$A$32,0))</f>
        <v/>
      </c>
      <c r="Q970" s="22">
        <f>IF(O970=1,"",IF(AND(B970="post",P970="nicht angetreten"),"NANG",IF(N970=1,"AUSL",IFERROR(VLOOKUP(H970,Vokabular!$A$2:$B$8,2,FALSE),"UNBEKANNT"))))</f>
        <v/>
      </c>
    </row>
    <row r="971">
      <c r="A971" s="5" t="inlineStr">
        <is>
          <t>VS-05</t>
        </is>
      </c>
      <c r="B971" s="5" t="inlineStr">
        <is>
          <t>post</t>
        </is>
      </c>
      <c r="C971" s="5" t="inlineStr">
        <is>
          <t>COD_505</t>
        </is>
      </c>
      <c r="D971" s="5" t="inlineStr">
        <is>
          <t>R</t>
        </is>
      </c>
      <c r="E971" s="5" t="n">
        <v>1</v>
      </c>
      <c r="F971" s="5" t="n">
        <v>2.77</v>
      </c>
      <c r="G971" s="5" t="n"/>
      <c r="H971" s="5" t="n"/>
      <c r="I971" s="22">
        <f>INDEX(Personendaten!$C$2:$C$32,MATCH(A971,Personendaten!$A$2:$A$32,0))</f>
        <v/>
      </c>
      <c r="J971" s="22">
        <f>IF(AND(F971&lt;&gt;"",G971=""),1,0)</f>
        <v/>
      </c>
      <c r="K971" s="22">
        <f>IF(LEFT(C971,7)&lt;&gt;"Sprint_","",IF(COUNTIFS(Versuchsdaten!$A$2:$A$1117,$A971,Versuchsdaten!$B$2:$B$1117,$B971,Versuchsdaten!$C$2:$C$1117,"Sprint_5m",Versuchsdaten!$E$2:$E$1117,$E971,Versuchsdaten!$J$2:$J$1117,1)=1,SUMIFS(Versuchsdaten!$F$2:$F$1117,Versuchsdaten!$A$2:$A$1117,$A971,Versuchsdaten!$B$2:$B$1117,$B971,Versuchsdaten!$C$2:$C$1117,"Sprint_5m",Versuchsdaten!$E$2:$E$1117,$E971,Versuchsdaten!$J$2:$J$1117,1),""))</f>
        <v/>
      </c>
      <c r="L971" s="22">
        <f>IF(LEFT(C971,7)&lt;&gt;"Sprint_","",IF(COUNTIFS(Versuchsdaten!$A$2:$A$1117,$A971,Versuchsdaten!$B$2:$B$1117,$B971,Versuchsdaten!$C$2:$C$1117,"Sprint_10m",Versuchsdaten!$E$2:$E$1117,$E971,Versuchsdaten!$J$2:$J$1117,1)=1,SUMIFS(Versuchsdaten!$F$2:$F$1117,Versuchsdaten!$A$2:$A$1117,$A971,Versuchsdaten!$B$2:$B$1117,$B971,Versuchsdaten!$C$2:$C$1117,"Sprint_10m",Versuchsdaten!$E$2:$E$1117,$E971,Versuchsdaten!$J$2:$J$1117,1),""))</f>
        <v/>
      </c>
      <c r="M971" s="22">
        <f>IF(LEFT(C971,7)&lt;&gt;"Sprint_","",IF(COUNTIFS(Versuchsdaten!$A$2:$A$1117,$A971,Versuchsdaten!$B$2:$B$1117,$B971,Versuchsdaten!$C$2:$C$1117,"Sprint_30m",Versuchsdaten!$E$2:$E$1117,$E971,Versuchsdaten!$J$2:$J$1117,1)=1,SUMIFS(Versuchsdaten!$F$2:$F$1117,Versuchsdaten!$A$2:$A$1117,$A971,Versuchsdaten!$B$2:$B$1117,$B971,Versuchsdaten!$C$2:$C$1117,"Sprint_30m",Versuchsdaten!$E$2:$E$1117,$E971,Versuchsdaten!$J$2:$J$1117,1),""))</f>
        <v/>
      </c>
      <c r="N971" s="22">
        <f>IF(LEFT(C971,7)&lt;&gt;"Sprint_",0,IF(IF(ISNUMBER(K971),IF(K971&lt;=0,1,IF(5/K971&gt;10,1,0)),0)+IF(ISNUMBER(L971),IF(ISNUMBER(K971),IF(L971-K971&lt;=0,1,IF(5/(L971-K971)&gt;10,1,0)),IF(L971&lt;=0,1,IF(10/L971&gt;10,1,0))),0)+IF(ISNUMBER(M971),IF(ISNUMBER(L971),IF(M971-L971&lt;=0,1,IF(20/(M971-L971)&gt;10,1,0)),IF(ISNUMBER(K971),IF(M971-K971&lt;=0,1,IF(25/(M971-K971)&gt;10,1,0)),IF(M971&lt;=0,1,IF(30/M971&gt;10,1,0)))),0)&gt;0,1,0))</f>
        <v/>
      </c>
      <c r="O971" s="22">
        <f>IF(AND(J971=1,N971=0),1,0)</f>
        <v/>
      </c>
      <c r="P971" s="22">
        <f>INDEX(Personendaten!$J$2:$J$32,MATCH(A971,Personendaten!$A$2:$A$32,0))</f>
        <v/>
      </c>
      <c r="Q971" s="22">
        <f>IF(O971=1,"",IF(AND(B971="post",P971="nicht angetreten"),"NANG",IF(N971=1,"AUSL",IFERROR(VLOOKUP(H971,Vokabular!$A$2:$B$8,2,FALSE),"UNBEKANNT"))))</f>
        <v/>
      </c>
    </row>
    <row r="972">
      <c r="A972" s="5" t="inlineStr">
        <is>
          <t>VS-05</t>
        </is>
      </c>
      <c r="B972" s="5" t="inlineStr">
        <is>
          <t>post</t>
        </is>
      </c>
      <c r="C972" s="5" t="inlineStr">
        <is>
          <t>COD_505</t>
        </is>
      </c>
      <c r="D972" s="5" t="inlineStr">
        <is>
          <t>R</t>
        </is>
      </c>
      <c r="E972" s="5" t="n">
        <v>2</v>
      </c>
      <c r="F972" s="5" t="n">
        <v>2.64</v>
      </c>
      <c r="G972" s="5" t="n"/>
      <c r="H972" s="5" t="n"/>
      <c r="I972" s="22">
        <f>INDEX(Personendaten!$C$2:$C$32,MATCH(A972,Personendaten!$A$2:$A$32,0))</f>
        <v/>
      </c>
      <c r="J972" s="22">
        <f>IF(AND(F972&lt;&gt;"",G972=""),1,0)</f>
        <v/>
      </c>
      <c r="K972" s="22">
        <f>IF(LEFT(C972,7)&lt;&gt;"Sprint_","",IF(COUNTIFS(Versuchsdaten!$A$2:$A$1117,$A972,Versuchsdaten!$B$2:$B$1117,$B972,Versuchsdaten!$C$2:$C$1117,"Sprint_5m",Versuchsdaten!$E$2:$E$1117,$E972,Versuchsdaten!$J$2:$J$1117,1)=1,SUMIFS(Versuchsdaten!$F$2:$F$1117,Versuchsdaten!$A$2:$A$1117,$A972,Versuchsdaten!$B$2:$B$1117,$B972,Versuchsdaten!$C$2:$C$1117,"Sprint_5m",Versuchsdaten!$E$2:$E$1117,$E972,Versuchsdaten!$J$2:$J$1117,1),""))</f>
        <v/>
      </c>
      <c r="L972" s="22">
        <f>IF(LEFT(C972,7)&lt;&gt;"Sprint_","",IF(COUNTIFS(Versuchsdaten!$A$2:$A$1117,$A972,Versuchsdaten!$B$2:$B$1117,$B972,Versuchsdaten!$C$2:$C$1117,"Sprint_10m",Versuchsdaten!$E$2:$E$1117,$E972,Versuchsdaten!$J$2:$J$1117,1)=1,SUMIFS(Versuchsdaten!$F$2:$F$1117,Versuchsdaten!$A$2:$A$1117,$A972,Versuchsdaten!$B$2:$B$1117,$B972,Versuchsdaten!$C$2:$C$1117,"Sprint_10m",Versuchsdaten!$E$2:$E$1117,$E972,Versuchsdaten!$J$2:$J$1117,1),""))</f>
        <v/>
      </c>
      <c r="M972" s="22">
        <f>IF(LEFT(C972,7)&lt;&gt;"Sprint_","",IF(COUNTIFS(Versuchsdaten!$A$2:$A$1117,$A972,Versuchsdaten!$B$2:$B$1117,$B972,Versuchsdaten!$C$2:$C$1117,"Sprint_30m",Versuchsdaten!$E$2:$E$1117,$E972,Versuchsdaten!$J$2:$J$1117,1)=1,SUMIFS(Versuchsdaten!$F$2:$F$1117,Versuchsdaten!$A$2:$A$1117,$A972,Versuchsdaten!$B$2:$B$1117,$B972,Versuchsdaten!$C$2:$C$1117,"Sprint_30m",Versuchsdaten!$E$2:$E$1117,$E972,Versuchsdaten!$J$2:$J$1117,1),""))</f>
        <v/>
      </c>
      <c r="N972" s="22">
        <f>IF(LEFT(C972,7)&lt;&gt;"Sprint_",0,IF(IF(ISNUMBER(K972),IF(K972&lt;=0,1,IF(5/K972&gt;10,1,0)),0)+IF(ISNUMBER(L972),IF(ISNUMBER(K972),IF(L972-K972&lt;=0,1,IF(5/(L972-K972)&gt;10,1,0)),IF(L972&lt;=0,1,IF(10/L972&gt;10,1,0))),0)+IF(ISNUMBER(M972),IF(ISNUMBER(L972),IF(M972-L972&lt;=0,1,IF(20/(M972-L972)&gt;10,1,0)),IF(ISNUMBER(K972),IF(M972-K972&lt;=0,1,IF(25/(M972-K972)&gt;10,1,0)),IF(M972&lt;=0,1,IF(30/M972&gt;10,1,0)))),0)&gt;0,1,0))</f>
        <v/>
      </c>
      <c r="O972" s="22">
        <f>IF(AND(J972=1,N972=0),1,0)</f>
        <v/>
      </c>
      <c r="P972" s="22">
        <f>INDEX(Personendaten!$J$2:$J$32,MATCH(A972,Personendaten!$A$2:$A$32,0))</f>
        <v/>
      </c>
      <c r="Q972" s="22">
        <f>IF(O972=1,"",IF(AND(B972="post",P972="nicht angetreten"),"NANG",IF(N972=1,"AUSL",IFERROR(VLOOKUP(H972,Vokabular!$A$2:$B$8,2,FALSE),"UNBEKANNT"))))</f>
        <v/>
      </c>
    </row>
    <row r="973">
      <c r="A973" s="5" t="inlineStr">
        <is>
          <t>VS-05</t>
        </is>
      </c>
      <c r="B973" s="5" t="inlineStr">
        <is>
          <t>post</t>
        </is>
      </c>
      <c r="C973" s="5" t="inlineStr">
        <is>
          <t>COD_505</t>
        </is>
      </c>
      <c r="D973" s="5" t="inlineStr">
        <is>
          <t>R</t>
        </is>
      </c>
      <c r="E973" s="5" t="n">
        <v>3</v>
      </c>
      <c r="F973" s="5" t="n"/>
      <c r="G973" s="5" t="n"/>
      <c r="H973" s="5" t="inlineStr">
        <is>
          <t>Nur 2 Versuche aus Zeitmangel</t>
        </is>
      </c>
      <c r="I973" s="22">
        <f>INDEX(Personendaten!$C$2:$C$32,MATCH(A973,Personendaten!$A$2:$A$32,0))</f>
        <v/>
      </c>
      <c r="J973" s="22">
        <f>IF(AND(F973&lt;&gt;"",G973=""),1,0)</f>
        <v/>
      </c>
      <c r="K973" s="22">
        <f>IF(LEFT(C973,7)&lt;&gt;"Sprint_","",IF(COUNTIFS(Versuchsdaten!$A$2:$A$1117,$A973,Versuchsdaten!$B$2:$B$1117,$B973,Versuchsdaten!$C$2:$C$1117,"Sprint_5m",Versuchsdaten!$E$2:$E$1117,$E973,Versuchsdaten!$J$2:$J$1117,1)=1,SUMIFS(Versuchsdaten!$F$2:$F$1117,Versuchsdaten!$A$2:$A$1117,$A973,Versuchsdaten!$B$2:$B$1117,$B973,Versuchsdaten!$C$2:$C$1117,"Sprint_5m",Versuchsdaten!$E$2:$E$1117,$E973,Versuchsdaten!$J$2:$J$1117,1),""))</f>
        <v/>
      </c>
      <c r="L973" s="22">
        <f>IF(LEFT(C973,7)&lt;&gt;"Sprint_","",IF(COUNTIFS(Versuchsdaten!$A$2:$A$1117,$A973,Versuchsdaten!$B$2:$B$1117,$B973,Versuchsdaten!$C$2:$C$1117,"Sprint_10m",Versuchsdaten!$E$2:$E$1117,$E973,Versuchsdaten!$J$2:$J$1117,1)=1,SUMIFS(Versuchsdaten!$F$2:$F$1117,Versuchsdaten!$A$2:$A$1117,$A973,Versuchsdaten!$B$2:$B$1117,$B973,Versuchsdaten!$C$2:$C$1117,"Sprint_10m",Versuchsdaten!$E$2:$E$1117,$E973,Versuchsdaten!$J$2:$J$1117,1),""))</f>
        <v/>
      </c>
      <c r="M973" s="22">
        <f>IF(LEFT(C973,7)&lt;&gt;"Sprint_","",IF(COUNTIFS(Versuchsdaten!$A$2:$A$1117,$A973,Versuchsdaten!$B$2:$B$1117,$B973,Versuchsdaten!$C$2:$C$1117,"Sprint_30m",Versuchsdaten!$E$2:$E$1117,$E973,Versuchsdaten!$J$2:$J$1117,1)=1,SUMIFS(Versuchsdaten!$F$2:$F$1117,Versuchsdaten!$A$2:$A$1117,$A973,Versuchsdaten!$B$2:$B$1117,$B973,Versuchsdaten!$C$2:$C$1117,"Sprint_30m",Versuchsdaten!$E$2:$E$1117,$E973,Versuchsdaten!$J$2:$J$1117,1),""))</f>
        <v/>
      </c>
      <c r="N973" s="22">
        <f>IF(LEFT(C973,7)&lt;&gt;"Sprint_",0,IF(IF(ISNUMBER(K973),IF(K973&lt;=0,1,IF(5/K973&gt;10,1,0)),0)+IF(ISNUMBER(L973),IF(ISNUMBER(K973),IF(L973-K973&lt;=0,1,IF(5/(L973-K973)&gt;10,1,0)),IF(L973&lt;=0,1,IF(10/L973&gt;10,1,0))),0)+IF(ISNUMBER(M973),IF(ISNUMBER(L973),IF(M973-L973&lt;=0,1,IF(20/(M973-L973)&gt;10,1,0)),IF(ISNUMBER(K973),IF(M973-K973&lt;=0,1,IF(25/(M973-K973)&gt;10,1,0)),IF(M973&lt;=0,1,IF(30/M973&gt;10,1,0)))),0)&gt;0,1,0))</f>
        <v/>
      </c>
      <c r="O973" s="22">
        <f>IF(AND(J973=1,N973=0),1,0)</f>
        <v/>
      </c>
      <c r="P973" s="22">
        <f>INDEX(Personendaten!$J$2:$J$32,MATCH(A973,Personendaten!$A$2:$A$32,0))</f>
        <v/>
      </c>
      <c r="Q973" s="22">
        <f>IF(O973=1,"",IF(AND(B973="post",P973="nicht angetreten"),"NANG",IF(N973=1,"AUSL",IFERROR(VLOOKUP(H973,Vokabular!$A$2:$B$8,2,FALSE),"UNBEKANNT"))))</f>
        <v/>
      </c>
    </row>
    <row r="974">
      <c r="A974" s="5" t="inlineStr">
        <is>
          <t>VS-06</t>
        </is>
      </c>
      <c r="B974" s="5" t="inlineStr">
        <is>
          <t>post</t>
        </is>
      </c>
      <c r="C974" s="5" t="inlineStr">
        <is>
          <t>Sprint_5m</t>
        </is>
      </c>
      <c r="D974" s="5" t="inlineStr">
        <is>
          <t>–</t>
        </is>
      </c>
      <c r="E974" s="5" t="n">
        <v>1</v>
      </c>
      <c r="F974" s="5" t="n">
        <v>1.12</v>
      </c>
      <c r="G974" s="5" t="n"/>
      <c r="H974" s="5" t="n"/>
      <c r="I974" s="22">
        <f>INDEX(Personendaten!$C$2:$C$32,MATCH(A974,Personendaten!$A$2:$A$32,0))</f>
        <v/>
      </c>
      <c r="J974" s="22">
        <f>IF(AND(F974&lt;&gt;"",G974=""),1,0)</f>
        <v/>
      </c>
      <c r="K974" s="22">
        <f>IF(LEFT(C974,7)&lt;&gt;"Sprint_","",IF(COUNTIFS(Versuchsdaten!$A$2:$A$1117,$A974,Versuchsdaten!$B$2:$B$1117,$B974,Versuchsdaten!$C$2:$C$1117,"Sprint_5m",Versuchsdaten!$E$2:$E$1117,$E974,Versuchsdaten!$J$2:$J$1117,1)=1,SUMIFS(Versuchsdaten!$F$2:$F$1117,Versuchsdaten!$A$2:$A$1117,$A974,Versuchsdaten!$B$2:$B$1117,$B974,Versuchsdaten!$C$2:$C$1117,"Sprint_5m",Versuchsdaten!$E$2:$E$1117,$E974,Versuchsdaten!$J$2:$J$1117,1),""))</f>
        <v/>
      </c>
      <c r="L974" s="22">
        <f>IF(LEFT(C974,7)&lt;&gt;"Sprint_","",IF(COUNTIFS(Versuchsdaten!$A$2:$A$1117,$A974,Versuchsdaten!$B$2:$B$1117,$B974,Versuchsdaten!$C$2:$C$1117,"Sprint_10m",Versuchsdaten!$E$2:$E$1117,$E974,Versuchsdaten!$J$2:$J$1117,1)=1,SUMIFS(Versuchsdaten!$F$2:$F$1117,Versuchsdaten!$A$2:$A$1117,$A974,Versuchsdaten!$B$2:$B$1117,$B974,Versuchsdaten!$C$2:$C$1117,"Sprint_10m",Versuchsdaten!$E$2:$E$1117,$E974,Versuchsdaten!$J$2:$J$1117,1),""))</f>
        <v/>
      </c>
      <c r="M974" s="22">
        <f>IF(LEFT(C974,7)&lt;&gt;"Sprint_","",IF(COUNTIFS(Versuchsdaten!$A$2:$A$1117,$A974,Versuchsdaten!$B$2:$B$1117,$B974,Versuchsdaten!$C$2:$C$1117,"Sprint_30m",Versuchsdaten!$E$2:$E$1117,$E974,Versuchsdaten!$J$2:$J$1117,1)=1,SUMIFS(Versuchsdaten!$F$2:$F$1117,Versuchsdaten!$A$2:$A$1117,$A974,Versuchsdaten!$B$2:$B$1117,$B974,Versuchsdaten!$C$2:$C$1117,"Sprint_30m",Versuchsdaten!$E$2:$E$1117,$E974,Versuchsdaten!$J$2:$J$1117,1),""))</f>
        <v/>
      </c>
      <c r="N974" s="22">
        <f>IF(LEFT(C974,7)&lt;&gt;"Sprint_",0,IF(IF(ISNUMBER(K974),IF(K974&lt;=0,1,IF(5/K974&gt;10,1,0)),0)+IF(ISNUMBER(L974),IF(ISNUMBER(K974),IF(L974-K974&lt;=0,1,IF(5/(L974-K974)&gt;10,1,0)),IF(L974&lt;=0,1,IF(10/L974&gt;10,1,0))),0)+IF(ISNUMBER(M974),IF(ISNUMBER(L974),IF(M974-L974&lt;=0,1,IF(20/(M974-L974)&gt;10,1,0)),IF(ISNUMBER(K974),IF(M974-K974&lt;=0,1,IF(25/(M974-K974)&gt;10,1,0)),IF(M974&lt;=0,1,IF(30/M974&gt;10,1,0)))),0)&gt;0,1,0))</f>
        <v/>
      </c>
      <c r="O974" s="22">
        <f>IF(AND(J974=1,N974=0),1,0)</f>
        <v/>
      </c>
      <c r="P974" s="22">
        <f>INDEX(Personendaten!$J$2:$J$32,MATCH(A974,Personendaten!$A$2:$A$32,0))</f>
        <v/>
      </c>
      <c r="Q974" s="22">
        <f>IF(O974=1,"",IF(AND(B974="post",P974="nicht angetreten"),"NANG",IF(N974=1,"AUSL",IFERROR(VLOOKUP(H974,Vokabular!$A$2:$B$8,2,FALSE),"UNBEKANNT"))))</f>
        <v/>
      </c>
    </row>
    <row r="975">
      <c r="A975" s="5" t="inlineStr">
        <is>
          <t>VS-06</t>
        </is>
      </c>
      <c r="B975" s="5" t="inlineStr">
        <is>
          <t>post</t>
        </is>
      </c>
      <c r="C975" s="5" t="inlineStr">
        <is>
          <t>Sprint_5m</t>
        </is>
      </c>
      <c r="D975" s="5" t="inlineStr">
        <is>
          <t>–</t>
        </is>
      </c>
      <c r="E975" s="5" t="n">
        <v>2</v>
      </c>
      <c r="F975" s="5" t="n">
        <v>1.19</v>
      </c>
      <c r="G975" s="5" t="n"/>
      <c r="H975" s="5" t="n"/>
      <c r="I975" s="22">
        <f>INDEX(Personendaten!$C$2:$C$32,MATCH(A975,Personendaten!$A$2:$A$32,0))</f>
        <v/>
      </c>
      <c r="J975" s="22">
        <f>IF(AND(F975&lt;&gt;"",G975=""),1,0)</f>
        <v/>
      </c>
      <c r="K975" s="22">
        <f>IF(LEFT(C975,7)&lt;&gt;"Sprint_","",IF(COUNTIFS(Versuchsdaten!$A$2:$A$1117,$A975,Versuchsdaten!$B$2:$B$1117,$B975,Versuchsdaten!$C$2:$C$1117,"Sprint_5m",Versuchsdaten!$E$2:$E$1117,$E975,Versuchsdaten!$J$2:$J$1117,1)=1,SUMIFS(Versuchsdaten!$F$2:$F$1117,Versuchsdaten!$A$2:$A$1117,$A975,Versuchsdaten!$B$2:$B$1117,$B975,Versuchsdaten!$C$2:$C$1117,"Sprint_5m",Versuchsdaten!$E$2:$E$1117,$E975,Versuchsdaten!$J$2:$J$1117,1),""))</f>
        <v/>
      </c>
      <c r="L975" s="22">
        <f>IF(LEFT(C975,7)&lt;&gt;"Sprint_","",IF(COUNTIFS(Versuchsdaten!$A$2:$A$1117,$A975,Versuchsdaten!$B$2:$B$1117,$B975,Versuchsdaten!$C$2:$C$1117,"Sprint_10m",Versuchsdaten!$E$2:$E$1117,$E975,Versuchsdaten!$J$2:$J$1117,1)=1,SUMIFS(Versuchsdaten!$F$2:$F$1117,Versuchsdaten!$A$2:$A$1117,$A975,Versuchsdaten!$B$2:$B$1117,$B975,Versuchsdaten!$C$2:$C$1117,"Sprint_10m",Versuchsdaten!$E$2:$E$1117,$E975,Versuchsdaten!$J$2:$J$1117,1),""))</f>
        <v/>
      </c>
      <c r="M975" s="22">
        <f>IF(LEFT(C975,7)&lt;&gt;"Sprint_","",IF(COUNTIFS(Versuchsdaten!$A$2:$A$1117,$A975,Versuchsdaten!$B$2:$B$1117,$B975,Versuchsdaten!$C$2:$C$1117,"Sprint_30m",Versuchsdaten!$E$2:$E$1117,$E975,Versuchsdaten!$J$2:$J$1117,1)=1,SUMIFS(Versuchsdaten!$F$2:$F$1117,Versuchsdaten!$A$2:$A$1117,$A975,Versuchsdaten!$B$2:$B$1117,$B975,Versuchsdaten!$C$2:$C$1117,"Sprint_30m",Versuchsdaten!$E$2:$E$1117,$E975,Versuchsdaten!$J$2:$J$1117,1),""))</f>
        <v/>
      </c>
      <c r="N975" s="22">
        <f>IF(LEFT(C975,7)&lt;&gt;"Sprint_",0,IF(IF(ISNUMBER(K975),IF(K975&lt;=0,1,IF(5/K975&gt;10,1,0)),0)+IF(ISNUMBER(L975),IF(ISNUMBER(K975),IF(L975-K975&lt;=0,1,IF(5/(L975-K975)&gt;10,1,0)),IF(L975&lt;=0,1,IF(10/L975&gt;10,1,0))),0)+IF(ISNUMBER(M975),IF(ISNUMBER(L975),IF(M975-L975&lt;=0,1,IF(20/(M975-L975)&gt;10,1,0)),IF(ISNUMBER(K975),IF(M975-K975&lt;=0,1,IF(25/(M975-K975)&gt;10,1,0)),IF(M975&lt;=0,1,IF(30/M975&gt;10,1,0)))),0)&gt;0,1,0))</f>
        <v/>
      </c>
      <c r="O975" s="22">
        <f>IF(AND(J975=1,N975=0),1,0)</f>
        <v/>
      </c>
      <c r="P975" s="22">
        <f>INDEX(Personendaten!$J$2:$J$32,MATCH(A975,Personendaten!$A$2:$A$32,0))</f>
        <v/>
      </c>
      <c r="Q975" s="22">
        <f>IF(O975=1,"",IF(AND(B975="post",P975="nicht angetreten"),"NANG",IF(N975=1,"AUSL",IFERROR(VLOOKUP(H975,Vokabular!$A$2:$B$8,2,FALSE),"UNBEKANNT"))))</f>
        <v/>
      </c>
    </row>
    <row r="976">
      <c r="A976" s="5" t="inlineStr">
        <is>
          <t>VS-06</t>
        </is>
      </c>
      <c r="B976" s="5" t="inlineStr">
        <is>
          <t>post</t>
        </is>
      </c>
      <c r="C976" s="5" t="inlineStr">
        <is>
          <t>Sprint_5m</t>
        </is>
      </c>
      <c r="D976" s="5" t="inlineStr">
        <is>
          <t>–</t>
        </is>
      </c>
      <c r="E976" s="5" t="n">
        <v>3</v>
      </c>
      <c r="F976" s="5" t="n"/>
      <c r="G976" s="5" t="n"/>
      <c r="H976" s="5" t="inlineStr">
        <is>
          <t>Nur 2 Versuche aus Zeitmangel</t>
        </is>
      </c>
      <c r="I976" s="22">
        <f>INDEX(Personendaten!$C$2:$C$32,MATCH(A976,Personendaten!$A$2:$A$32,0))</f>
        <v/>
      </c>
      <c r="J976" s="22">
        <f>IF(AND(F976&lt;&gt;"",G976=""),1,0)</f>
        <v/>
      </c>
      <c r="K976" s="22">
        <f>IF(LEFT(C976,7)&lt;&gt;"Sprint_","",IF(COUNTIFS(Versuchsdaten!$A$2:$A$1117,$A976,Versuchsdaten!$B$2:$B$1117,$B976,Versuchsdaten!$C$2:$C$1117,"Sprint_5m",Versuchsdaten!$E$2:$E$1117,$E976,Versuchsdaten!$J$2:$J$1117,1)=1,SUMIFS(Versuchsdaten!$F$2:$F$1117,Versuchsdaten!$A$2:$A$1117,$A976,Versuchsdaten!$B$2:$B$1117,$B976,Versuchsdaten!$C$2:$C$1117,"Sprint_5m",Versuchsdaten!$E$2:$E$1117,$E976,Versuchsdaten!$J$2:$J$1117,1),""))</f>
        <v/>
      </c>
      <c r="L976" s="22">
        <f>IF(LEFT(C976,7)&lt;&gt;"Sprint_","",IF(COUNTIFS(Versuchsdaten!$A$2:$A$1117,$A976,Versuchsdaten!$B$2:$B$1117,$B976,Versuchsdaten!$C$2:$C$1117,"Sprint_10m",Versuchsdaten!$E$2:$E$1117,$E976,Versuchsdaten!$J$2:$J$1117,1)=1,SUMIFS(Versuchsdaten!$F$2:$F$1117,Versuchsdaten!$A$2:$A$1117,$A976,Versuchsdaten!$B$2:$B$1117,$B976,Versuchsdaten!$C$2:$C$1117,"Sprint_10m",Versuchsdaten!$E$2:$E$1117,$E976,Versuchsdaten!$J$2:$J$1117,1),""))</f>
        <v/>
      </c>
      <c r="M976" s="22">
        <f>IF(LEFT(C976,7)&lt;&gt;"Sprint_","",IF(COUNTIFS(Versuchsdaten!$A$2:$A$1117,$A976,Versuchsdaten!$B$2:$B$1117,$B976,Versuchsdaten!$C$2:$C$1117,"Sprint_30m",Versuchsdaten!$E$2:$E$1117,$E976,Versuchsdaten!$J$2:$J$1117,1)=1,SUMIFS(Versuchsdaten!$F$2:$F$1117,Versuchsdaten!$A$2:$A$1117,$A976,Versuchsdaten!$B$2:$B$1117,$B976,Versuchsdaten!$C$2:$C$1117,"Sprint_30m",Versuchsdaten!$E$2:$E$1117,$E976,Versuchsdaten!$J$2:$J$1117,1),""))</f>
        <v/>
      </c>
      <c r="N976" s="22">
        <f>IF(LEFT(C976,7)&lt;&gt;"Sprint_",0,IF(IF(ISNUMBER(K976),IF(K976&lt;=0,1,IF(5/K976&gt;10,1,0)),0)+IF(ISNUMBER(L976),IF(ISNUMBER(K976),IF(L976-K976&lt;=0,1,IF(5/(L976-K976)&gt;10,1,0)),IF(L976&lt;=0,1,IF(10/L976&gt;10,1,0))),0)+IF(ISNUMBER(M976),IF(ISNUMBER(L976),IF(M976-L976&lt;=0,1,IF(20/(M976-L976)&gt;10,1,0)),IF(ISNUMBER(K976),IF(M976-K976&lt;=0,1,IF(25/(M976-K976)&gt;10,1,0)),IF(M976&lt;=0,1,IF(30/M976&gt;10,1,0)))),0)&gt;0,1,0))</f>
        <v/>
      </c>
      <c r="O976" s="22">
        <f>IF(AND(J976=1,N976=0),1,0)</f>
        <v/>
      </c>
      <c r="P976" s="22">
        <f>INDEX(Personendaten!$J$2:$J$32,MATCH(A976,Personendaten!$A$2:$A$32,0))</f>
        <v/>
      </c>
      <c r="Q976" s="22">
        <f>IF(O976=1,"",IF(AND(B976="post",P976="nicht angetreten"),"NANG",IF(N976=1,"AUSL",IFERROR(VLOOKUP(H976,Vokabular!$A$2:$B$8,2,FALSE),"UNBEKANNT"))))</f>
        <v/>
      </c>
    </row>
    <row r="977">
      <c r="A977" s="5" t="inlineStr">
        <is>
          <t>VS-06</t>
        </is>
      </c>
      <c r="B977" s="5" t="inlineStr">
        <is>
          <t>post</t>
        </is>
      </c>
      <c r="C977" s="5" t="inlineStr">
        <is>
          <t>Sprint_10m</t>
        </is>
      </c>
      <c r="D977" s="5" t="inlineStr">
        <is>
          <t>–</t>
        </is>
      </c>
      <c r="E977" s="5" t="n">
        <v>1</v>
      </c>
      <c r="F977" s="5" t="n">
        <v>1.84</v>
      </c>
      <c r="G977" s="5" t="n"/>
      <c r="H977" s="5" t="n"/>
      <c r="I977" s="22">
        <f>INDEX(Personendaten!$C$2:$C$32,MATCH(A977,Personendaten!$A$2:$A$32,0))</f>
        <v/>
      </c>
      <c r="J977" s="22">
        <f>IF(AND(F977&lt;&gt;"",G977=""),1,0)</f>
        <v/>
      </c>
      <c r="K977" s="22">
        <f>IF(LEFT(C977,7)&lt;&gt;"Sprint_","",IF(COUNTIFS(Versuchsdaten!$A$2:$A$1117,$A977,Versuchsdaten!$B$2:$B$1117,$B977,Versuchsdaten!$C$2:$C$1117,"Sprint_5m",Versuchsdaten!$E$2:$E$1117,$E977,Versuchsdaten!$J$2:$J$1117,1)=1,SUMIFS(Versuchsdaten!$F$2:$F$1117,Versuchsdaten!$A$2:$A$1117,$A977,Versuchsdaten!$B$2:$B$1117,$B977,Versuchsdaten!$C$2:$C$1117,"Sprint_5m",Versuchsdaten!$E$2:$E$1117,$E977,Versuchsdaten!$J$2:$J$1117,1),""))</f>
        <v/>
      </c>
      <c r="L977" s="22">
        <f>IF(LEFT(C977,7)&lt;&gt;"Sprint_","",IF(COUNTIFS(Versuchsdaten!$A$2:$A$1117,$A977,Versuchsdaten!$B$2:$B$1117,$B977,Versuchsdaten!$C$2:$C$1117,"Sprint_10m",Versuchsdaten!$E$2:$E$1117,$E977,Versuchsdaten!$J$2:$J$1117,1)=1,SUMIFS(Versuchsdaten!$F$2:$F$1117,Versuchsdaten!$A$2:$A$1117,$A977,Versuchsdaten!$B$2:$B$1117,$B977,Versuchsdaten!$C$2:$C$1117,"Sprint_10m",Versuchsdaten!$E$2:$E$1117,$E977,Versuchsdaten!$J$2:$J$1117,1),""))</f>
        <v/>
      </c>
      <c r="M977" s="22">
        <f>IF(LEFT(C977,7)&lt;&gt;"Sprint_","",IF(COUNTIFS(Versuchsdaten!$A$2:$A$1117,$A977,Versuchsdaten!$B$2:$B$1117,$B977,Versuchsdaten!$C$2:$C$1117,"Sprint_30m",Versuchsdaten!$E$2:$E$1117,$E977,Versuchsdaten!$J$2:$J$1117,1)=1,SUMIFS(Versuchsdaten!$F$2:$F$1117,Versuchsdaten!$A$2:$A$1117,$A977,Versuchsdaten!$B$2:$B$1117,$B977,Versuchsdaten!$C$2:$C$1117,"Sprint_30m",Versuchsdaten!$E$2:$E$1117,$E977,Versuchsdaten!$J$2:$J$1117,1),""))</f>
        <v/>
      </c>
      <c r="N977" s="22">
        <f>IF(LEFT(C977,7)&lt;&gt;"Sprint_",0,IF(IF(ISNUMBER(K977),IF(K977&lt;=0,1,IF(5/K977&gt;10,1,0)),0)+IF(ISNUMBER(L977),IF(ISNUMBER(K977),IF(L977-K977&lt;=0,1,IF(5/(L977-K977)&gt;10,1,0)),IF(L977&lt;=0,1,IF(10/L977&gt;10,1,0))),0)+IF(ISNUMBER(M977),IF(ISNUMBER(L977),IF(M977-L977&lt;=0,1,IF(20/(M977-L977)&gt;10,1,0)),IF(ISNUMBER(K977),IF(M977-K977&lt;=0,1,IF(25/(M977-K977)&gt;10,1,0)),IF(M977&lt;=0,1,IF(30/M977&gt;10,1,0)))),0)&gt;0,1,0))</f>
        <v/>
      </c>
      <c r="O977" s="22">
        <f>IF(AND(J977=1,N977=0),1,0)</f>
        <v/>
      </c>
      <c r="P977" s="22">
        <f>INDEX(Personendaten!$J$2:$J$32,MATCH(A977,Personendaten!$A$2:$A$32,0))</f>
        <v/>
      </c>
      <c r="Q977" s="22">
        <f>IF(O977=1,"",IF(AND(B977="post",P977="nicht angetreten"),"NANG",IF(N977=1,"AUSL",IFERROR(VLOOKUP(H977,Vokabular!$A$2:$B$8,2,FALSE),"UNBEKANNT"))))</f>
        <v/>
      </c>
    </row>
    <row r="978">
      <c r="A978" s="5" t="inlineStr">
        <is>
          <t>VS-06</t>
        </is>
      </c>
      <c r="B978" s="5" t="inlineStr">
        <is>
          <t>post</t>
        </is>
      </c>
      <c r="C978" s="5" t="inlineStr">
        <is>
          <t>Sprint_10m</t>
        </is>
      </c>
      <c r="D978" s="5" t="inlineStr">
        <is>
          <t>–</t>
        </is>
      </c>
      <c r="E978" s="5" t="n">
        <v>2</v>
      </c>
      <c r="F978" s="5" t="n">
        <v>1.93</v>
      </c>
      <c r="G978" s="5" t="n"/>
      <c r="H978" s="5" t="n"/>
      <c r="I978" s="22">
        <f>INDEX(Personendaten!$C$2:$C$32,MATCH(A978,Personendaten!$A$2:$A$32,0))</f>
        <v/>
      </c>
      <c r="J978" s="22">
        <f>IF(AND(F978&lt;&gt;"",G978=""),1,0)</f>
        <v/>
      </c>
      <c r="K978" s="22">
        <f>IF(LEFT(C978,7)&lt;&gt;"Sprint_","",IF(COUNTIFS(Versuchsdaten!$A$2:$A$1117,$A978,Versuchsdaten!$B$2:$B$1117,$B978,Versuchsdaten!$C$2:$C$1117,"Sprint_5m",Versuchsdaten!$E$2:$E$1117,$E978,Versuchsdaten!$J$2:$J$1117,1)=1,SUMIFS(Versuchsdaten!$F$2:$F$1117,Versuchsdaten!$A$2:$A$1117,$A978,Versuchsdaten!$B$2:$B$1117,$B978,Versuchsdaten!$C$2:$C$1117,"Sprint_5m",Versuchsdaten!$E$2:$E$1117,$E978,Versuchsdaten!$J$2:$J$1117,1),""))</f>
        <v/>
      </c>
      <c r="L978" s="22">
        <f>IF(LEFT(C978,7)&lt;&gt;"Sprint_","",IF(COUNTIFS(Versuchsdaten!$A$2:$A$1117,$A978,Versuchsdaten!$B$2:$B$1117,$B978,Versuchsdaten!$C$2:$C$1117,"Sprint_10m",Versuchsdaten!$E$2:$E$1117,$E978,Versuchsdaten!$J$2:$J$1117,1)=1,SUMIFS(Versuchsdaten!$F$2:$F$1117,Versuchsdaten!$A$2:$A$1117,$A978,Versuchsdaten!$B$2:$B$1117,$B978,Versuchsdaten!$C$2:$C$1117,"Sprint_10m",Versuchsdaten!$E$2:$E$1117,$E978,Versuchsdaten!$J$2:$J$1117,1),""))</f>
        <v/>
      </c>
      <c r="M978" s="22">
        <f>IF(LEFT(C978,7)&lt;&gt;"Sprint_","",IF(COUNTIFS(Versuchsdaten!$A$2:$A$1117,$A978,Versuchsdaten!$B$2:$B$1117,$B978,Versuchsdaten!$C$2:$C$1117,"Sprint_30m",Versuchsdaten!$E$2:$E$1117,$E978,Versuchsdaten!$J$2:$J$1117,1)=1,SUMIFS(Versuchsdaten!$F$2:$F$1117,Versuchsdaten!$A$2:$A$1117,$A978,Versuchsdaten!$B$2:$B$1117,$B978,Versuchsdaten!$C$2:$C$1117,"Sprint_30m",Versuchsdaten!$E$2:$E$1117,$E978,Versuchsdaten!$J$2:$J$1117,1),""))</f>
        <v/>
      </c>
      <c r="N978" s="22">
        <f>IF(LEFT(C978,7)&lt;&gt;"Sprint_",0,IF(IF(ISNUMBER(K978),IF(K978&lt;=0,1,IF(5/K978&gt;10,1,0)),0)+IF(ISNUMBER(L978),IF(ISNUMBER(K978),IF(L978-K978&lt;=0,1,IF(5/(L978-K978)&gt;10,1,0)),IF(L978&lt;=0,1,IF(10/L978&gt;10,1,0))),0)+IF(ISNUMBER(M978),IF(ISNUMBER(L978),IF(M978-L978&lt;=0,1,IF(20/(M978-L978)&gt;10,1,0)),IF(ISNUMBER(K978),IF(M978-K978&lt;=0,1,IF(25/(M978-K978)&gt;10,1,0)),IF(M978&lt;=0,1,IF(30/M978&gt;10,1,0)))),0)&gt;0,1,0))</f>
        <v/>
      </c>
      <c r="O978" s="22">
        <f>IF(AND(J978=1,N978=0),1,0)</f>
        <v/>
      </c>
      <c r="P978" s="22">
        <f>INDEX(Personendaten!$J$2:$J$32,MATCH(A978,Personendaten!$A$2:$A$32,0))</f>
        <v/>
      </c>
      <c r="Q978" s="22">
        <f>IF(O978=1,"",IF(AND(B978="post",P978="nicht angetreten"),"NANG",IF(N978=1,"AUSL",IFERROR(VLOOKUP(H978,Vokabular!$A$2:$B$8,2,FALSE),"UNBEKANNT"))))</f>
        <v/>
      </c>
    </row>
    <row r="979">
      <c r="A979" s="5" t="inlineStr">
        <is>
          <t>VS-06</t>
        </is>
      </c>
      <c r="B979" s="5" t="inlineStr">
        <is>
          <t>post</t>
        </is>
      </c>
      <c r="C979" s="5" t="inlineStr">
        <is>
          <t>Sprint_10m</t>
        </is>
      </c>
      <c r="D979" s="5" t="inlineStr">
        <is>
          <t>–</t>
        </is>
      </c>
      <c r="E979" s="5" t="n">
        <v>3</v>
      </c>
      <c r="F979" s="5" t="n"/>
      <c r="G979" s="5" t="n"/>
      <c r="H979" s="5" t="inlineStr">
        <is>
          <t>Nur 2 Versuche aus Zeitmangel</t>
        </is>
      </c>
      <c r="I979" s="22">
        <f>INDEX(Personendaten!$C$2:$C$32,MATCH(A979,Personendaten!$A$2:$A$32,0))</f>
        <v/>
      </c>
      <c r="J979" s="22">
        <f>IF(AND(F979&lt;&gt;"",G979=""),1,0)</f>
        <v/>
      </c>
      <c r="K979" s="22">
        <f>IF(LEFT(C979,7)&lt;&gt;"Sprint_","",IF(COUNTIFS(Versuchsdaten!$A$2:$A$1117,$A979,Versuchsdaten!$B$2:$B$1117,$B979,Versuchsdaten!$C$2:$C$1117,"Sprint_5m",Versuchsdaten!$E$2:$E$1117,$E979,Versuchsdaten!$J$2:$J$1117,1)=1,SUMIFS(Versuchsdaten!$F$2:$F$1117,Versuchsdaten!$A$2:$A$1117,$A979,Versuchsdaten!$B$2:$B$1117,$B979,Versuchsdaten!$C$2:$C$1117,"Sprint_5m",Versuchsdaten!$E$2:$E$1117,$E979,Versuchsdaten!$J$2:$J$1117,1),""))</f>
        <v/>
      </c>
      <c r="L979" s="22">
        <f>IF(LEFT(C979,7)&lt;&gt;"Sprint_","",IF(COUNTIFS(Versuchsdaten!$A$2:$A$1117,$A979,Versuchsdaten!$B$2:$B$1117,$B979,Versuchsdaten!$C$2:$C$1117,"Sprint_10m",Versuchsdaten!$E$2:$E$1117,$E979,Versuchsdaten!$J$2:$J$1117,1)=1,SUMIFS(Versuchsdaten!$F$2:$F$1117,Versuchsdaten!$A$2:$A$1117,$A979,Versuchsdaten!$B$2:$B$1117,$B979,Versuchsdaten!$C$2:$C$1117,"Sprint_10m",Versuchsdaten!$E$2:$E$1117,$E979,Versuchsdaten!$J$2:$J$1117,1),""))</f>
        <v/>
      </c>
      <c r="M979" s="22">
        <f>IF(LEFT(C979,7)&lt;&gt;"Sprint_","",IF(COUNTIFS(Versuchsdaten!$A$2:$A$1117,$A979,Versuchsdaten!$B$2:$B$1117,$B979,Versuchsdaten!$C$2:$C$1117,"Sprint_30m",Versuchsdaten!$E$2:$E$1117,$E979,Versuchsdaten!$J$2:$J$1117,1)=1,SUMIFS(Versuchsdaten!$F$2:$F$1117,Versuchsdaten!$A$2:$A$1117,$A979,Versuchsdaten!$B$2:$B$1117,$B979,Versuchsdaten!$C$2:$C$1117,"Sprint_30m",Versuchsdaten!$E$2:$E$1117,$E979,Versuchsdaten!$J$2:$J$1117,1),""))</f>
        <v/>
      </c>
      <c r="N979" s="22">
        <f>IF(LEFT(C979,7)&lt;&gt;"Sprint_",0,IF(IF(ISNUMBER(K979),IF(K979&lt;=0,1,IF(5/K979&gt;10,1,0)),0)+IF(ISNUMBER(L979),IF(ISNUMBER(K979),IF(L979-K979&lt;=0,1,IF(5/(L979-K979)&gt;10,1,0)),IF(L979&lt;=0,1,IF(10/L979&gt;10,1,0))),0)+IF(ISNUMBER(M979),IF(ISNUMBER(L979),IF(M979-L979&lt;=0,1,IF(20/(M979-L979)&gt;10,1,0)),IF(ISNUMBER(K979),IF(M979-K979&lt;=0,1,IF(25/(M979-K979)&gt;10,1,0)),IF(M979&lt;=0,1,IF(30/M979&gt;10,1,0)))),0)&gt;0,1,0))</f>
        <v/>
      </c>
      <c r="O979" s="22">
        <f>IF(AND(J979=1,N979=0),1,0)</f>
        <v/>
      </c>
      <c r="P979" s="22">
        <f>INDEX(Personendaten!$J$2:$J$32,MATCH(A979,Personendaten!$A$2:$A$32,0))</f>
        <v/>
      </c>
      <c r="Q979" s="22">
        <f>IF(O979=1,"",IF(AND(B979="post",P979="nicht angetreten"),"NANG",IF(N979=1,"AUSL",IFERROR(VLOOKUP(H979,Vokabular!$A$2:$B$8,2,FALSE),"UNBEKANNT"))))</f>
        <v/>
      </c>
    </row>
    <row r="980">
      <c r="A980" s="5" t="inlineStr">
        <is>
          <t>VS-06</t>
        </is>
      </c>
      <c r="B980" s="5" t="inlineStr">
        <is>
          <t>post</t>
        </is>
      </c>
      <c r="C980" s="5" t="inlineStr">
        <is>
          <t>Sprint_30m</t>
        </is>
      </c>
      <c r="D980" s="5" t="inlineStr">
        <is>
          <t>–</t>
        </is>
      </c>
      <c r="E980" s="5" t="n">
        <v>1</v>
      </c>
      <c r="F980" s="5" t="n">
        <v>4.5</v>
      </c>
      <c r="G980" s="5" t="n"/>
      <c r="H980" s="5" t="n"/>
      <c r="I980" s="22">
        <f>INDEX(Personendaten!$C$2:$C$32,MATCH(A980,Personendaten!$A$2:$A$32,0))</f>
        <v/>
      </c>
      <c r="J980" s="22">
        <f>IF(AND(F980&lt;&gt;"",G980=""),1,0)</f>
        <v/>
      </c>
      <c r="K980" s="22">
        <f>IF(LEFT(C980,7)&lt;&gt;"Sprint_","",IF(COUNTIFS(Versuchsdaten!$A$2:$A$1117,$A980,Versuchsdaten!$B$2:$B$1117,$B980,Versuchsdaten!$C$2:$C$1117,"Sprint_5m",Versuchsdaten!$E$2:$E$1117,$E980,Versuchsdaten!$J$2:$J$1117,1)=1,SUMIFS(Versuchsdaten!$F$2:$F$1117,Versuchsdaten!$A$2:$A$1117,$A980,Versuchsdaten!$B$2:$B$1117,$B980,Versuchsdaten!$C$2:$C$1117,"Sprint_5m",Versuchsdaten!$E$2:$E$1117,$E980,Versuchsdaten!$J$2:$J$1117,1),""))</f>
        <v/>
      </c>
      <c r="L980" s="22">
        <f>IF(LEFT(C980,7)&lt;&gt;"Sprint_","",IF(COUNTIFS(Versuchsdaten!$A$2:$A$1117,$A980,Versuchsdaten!$B$2:$B$1117,$B980,Versuchsdaten!$C$2:$C$1117,"Sprint_10m",Versuchsdaten!$E$2:$E$1117,$E980,Versuchsdaten!$J$2:$J$1117,1)=1,SUMIFS(Versuchsdaten!$F$2:$F$1117,Versuchsdaten!$A$2:$A$1117,$A980,Versuchsdaten!$B$2:$B$1117,$B980,Versuchsdaten!$C$2:$C$1117,"Sprint_10m",Versuchsdaten!$E$2:$E$1117,$E980,Versuchsdaten!$J$2:$J$1117,1),""))</f>
        <v/>
      </c>
      <c r="M980" s="22">
        <f>IF(LEFT(C980,7)&lt;&gt;"Sprint_","",IF(COUNTIFS(Versuchsdaten!$A$2:$A$1117,$A980,Versuchsdaten!$B$2:$B$1117,$B980,Versuchsdaten!$C$2:$C$1117,"Sprint_30m",Versuchsdaten!$E$2:$E$1117,$E980,Versuchsdaten!$J$2:$J$1117,1)=1,SUMIFS(Versuchsdaten!$F$2:$F$1117,Versuchsdaten!$A$2:$A$1117,$A980,Versuchsdaten!$B$2:$B$1117,$B980,Versuchsdaten!$C$2:$C$1117,"Sprint_30m",Versuchsdaten!$E$2:$E$1117,$E980,Versuchsdaten!$J$2:$J$1117,1),""))</f>
        <v/>
      </c>
      <c r="N980" s="22">
        <f>IF(LEFT(C980,7)&lt;&gt;"Sprint_",0,IF(IF(ISNUMBER(K980),IF(K980&lt;=0,1,IF(5/K980&gt;10,1,0)),0)+IF(ISNUMBER(L980),IF(ISNUMBER(K980),IF(L980-K980&lt;=0,1,IF(5/(L980-K980)&gt;10,1,0)),IF(L980&lt;=0,1,IF(10/L980&gt;10,1,0))),0)+IF(ISNUMBER(M980),IF(ISNUMBER(L980),IF(M980-L980&lt;=0,1,IF(20/(M980-L980)&gt;10,1,0)),IF(ISNUMBER(K980),IF(M980-K980&lt;=0,1,IF(25/(M980-K980)&gt;10,1,0)),IF(M980&lt;=0,1,IF(30/M980&gt;10,1,0)))),0)&gt;0,1,0))</f>
        <v/>
      </c>
      <c r="O980" s="22">
        <f>IF(AND(J980=1,N980=0),1,0)</f>
        <v/>
      </c>
      <c r="P980" s="22">
        <f>INDEX(Personendaten!$J$2:$J$32,MATCH(A980,Personendaten!$A$2:$A$32,0))</f>
        <v/>
      </c>
      <c r="Q980" s="22">
        <f>IF(O980=1,"",IF(AND(B980="post",P980="nicht angetreten"),"NANG",IF(N980=1,"AUSL",IFERROR(VLOOKUP(H980,Vokabular!$A$2:$B$8,2,FALSE),"UNBEKANNT"))))</f>
        <v/>
      </c>
    </row>
    <row r="981">
      <c r="A981" s="5" t="inlineStr">
        <is>
          <t>VS-06</t>
        </is>
      </c>
      <c r="B981" s="5" t="inlineStr">
        <is>
          <t>post</t>
        </is>
      </c>
      <c r="C981" s="5" t="inlineStr">
        <is>
          <t>Sprint_30m</t>
        </is>
      </c>
      <c r="D981" s="5" t="inlineStr">
        <is>
          <t>–</t>
        </is>
      </c>
      <c r="E981" s="5" t="n">
        <v>2</v>
      </c>
      <c r="F981" s="5" t="n">
        <v>4.54</v>
      </c>
      <c r="G981" s="5" t="n"/>
      <c r="H981" s="5" t="n"/>
      <c r="I981" s="22">
        <f>INDEX(Personendaten!$C$2:$C$32,MATCH(A981,Personendaten!$A$2:$A$32,0))</f>
        <v/>
      </c>
      <c r="J981" s="22">
        <f>IF(AND(F981&lt;&gt;"",G981=""),1,0)</f>
        <v/>
      </c>
      <c r="K981" s="22">
        <f>IF(LEFT(C981,7)&lt;&gt;"Sprint_","",IF(COUNTIFS(Versuchsdaten!$A$2:$A$1117,$A981,Versuchsdaten!$B$2:$B$1117,$B981,Versuchsdaten!$C$2:$C$1117,"Sprint_5m",Versuchsdaten!$E$2:$E$1117,$E981,Versuchsdaten!$J$2:$J$1117,1)=1,SUMIFS(Versuchsdaten!$F$2:$F$1117,Versuchsdaten!$A$2:$A$1117,$A981,Versuchsdaten!$B$2:$B$1117,$B981,Versuchsdaten!$C$2:$C$1117,"Sprint_5m",Versuchsdaten!$E$2:$E$1117,$E981,Versuchsdaten!$J$2:$J$1117,1),""))</f>
        <v/>
      </c>
      <c r="L981" s="22">
        <f>IF(LEFT(C981,7)&lt;&gt;"Sprint_","",IF(COUNTIFS(Versuchsdaten!$A$2:$A$1117,$A981,Versuchsdaten!$B$2:$B$1117,$B981,Versuchsdaten!$C$2:$C$1117,"Sprint_10m",Versuchsdaten!$E$2:$E$1117,$E981,Versuchsdaten!$J$2:$J$1117,1)=1,SUMIFS(Versuchsdaten!$F$2:$F$1117,Versuchsdaten!$A$2:$A$1117,$A981,Versuchsdaten!$B$2:$B$1117,$B981,Versuchsdaten!$C$2:$C$1117,"Sprint_10m",Versuchsdaten!$E$2:$E$1117,$E981,Versuchsdaten!$J$2:$J$1117,1),""))</f>
        <v/>
      </c>
      <c r="M981" s="22">
        <f>IF(LEFT(C981,7)&lt;&gt;"Sprint_","",IF(COUNTIFS(Versuchsdaten!$A$2:$A$1117,$A981,Versuchsdaten!$B$2:$B$1117,$B981,Versuchsdaten!$C$2:$C$1117,"Sprint_30m",Versuchsdaten!$E$2:$E$1117,$E981,Versuchsdaten!$J$2:$J$1117,1)=1,SUMIFS(Versuchsdaten!$F$2:$F$1117,Versuchsdaten!$A$2:$A$1117,$A981,Versuchsdaten!$B$2:$B$1117,$B981,Versuchsdaten!$C$2:$C$1117,"Sprint_30m",Versuchsdaten!$E$2:$E$1117,$E981,Versuchsdaten!$J$2:$J$1117,1),""))</f>
        <v/>
      </c>
      <c r="N981" s="22">
        <f>IF(LEFT(C981,7)&lt;&gt;"Sprint_",0,IF(IF(ISNUMBER(K981),IF(K981&lt;=0,1,IF(5/K981&gt;10,1,0)),0)+IF(ISNUMBER(L981),IF(ISNUMBER(K981),IF(L981-K981&lt;=0,1,IF(5/(L981-K981)&gt;10,1,0)),IF(L981&lt;=0,1,IF(10/L981&gt;10,1,0))),0)+IF(ISNUMBER(M981),IF(ISNUMBER(L981),IF(M981-L981&lt;=0,1,IF(20/(M981-L981)&gt;10,1,0)),IF(ISNUMBER(K981),IF(M981-K981&lt;=0,1,IF(25/(M981-K981)&gt;10,1,0)),IF(M981&lt;=0,1,IF(30/M981&gt;10,1,0)))),0)&gt;0,1,0))</f>
        <v/>
      </c>
      <c r="O981" s="22">
        <f>IF(AND(J981=1,N981=0),1,0)</f>
        <v/>
      </c>
      <c r="P981" s="22">
        <f>INDEX(Personendaten!$J$2:$J$32,MATCH(A981,Personendaten!$A$2:$A$32,0))</f>
        <v/>
      </c>
      <c r="Q981" s="22">
        <f>IF(O981=1,"",IF(AND(B981="post",P981="nicht angetreten"),"NANG",IF(N981=1,"AUSL",IFERROR(VLOOKUP(H981,Vokabular!$A$2:$B$8,2,FALSE),"UNBEKANNT"))))</f>
        <v/>
      </c>
    </row>
    <row r="982">
      <c r="A982" s="5" t="inlineStr">
        <is>
          <t>VS-06</t>
        </is>
      </c>
      <c r="B982" s="5" t="inlineStr">
        <is>
          <t>post</t>
        </is>
      </c>
      <c r="C982" s="5" t="inlineStr">
        <is>
          <t>Sprint_30m</t>
        </is>
      </c>
      <c r="D982" s="5" t="inlineStr">
        <is>
          <t>–</t>
        </is>
      </c>
      <c r="E982" s="5" t="n">
        <v>3</v>
      </c>
      <c r="F982" s="5" t="n"/>
      <c r="G982" s="5" t="n"/>
      <c r="H982" s="5" t="inlineStr">
        <is>
          <t>Nur 2 Versuche aus Zeitmangel</t>
        </is>
      </c>
      <c r="I982" s="22">
        <f>INDEX(Personendaten!$C$2:$C$32,MATCH(A982,Personendaten!$A$2:$A$32,0))</f>
        <v/>
      </c>
      <c r="J982" s="22">
        <f>IF(AND(F982&lt;&gt;"",G982=""),1,0)</f>
        <v/>
      </c>
      <c r="K982" s="22">
        <f>IF(LEFT(C982,7)&lt;&gt;"Sprint_","",IF(COUNTIFS(Versuchsdaten!$A$2:$A$1117,$A982,Versuchsdaten!$B$2:$B$1117,$B982,Versuchsdaten!$C$2:$C$1117,"Sprint_5m",Versuchsdaten!$E$2:$E$1117,$E982,Versuchsdaten!$J$2:$J$1117,1)=1,SUMIFS(Versuchsdaten!$F$2:$F$1117,Versuchsdaten!$A$2:$A$1117,$A982,Versuchsdaten!$B$2:$B$1117,$B982,Versuchsdaten!$C$2:$C$1117,"Sprint_5m",Versuchsdaten!$E$2:$E$1117,$E982,Versuchsdaten!$J$2:$J$1117,1),""))</f>
        <v/>
      </c>
      <c r="L982" s="22">
        <f>IF(LEFT(C982,7)&lt;&gt;"Sprint_","",IF(COUNTIFS(Versuchsdaten!$A$2:$A$1117,$A982,Versuchsdaten!$B$2:$B$1117,$B982,Versuchsdaten!$C$2:$C$1117,"Sprint_10m",Versuchsdaten!$E$2:$E$1117,$E982,Versuchsdaten!$J$2:$J$1117,1)=1,SUMIFS(Versuchsdaten!$F$2:$F$1117,Versuchsdaten!$A$2:$A$1117,$A982,Versuchsdaten!$B$2:$B$1117,$B982,Versuchsdaten!$C$2:$C$1117,"Sprint_10m",Versuchsdaten!$E$2:$E$1117,$E982,Versuchsdaten!$J$2:$J$1117,1),""))</f>
        <v/>
      </c>
      <c r="M982" s="22">
        <f>IF(LEFT(C982,7)&lt;&gt;"Sprint_","",IF(COUNTIFS(Versuchsdaten!$A$2:$A$1117,$A982,Versuchsdaten!$B$2:$B$1117,$B982,Versuchsdaten!$C$2:$C$1117,"Sprint_30m",Versuchsdaten!$E$2:$E$1117,$E982,Versuchsdaten!$J$2:$J$1117,1)=1,SUMIFS(Versuchsdaten!$F$2:$F$1117,Versuchsdaten!$A$2:$A$1117,$A982,Versuchsdaten!$B$2:$B$1117,$B982,Versuchsdaten!$C$2:$C$1117,"Sprint_30m",Versuchsdaten!$E$2:$E$1117,$E982,Versuchsdaten!$J$2:$J$1117,1),""))</f>
        <v/>
      </c>
      <c r="N982" s="22">
        <f>IF(LEFT(C982,7)&lt;&gt;"Sprint_",0,IF(IF(ISNUMBER(K982),IF(K982&lt;=0,1,IF(5/K982&gt;10,1,0)),0)+IF(ISNUMBER(L982),IF(ISNUMBER(K982),IF(L982-K982&lt;=0,1,IF(5/(L982-K982)&gt;10,1,0)),IF(L982&lt;=0,1,IF(10/L982&gt;10,1,0))),0)+IF(ISNUMBER(M982),IF(ISNUMBER(L982),IF(M982-L982&lt;=0,1,IF(20/(M982-L982)&gt;10,1,0)),IF(ISNUMBER(K982),IF(M982-K982&lt;=0,1,IF(25/(M982-K982)&gt;10,1,0)),IF(M982&lt;=0,1,IF(30/M982&gt;10,1,0)))),0)&gt;0,1,0))</f>
        <v/>
      </c>
      <c r="O982" s="22">
        <f>IF(AND(J982=1,N982=0),1,0)</f>
        <v/>
      </c>
      <c r="P982" s="22">
        <f>INDEX(Personendaten!$J$2:$J$32,MATCH(A982,Personendaten!$A$2:$A$32,0))</f>
        <v/>
      </c>
      <c r="Q982" s="22">
        <f>IF(O982=1,"",IF(AND(B982="post",P982="nicht angetreten"),"NANG",IF(N982=1,"AUSL",IFERROR(VLOOKUP(H982,Vokabular!$A$2:$B$8,2,FALSE),"UNBEKANNT"))))</f>
        <v/>
      </c>
    </row>
    <row r="983">
      <c r="A983" s="5" t="inlineStr">
        <is>
          <t>VS-06</t>
        </is>
      </c>
      <c r="B983" s="5" t="inlineStr">
        <is>
          <t>post</t>
        </is>
      </c>
      <c r="C983" s="5" t="inlineStr">
        <is>
          <t>Standweitsprung</t>
        </is>
      </c>
      <c r="D983" s="5" t="inlineStr">
        <is>
          <t>–</t>
        </is>
      </c>
      <c r="E983" s="5" t="n">
        <v>1</v>
      </c>
      <c r="F983" s="5" t="n">
        <v>262</v>
      </c>
      <c r="G983" s="5" t="n"/>
      <c r="H983" s="5" t="n"/>
      <c r="I983" s="22">
        <f>INDEX(Personendaten!$C$2:$C$32,MATCH(A983,Personendaten!$A$2:$A$32,0))</f>
        <v/>
      </c>
      <c r="J983" s="22">
        <f>IF(AND(F983&lt;&gt;"",G983=""),1,0)</f>
        <v/>
      </c>
      <c r="K983" s="22">
        <f>IF(LEFT(C983,7)&lt;&gt;"Sprint_","",IF(COUNTIFS(Versuchsdaten!$A$2:$A$1117,$A983,Versuchsdaten!$B$2:$B$1117,$B983,Versuchsdaten!$C$2:$C$1117,"Sprint_5m",Versuchsdaten!$E$2:$E$1117,$E983,Versuchsdaten!$J$2:$J$1117,1)=1,SUMIFS(Versuchsdaten!$F$2:$F$1117,Versuchsdaten!$A$2:$A$1117,$A983,Versuchsdaten!$B$2:$B$1117,$B983,Versuchsdaten!$C$2:$C$1117,"Sprint_5m",Versuchsdaten!$E$2:$E$1117,$E983,Versuchsdaten!$J$2:$J$1117,1),""))</f>
        <v/>
      </c>
      <c r="L983" s="22">
        <f>IF(LEFT(C983,7)&lt;&gt;"Sprint_","",IF(COUNTIFS(Versuchsdaten!$A$2:$A$1117,$A983,Versuchsdaten!$B$2:$B$1117,$B983,Versuchsdaten!$C$2:$C$1117,"Sprint_10m",Versuchsdaten!$E$2:$E$1117,$E983,Versuchsdaten!$J$2:$J$1117,1)=1,SUMIFS(Versuchsdaten!$F$2:$F$1117,Versuchsdaten!$A$2:$A$1117,$A983,Versuchsdaten!$B$2:$B$1117,$B983,Versuchsdaten!$C$2:$C$1117,"Sprint_10m",Versuchsdaten!$E$2:$E$1117,$E983,Versuchsdaten!$J$2:$J$1117,1),""))</f>
        <v/>
      </c>
      <c r="M983" s="22">
        <f>IF(LEFT(C983,7)&lt;&gt;"Sprint_","",IF(COUNTIFS(Versuchsdaten!$A$2:$A$1117,$A983,Versuchsdaten!$B$2:$B$1117,$B983,Versuchsdaten!$C$2:$C$1117,"Sprint_30m",Versuchsdaten!$E$2:$E$1117,$E983,Versuchsdaten!$J$2:$J$1117,1)=1,SUMIFS(Versuchsdaten!$F$2:$F$1117,Versuchsdaten!$A$2:$A$1117,$A983,Versuchsdaten!$B$2:$B$1117,$B983,Versuchsdaten!$C$2:$C$1117,"Sprint_30m",Versuchsdaten!$E$2:$E$1117,$E983,Versuchsdaten!$J$2:$J$1117,1),""))</f>
        <v/>
      </c>
      <c r="N983" s="22">
        <f>IF(LEFT(C983,7)&lt;&gt;"Sprint_",0,IF(IF(ISNUMBER(K983),IF(K983&lt;=0,1,IF(5/K983&gt;10,1,0)),0)+IF(ISNUMBER(L983),IF(ISNUMBER(K983),IF(L983-K983&lt;=0,1,IF(5/(L983-K983)&gt;10,1,0)),IF(L983&lt;=0,1,IF(10/L983&gt;10,1,0))),0)+IF(ISNUMBER(M983),IF(ISNUMBER(L983),IF(M983-L983&lt;=0,1,IF(20/(M983-L983)&gt;10,1,0)),IF(ISNUMBER(K983),IF(M983-K983&lt;=0,1,IF(25/(M983-K983)&gt;10,1,0)),IF(M983&lt;=0,1,IF(30/M983&gt;10,1,0)))),0)&gt;0,1,0))</f>
        <v/>
      </c>
      <c r="O983" s="22">
        <f>IF(AND(J983=1,N983=0),1,0)</f>
        <v/>
      </c>
      <c r="P983" s="22">
        <f>INDEX(Personendaten!$J$2:$J$32,MATCH(A983,Personendaten!$A$2:$A$32,0))</f>
        <v/>
      </c>
      <c r="Q983" s="22">
        <f>IF(O983=1,"",IF(AND(B983="post",P983="nicht angetreten"),"NANG",IF(N983=1,"AUSL",IFERROR(VLOOKUP(H983,Vokabular!$A$2:$B$8,2,FALSE),"UNBEKANNT"))))</f>
        <v/>
      </c>
    </row>
    <row r="984">
      <c r="A984" s="5" t="inlineStr">
        <is>
          <t>VS-06</t>
        </is>
      </c>
      <c r="B984" s="5" t="inlineStr">
        <is>
          <t>post</t>
        </is>
      </c>
      <c r="C984" s="5" t="inlineStr">
        <is>
          <t>Standweitsprung</t>
        </is>
      </c>
      <c r="D984" s="5" t="inlineStr">
        <is>
          <t>–</t>
        </is>
      </c>
      <c r="E984" s="5" t="n">
        <v>2</v>
      </c>
      <c r="F984" s="5" t="n">
        <v>261</v>
      </c>
      <c r="G984" s="5" t="n"/>
      <c r="H984" s="5" t="n"/>
      <c r="I984" s="22">
        <f>INDEX(Personendaten!$C$2:$C$32,MATCH(A984,Personendaten!$A$2:$A$32,0))</f>
        <v/>
      </c>
      <c r="J984" s="22">
        <f>IF(AND(F984&lt;&gt;"",G984=""),1,0)</f>
        <v/>
      </c>
      <c r="K984" s="22">
        <f>IF(LEFT(C984,7)&lt;&gt;"Sprint_","",IF(COUNTIFS(Versuchsdaten!$A$2:$A$1117,$A984,Versuchsdaten!$B$2:$B$1117,$B984,Versuchsdaten!$C$2:$C$1117,"Sprint_5m",Versuchsdaten!$E$2:$E$1117,$E984,Versuchsdaten!$J$2:$J$1117,1)=1,SUMIFS(Versuchsdaten!$F$2:$F$1117,Versuchsdaten!$A$2:$A$1117,$A984,Versuchsdaten!$B$2:$B$1117,$B984,Versuchsdaten!$C$2:$C$1117,"Sprint_5m",Versuchsdaten!$E$2:$E$1117,$E984,Versuchsdaten!$J$2:$J$1117,1),""))</f>
        <v/>
      </c>
      <c r="L984" s="22">
        <f>IF(LEFT(C984,7)&lt;&gt;"Sprint_","",IF(COUNTIFS(Versuchsdaten!$A$2:$A$1117,$A984,Versuchsdaten!$B$2:$B$1117,$B984,Versuchsdaten!$C$2:$C$1117,"Sprint_10m",Versuchsdaten!$E$2:$E$1117,$E984,Versuchsdaten!$J$2:$J$1117,1)=1,SUMIFS(Versuchsdaten!$F$2:$F$1117,Versuchsdaten!$A$2:$A$1117,$A984,Versuchsdaten!$B$2:$B$1117,$B984,Versuchsdaten!$C$2:$C$1117,"Sprint_10m",Versuchsdaten!$E$2:$E$1117,$E984,Versuchsdaten!$J$2:$J$1117,1),""))</f>
        <v/>
      </c>
      <c r="M984" s="22">
        <f>IF(LEFT(C984,7)&lt;&gt;"Sprint_","",IF(COUNTIFS(Versuchsdaten!$A$2:$A$1117,$A984,Versuchsdaten!$B$2:$B$1117,$B984,Versuchsdaten!$C$2:$C$1117,"Sprint_30m",Versuchsdaten!$E$2:$E$1117,$E984,Versuchsdaten!$J$2:$J$1117,1)=1,SUMIFS(Versuchsdaten!$F$2:$F$1117,Versuchsdaten!$A$2:$A$1117,$A984,Versuchsdaten!$B$2:$B$1117,$B984,Versuchsdaten!$C$2:$C$1117,"Sprint_30m",Versuchsdaten!$E$2:$E$1117,$E984,Versuchsdaten!$J$2:$J$1117,1),""))</f>
        <v/>
      </c>
      <c r="N984" s="22">
        <f>IF(LEFT(C984,7)&lt;&gt;"Sprint_",0,IF(IF(ISNUMBER(K984),IF(K984&lt;=0,1,IF(5/K984&gt;10,1,0)),0)+IF(ISNUMBER(L984),IF(ISNUMBER(K984),IF(L984-K984&lt;=0,1,IF(5/(L984-K984)&gt;10,1,0)),IF(L984&lt;=0,1,IF(10/L984&gt;10,1,0))),0)+IF(ISNUMBER(M984),IF(ISNUMBER(L984),IF(M984-L984&lt;=0,1,IF(20/(M984-L984)&gt;10,1,0)),IF(ISNUMBER(K984),IF(M984-K984&lt;=0,1,IF(25/(M984-K984)&gt;10,1,0)),IF(M984&lt;=0,1,IF(30/M984&gt;10,1,0)))),0)&gt;0,1,0))</f>
        <v/>
      </c>
      <c r="O984" s="22">
        <f>IF(AND(J984=1,N984=0),1,0)</f>
        <v/>
      </c>
      <c r="P984" s="22">
        <f>INDEX(Personendaten!$J$2:$J$32,MATCH(A984,Personendaten!$A$2:$A$32,0))</f>
        <v/>
      </c>
      <c r="Q984" s="22">
        <f>IF(O984=1,"",IF(AND(B984="post",P984="nicht angetreten"),"NANG",IF(N984=1,"AUSL",IFERROR(VLOOKUP(H984,Vokabular!$A$2:$B$8,2,FALSE),"UNBEKANNT"))))</f>
        <v/>
      </c>
    </row>
    <row r="985">
      <c r="A985" s="5" t="inlineStr">
        <is>
          <t>VS-06</t>
        </is>
      </c>
      <c r="B985" s="5" t="inlineStr">
        <is>
          <t>post</t>
        </is>
      </c>
      <c r="C985" s="5" t="inlineStr">
        <is>
          <t>Standweitsprung</t>
        </is>
      </c>
      <c r="D985" s="5" t="inlineStr">
        <is>
          <t>–</t>
        </is>
      </c>
      <c r="E985" s="5" t="n">
        <v>3</v>
      </c>
      <c r="F985" s="5" t="n"/>
      <c r="G985" s="5" t="n"/>
      <c r="H985" s="5" t="inlineStr">
        <is>
          <t>Nur 2 Versuche aus Zeitmangel</t>
        </is>
      </c>
      <c r="I985" s="22">
        <f>INDEX(Personendaten!$C$2:$C$32,MATCH(A985,Personendaten!$A$2:$A$32,0))</f>
        <v/>
      </c>
      <c r="J985" s="22">
        <f>IF(AND(F985&lt;&gt;"",G985=""),1,0)</f>
        <v/>
      </c>
      <c r="K985" s="22">
        <f>IF(LEFT(C985,7)&lt;&gt;"Sprint_","",IF(COUNTIFS(Versuchsdaten!$A$2:$A$1117,$A985,Versuchsdaten!$B$2:$B$1117,$B985,Versuchsdaten!$C$2:$C$1117,"Sprint_5m",Versuchsdaten!$E$2:$E$1117,$E985,Versuchsdaten!$J$2:$J$1117,1)=1,SUMIFS(Versuchsdaten!$F$2:$F$1117,Versuchsdaten!$A$2:$A$1117,$A985,Versuchsdaten!$B$2:$B$1117,$B985,Versuchsdaten!$C$2:$C$1117,"Sprint_5m",Versuchsdaten!$E$2:$E$1117,$E985,Versuchsdaten!$J$2:$J$1117,1),""))</f>
        <v/>
      </c>
      <c r="L985" s="22">
        <f>IF(LEFT(C985,7)&lt;&gt;"Sprint_","",IF(COUNTIFS(Versuchsdaten!$A$2:$A$1117,$A985,Versuchsdaten!$B$2:$B$1117,$B985,Versuchsdaten!$C$2:$C$1117,"Sprint_10m",Versuchsdaten!$E$2:$E$1117,$E985,Versuchsdaten!$J$2:$J$1117,1)=1,SUMIFS(Versuchsdaten!$F$2:$F$1117,Versuchsdaten!$A$2:$A$1117,$A985,Versuchsdaten!$B$2:$B$1117,$B985,Versuchsdaten!$C$2:$C$1117,"Sprint_10m",Versuchsdaten!$E$2:$E$1117,$E985,Versuchsdaten!$J$2:$J$1117,1),""))</f>
        <v/>
      </c>
      <c r="M985" s="22">
        <f>IF(LEFT(C985,7)&lt;&gt;"Sprint_","",IF(COUNTIFS(Versuchsdaten!$A$2:$A$1117,$A985,Versuchsdaten!$B$2:$B$1117,$B985,Versuchsdaten!$C$2:$C$1117,"Sprint_30m",Versuchsdaten!$E$2:$E$1117,$E985,Versuchsdaten!$J$2:$J$1117,1)=1,SUMIFS(Versuchsdaten!$F$2:$F$1117,Versuchsdaten!$A$2:$A$1117,$A985,Versuchsdaten!$B$2:$B$1117,$B985,Versuchsdaten!$C$2:$C$1117,"Sprint_30m",Versuchsdaten!$E$2:$E$1117,$E985,Versuchsdaten!$J$2:$J$1117,1),""))</f>
        <v/>
      </c>
      <c r="N985" s="22">
        <f>IF(LEFT(C985,7)&lt;&gt;"Sprint_",0,IF(IF(ISNUMBER(K985),IF(K985&lt;=0,1,IF(5/K985&gt;10,1,0)),0)+IF(ISNUMBER(L985),IF(ISNUMBER(K985),IF(L985-K985&lt;=0,1,IF(5/(L985-K985)&gt;10,1,0)),IF(L985&lt;=0,1,IF(10/L985&gt;10,1,0))),0)+IF(ISNUMBER(M985),IF(ISNUMBER(L985),IF(M985-L985&lt;=0,1,IF(20/(M985-L985)&gt;10,1,0)),IF(ISNUMBER(K985),IF(M985-K985&lt;=0,1,IF(25/(M985-K985)&gt;10,1,0)),IF(M985&lt;=0,1,IF(30/M985&gt;10,1,0)))),0)&gt;0,1,0))</f>
        <v/>
      </c>
      <c r="O985" s="22">
        <f>IF(AND(J985=1,N985=0),1,0)</f>
        <v/>
      </c>
      <c r="P985" s="22">
        <f>INDEX(Personendaten!$J$2:$J$32,MATCH(A985,Personendaten!$A$2:$A$32,0))</f>
        <v/>
      </c>
      <c r="Q985" s="22">
        <f>IF(O985=1,"",IF(AND(B985="post",P985="nicht angetreten"),"NANG",IF(N985=1,"AUSL",IFERROR(VLOOKUP(H985,Vokabular!$A$2:$B$8,2,FALSE),"UNBEKANNT"))))</f>
        <v/>
      </c>
    </row>
    <row r="986">
      <c r="A986" s="5" t="inlineStr">
        <is>
          <t>VS-06</t>
        </is>
      </c>
      <c r="B986" s="5" t="inlineStr">
        <is>
          <t>post</t>
        </is>
      </c>
      <c r="C986" s="5" t="inlineStr">
        <is>
          <t>COD_505</t>
        </is>
      </c>
      <c r="D986" s="5" t="inlineStr">
        <is>
          <t>L</t>
        </is>
      </c>
      <c r="E986" s="5" t="n">
        <v>1</v>
      </c>
      <c r="F986" s="5" t="n">
        <v>2.24</v>
      </c>
      <c r="G986" s="5" t="n"/>
      <c r="H986" s="5" t="n"/>
      <c r="I986" s="22">
        <f>INDEX(Personendaten!$C$2:$C$32,MATCH(A986,Personendaten!$A$2:$A$32,0))</f>
        <v/>
      </c>
      <c r="J986" s="22">
        <f>IF(AND(F986&lt;&gt;"",G986=""),1,0)</f>
        <v/>
      </c>
      <c r="K986" s="22">
        <f>IF(LEFT(C986,7)&lt;&gt;"Sprint_","",IF(COUNTIFS(Versuchsdaten!$A$2:$A$1117,$A986,Versuchsdaten!$B$2:$B$1117,$B986,Versuchsdaten!$C$2:$C$1117,"Sprint_5m",Versuchsdaten!$E$2:$E$1117,$E986,Versuchsdaten!$J$2:$J$1117,1)=1,SUMIFS(Versuchsdaten!$F$2:$F$1117,Versuchsdaten!$A$2:$A$1117,$A986,Versuchsdaten!$B$2:$B$1117,$B986,Versuchsdaten!$C$2:$C$1117,"Sprint_5m",Versuchsdaten!$E$2:$E$1117,$E986,Versuchsdaten!$J$2:$J$1117,1),""))</f>
        <v/>
      </c>
      <c r="L986" s="22">
        <f>IF(LEFT(C986,7)&lt;&gt;"Sprint_","",IF(COUNTIFS(Versuchsdaten!$A$2:$A$1117,$A986,Versuchsdaten!$B$2:$B$1117,$B986,Versuchsdaten!$C$2:$C$1117,"Sprint_10m",Versuchsdaten!$E$2:$E$1117,$E986,Versuchsdaten!$J$2:$J$1117,1)=1,SUMIFS(Versuchsdaten!$F$2:$F$1117,Versuchsdaten!$A$2:$A$1117,$A986,Versuchsdaten!$B$2:$B$1117,$B986,Versuchsdaten!$C$2:$C$1117,"Sprint_10m",Versuchsdaten!$E$2:$E$1117,$E986,Versuchsdaten!$J$2:$J$1117,1),""))</f>
        <v/>
      </c>
      <c r="M986" s="22">
        <f>IF(LEFT(C986,7)&lt;&gt;"Sprint_","",IF(COUNTIFS(Versuchsdaten!$A$2:$A$1117,$A986,Versuchsdaten!$B$2:$B$1117,$B986,Versuchsdaten!$C$2:$C$1117,"Sprint_30m",Versuchsdaten!$E$2:$E$1117,$E986,Versuchsdaten!$J$2:$J$1117,1)=1,SUMIFS(Versuchsdaten!$F$2:$F$1117,Versuchsdaten!$A$2:$A$1117,$A986,Versuchsdaten!$B$2:$B$1117,$B986,Versuchsdaten!$C$2:$C$1117,"Sprint_30m",Versuchsdaten!$E$2:$E$1117,$E986,Versuchsdaten!$J$2:$J$1117,1),""))</f>
        <v/>
      </c>
      <c r="N986" s="22">
        <f>IF(LEFT(C986,7)&lt;&gt;"Sprint_",0,IF(IF(ISNUMBER(K986),IF(K986&lt;=0,1,IF(5/K986&gt;10,1,0)),0)+IF(ISNUMBER(L986),IF(ISNUMBER(K986),IF(L986-K986&lt;=0,1,IF(5/(L986-K986)&gt;10,1,0)),IF(L986&lt;=0,1,IF(10/L986&gt;10,1,0))),0)+IF(ISNUMBER(M986),IF(ISNUMBER(L986),IF(M986-L986&lt;=0,1,IF(20/(M986-L986)&gt;10,1,0)),IF(ISNUMBER(K986),IF(M986-K986&lt;=0,1,IF(25/(M986-K986)&gt;10,1,0)),IF(M986&lt;=0,1,IF(30/M986&gt;10,1,0)))),0)&gt;0,1,0))</f>
        <v/>
      </c>
      <c r="O986" s="22">
        <f>IF(AND(J986=1,N986=0),1,0)</f>
        <v/>
      </c>
      <c r="P986" s="22">
        <f>INDEX(Personendaten!$J$2:$J$32,MATCH(A986,Personendaten!$A$2:$A$32,0))</f>
        <v/>
      </c>
      <c r="Q986" s="22">
        <f>IF(O986=1,"",IF(AND(B986="post",P986="nicht angetreten"),"NANG",IF(N986=1,"AUSL",IFERROR(VLOOKUP(H986,Vokabular!$A$2:$B$8,2,FALSE),"UNBEKANNT"))))</f>
        <v/>
      </c>
    </row>
    <row r="987">
      <c r="A987" s="5" t="inlineStr">
        <is>
          <t>VS-06</t>
        </is>
      </c>
      <c r="B987" s="5" t="inlineStr">
        <is>
          <t>post</t>
        </is>
      </c>
      <c r="C987" s="5" t="inlineStr">
        <is>
          <t>COD_505</t>
        </is>
      </c>
      <c r="D987" s="5" t="inlineStr">
        <is>
          <t>L</t>
        </is>
      </c>
      <c r="E987" s="5" t="n">
        <v>2</v>
      </c>
      <c r="F987" s="5" t="n">
        <v>2.3</v>
      </c>
      <c r="G987" s="5" t="n"/>
      <c r="H987" s="5" t="n"/>
      <c r="I987" s="22">
        <f>INDEX(Personendaten!$C$2:$C$32,MATCH(A987,Personendaten!$A$2:$A$32,0))</f>
        <v/>
      </c>
      <c r="J987" s="22">
        <f>IF(AND(F987&lt;&gt;"",G987=""),1,0)</f>
        <v/>
      </c>
      <c r="K987" s="22">
        <f>IF(LEFT(C987,7)&lt;&gt;"Sprint_","",IF(COUNTIFS(Versuchsdaten!$A$2:$A$1117,$A987,Versuchsdaten!$B$2:$B$1117,$B987,Versuchsdaten!$C$2:$C$1117,"Sprint_5m",Versuchsdaten!$E$2:$E$1117,$E987,Versuchsdaten!$J$2:$J$1117,1)=1,SUMIFS(Versuchsdaten!$F$2:$F$1117,Versuchsdaten!$A$2:$A$1117,$A987,Versuchsdaten!$B$2:$B$1117,$B987,Versuchsdaten!$C$2:$C$1117,"Sprint_5m",Versuchsdaten!$E$2:$E$1117,$E987,Versuchsdaten!$J$2:$J$1117,1),""))</f>
        <v/>
      </c>
      <c r="L987" s="22">
        <f>IF(LEFT(C987,7)&lt;&gt;"Sprint_","",IF(COUNTIFS(Versuchsdaten!$A$2:$A$1117,$A987,Versuchsdaten!$B$2:$B$1117,$B987,Versuchsdaten!$C$2:$C$1117,"Sprint_10m",Versuchsdaten!$E$2:$E$1117,$E987,Versuchsdaten!$J$2:$J$1117,1)=1,SUMIFS(Versuchsdaten!$F$2:$F$1117,Versuchsdaten!$A$2:$A$1117,$A987,Versuchsdaten!$B$2:$B$1117,$B987,Versuchsdaten!$C$2:$C$1117,"Sprint_10m",Versuchsdaten!$E$2:$E$1117,$E987,Versuchsdaten!$J$2:$J$1117,1),""))</f>
        <v/>
      </c>
      <c r="M987" s="22">
        <f>IF(LEFT(C987,7)&lt;&gt;"Sprint_","",IF(COUNTIFS(Versuchsdaten!$A$2:$A$1117,$A987,Versuchsdaten!$B$2:$B$1117,$B987,Versuchsdaten!$C$2:$C$1117,"Sprint_30m",Versuchsdaten!$E$2:$E$1117,$E987,Versuchsdaten!$J$2:$J$1117,1)=1,SUMIFS(Versuchsdaten!$F$2:$F$1117,Versuchsdaten!$A$2:$A$1117,$A987,Versuchsdaten!$B$2:$B$1117,$B987,Versuchsdaten!$C$2:$C$1117,"Sprint_30m",Versuchsdaten!$E$2:$E$1117,$E987,Versuchsdaten!$J$2:$J$1117,1),""))</f>
        <v/>
      </c>
      <c r="N987" s="22">
        <f>IF(LEFT(C987,7)&lt;&gt;"Sprint_",0,IF(IF(ISNUMBER(K987),IF(K987&lt;=0,1,IF(5/K987&gt;10,1,0)),0)+IF(ISNUMBER(L987),IF(ISNUMBER(K987),IF(L987-K987&lt;=0,1,IF(5/(L987-K987)&gt;10,1,0)),IF(L987&lt;=0,1,IF(10/L987&gt;10,1,0))),0)+IF(ISNUMBER(M987),IF(ISNUMBER(L987),IF(M987-L987&lt;=0,1,IF(20/(M987-L987)&gt;10,1,0)),IF(ISNUMBER(K987),IF(M987-K987&lt;=0,1,IF(25/(M987-K987)&gt;10,1,0)),IF(M987&lt;=0,1,IF(30/M987&gt;10,1,0)))),0)&gt;0,1,0))</f>
        <v/>
      </c>
      <c r="O987" s="22">
        <f>IF(AND(J987=1,N987=0),1,0)</f>
        <v/>
      </c>
      <c r="P987" s="22">
        <f>INDEX(Personendaten!$J$2:$J$32,MATCH(A987,Personendaten!$A$2:$A$32,0))</f>
        <v/>
      </c>
      <c r="Q987" s="22">
        <f>IF(O987=1,"",IF(AND(B987="post",P987="nicht angetreten"),"NANG",IF(N987=1,"AUSL",IFERROR(VLOOKUP(H987,Vokabular!$A$2:$B$8,2,FALSE),"UNBEKANNT"))))</f>
        <v/>
      </c>
    </row>
    <row r="988">
      <c r="A988" s="5" t="inlineStr">
        <is>
          <t>VS-06</t>
        </is>
      </c>
      <c r="B988" s="5" t="inlineStr">
        <is>
          <t>post</t>
        </is>
      </c>
      <c r="C988" s="5" t="inlineStr">
        <is>
          <t>COD_505</t>
        </is>
      </c>
      <c r="D988" s="5" t="inlineStr">
        <is>
          <t>L</t>
        </is>
      </c>
      <c r="E988" s="5" t="n">
        <v>3</v>
      </c>
      <c r="F988" s="5" t="n"/>
      <c r="G988" s="5" t="n"/>
      <c r="H988" s="5" t="inlineStr">
        <is>
          <t>Nur 2 Versuche aus Zeitmangel</t>
        </is>
      </c>
      <c r="I988" s="22">
        <f>INDEX(Personendaten!$C$2:$C$32,MATCH(A988,Personendaten!$A$2:$A$32,0))</f>
        <v/>
      </c>
      <c r="J988" s="22">
        <f>IF(AND(F988&lt;&gt;"",G988=""),1,0)</f>
        <v/>
      </c>
      <c r="K988" s="22">
        <f>IF(LEFT(C988,7)&lt;&gt;"Sprint_","",IF(COUNTIFS(Versuchsdaten!$A$2:$A$1117,$A988,Versuchsdaten!$B$2:$B$1117,$B988,Versuchsdaten!$C$2:$C$1117,"Sprint_5m",Versuchsdaten!$E$2:$E$1117,$E988,Versuchsdaten!$J$2:$J$1117,1)=1,SUMIFS(Versuchsdaten!$F$2:$F$1117,Versuchsdaten!$A$2:$A$1117,$A988,Versuchsdaten!$B$2:$B$1117,$B988,Versuchsdaten!$C$2:$C$1117,"Sprint_5m",Versuchsdaten!$E$2:$E$1117,$E988,Versuchsdaten!$J$2:$J$1117,1),""))</f>
        <v/>
      </c>
      <c r="L988" s="22">
        <f>IF(LEFT(C988,7)&lt;&gt;"Sprint_","",IF(COUNTIFS(Versuchsdaten!$A$2:$A$1117,$A988,Versuchsdaten!$B$2:$B$1117,$B988,Versuchsdaten!$C$2:$C$1117,"Sprint_10m",Versuchsdaten!$E$2:$E$1117,$E988,Versuchsdaten!$J$2:$J$1117,1)=1,SUMIFS(Versuchsdaten!$F$2:$F$1117,Versuchsdaten!$A$2:$A$1117,$A988,Versuchsdaten!$B$2:$B$1117,$B988,Versuchsdaten!$C$2:$C$1117,"Sprint_10m",Versuchsdaten!$E$2:$E$1117,$E988,Versuchsdaten!$J$2:$J$1117,1),""))</f>
        <v/>
      </c>
      <c r="M988" s="22">
        <f>IF(LEFT(C988,7)&lt;&gt;"Sprint_","",IF(COUNTIFS(Versuchsdaten!$A$2:$A$1117,$A988,Versuchsdaten!$B$2:$B$1117,$B988,Versuchsdaten!$C$2:$C$1117,"Sprint_30m",Versuchsdaten!$E$2:$E$1117,$E988,Versuchsdaten!$J$2:$J$1117,1)=1,SUMIFS(Versuchsdaten!$F$2:$F$1117,Versuchsdaten!$A$2:$A$1117,$A988,Versuchsdaten!$B$2:$B$1117,$B988,Versuchsdaten!$C$2:$C$1117,"Sprint_30m",Versuchsdaten!$E$2:$E$1117,$E988,Versuchsdaten!$J$2:$J$1117,1),""))</f>
        <v/>
      </c>
      <c r="N988" s="22">
        <f>IF(LEFT(C988,7)&lt;&gt;"Sprint_",0,IF(IF(ISNUMBER(K988),IF(K988&lt;=0,1,IF(5/K988&gt;10,1,0)),0)+IF(ISNUMBER(L988),IF(ISNUMBER(K988),IF(L988-K988&lt;=0,1,IF(5/(L988-K988)&gt;10,1,0)),IF(L988&lt;=0,1,IF(10/L988&gt;10,1,0))),0)+IF(ISNUMBER(M988),IF(ISNUMBER(L988),IF(M988-L988&lt;=0,1,IF(20/(M988-L988)&gt;10,1,0)),IF(ISNUMBER(K988),IF(M988-K988&lt;=0,1,IF(25/(M988-K988)&gt;10,1,0)),IF(M988&lt;=0,1,IF(30/M988&gt;10,1,0)))),0)&gt;0,1,0))</f>
        <v/>
      </c>
      <c r="O988" s="22">
        <f>IF(AND(J988=1,N988=0),1,0)</f>
        <v/>
      </c>
      <c r="P988" s="22">
        <f>INDEX(Personendaten!$J$2:$J$32,MATCH(A988,Personendaten!$A$2:$A$32,0))</f>
        <v/>
      </c>
      <c r="Q988" s="22">
        <f>IF(O988=1,"",IF(AND(B988="post",P988="nicht angetreten"),"NANG",IF(N988=1,"AUSL",IFERROR(VLOOKUP(H988,Vokabular!$A$2:$B$8,2,FALSE),"UNBEKANNT"))))</f>
        <v/>
      </c>
    </row>
    <row r="989">
      <c r="A989" s="5" t="inlineStr">
        <is>
          <t>VS-06</t>
        </is>
      </c>
      <c r="B989" s="5" t="inlineStr">
        <is>
          <t>post</t>
        </is>
      </c>
      <c r="C989" s="5" t="inlineStr">
        <is>
          <t>COD_505</t>
        </is>
      </c>
      <c r="D989" s="5" t="inlineStr">
        <is>
          <t>R</t>
        </is>
      </c>
      <c r="E989" s="5" t="n">
        <v>1</v>
      </c>
      <c r="F989" s="5" t="n"/>
      <c r="G989" s="5" t="inlineStr">
        <is>
          <t>x</t>
        </is>
      </c>
      <c r="H989" s="5" t="inlineStr">
        <is>
          <t>Fehlversuch</t>
        </is>
      </c>
      <c r="I989" s="22">
        <f>INDEX(Personendaten!$C$2:$C$32,MATCH(A989,Personendaten!$A$2:$A$32,0))</f>
        <v/>
      </c>
      <c r="J989" s="22">
        <f>IF(AND(F989&lt;&gt;"",G989=""),1,0)</f>
        <v/>
      </c>
      <c r="K989" s="22">
        <f>IF(LEFT(C989,7)&lt;&gt;"Sprint_","",IF(COUNTIFS(Versuchsdaten!$A$2:$A$1117,$A989,Versuchsdaten!$B$2:$B$1117,$B989,Versuchsdaten!$C$2:$C$1117,"Sprint_5m",Versuchsdaten!$E$2:$E$1117,$E989,Versuchsdaten!$J$2:$J$1117,1)=1,SUMIFS(Versuchsdaten!$F$2:$F$1117,Versuchsdaten!$A$2:$A$1117,$A989,Versuchsdaten!$B$2:$B$1117,$B989,Versuchsdaten!$C$2:$C$1117,"Sprint_5m",Versuchsdaten!$E$2:$E$1117,$E989,Versuchsdaten!$J$2:$J$1117,1),""))</f>
        <v/>
      </c>
      <c r="L989" s="22">
        <f>IF(LEFT(C989,7)&lt;&gt;"Sprint_","",IF(COUNTIFS(Versuchsdaten!$A$2:$A$1117,$A989,Versuchsdaten!$B$2:$B$1117,$B989,Versuchsdaten!$C$2:$C$1117,"Sprint_10m",Versuchsdaten!$E$2:$E$1117,$E989,Versuchsdaten!$J$2:$J$1117,1)=1,SUMIFS(Versuchsdaten!$F$2:$F$1117,Versuchsdaten!$A$2:$A$1117,$A989,Versuchsdaten!$B$2:$B$1117,$B989,Versuchsdaten!$C$2:$C$1117,"Sprint_10m",Versuchsdaten!$E$2:$E$1117,$E989,Versuchsdaten!$J$2:$J$1117,1),""))</f>
        <v/>
      </c>
      <c r="M989" s="22">
        <f>IF(LEFT(C989,7)&lt;&gt;"Sprint_","",IF(COUNTIFS(Versuchsdaten!$A$2:$A$1117,$A989,Versuchsdaten!$B$2:$B$1117,$B989,Versuchsdaten!$C$2:$C$1117,"Sprint_30m",Versuchsdaten!$E$2:$E$1117,$E989,Versuchsdaten!$J$2:$J$1117,1)=1,SUMIFS(Versuchsdaten!$F$2:$F$1117,Versuchsdaten!$A$2:$A$1117,$A989,Versuchsdaten!$B$2:$B$1117,$B989,Versuchsdaten!$C$2:$C$1117,"Sprint_30m",Versuchsdaten!$E$2:$E$1117,$E989,Versuchsdaten!$J$2:$J$1117,1),""))</f>
        <v/>
      </c>
      <c r="N989" s="22">
        <f>IF(LEFT(C989,7)&lt;&gt;"Sprint_",0,IF(IF(ISNUMBER(K989),IF(K989&lt;=0,1,IF(5/K989&gt;10,1,0)),0)+IF(ISNUMBER(L989),IF(ISNUMBER(K989),IF(L989-K989&lt;=0,1,IF(5/(L989-K989)&gt;10,1,0)),IF(L989&lt;=0,1,IF(10/L989&gt;10,1,0))),0)+IF(ISNUMBER(M989),IF(ISNUMBER(L989),IF(M989-L989&lt;=0,1,IF(20/(M989-L989)&gt;10,1,0)),IF(ISNUMBER(K989),IF(M989-K989&lt;=0,1,IF(25/(M989-K989)&gt;10,1,0)),IF(M989&lt;=0,1,IF(30/M989&gt;10,1,0)))),0)&gt;0,1,0))</f>
        <v/>
      </c>
      <c r="O989" s="22">
        <f>IF(AND(J989=1,N989=0),1,0)</f>
        <v/>
      </c>
      <c r="P989" s="22">
        <f>INDEX(Personendaten!$J$2:$J$32,MATCH(A989,Personendaten!$A$2:$A$32,0))</f>
        <v/>
      </c>
      <c r="Q989" s="22">
        <f>IF(O989=1,"",IF(AND(B989="post",P989="nicht angetreten"),"NANG",IF(N989=1,"AUSL",IFERROR(VLOOKUP(H989,Vokabular!$A$2:$B$8,2,FALSE),"UNBEKANNT"))))</f>
        <v/>
      </c>
    </row>
    <row r="990">
      <c r="A990" s="5" t="inlineStr">
        <is>
          <t>VS-06</t>
        </is>
      </c>
      <c r="B990" s="5" t="inlineStr">
        <is>
          <t>post</t>
        </is>
      </c>
      <c r="C990" s="5" t="inlineStr">
        <is>
          <t>COD_505</t>
        </is>
      </c>
      <c r="D990" s="5" t="inlineStr">
        <is>
          <t>R</t>
        </is>
      </c>
      <c r="E990" s="5" t="n">
        <v>2</v>
      </c>
      <c r="F990" s="5" t="n">
        <v>2.34</v>
      </c>
      <c r="G990" s="5" t="n"/>
      <c r="H990" s="5" t="n"/>
      <c r="I990" s="22">
        <f>INDEX(Personendaten!$C$2:$C$32,MATCH(A990,Personendaten!$A$2:$A$32,0))</f>
        <v/>
      </c>
      <c r="J990" s="22">
        <f>IF(AND(F990&lt;&gt;"",G990=""),1,0)</f>
        <v/>
      </c>
      <c r="K990" s="22">
        <f>IF(LEFT(C990,7)&lt;&gt;"Sprint_","",IF(COUNTIFS(Versuchsdaten!$A$2:$A$1117,$A990,Versuchsdaten!$B$2:$B$1117,$B990,Versuchsdaten!$C$2:$C$1117,"Sprint_5m",Versuchsdaten!$E$2:$E$1117,$E990,Versuchsdaten!$J$2:$J$1117,1)=1,SUMIFS(Versuchsdaten!$F$2:$F$1117,Versuchsdaten!$A$2:$A$1117,$A990,Versuchsdaten!$B$2:$B$1117,$B990,Versuchsdaten!$C$2:$C$1117,"Sprint_5m",Versuchsdaten!$E$2:$E$1117,$E990,Versuchsdaten!$J$2:$J$1117,1),""))</f>
        <v/>
      </c>
      <c r="L990" s="22">
        <f>IF(LEFT(C990,7)&lt;&gt;"Sprint_","",IF(COUNTIFS(Versuchsdaten!$A$2:$A$1117,$A990,Versuchsdaten!$B$2:$B$1117,$B990,Versuchsdaten!$C$2:$C$1117,"Sprint_10m",Versuchsdaten!$E$2:$E$1117,$E990,Versuchsdaten!$J$2:$J$1117,1)=1,SUMIFS(Versuchsdaten!$F$2:$F$1117,Versuchsdaten!$A$2:$A$1117,$A990,Versuchsdaten!$B$2:$B$1117,$B990,Versuchsdaten!$C$2:$C$1117,"Sprint_10m",Versuchsdaten!$E$2:$E$1117,$E990,Versuchsdaten!$J$2:$J$1117,1),""))</f>
        <v/>
      </c>
      <c r="M990" s="22">
        <f>IF(LEFT(C990,7)&lt;&gt;"Sprint_","",IF(COUNTIFS(Versuchsdaten!$A$2:$A$1117,$A990,Versuchsdaten!$B$2:$B$1117,$B990,Versuchsdaten!$C$2:$C$1117,"Sprint_30m",Versuchsdaten!$E$2:$E$1117,$E990,Versuchsdaten!$J$2:$J$1117,1)=1,SUMIFS(Versuchsdaten!$F$2:$F$1117,Versuchsdaten!$A$2:$A$1117,$A990,Versuchsdaten!$B$2:$B$1117,$B990,Versuchsdaten!$C$2:$C$1117,"Sprint_30m",Versuchsdaten!$E$2:$E$1117,$E990,Versuchsdaten!$J$2:$J$1117,1),""))</f>
        <v/>
      </c>
      <c r="N990" s="22">
        <f>IF(LEFT(C990,7)&lt;&gt;"Sprint_",0,IF(IF(ISNUMBER(K990),IF(K990&lt;=0,1,IF(5/K990&gt;10,1,0)),0)+IF(ISNUMBER(L990),IF(ISNUMBER(K990),IF(L990-K990&lt;=0,1,IF(5/(L990-K990)&gt;10,1,0)),IF(L990&lt;=0,1,IF(10/L990&gt;10,1,0))),0)+IF(ISNUMBER(M990),IF(ISNUMBER(L990),IF(M990-L990&lt;=0,1,IF(20/(M990-L990)&gt;10,1,0)),IF(ISNUMBER(K990),IF(M990-K990&lt;=0,1,IF(25/(M990-K990)&gt;10,1,0)),IF(M990&lt;=0,1,IF(30/M990&gt;10,1,0)))),0)&gt;0,1,0))</f>
        <v/>
      </c>
      <c r="O990" s="22">
        <f>IF(AND(J990=1,N990=0),1,0)</f>
        <v/>
      </c>
      <c r="P990" s="22">
        <f>INDEX(Personendaten!$J$2:$J$32,MATCH(A990,Personendaten!$A$2:$A$32,0))</f>
        <v/>
      </c>
      <c r="Q990" s="22">
        <f>IF(O990=1,"",IF(AND(B990="post",P990="nicht angetreten"),"NANG",IF(N990=1,"AUSL",IFERROR(VLOOKUP(H990,Vokabular!$A$2:$B$8,2,FALSE),"UNBEKANNT"))))</f>
        <v/>
      </c>
    </row>
    <row r="991">
      <c r="A991" s="5" t="inlineStr">
        <is>
          <t>VS-06</t>
        </is>
      </c>
      <c r="B991" s="5" t="inlineStr">
        <is>
          <t>post</t>
        </is>
      </c>
      <c r="C991" s="5" t="inlineStr">
        <is>
          <t>COD_505</t>
        </is>
      </c>
      <c r="D991" s="5" t="inlineStr">
        <is>
          <t>R</t>
        </is>
      </c>
      <c r="E991" s="5" t="n">
        <v>3</v>
      </c>
      <c r="F991" s="5" t="n"/>
      <c r="G991" s="5" t="n"/>
      <c r="H991" s="5" t="inlineStr">
        <is>
          <t>Nur 2 Versuche aus Zeitmangel</t>
        </is>
      </c>
      <c r="I991" s="22">
        <f>INDEX(Personendaten!$C$2:$C$32,MATCH(A991,Personendaten!$A$2:$A$32,0))</f>
        <v/>
      </c>
      <c r="J991" s="22">
        <f>IF(AND(F991&lt;&gt;"",G991=""),1,0)</f>
        <v/>
      </c>
      <c r="K991" s="22">
        <f>IF(LEFT(C991,7)&lt;&gt;"Sprint_","",IF(COUNTIFS(Versuchsdaten!$A$2:$A$1117,$A991,Versuchsdaten!$B$2:$B$1117,$B991,Versuchsdaten!$C$2:$C$1117,"Sprint_5m",Versuchsdaten!$E$2:$E$1117,$E991,Versuchsdaten!$J$2:$J$1117,1)=1,SUMIFS(Versuchsdaten!$F$2:$F$1117,Versuchsdaten!$A$2:$A$1117,$A991,Versuchsdaten!$B$2:$B$1117,$B991,Versuchsdaten!$C$2:$C$1117,"Sprint_5m",Versuchsdaten!$E$2:$E$1117,$E991,Versuchsdaten!$J$2:$J$1117,1),""))</f>
        <v/>
      </c>
      <c r="L991" s="22">
        <f>IF(LEFT(C991,7)&lt;&gt;"Sprint_","",IF(COUNTIFS(Versuchsdaten!$A$2:$A$1117,$A991,Versuchsdaten!$B$2:$B$1117,$B991,Versuchsdaten!$C$2:$C$1117,"Sprint_10m",Versuchsdaten!$E$2:$E$1117,$E991,Versuchsdaten!$J$2:$J$1117,1)=1,SUMIFS(Versuchsdaten!$F$2:$F$1117,Versuchsdaten!$A$2:$A$1117,$A991,Versuchsdaten!$B$2:$B$1117,$B991,Versuchsdaten!$C$2:$C$1117,"Sprint_10m",Versuchsdaten!$E$2:$E$1117,$E991,Versuchsdaten!$J$2:$J$1117,1),""))</f>
        <v/>
      </c>
      <c r="M991" s="22">
        <f>IF(LEFT(C991,7)&lt;&gt;"Sprint_","",IF(COUNTIFS(Versuchsdaten!$A$2:$A$1117,$A991,Versuchsdaten!$B$2:$B$1117,$B991,Versuchsdaten!$C$2:$C$1117,"Sprint_30m",Versuchsdaten!$E$2:$E$1117,$E991,Versuchsdaten!$J$2:$J$1117,1)=1,SUMIFS(Versuchsdaten!$F$2:$F$1117,Versuchsdaten!$A$2:$A$1117,$A991,Versuchsdaten!$B$2:$B$1117,$B991,Versuchsdaten!$C$2:$C$1117,"Sprint_30m",Versuchsdaten!$E$2:$E$1117,$E991,Versuchsdaten!$J$2:$J$1117,1),""))</f>
        <v/>
      </c>
      <c r="N991" s="22">
        <f>IF(LEFT(C991,7)&lt;&gt;"Sprint_",0,IF(IF(ISNUMBER(K991),IF(K991&lt;=0,1,IF(5/K991&gt;10,1,0)),0)+IF(ISNUMBER(L991),IF(ISNUMBER(K991),IF(L991-K991&lt;=0,1,IF(5/(L991-K991)&gt;10,1,0)),IF(L991&lt;=0,1,IF(10/L991&gt;10,1,0))),0)+IF(ISNUMBER(M991),IF(ISNUMBER(L991),IF(M991-L991&lt;=0,1,IF(20/(M991-L991)&gt;10,1,0)),IF(ISNUMBER(K991),IF(M991-K991&lt;=0,1,IF(25/(M991-K991)&gt;10,1,0)),IF(M991&lt;=0,1,IF(30/M991&gt;10,1,0)))),0)&gt;0,1,0))</f>
        <v/>
      </c>
      <c r="O991" s="22">
        <f>IF(AND(J991=1,N991=0),1,0)</f>
        <v/>
      </c>
      <c r="P991" s="22">
        <f>INDEX(Personendaten!$J$2:$J$32,MATCH(A991,Personendaten!$A$2:$A$32,0))</f>
        <v/>
      </c>
      <c r="Q991" s="22">
        <f>IF(O991=1,"",IF(AND(B991="post",P991="nicht angetreten"),"NANG",IF(N991=1,"AUSL",IFERROR(VLOOKUP(H991,Vokabular!$A$2:$B$8,2,FALSE),"UNBEKANNT"))))</f>
        <v/>
      </c>
    </row>
    <row r="992">
      <c r="A992" s="5" t="inlineStr">
        <is>
          <t>VS-07</t>
        </is>
      </c>
      <c r="B992" s="5" t="inlineStr">
        <is>
          <t>post</t>
        </is>
      </c>
      <c r="C992" s="5" t="inlineStr">
        <is>
          <t>Sprint_5m</t>
        </is>
      </c>
      <c r="D992" s="5" t="inlineStr">
        <is>
          <t>–</t>
        </is>
      </c>
      <c r="E992" s="5" t="n">
        <v>1</v>
      </c>
      <c r="F992" s="5" t="n"/>
      <c r="G992" s="5" t="n"/>
      <c r="H992" s="5" t="n"/>
      <c r="I992" s="22">
        <f>INDEX(Personendaten!$C$2:$C$32,MATCH(A992,Personendaten!$A$2:$A$32,0))</f>
        <v/>
      </c>
      <c r="J992" s="22">
        <f>IF(AND(F992&lt;&gt;"",G992=""),1,0)</f>
        <v/>
      </c>
      <c r="K992" s="22">
        <f>IF(LEFT(C992,7)&lt;&gt;"Sprint_","",IF(COUNTIFS(Versuchsdaten!$A$2:$A$1117,$A992,Versuchsdaten!$B$2:$B$1117,$B992,Versuchsdaten!$C$2:$C$1117,"Sprint_5m",Versuchsdaten!$E$2:$E$1117,$E992,Versuchsdaten!$J$2:$J$1117,1)=1,SUMIFS(Versuchsdaten!$F$2:$F$1117,Versuchsdaten!$A$2:$A$1117,$A992,Versuchsdaten!$B$2:$B$1117,$B992,Versuchsdaten!$C$2:$C$1117,"Sprint_5m",Versuchsdaten!$E$2:$E$1117,$E992,Versuchsdaten!$J$2:$J$1117,1),""))</f>
        <v/>
      </c>
      <c r="L992" s="22">
        <f>IF(LEFT(C992,7)&lt;&gt;"Sprint_","",IF(COUNTIFS(Versuchsdaten!$A$2:$A$1117,$A992,Versuchsdaten!$B$2:$B$1117,$B992,Versuchsdaten!$C$2:$C$1117,"Sprint_10m",Versuchsdaten!$E$2:$E$1117,$E992,Versuchsdaten!$J$2:$J$1117,1)=1,SUMIFS(Versuchsdaten!$F$2:$F$1117,Versuchsdaten!$A$2:$A$1117,$A992,Versuchsdaten!$B$2:$B$1117,$B992,Versuchsdaten!$C$2:$C$1117,"Sprint_10m",Versuchsdaten!$E$2:$E$1117,$E992,Versuchsdaten!$J$2:$J$1117,1),""))</f>
        <v/>
      </c>
      <c r="M992" s="22">
        <f>IF(LEFT(C992,7)&lt;&gt;"Sprint_","",IF(COUNTIFS(Versuchsdaten!$A$2:$A$1117,$A992,Versuchsdaten!$B$2:$B$1117,$B992,Versuchsdaten!$C$2:$C$1117,"Sprint_30m",Versuchsdaten!$E$2:$E$1117,$E992,Versuchsdaten!$J$2:$J$1117,1)=1,SUMIFS(Versuchsdaten!$F$2:$F$1117,Versuchsdaten!$A$2:$A$1117,$A992,Versuchsdaten!$B$2:$B$1117,$B992,Versuchsdaten!$C$2:$C$1117,"Sprint_30m",Versuchsdaten!$E$2:$E$1117,$E992,Versuchsdaten!$J$2:$J$1117,1),""))</f>
        <v/>
      </c>
      <c r="N992" s="22">
        <f>IF(LEFT(C992,7)&lt;&gt;"Sprint_",0,IF(IF(ISNUMBER(K992),IF(K992&lt;=0,1,IF(5/K992&gt;10,1,0)),0)+IF(ISNUMBER(L992),IF(ISNUMBER(K992),IF(L992-K992&lt;=0,1,IF(5/(L992-K992)&gt;10,1,0)),IF(L992&lt;=0,1,IF(10/L992&gt;10,1,0))),0)+IF(ISNUMBER(M992),IF(ISNUMBER(L992),IF(M992-L992&lt;=0,1,IF(20/(M992-L992)&gt;10,1,0)),IF(ISNUMBER(K992),IF(M992-K992&lt;=0,1,IF(25/(M992-K992)&gt;10,1,0)),IF(M992&lt;=0,1,IF(30/M992&gt;10,1,0)))),0)&gt;0,1,0))</f>
        <v/>
      </c>
      <c r="O992" s="22">
        <f>IF(AND(J992=1,N992=0),1,0)</f>
        <v/>
      </c>
      <c r="P992" s="22">
        <f>INDEX(Personendaten!$J$2:$J$32,MATCH(A992,Personendaten!$A$2:$A$32,0))</f>
        <v/>
      </c>
      <c r="Q992" s="22">
        <f>IF(O992=1,"",IF(AND(B992="post",P992="nicht angetreten"),"NANG",IF(N992=1,"AUSL",IFERROR(VLOOKUP(H992,Vokabular!$A$2:$B$8,2,FALSE),"UNBEKANNT"))))</f>
        <v/>
      </c>
    </row>
    <row r="993">
      <c r="A993" s="5" t="inlineStr">
        <is>
          <t>VS-07</t>
        </is>
      </c>
      <c r="B993" s="5" t="inlineStr">
        <is>
          <t>post</t>
        </is>
      </c>
      <c r="C993" s="5" t="inlineStr">
        <is>
          <t>Sprint_5m</t>
        </is>
      </c>
      <c r="D993" s="5" t="inlineStr">
        <is>
          <t>–</t>
        </is>
      </c>
      <c r="E993" s="5" t="n">
        <v>2</v>
      </c>
      <c r="F993" s="5" t="n"/>
      <c r="G993" s="5" t="n"/>
      <c r="H993" s="5" t="n"/>
      <c r="I993" s="22">
        <f>INDEX(Personendaten!$C$2:$C$32,MATCH(A993,Personendaten!$A$2:$A$32,0))</f>
        <v/>
      </c>
      <c r="J993" s="22">
        <f>IF(AND(F993&lt;&gt;"",G993=""),1,0)</f>
        <v/>
      </c>
      <c r="K993" s="22">
        <f>IF(LEFT(C993,7)&lt;&gt;"Sprint_","",IF(COUNTIFS(Versuchsdaten!$A$2:$A$1117,$A993,Versuchsdaten!$B$2:$B$1117,$B993,Versuchsdaten!$C$2:$C$1117,"Sprint_5m",Versuchsdaten!$E$2:$E$1117,$E993,Versuchsdaten!$J$2:$J$1117,1)=1,SUMIFS(Versuchsdaten!$F$2:$F$1117,Versuchsdaten!$A$2:$A$1117,$A993,Versuchsdaten!$B$2:$B$1117,$B993,Versuchsdaten!$C$2:$C$1117,"Sprint_5m",Versuchsdaten!$E$2:$E$1117,$E993,Versuchsdaten!$J$2:$J$1117,1),""))</f>
        <v/>
      </c>
      <c r="L993" s="22">
        <f>IF(LEFT(C993,7)&lt;&gt;"Sprint_","",IF(COUNTIFS(Versuchsdaten!$A$2:$A$1117,$A993,Versuchsdaten!$B$2:$B$1117,$B993,Versuchsdaten!$C$2:$C$1117,"Sprint_10m",Versuchsdaten!$E$2:$E$1117,$E993,Versuchsdaten!$J$2:$J$1117,1)=1,SUMIFS(Versuchsdaten!$F$2:$F$1117,Versuchsdaten!$A$2:$A$1117,$A993,Versuchsdaten!$B$2:$B$1117,$B993,Versuchsdaten!$C$2:$C$1117,"Sprint_10m",Versuchsdaten!$E$2:$E$1117,$E993,Versuchsdaten!$J$2:$J$1117,1),""))</f>
        <v/>
      </c>
      <c r="M993" s="22">
        <f>IF(LEFT(C993,7)&lt;&gt;"Sprint_","",IF(COUNTIFS(Versuchsdaten!$A$2:$A$1117,$A993,Versuchsdaten!$B$2:$B$1117,$B993,Versuchsdaten!$C$2:$C$1117,"Sprint_30m",Versuchsdaten!$E$2:$E$1117,$E993,Versuchsdaten!$J$2:$J$1117,1)=1,SUMIFS(Versuchsdaten!$F$2:$F$1117,Versuchsdaten!$A$2:$A$1117,$A993,Versuchsdaten!$B$2:$B$1117,$B993,Versuchsdaten!$C$2:$C$1117,"Sprint_30m",Versuchsdaten!$E$2:$E$1117,$E993,Versuchsdaten!$J$2:$J$1117,1),""))</f>
        <v/>
      </c>
      <c r="N993" s="22">
        <f>IF(LEFT(C993,7)&lt;&gt;"Sprint_",0,IF(IF(ISNUMBER(K993),IF(K993&lt;=0,1,IF(5/K993&gt;10,1,0)),0)+IF(ISNUMBER(L993),IF(ISNUMBER(K993),IF(L993-K993&lt;=0,1,IF(5/(L993-K993)&gt;10,1,0)),IF(L993&lt;=0,1,IF(10/L993&gt;10,1,0))),0)+IF(ISNUMBER(M993),IF(ISNUMBER(L993),IF(M993-L993&lt;=0,1,IF(20/(M993-L993)&gt;10,1,0)),IF(ISNUMBER(K993),IF(M993-K993&lt;=0,1,IF(25/(M993-K993)&gt;10,1,0)),IF(M993&lt;=0,1,IF(30/M993&gt;10,1,0)))),0)&gt;0,1,0))</f>
        <v/>
      </c>
      <c r="O993" s="22">
        <f>IF(AND(J993=1,N993=0),1,0)</f>
        <v/>
      </c>
      <c r="P993" s="22">
        <f>INDEX(Personendaten!$J$2:$J$32,MATCH(A993,Personendaten!$A$2:$A$32,0))</f>
        <v/>
      </c>
      <c r="Q993" s="22">
        <f>IF(O993=1,"",IF(AND(B993="post",P993="nicht angetreten"),"NANG",IF(N993=1,"AUSL",IFERROR(VLOOKUP(H993,Vokabular!$A$2:$B$8,2,FALSE),"UNBEKANNT"))))</f>
        <v/>
      </c>
    </row>
    <row r="994">
      <c r="A994" s="5" t="inlineStr">
        <is>
          <t>VS-07</t>
        </is>
      </c>
      <c r="B994" s="5" t="inlineStr">
        <is>
          <t>post</t>
        </is>
      </c>
      <c r="C994" s="5" t="inlineStr">
        <is>
          <t>Sprint_5m</t>
        </is>
      </c>
      <c r="D994" s="5" t="inlineStr">
        <is>
          <t>–</t>
        </is>
      </c>
      <c r="E994" s="5" t="n">
        <v>3</v>
      </c>
      <c r="F994" s="5" t="n"/>
      <c r="G994" s="5" t="n"/>
      <c r="H994" s="5" t="n"/>
      <c r="I994" s="22">
        <f>INDEX(Personendaten!$C$2:$C$32,MATCH(A994,Personendaten!$A$2:$A$32,0))</f>
        <v/>
      </c>
      <c r="J994" s="22">
        <f>IF(AND(F994&lt;&gt;"",G994=""),1,0)</f>
        <v/>
      </c>
      <c r="K994" s="22">
        <f>IF(LEFT(C994,7)&lt;&gt;"Sprint_","",IF(COUNTIFS(Versuchsdaten!$A$2:$A$1117,$A994,Versuchsdaten!$B$2:$B$1117,$B994,Versuchsdaten!$C$2:$C$1117,"Sprint_5m",Versuchsdaten!$E$2:$E$1117,$E994,Versuchsdaten!$J$2:$J$1117,1)=1,SUMIFS(Versuchsdaten!$F$2:$F$1117,Versuchsdaten!$A$2:$A$1117,$A994,Versuchsdaten!$B$2:$B$1117,$B994,Versuchsdaten!$C$2:$C$1117,"Sprint_5m",Versuchsdaten!$E$2:$E$1117,$E994,Versuchsdaten!$J$2:$J$1117,1),""))</f>
        <v/>
      </c>
      <c r="L994" s="22">
        <f>IF(LEFT(C994,7)&lt;&gt;"Sprint_","",IF(COUNTIFS(Versuchsdaten!$A$2:$A$1117,$A994,Versuchsdaten!$B$2:$B$1117,$B994,Versuchsdaten!$C$2:$C$1117,"Sprint_10m",Versuchsdaten!$E$2:$E$1117,$E994,Versuchsdaten!$J$2:$J$1117,1)=1,SUMIFS(Versuchsdaten!$F$2:$F$1117,Versuchsdaten!$A$2:$A$1117,$A994,Versuchsdaten!$B$2:$B$1117,$B994,Versuchsdaten!$C$2:$C$1117,"Sprint_10m",Versuchsdaten!$E$2:$E$1117,$E994,Versuchsdaten!$J$2:$J$1117,1),""))</f>
        <v/>
      </c>
      <c r="M994" s="22">
        <f>IF(LEFT(C994,7)&lt;&gt;"Sprint_","",IF(COUNTIFS(Versuchsdaten!$A$2:$A$1117,$A994,Versuchsdaten!$B$2:$B$1117,$B994,Versuchsdaten!$C$2:$C$1117,"Sprint_30m",Versuchsdaten!$E$2:$E$1117,$E994,Versuchsdaten!$J$2:$J$1117,1)=1,SUMIFS(Versuchsdaten!$F$2:$F$1117,Versuchsdaten!$A$2:$A$1117,$A994,Versuchsdaten!$B$2:$B$1117,$B994,Versuchsdaten!$C$2:$C$1117,"Sprint_30m",Versuchsdaten!$E$2:$E$1117,$E994,Versuchsdaten!$J$2:$J$1117,1),""))</f>
        <v/>
      </c>
      <c r="N994" s="22">
        <f>IF(LEFT(C994,7)&lt;&gt;"Sprint_",0,IF(IF(ISNUMBER(K994),IF(K994&lt;=0,1,IF(5/K994&gt;10,1,0)),0)+IF(ISNUMBER(L994),IF(ISNUMBER(K994),IF(L994-K994&lt;=0,1,IF(5/(L994-K994)&gt;10,1,0)),IF(L994&lt;=0,1,IF(10/L994&gt;10,1,0))),0)+IF(ISNUMBER(M994),IF(ISNUMBER(L994),IF(M994-L994&lt;=0,1,IF(20/(M994-L994)&gt;10,1,0)),IF(ISNUMBER(K994),IF(M994-K994&lt;=0,1,IF(25/(M994-K994)&gt;10,1,0)),IF(M994&lt;=0,1,IF(30/M994&gt;10,1,0)))),0)&gt;0,1,0))</f>
        <v/>
      </c>
      <c r="O994" s="22">
        <f>IF(AND(J994=1,N994=0),1,0)</f>
        <v/>
      </c>
      <c r="P994" s="22">
        <f>INDEX(Personendaten!$J$2:$J$32,MATCH(A994,Personendaten!$A$2:$A$32,0))</f>
        <v/>
      </c>
      <c r="Q994" s="22">
        <f>IF(O994=1,"",IF(AND(B994="post",P994="nicht angetreten"),"NANG",IF(N994=1,"AUSL",IFERROR(VLOOKUP(H994,Vokabular!$A$2:$B$8,2,FALSE),"UNBEKANNT"))))</f>
        <v/>
      </c>
    </row>
    <row r="995">
      <c r="A995" s="5" t="inlineStr">
        <is>
          <t>VS-07</t>
        </is>
      </c>
      <c r="B995" s="5" t="inlineStr">
        <is>
          <t>post</t>
        </is>
      </c>
      <c r="C995" s="5" t="inlineStr">
        <is>
          <t>Sprint_10m</t>
        </is>
      </c>
      <c r="D995" s="5" t="inlineStr">
        <is>
          <t>–</t>
        </is>
      </c>
      <c r="E995" s="5" t="n">
        <v>1</v>
      </c>
      <c r="F995" s="5" t="n"/>
      <c r="G995" s="5" t="n"/>
      <c r="H995" s="5" t="n"/>
      <c r="I995" s="22">
        <f>INDEX(Personendaten!$C$2:$C$32,MATCH(A995,Personendaten!$A$2:$A$32,0))</f>
        <v/>
      </c>
      <c r="J995" s="22">
        <f>IF(AND(F995&lt;&gt;"",G995=""),1,0)</f>
        <v/>
      </c>
      <c r="K995" s="22">
        <f>IF(LEFT(C995,7)&lt;&gt;"Sprint_","",IF(COUNTIFS(Versuchsdaten!$A$2:$A$1117,$A995,Versuchsdaten!$B$2:$B$1117,$B995,Versuchsdaten!$C$2:$C$1117,"Sprint_5m",Versuchsdaten!$E$2:$E$1117,$E995,Versuchsdaten!$J$2:$J$1117,1)=1,SUMIFS(Versuchsdaten!$F$2:$F$1117,Versuchsdaten!$A$2:$A$1117,$A995,Versuchsdaten!$B$2:$B$1117,$B995,Versuchsdaten!$C$2:$C$1117,"Sprint_5m",Versuchsdaten!$E$2:$E$1117,$E995,Versuchsdaten!$J$2:$J$1117,1),""))</f>
        <v/>
      </c>
      <c r="L995" s="22">
        <f>IF(LEFT(C995,7)&lt;&gt;"Sprint_","",IF(COUNTIFS(Versuchsdaten!$A$2:$A$1117,$A995,Versuchsdaten!$B$2:$B$1117,$B995,Versuchsdaten!$C$2:$C$1117,"Sprint_10m",Versuchsdaten!$E$2:$E$1117,$E995,Versuchsdaten!$J$2:$J$1117,1)=1,SUMIFS(Versuchsdaten!$F$2:$F$1117,Versuchsdaten!$A$2:$A$1117,$A995,Versuchsdaten!$B$2:$B$1117,$B995,Versuchsdaten!$C$2:$C$1117,"Sprint_10m",Versuchsdaten!$E$2:$E$1117,$E995,Versuchsdaten!$J$2:$J$1117,1),""))</f>
        <v/>
      </c>
      <c r="M995" s="22">
        <f>IF(LEFT(C995,7)&lt;&gt;"Sprint_","",IF(COUNTIFS(Versuchsdaten!$A$2:$A$1117,$A995,Versuchsdaten!$B$2:$B$1117,$B995,Versuchsdaten!$C$2:$C$1117,"Sprint_30m",Versuchsdaten!$E$2:$E$1117,$E995,Versuchsdaten!$J$2:$J$1117,1)=1,SUMIFS(Versuchsdaten!$F$2:$F$1117,Versuchsdaten!$A$2:$A$1117,$A995,Versuchsdaten!$B$2:$B$1117,$B995,Versuchsdaten!$C$2:$C$1117,"Sprint_30m",Versuchsdaten!$E$2:$E$1117,$E995,Versuchsdaten!$J$2:$J$1117,1),""))</f>
        <v/>
      </c>
      <c r="N995" s="22">
        <f>IF(LEFT(C995,7)&lt;&gt;"Sprint_",0,IF(IF(ISNUMBER(K995),IF(K995&lt;=0,1,IF(5/K995&gt;10,1,0)),0)+IF(ISNUMBER(L995),IF(ISNUMBER(K995),IF(L995-K995&lt;=0,1,IF(5/(L995-K995)&gt;10,1,0)),IF(L995&lt;=0,1,IF(10/L995&gt;10,1,0))),0)+IF(ISNUMBER(M995),IF(ISNUMBER(L995),IF(M995-L995&lt;=0,1,IF(20/(M995-L995)&gt;10,1,0)),IF(ISNUMBER(K995),IF(M995-K995&lt;=0,1,IF(25/(M995-K995)&gt;10,1,0)),IF(M995&lt;=0,1,IF(30/M995&gt;10,1,0)))),0)&gt;0,1,0))</f>
        <v/>
      </c>
      <c r="O995" s="22">
        <f>IF(AND(J995=1,N995=0),1,0)</f>
        <v/>
      </c>
      <c r="P995" s="22">
        <f>INDEX(Personendaten!$J$2:$J$32,MATCH(A995,Personendaten!$A$2:$A$32,0))</f>
        <v/>
      </c>
      <c r="Q995" s="22">
        <f>IF(O995=1,"",IF(AND(B995="post",P995="nicht angetreten"),"NANG",IF(N995=1,"AUSL",IFERROR(VLOOKUP(H995,Vokabular!$A$2:$B$8,2,FALSE),"UNBEKANNT"))))</f>
        <v/>
      </c>
    </row>
    <row r="996">
      <c r="A996" s="5" t="inlineStr">
        <is>
          <t>VS-07</t>
        </is>
      </c>
      <c r="B996" s="5" t="inlineStr">
        <is>
          <t>post</t>
        </is>
      </c>
      <c r="C996" s="5" t="inlineStr">
        <is>
          <t>Sprint_10m</t>
        </is>
      </c>
      <c r="D996" s="5" t="inlineStr">
        <is>
          <t>–</t>
        </is>
      </c>
      <c r="E996" s="5" t="n">
        <v>2</v>
      </c>
      <c r="F996" s="5" t="n"/>
      <c r="G996" s="5" t="n"/>
      <c r="H996" s="5" t="n"/>
      <c r="I996" s="22">
        <f>INDEX(Personendaten!$C$2:$C$32,MATCH(A996,Personendaten!$A$2:$A$32,0))</f>
        <v/>
      </c>
      <c r="J996" s="22">
        <f>IF(AND(F996&lt;&gt;"",G996=""),1,0)</f>
        <v/>
      </c>
      <c r="K996" s="22">
        <f>IF(LEFT(C996,7)&lt;&gt;"Sprint_","",IF(COUNTIFS(Versuchsdaten!$A$2:$A$1117,$A996,Versuchsdaten!$B$2:$B$1117,$B996,Versuchsdaten!$C$2:$C$1117,"Sprint_5m",Versuchsdaten!$E$2:$E$1117,$E996,Versuchsdaten!$J$2:$J$1117,1)=1,SUMIFS(Versuchsdaten!$F$2:$F$1117,Versuchsdaten!$A$2:$A$1117,$A996,Versuchsdaten!$B$2:$B$1117,$B996,Versuchsdaten!$C$2:$C$1117,"Sprint_5m",Versuchsdaten!$E$2:$E$1117,$E996,Versuchsdaten!$J$2:$J$1117,1),""))</f>
        <v/>
      </c>
      <c r="L996" s="22">
        <f>IF(LEFT(C996,7)&lt;&gt;"Sprint_","",IF(COUNTIFS(Versuchsdaten!$A$2:$A$1117,$A996,Versuchsdaten!$B$2:$B$1117,$B996,Versuchsdaten!$C$2:$C$1117,"Sprint_10m",Versuchsdaten!$E$2:$E$1117,$E996,Versuchsdaten!$J$2:$J$1117,1)=1,SUMIFS(Versuchsdaten!$F$2:$F$1117,Versuchsdaten!$A$2:$A$1117,$A996,Versuchsdaten!$B$2:$B$1117,$B996,Versuchsdaten!$C$2:$C$1117,"Sprint_10m",Versuchsdaten!$E$2:$E$1117,$E996,Versuchsdaten!$J$2:$J$1117,1),""))</f>
        <v/>
      </c>
      <c r="M996" s="22">
        <f>IF(LEFT(C996,7)&lt;&gt;"Sprint_","",IF(COUNTIFS(Versuchsdaten!$A$2:$A$1117,$A996,Versuchsdaten!$B$2:$B$1117,$B996,Versuchsdaten!$C$2:$C$1117,"Sprint_30m",Versuchsdaten!$E$2:$E$1117,$E996,Versuchsdaten!$J$2:$J$1117,1)=1,SUMIFS(Versuchsdaten!$F$2:$F$1117,Versuchsdaten!$A$2:$A$1117,$A996,Versuchsdaten!$B$2:$B$1117,$B996,Versuchsdaten!$C$2:$C$1117,"Sprint_30m",Versuchsdaten!$E$2:$E$1117,$E996,Versuchsdaten!$J$2:$J$1117,1),""))</f>
        <v/>
      </c>
      <c r="N996" s="22">
        <f>IF(LEFT(C996,7)&lt;&gt;"Sprint_",0,IF(IF(ISNUMBER(K996),IF(K996&lt;=0,1,IF(5/K996&gt;10,1,0)),0)+IF(ISNUMBER(L996),IF(ISNUMBER(K996),IF(L996-K996&lt;=0,1,IF(5/(L996-K996)&gt;10,1,0)),IF(L996&lt;=0,1,IF(10/L996&gt;10,1,0))),0)+IF(ISNUMBER(M996),IF(ISNUMBER(L996),IF(M996-L996&lt;=0,1,IF(20/(M996-L996)&gt;10,1,0)),IF(ISNUMBER(K996),IF(M996-K996&lt;=0,1,IF(25/(M996-K996)&gt;10,1,0)),IF(M996&lt;=0,1,IF(30/M996&gt;10,1,0)))),0)&gt;0,1,0))</f>
        <v/>
      </c>
      <c r="O996" s="22">
        <f>IF(AND(J996=1,N996=0),1,0)</f>
        <v/>
      </c>
      <c r="P996" s="22">
        <f>INDEX(Personendaten!$J$2:$J$32,MATCH(A996,Personendaten!$A$2:$A$32,0))</f>
        <v/>
      </c>
      <c r="Q996" s="22">
        <f>IF(O996=1,"",IF(AND(B996="post",P996="nicht angetreten"),"NANG",IF(N996=1,"AUSL",IFERROR(VLOOKUP(H996,Vokabular!$A$2:$B$8,2,FALSE),"UNBEKANNT"))))</f>
        <v/>
      </c>
    </row>
    <row r="997">
      <c r="A997" s="5" t="inlineStr">
        <is>
          <t>VS-07</t>
        </is>
      </c>
      <c r="B997" s="5" t="inlineStr">
        <is>
          <t>post</t>
        </is>
      </c>
      <c r="C997" s="5" t="inlineStr">
        <is>
          <t>Sprint_10m</t>
        </is>
      </c>
      <c r="D997" s="5" t="inlineStr">
        <is>
          <t>–</t>
        </is>
      </c>
      <c r="E997" s="5" t="n">
        <v>3</v>
      </c>
      <c r="F997" s="5" t="n"/>
      <c r="G997" s="5" t="n"/>
      <c r="H997" s="5" t="n"/>
      <c r="I997" s="22">
        <f>INDEX(Personendaten!$C$2:$C$32,MATCH(A997,Personendaten!$A$2:$A$32,0))</f>
        <v/>
      </c>
      <c r="J997" s="22">
        <f>IF(AND(F997&lt;&gt;"",G997=""),1,0)</f>
        <v/>
      </c>
      <c r="K997" s="22">
        <f>IF(LEFT(C997,7)&lt;&gt;"Sprint_","",IF(COUNTIFS(Versuchsdaten!$A$2:$A$1117,$A997,Versuchsdaten!$B$2:$B$1117,$B997,Versuchsdaten!$C$2:$C$1117,"Sprint_5m",Versuchsdaten!$E$2:$E$1117,$E997,Versuchsdaten!$J$2:$J$1117,1)=1,SUMIFS(Versuchsdaten!$F$2:$F$1117,Versuchsdaten!$A$2:$A$1117,$A997,Versuchsdaten!$B$2:$B$1117,$B997,Versuchsdaten!$C$2:$C$1117,"Sprint_5m",Versuchsdaten!$E$2:$E$1117,$E997,Versuchsdaten!$J$2:$J$1117,1),""))</f>
        <v/>
      </c>
      <c r="L997" s="22">
        <f>IF(LEFT(C997,7)&lt;&gt;"Sprint_","",IF(COUNTIFS(Versuchsdaten!$A$2:$A$1117,$A997,Versuchsdaten!$B$2:$B$1117,$B997,Versuchsdaten!$C$2:$C$1117,"Sprint_10m",Versuchsdaten!$E$2:$E$1117,$E997,Versuchsdaten!$J$2:$J$1117,1)=1,SUMIFS(Versuchsdaten!$F$2:$F$1117,Versuchsdaten!$A$2:$A$1117,$A997,Versuchsdaten!$B$2:$B$1117,$B997,Versuchsdaten!$C$2:$C$1117,"Sprint_10m",Versuchsdaten!$E$2:$E$1117,$E997,Versuchsdaten!$J$2:$J$1117,1),""))</f>
        <v/>
      </c>
      <c r="M997" s="22">
        <f>IF(LEFT(C997,7)&lt;&gt;"Sprint_","",IF(COUNTIFS(Versuchsdaten!$A$2:$A$1117,$A997,Versuchsdaten!$B$2:$B$1117,$B997,Versuchsdaten!$C$2:$C$1117,"Sprint_30m",Versuchsdaten!$E$2:$E$1117,$E997,Versuchsdaten!$J$2:$J$1117,1)=1,SUMIFS(Versuchsdaten!$F$2:$F$1117,Versuchsdaten!$A$2:$A$1117,$A997,Versuchsdaten!$B$2:$B$1117,$B997,Versuchsdaten!$C$2:$C$1117,"Sprint_30m",Versuchsdaten!$E$2:$E$1117,$E997,Versuchsdaten!$J$2:$J$1117,1),""))</f>
        <v/>
      </c>
      <c r="N997" s="22">
        <f>IF(LEFT(C997,7)&lt;&gt;"Sprint_",0,IF(IF(ISNUMBER(K997),IF(K997&lt;=0,1,IF(5/K997&gt;10,1,0)),0)+IF(ISNUMBER(L997),IF(ISNUMBER(K997),IF(L997-K997&lt;=0,1,IF(5/(L997-K997)&gt;10,1,0)),IF(L997&lt;=0,1,IF(10/L997&gt;10,1,0))),0)+IF(ISNUMBER(M997),IF(ISNUMBER(L997),IF(M997-L997&lt;=0,1,IF(20/(M997-L997)&gt;10,1,0)),IF(ISNUMBER(K997),IF(M997-K997&lt;=0,1,IF(25/(M997-K997)&gt;10,1,0)),IF(M997&lt;=0,1,IF(30/M997&gt;10,1,0)))),0)&gt;0,1,0))</f>
        <v/>
      </c>
      <c r="O997" s="22">
        <f>IF(AND(J997=1,N997=0),1,0)</f>
        <v/>
      </c>
      <c r="P997" s="22">
        <f>INDEX(Personendaten!$J$2:$J$32,MATCH(A997,Personendaten!$A$2:$A$32,0))</f>
        <v/>
      </c>
      <c r="Q997" s="22">
        <f>IF(O997=1,"",IF(AND(B997="post",P997="nicht angetreten"),"NANG",IF(N997=1,"AUSL",IFERROR(VLOOKUP(H997,Vokabular!$A$2:$B$8,2,FALSE),"UNBEKANNT"))))</f>
        <v/>
      </c>
    </row>
    <row r="998">
      <c r="A998" s="5" t="inlineStr">
        <is>
          <t>VS-07</t>
        </is>
      </c>
      <c r="B998" s="5" t="inlineStr">
        <is>
          <t>post</t>
        </is>
      </c>
      <c r="C998" s="5" t="inlineStr">
        <is>
          <t>Sprint_30m</t>
        </is>
      </c>
      <c r="D998" s="5" t="inlineStr">
        <is>
          <t>–</t>
        </is>
      </c>
      <c r="E998" s="5" t="n">
        <v>1</v>
      </c>
      <c r="F998" s="5" t="n"/>
      <c r="G998" s="5" t="n"/>
      <c r="H998" s="5" t="n"/>
      <c r="I998" s="22">
        <f>INDEX(Personendaten!$C$2:$C$32,MATCH(A998,Personendaten!$A$2:$A$32,0))</f>
        <v/>
      </c>
      <c r="J998" s="22">
        <f>IF(AND(F998&lt;&gt;"",G998=""),1,0)</f>
        <v/>
      </c>
      <c r="K998" s="22">
        <f>IF(LEFT(C998,7)&lt;&gt;"Sprint_","",IF(COUNTIFS(Versuchsdaten!$A$2:$A$1117,$A998,Versuchsdaten!$B$2:$B$1117,$B998,Versuchsdaten!$C$2:$C$1117,"Sprint_5m",Versuchsdaten!$E$2:$E$1117,$E998,Versuchsdaten!$J$2:$J$1117,1)=1,SUMIFS(Versuchsdaten!$F$2:$F$1117,Versuchsdaten!$A$2:$A$1117,$A998,Versuchsdaten!$B$2:$B$1117,$B998,Versuchsdaten!$C$2:$C$1117,"Sprint_5m",Versuchsdaten!$E$2:$E$1117,$E998,Versuchsdaten!$J$2:$J$1117,1),""))</f>
        <v/>
      </c>
      <c r="L998" s="22">
        <f>IF(LEFT(C998,7)&lt;&gt;"Sprint_","",IF(COUNTIFS(Versuchsdaten!$A$2:$A$1117,$A998,Versuchsdaten!$B$2:$B$1117,$B998,Versuchsdaten!$C$2:$C$1117,"Sprint_10m",Versuchsdaten!$E$2:$E$1117,$E998,Versuchsdaten!$J$2:$J$1117,1)=1,SUMIFS(Versuchsdaten!$F$2:$F$1117,Versuchsdaten!$A$2:$A$1117,$A998,Versuchsdaten!$B$2:$B$1117,$B998,Versuchsdaten!$C$2:$C$1117,"Sprint_10m",Versuchsdaten!$E$2:$E$1117,$E998,Versuchsdaten!$J$2:$J$1117,1),""))</f>
        <v/>
      </c>
      <c r="M998" s="22">
        <f>IF(LEFT(C998,7)&lt;&gt;"Sprint_","",IF(COUNTIFS(Versuchsdaten!$A$2:$A$1117,$A998,Versuchsdaten!$B$2:$B$1117,$B998,Versuchsdaten!$C$2:$C$1117,"Sprint_30m",Versuchsdaten!$E$2:$E$1117,$E998,Versuchsdaten!$J$2:$J$1117,1)=1,SUMIFS(Versuchsdaten!$F$2:$F$1117,Versuchsdaten!$A$2:$A$1117,$A998,Versuchsdaten!$B$2:$B$1117,$B998,Versuchsdaten!$C$2:$C$1117,"Sprint_30m",Versuchsdaten!$E$2:$E$1117,$E998,Versuchsdaten!$J$2:$J$1117,1),""))</f>
        <v/>
      </c>
      <c r="N998" s="22">
        <f>IF(LEFT(C998,7)&lt;&gt;"Sprint_",0,IF(IF(ISNUMBER(K998),IF(K998&lt;=0,1,IF(5/K998&gt;10,1,0)),0)+IF(ISNUMBER(L998),IF(ISNUMBER(K998),IF(L998-K998&lt;=0,1,IF(5/(L998-K998)&gt;10,1,0)),IF(L998&lt;=0,1,IF(10/L998&gt;10,1,0))),0)+IF(ISNUMBER(M998),IF(ISNUMBER(L998),IF(M998-L998&lt;=0,1,IF(20/(M998-L998)&gt;10,1,0)),IF(ISNUMBER(K998),IF(M998-K998&lt;=0,1,IF(25/(M998-K998)&gt;10,1,0)),IF(M998&lt;=0,1,IF(30/M998&gt;10,1,0)))),0)&gt;0,1,0))</f>
        <v/>
      </c>
      <c r="O998" s="22">
        <f>IF(AND(J998=1,N998=0),1,0)</f>
        <v/>
      </c>
      <c r="P998" s="22">
        <f>INDEX(Personendaten!$J$2:$J$32,MATCH(A998,Personendaten!$A$2:$A$32,0))</f>
        <v/>
      </c>
      <c r="Q998" s="22">
        <f>IF(O998=1,"",IF(AND(B998="post",P998="nicht angetreten"),"NANG",IF(N998=1,"AUSL",IFERROR(VLOOKUP(H998,Vokabular!$A$2:$B$8,2,FALSE),"UNBEKANNT"))))</f>
        <v/>
      </c>
    </row>
    <row r="999">
      <c r="A999" s="5" t="inlineStr">
        <is>
          <t>VS-07</t>
        </is>
      </c>
      <c r="B999" s="5" t="inlineStr">
        <is>
          <t>post</t>
        </is>
      </c>
      <c r="C999" s="5" t="inlineStr">
        <is>
          <t>Sprint_30m</t>
        </is>
      </c>
      <c r="D999" s="5" t="inlineStr">
        <is>
          <t>–</t>
        </is>
      </c>
      <c r="E999" s="5" t="n">
        <v>2</v>
      </c>
      <c r="F999" s="5" t="n"/>
      <c r="G999" s="5" t="n"/>
      <c r="H999" s="5" t="n"/>
      <c r="I999" s="22">
        <f>INDEX(Personendaten!$C$2:$C$32,MATCH(A999,Personendaten!$A$2:$A$32,0))</f>
        <v/>
      </c>
      <c r="J999" s="22">
        <f>IF(AND(F999&lt;&gt;"",G999=""),1,0)</f>
        <v/>
      </c>
      <c r="K999" s="22">
        <f>IF(LEFT(C999,7)&lt;&gt;"Sprint_","",IF(COUNTIFS(Versuchsdaten!$A$2:$A$1117,$A999,Versuchsdaten!$B$2:$B$1117,$B999,Versuchsdaten!$C$2:$C$1117,"Sprint_5m",Versuchsdaten!$E$2:$E$1117,$E999,Versuchsdaten!$J$2:$J$1117,1)=1,SUMIFS(Versuchsdaten!$F$2:$F$1117,Versuchsdaten!$A$2:$A$1117,$A999,Versuchsdaten!$B$2:$B$1117,$B999,Versuchsdaten!$C$2:$C$1117,"Sprint_5m",Versuchsdaten!$E$2:$E$1117,$E999,Versuchsdaten!$J$2:$J$1117,1),""))</f>
        <v/>
      </c>
      <c r="L999" s="22">
        <f>IF(LEFT(C999,7)&lt;&gt;"Sprint_","",IF(COUNTIFS(Versuchsdaten!$A$2:$A$1117,$A999,Versuchsdaten!$B$2:$B$1117,$B999,Versuchsdaten!$C$2:$C$1117,"Sprint_10m",Versuchsdaten!$E$2:$E$1117,$E999,Versuchsdaten!$J$2:$J$1117,1)=1,SUMIFS(Versuchsdaten!$F$2:$F$1117,Versuchsdaten!$A$2:$A$1117,$A999,Versuchsdaten!$B$2:$B$1117,$B999,Versuchsdaten!$C$2:$C$1117,"Sprint_10m",Versuchsdaten!$E$2:$E$1117,$E999,Versuchsdaten!$J$2:$J$1117,1),""))</f>
        <v/>
      </c>
      <c r="M999" s="22">
        <f>IF(LEFT(C999,7)&lt;&gt;"Sprint_","",IF(COUNTIFS(Versuchsdaten!$A$2:$A$1117,$A999,Versuchsdaten!$B$2:$B$1117,$B999,Versuchsdaten!$C$2:$C$1117,"Sprint_30m",Versuchsdaten!$E$2:$E$1117,$E999,Versuchsdaten!$J$2:$J$1117,1)=1,SUMIFS(Versuchsdaten!$F$2:$F$1117,Versuchsdaten!$A$2:$A$1117,$A999,Versuchsdaten!$B$2:$B$1117,$B999,Versuchsdaten!$C$2:$C$1117,"Sprint_30m",Versuchsdaten!$E$2:$E$1117,$E999,Versuchsdaten!$J$2:$J$1117,1),""))</f>
        <v/>
      </c>
      <c r="N999" s="22">
        <f>IF(LEFT(C999,7)&lt;&gt;"Sprint_",0,IF(IF(ISNUMBER(K999),IF(K999&lt;=0,1,IF(5/K999&gt;10,1,0)),0)+IF(ISNUMBER(L999),IF(ISNUMBER(K999),IF(L999-K999&lt;=0,1,IF(5/(L999-K999)&gt;10,1,0)),IF(L999&lt;=0,1,IF(10/L999&gt;10,1,0))),0)+IF(ISNUMBER(M999),IF(ISNUMBER(L999),IF(M999-L999&lt;=0,1,IF(20/(M999-L999)&gt;10,1,0)),IF(ISNUMBER(K999),IF(M999-K999&lt;=0,1,IF(25/(M999-K999)&gt;10,1,0)),IF(M999&lt;=0,1,IF(30/M999&gt;10,1,0)))),0)&gt;0,1,0))</f>
        <v/>
      </c>
      <c r="O999" s="22">
        <f>IF(AND(J999=1,N999=0),1,0)</f>
        <v/>
      </c>
      <c r="P999" s="22">
        <f>INDEX(Personendaten!$J$2:$J$32,MATCH(A999,Personendaten!$A$2:$A$32,0))</f>
        <v/>
      </c>
      <c r="Q999" s="22">
        <f>IF(O999=1,"",IF(AND(B999="post",P999="nicht angetreten"),"NANG",IF(N999=1,"AUSL",IFERROR(VLOOKUP(H999,Vokabular!$A$2:$B$8,2,FALSE),"UNBEKANNT"))))</f>
        <v/>
      </c>
    </row>
    <row r="1000">
      <c r="A1000" s="5" t="inlineStr">
        <is>
          <t>VS-07</t>
        </is>
      </c>
      <c r="B1000" s="5" t="inlineStr">
        <is>
          <t>post</t>
        </is>
      </c>
      <c r="C1000" s="5" t="inlineStr">
        <is>
          <t>Sprint_30m</t>
        </is>
      </c>
      <c r="D1000" s="5" t="inlineStr">
        <is>
          <t>–</t>
        </is>
      </c>
      <c r="E1000" s="5" t="n">
        <v>3</v>
      </c>
      <c r="F1000" s="5" t="n"/>
      <c r="G1000" s="5" t="n"/>
      <c r="H1000" s="5" t="n"/>
      <c r="I1000" s="22">
        <f>INDEX(Personendaten!$C$2:$C$32,MATCH(A1000,Personendaten!$A$2:$A$32,0))</f>
        <v/>
      </c>
      <c r="J1000" s="22">
        <f>IF(AND(F1000&lt;&gt;"",G1000=""),1,0)</f>
        <v/>
      </c>
      <c r="K1000" s="22">
        <f>IF(LEFT(C1000,7)&lt;&gt;"Sprint_","",IF(COUNTIFS(Versuchsdaten!$A$2:$A$1117,$A1000,Versuchsdaten!$B$2:$B$1117,$B1000,Versuchsdaten!$C$2:$C$1117,"Sprint_5m",Versuchsdaten!$E$2:$E$1117,$E1000,Versuchsdaten!$J$2:$J$1117,1)=1,SUMIFS(Versuchsdaten!$F$2:$F$1117,Versuchsdaten!$A$2:$A$1117,$A1000,Versuchsdaten!$B$2:$B$1117,$B1000,Versuchsdaten!$C$2:$C$1117,"Sprint_5m",Versuchsdaten!$E$2:$E$1117,$E1000,Versuchsdaten!$J$2:$J$1117,1),""))</f>
        <v/>
      </c>
      <c r="L1000" s="22">
        <f>IF(LEFT(C1000,7)&lt;&gt;"Sprint_","",IF(COUNTIFS(Versuchsdaten!$A$2:$A$1117,$A1000,Versuchsdaten!$B$2:$B$1117,$B1000,Versuchsdaten!$C$2:$C$1117,"Sprint_10m",Versuchsdaten!$E$2:$E$1117,$E1000,Versuchsdaten!$J$2:$J$1117,1)=1,SUMIFS(Versuchsdaten!$F$2:$F$1117,Versuchsdaten!$A$2:$A$1117,$A1000,Versuchsdaten!$B$2:$B$1117,$B1000,Versuchsdaten!$C$2:$C$1117,"Sprint_10m",Versuchsdaten!$E$2:$E$1117,$E1000,Versuchsdaten!$J$2:$J$1117,1),""))</f>
        <v/>
      </c>
      <c r="M1000" s="22">
        <f>IF(LEFT(C1000,7)&lt;&gt;"Sprint_","",IF(COUNTIFS(Versuchsdaten!$A$2:$A$1117,$A1000,Versuchsdaten!$B$2:$B$1117,$B1000,Versuchsdaten!$C$2:$C$1117,"Sprint_30m",Versuchsdaten!$E$2:$E$1117,$E1000,Versuchsdaten!$J$2:$J$1117,1)=1,SUMIFS(Versuchsdaten!$F$2:$F$1117,Versuchsdaten!$A$2:$A$1117,$A1000,Versuchsdaten!$B$2:$B$1117,$B1000,Versuchsdaten!$C$2:$C$1117,"Sprint_30m",Versuchsdaten!$E$2:$E$1117,$E1000,Versuchsdaten!$J$2:$J$1117,1),""))</f>
        <v/>
      </c>
      <c r="N1000" s="22">
        <f>IF(LEFT(C1000,7)&lt;&gt;"Sprint_",0,IF(IF(ISNUMBER(K1000),IF(K1000&lt;=0,1,IF(5/K1000&gt;10,1,0)),0)+IF(ISNUMBER(L1000),IF(ISNUMBER(K1000),IF(L1000-K1000&lt;=0,1,IF(5/(L1000-K1000)&gt;10,1,0)),IF(L1000&lt;=0,1,IF(10/L1000&gt;10,1,0))),0)+IF(ISNUMBER(M1000),IF(ISNUMBER(L1000),IF(M1000-L1000&lt;=0,1,IF(20/(M1000-L1000)&gt;10,1,0)),IF(ISNUMBER(K1000),IF(M1000-K1000&lt;=0,1,IF(25/(M1000-K1000)&gt;10,1,0)),IF(M1000&lt;=0,1,IF(30/M1000&gt;10,1,0)))),0)&gt;0,1,0))</f>
        <v/>
      </c>
      <c r="O1000" s="22">
        <f>IF(AND(J1000=1,N1000=0),1,0)</f>
        <v/>
      </c>
      <c r="P1000" s="22">
        <f>INDEX(Personendaten!$J$2:$J$32,MATCH(A1000,Personendaten!$A$2:$A$32,0))</f>
        <v/>
      </c>
      <c r="Q1000" s="22">
        <f>IF(O1000=1,"",IF(AND(B1000="post",P1000="nicht angetreten"),"NANG",IF(N1000=1,"AUSL",IFERROR(VLOOKUP(H1000,Vokabular!$A$2:$B$8,2,FALSE),"UNBEKANNT"))))</f>
        <v/>
      </c>
    </row>
    <row r="1001">
      <c r="A1001" s="5" t="inlineStr">
        <is>
          <t>VS-07</t>
        </is>
      </c>
      <c r="B1001" s="5" t="inlineStr">
        <is>
          <t>post</t>
        </is>
      </c>
      <c r="C1001" s="5" t="inlineStr">
        <is>
          <t>Standweitsprung</t>
        </is>
      </c>
      <c r="D1001" s="5" t="inlineStr">
        <is>
          <t>–</t>
        </is>
      </c>
      <c r="E1001" s="5" t="n">
        <v>1</v>
      </c>
      <c r="F1001" s="5" t="n"/>
      <c r="G1001" s="5" t="n"/>
      <c r="H1001" s="5" t="n"/>
      <c r="I1001" s="22">
        <f>INDEX(Personendaten!$C$2:$C$32,MATCH(A1001,Personendaten!$A$2:$A$32,0))</f>
        <v/>
      </c>
      <c r="J1001" s="22">
        <f>IF(AND(F1001&lt;&gt;"",G1001=""),1,0)</f>
        <v/>
      </c>
      <c r="K1001" s="22">
        <f>IF(LEFT(C1001,7)&lt;&gt;"Sprint_","",IF(COUNTIFS(Versuchsdaten!$A$2:$A$1117,$A1001,Versuchsdaten!$B$2:$B$1117,$B1001,Versuchsdaten!$C$2:$C$1117,"Sprint_5m",Versuchsdaten!$E$2:$E$1117,$E1001,Versuchsdaten!$J$2:$J$1117,1)=1,SUMIFS(Versuchsdaten!$F$2:$F$1117,Versuchsdaten!$A$2:$A$1117,$A1001,Versuchsdaten!$B$2:$B$1117,$B1001,Versuchsdaten!$C$2:$C$1117,"Sprint_5m",Versuchsdaten!$E$2:$E$1117,$E1001,Versuchsdaten!$J$2:$J$1117,1),""))</f>
        <v/>
      </c>
      <c r="L1001" s="22">
        <f>IF(LEFT(C1001,7)&lt;&gt;"Sprint_","",IF(COUNTIFS(Versuchsdaten!$A$2:$A$1117,$A1001,Versuchsdaten!$B$2:$B$1117,$B1001,Versuchsdaten!$C$2:$C$1117,"Sprint_10m",Versuchsdaten!$E$2:$E$1117,$E1001,Versuchsdaten!$J$2:$J$1117,1)=1,SUMIFS(Versuchsdaten!$F$2:$F$1117,Versuchsdaten!$A$2:$A$1117,$A1001,Versuchsdaten!$B$2:$B$1117,$B1001,Versuchsdaten!$C$2:$C$1117,"Sprint_10m",Versuchsdaten!$E$2:$E$1117,$E1001,Versuchsdaten!$J$2:$J$1117,1),""))</f>
        <v/>
      </c>
      <c r="M1001" s="22">
        <f>IF(LEFT(C1001,7)&lt;&gt;"Sprint_","",IF(COUNTIFS(Versuchsdaten!$A$2:$A$1117,$A1001,Versuchsdaten!$B$2:$B$1117,$B1001,Versuchsdaten!$C$2:$C$1117,"Sprint_30m",Versuchsdaten!$E$2:$E$1117,$E1001,Versuchsdaten!$J$2:$J$1117,1)=1,SUMIFS(Versuchsdaten!$F$2:$F$1117,Versuchsdaten!$A$2:$A$1117,$A1001,Versuchsdaten!$B$2:$B$1117,$B1001,Versuchsdaten!$C$2:$C$1117,"Sprint_30m",Versuchsdaten!$E$2:$E$1117,$E1001,Versuchsdaten!$J$2:$J$1117,1),""))</f>
        <v/>
      </c>
      <c r="N1001" s="22">
        <f>IF(LEFT(C1001,7)&lt;&gt;"Sprint_",0,IF(IF(ISNUMBER(K1001),IF(K1001&lt;=0,1,IF(5/K1001&gt;10,1,0)),0)+IF(ISNUMBER(L1001),IF(ISNUMBER(K1001),IF(L1001-K1001&lt;=0,1,IF(5/(L1001-K1001)&gt;10,1,0)),IF(L1001&lt;=0,1,IF(10/L1001&gt;10,1,0))),0)+IF(ISNUMBER(M1001),IF(ISNUMBER(L1001),IF(M1001-L1001&lt;=0,1,IF(20/(M1001-L1001)&gt;10,1,0)),IF(ISNUMBER(K1001),IF(M1001-K1001&lt;=0,1,IF(25/(M1001-K1001)&gt;10,1,0)),IF(M1001&lt;=0,1,IF(30/M1001&gt;10,1,0)))),0)&gt;0,1,0))</f>
        <v/>
      </c>
      <c r="O1001" s="22">
        <f>IF(AND(J1001=1,N1001=0),1,0)</f>
        <v/>
      </c>
      <c r="P1001" s="22">
        <f>INDEX(Personendaten!$J$2:$J$32,MATCH(A1001,Personendaten!$A$2:$A$32,0))</f>
        <v/>
      </c>
      <c r="Q1001" s="22">
        <f>IF(O1001=1,"",IF(AND(B1001="post",P1001="nicht angetreten"),"NANG",IF(N1001=1,"AUSL",IFERROR(VLOOKUP(H1001,Vokabular!$A$2:$B$8,2,FALSE),"UNBEKANNT"))))</f>
        <v/>
      </c>
    </row>
    <row r="1002">
      <c r="A1002" s="5" t="inlineStr">
        <is>
          <t>VS-07</t>
        </is>
      </c>
      <c r="B1002" s="5" t="inlineStr">
        <is>
          <t>post</t>
        </is>
      </c>
      <c r="C1002" s="5" t="inlineStr">
        <is>
          <t>Standweitsprung</t>
        </is>
      </c>
      <c r="D1002" s="5" t="inlineStr">
        <is>
          <t>–</t>
        </is>
      </c>
      <c r="E1002" s="5" t="n">
        <v>2</v>
      </c>
      <c r="F1002" s="5" t="n"/>
      <c r="G1002" s="5" t="n"/>
      <c r="H1002" s="5" t="n"/>
      <c r="I1002" s="22">
        <f>INDEX(Personendaten!$C$2:$C$32,MATCH(A1002,Personendaten!$A$2:$A$32,0))</f>
        <v/>
      </c>
      <c r="J1002" s="22">
        <f>IF(AND(F1002&lt;&gt;"",G1002=""),1,0)</f>
        <v/>
      </c>
      <c r="K1002" s="22">
        <f>IF(LEFT(C1002,7)&lt;&gt;"Sprint_","",IF(COUNTIFS(Versuchsdaten!$A$2:$A$1117,$A1002,Versuchsdaten!$B$2:$B$1117,$B1002,Versuchsdaten!$C$2:$C$1117,"Sprint_5m",Versuchsdaten!$E$2:$E$1117,$E1002,Versuchsdaten!$J$2:$J$1117,1)=1,SUMIFS(Versuchsdaten!$F$2:$F$1117,Versuchsdaten!$A$2:$A$1117,$A1002,Versuchsdaten!$B$2:$B$1117,$B1002,Versuchsdaten!$C$2:$C$1117,"Sprint_5m",Versuchsdaten!$E$2:$E$1117,$E1002,Versuchsdaten!$J$2:$J$1117,1),""))</f>
        <v/>
      </c>
      <c r="L1002" s="22">
        <f>IF(LEFT(C1002,7)&lt;&gt;"Sprint_","",IF(COUNTIFS(Versuchsdaten!$A$2:$A$1117,$A1002,Versuchsdaten!$B$2:$B$1117,$B1002,Versuchsdaten!$C$2:$C$1117,"Sprint_10m",Versuchsdaten!$E$2:$E$1117,$E1002,Versuchsdaten!$J$2:$J$1117,1)=1,SUMIFS(Versuchsdaten!$F$2:$F$1117,Versuchsdaten!$A$2:$A$1117,$A1002,Versuchsdaten!$B$2:$B$1117,$B1002,Versuchsdaten!$C$2:$C$1117,"Sprint_10m",Versuchsdaten!$E$2:$E$1117,$E1002,Versuchsdaten!$J$2:$J$1117,1),""))</f>
        <v/>
      </c>
      <c r="M1002" s="22">
        <f>IF(LEFT(C1002,7)&lt;&gt;"Sprint_","",IF(COUNTIFS(Versuchsdaten!$A$2:$A$1117,$A1002,Versuchsdaten!$B$2:$B$1117,$B1002,Versuchsdaten!$C$2:$C$1117,"Sprint_30m",Versuchsdaten!$E$2:$E$1117,$E1002,Versuchsdaten!$J$2:$J$1117,1)=1,SUMIFS(Versuchsdaten!$F$2:$F$1117,Versuchsdaten!$A$2:$A$1117,$A1002,Versuchsdaten!$B$2:$B$1117,$B1002,Versuchsdaten!$C$2:$C$1117,"Sprint_30m",Versuchsdaten!$E$2:$E$1117,$E1002,Versuchsdaten!$J$2:$J$1117,1),""))</f>
        <v/>
      </c>
      <c r="N1002" s="22">
        <f>IF(LEFT(C1002,7)&lt;&gt;"Sprint_",0,IF(IF(ISNUMBER(K1002),IF(K1002&lt;=0,1,IF(5/K1002&gt;10,1,0)),0)+IF(ISNUMBER(L1002),IF(ISNUMBER(K1002),IF(L1002-K1002&lt;=0,1,IF(5/(L1002-K1002)&gt;10,1,0)),IF(L1002&lt;=0,1,IF(10/L1002&gt;10,1,0))),0)+IF(ISNUMBER(M1002),IF(ISNUMBER(L1002),IF(M1002-L1002&lt;=0,1,IF(20/(M1002-L1002)&gt;10,1,0)),IF(ISNUMBER(K1002),IF(M1002-K1002&lt;=0,1,IF(25/(M1002-K1002)&gt;10,1,0)),IF(M1002&lt;=0,1,IF(30/M1002&gt;10,1,0)))),0)&gt;0,1,0))</f>
        <v/>
      </c>
      <c r="O1002" s="22">
        <f>IF(AND(J1002=1,N1002=0),1,0)</f>
        <v/>
      </c>
      <c r="P1002" s="22">
        <f>INDEX(Personendaten!$J$2:$J$32,MATCH(A1002,Personendaten!$A$2:$A$32,0))</f>
        <v/>
      </c>
      <c r="Q1002" s="22">
        <f>IF(O1002=1,"",IF(AND(B1002="post",P1002="nicht angetreten"),"NANG",IF(N1002=1,"AUSL",IFERROR(VLOOKUP(H1002,Vokabular!$A$2:$B$8,2,FALSE),"UNBEKANNT"))))</f>
        <v/>
      </c>
    </row>
    <row r="1003">
      <c r="A1003" s="5" t="inlineStr">
        <is>
          <t>VS-07</t>
        </is>
      </c>
      <c r="B1003" s="5" t="inlineStr">
        <is>
          <t>post</t>
        </is>
      </c>
      <c r="C1003" s="5" t="inlineStr">
        <is>
          <t>Standweitsprung</t>
        </is>
      </c>
      <c r="D1003" s="5" t="inlineStr">
        <is>
          <t>–</t>
        </is>
      </c>
      <c r="E1003" s="5" t="n">
        <v>3</v>
      </c>
      <c r="F1003" s="5" t="n"/>
      <c r="G1003" s="5" t="n"/>
      <c r="H1003" s="5" t="n"/>
      <c r="I1003" s="22">
        <f>INDEX(Personendaten!$C$2:$C$32,MATCH(A1003,Personendaten!$A$2:$A$32,0))</f>
        <v/>
      </c>
      <c r="J1003" s="22">
        <f>IF(AND(F1003&lt;&gt;"",G1003=""),1,0)</f>
        <v/>
      </c>
      <c r="K1003" s="22">
        <f>IF(LEFT(C1003,7)&lt;&gt;"Sprint_","",IF(COUNTIFS(Versuchsdaten!$A$2:$A$1117,$A1003,Versuchsdaten!$B$2:$B$1117,$B1003,Versuchsdaten!$C$2:$C$1117,"Sprint_5m",Versuchsdaten!$E$2:$E$1117,$E1003,Versuchsdaten!$J$2:$J$1117,1)=1,SUMIFS(Versuchsdaten!$F$2:$F$1117,Versuchsdaten!$A$2:$A$1117,$A1003,Versuchsdaten!$B$2:$B$1117,$B1003,Versuchsdaten!$C$2:$C$1117,"Sprint_5m",Versuchsdaten!$E$2:$E$1117,$E1003,Versuchsdaten!$J$2:$J$1117,1),""))</f>
        <v/>
      </c>
      <c r="L1003" s="22">
        <f>IF(LEFT(C1003,7)&lt;&gt;"Sprint_","",IF(COUNTIFS(Versuchsdaten!$A$2:$A$1117,$A1003,Versuchsdaten!$B$2:$B$1117,$B1003,Versuchsdaten!$C$2:$C$1117,"Sprint_10m",Versuchsdaten!$E$2:$E$1117,$E1003,Versuchsdaten!$J$2:$J$1117,1)=1,SUMIFS(Versuchsdaten!$F$2:$F$1117,Versuchsdaten!$A$2:$A$1117,$A1003,Versuchsdaten!$B$2:$B$1117,$B1003,Versuchsdaten!$C$2:$C$1117,"Sprint_10m",Versuchsdaten!$E$2:$E$1117,$E1003,Versuchsdaten!$J$2:$J$1117,1),""))</f>
        <v/>
      </c>
      <c r="M1003" s="22">
        <f>IF(LEFT(C1003,7)&lt;&gt;"Sprint_","",IF(COUNTIFS(Versuchsdaten!$A$2:$A$1117,$A1003,Versuchsdaten!$B$2:$B$1117,$B1003,Versuchsdaten!$C$2:$C$1117,"Sprint_30m",Versuchsdaten!$E$2:$E$1117,$E1003,Versuchsdaten!$J$2:$J$1117,1)=1,SUMIFS(Versuchsdaten!$F$2:$F$1117,Versuchsdaten!$A$2:$A$1117,$A1003,Versuchsdaten!$B$2:$B$1117,$B1003,Versuchsdaten!$C$2:$C$1117,"Sprint_30m",Versuchsdaten!$E$2:$E$1117,$E1003,Versuchsdaten!$J$2:$J$1117,1),""))</f>
        <v/>
      </c>
      <c r="N1003" s="22">
        <f>IF(LEFT(C1003,7)&lt;&gt;"Sprint_",0,IF(IF(ISNUMBER(K1003),IF(K1003&lt;=0,1,IF(5/K1003&gt;10,1,0)),0)+IF(ISNUMBER(L1003),IF(ISNUMBER(K1003),IF(L1003-K1003&lt;=0,1,IF(5/(L1003-K1003)&gt;10,1,0)),IF(L1003&lt;=0,1,IF(10/L1003&gt;10,1,0))),0)+IF(ISNUMBER(M1003),IF(ISNUMBER(L1003),IF(M1003-L1003&lt;=0,1,IF(20/(M1003-L1003)&gt;10,1,0)),IF(ISNUMBER(K1003),IF(M1003-K1003&lt;=0,1,IF(25/(M1003-K1003)&gt;10,1,0)),IF(M1003&lt;=0,1,IF(30/M1003&gt;10,1,0)))),0)&gt;0,1,0))</f>
        <v/>
      </c>
      <c r="O1003" s="22">
        <f>IF(AND(J1003=1,N1003=0),1,0)</f>
        <v/>
      </c>
      <c r="P1003" s="22">
        <f>INDEX(Personendaten!$J$2:$J$32,MATCH(A1003,Personendaten!$A$2:$A$32,0))</f>
        <v/>
      </c>
      <c r="Q1003" s="22">
        <f>IF(O1003=1,"",IF(AND(B1003="post",P1003="nicht angetreten"),"NANG",IF(N1003=1,"AUSL",IFERROR(VLOOKUP(H1003,Vokabular!$A$2:$B$8,2,FALSE),"UNBEKANNT"))))</f>
        <v/>
      </c>
    </row>
    <row r="1004">
      <c r="A1004" s="5" t="inlineStr">
        <is>
          <t>VS-07</t>
        </is>
      </c>
      <c r="B1004" s="5" t="inlineStr">
        <is>
          <t>post</t>
        </is>
      </c>
      <c r="C1004" s="5" t="inlineStr">
        <is>
          <t>COD_505</t>
        </is>
      </c>
      <c r="D1004" s="5" t="inlineStr">
        <is>
          <t>L</t>
        </is>
      </c>
      <c r="E1004" s="5" t="n">
        <v>1</v>
      </c>
      <c r="F1004" s="5" t="n"/>
      <c r="G1004" s="5" t="n"/>
      <c r="H1004" s="5" t="n"/>
      <c r="I1004" s="22">
        <f>INDEX(Personendaten!$C$2:$C$32,MATCH(A1004,Personendaten!$A$2:$A$32,0))</f>
        <v/>
      </c>
      <c r="J1004" s="22">
        <f>IF(AND(F1004&lt;&gt;"",G1004=""),1,0)</f>
        <v/>
      </c>
      <c r="K1004" s="22">
        <f>IF(LEFT(C1004,7)&lt;&gt;"Sprint_","",IF(COUNTIFS(Versuchsdaten!$A$2:$A$1117,$A1004,Versuchsdaten!$B$2:$B$1117,$B1004,Versuchsdaten!$C$2:$C$1117,"Sprint_5m",Versuchsdaten!$E$2:$E$1117,$E1004,Versuchsdaten!$J$2:$J$1117,1)=1,SUMIFS(Versuchsdaten!$F$2:$F$1117,Versuchsdaten!$A$2:$A$1117,$A1004,Versuchsdaten!$B$2:$B$1117,$B1004,Versuchsdaten!$C$2:$C$1117,"Sprint_5m",Versuchsdaten!$E$2:$E$1117,$E1004,Versuchsdaten!$J$2:$J$1117,1),""))</f>
        <v/>
      </c>
      <c r="L1004" s="22">
        <f>IF(LEFT(C1004,7)&lt;&gt;"Sprint_","",IF(COUNTIFS(Versuchsdaten!$A$2:$A$1117,$A1004,Versuchsdaten!$B$2:$B$1117,$B1004,Versuchsdaten!$C$2:$C$1117,"Sprint_10m",Versuchsdaten!$E$2:$E$1117,$E1004,Versuchsdaten!$J$2:$J$1117,1)=1,SUMIFS(Versuchsdaten!$F$2:$F$1117,Versuchsdaten!$A$2:$A$1117,$A1004,Versuchsdaten!$B$2:$B$1117,$B1004,Versuchsdaten!$C$2:$C$1117,"Sprint_10m",Versuchsdaten!$E$2:$E$1117,$E1004,Versuchsdaten!$J$2:$J$1117,1),""))</f>
        <v/>
      </c>
      <c r="M1004" s="22">
        <f>IF(LEFT(C1004,7)&lt;&gt;"Sprint_","",IF(COUNTIFS(Versuchsdaten!$A$2:$A$1117,$A1004,Versuchsdaten!$B$2:$B$1117,$B1004,Versuchsdaten!$C$2:$C$1117,"Sprint_30m",Versuchsdaten!$E$2:$E$1117,$E1004,Versuchsdaten!$J$2:$J$1117,1)=1,SUMIFS(Versuchsdaten!$F$2:$F$1117,Versuchsdaten!$A$2:$A$1117,$A1004,Versuchsdaten!$B$2:$B$1117,$B1004,Versuchsdaten!$C$2:$C$1117,"Sprint_30m",Versuchsdaten!$E$2:$E$1117,$E1004,Versuchsdaten!$J$2:$J$1117,1),""))</f>
        <v/>
      </c>
      <c r="N1004" s="22">
        <f>IF(LEFT(C1004,7)&lt;&gt;"Sprint_",0,IF(IF(ISNUMBER(K1004),IF(K1004&lt;=0,1,IF(5/K1004&gt;10,1,0)),0)+IF(ISNUMBER(L1004),IF(ISNUMBER(K1004),IF(L1004-K1004&lt;=0,1,IF(5/(L1004-K1004)&gt;10,1,0)),IF(L1004&lt;=0,1,IF(10/L1004&gt;10,1,0))),0)+IF(ISNUMBER(M1004),IF(ISNUMBER(L1004),IF(M1004-L1004&lt;=0,1,IF(20/(M1004-L1004)&gt;10,1,0)),IF(ISNUMBER(K1004),IF(M1004-K1004&lt;=0,1,IF(25/(M1004-K1004)&gt;10,1,0)),IF(M1004&lt;=0,1,IF(30/M1004&gt;10,1,0)))),0)&gt;0,1,0))</f>
        <v/>
      </c>
      <c r="O1004" s="22">
        <f>IF(AND(J1004=1,N1004=0),1,0)</f>
        <v/>
      </c>
      <c r="P1004" s="22">
        <f>INDEX(Personendaten!$J$2:$J$32,MATCH(A1004,Personendaten!$A$2:$A$32,0))</f>
        <v/>
      </c>
      <c r="Q1004" s="22">
        <f>IF(O1004=1,"",IF(AND(B1004="post",P1004="nicht angetreten"),"NANG",IF(N1004=1,"AUSL",IFERROR(VLOOKUP(H1004,Vokabular!$A$2:$B$8,2,FALSE),"UNBEKANNT"))))</f>
        <v/>
      </c>
    </row>
    <row r="1005">
      <c r="A1005" s="5" t="inlineStr">
        <is>
          <t>VS-07</t>
        </is>
      </c>
      <c r="B1005" s="5" t="inlineStr">
        <is>
          <t>post</t>
        </is>
      </c>
      <c r="C1005" s="5" t="inlineStr">
        <is>
          <t>COD_505</t>
        </is>
      </c>
      <c r="D1005" s="5" t="inlineStr">
        <is>
          <t>L</t>
        </is>
      </c>
      <c r="E1005" s="5" t="n">
        <v>2</v>
      </c>
      <c r="F1005" s="5" t="n"/>
      <c r="G1005" s="5" t="n"/>
      <c r="H1005" s="5" t="n"/>
      <c r="I1005" s="22">
        <f>INDEX(Personendaten!$C$2:$C$32,MATCH(A1005,Personendaten!$A$2:$A$32,0))</f>
        <v/>
      </c>
      <c r="J1005" s="22">
        <f>IF(AND(F1005&lt;&gt;"",G1005=""),1,0)</f>
        <v/>
      </c>
      <c r="K1005" s="22">
        <f>IF(LEFT(C1005,7)&lt;&gt;"Sprint_","",IF(COUNTIFS(Versuchsdaten!$A$2:$A$1117,$A1005,Versuchsdaten!$B$2:$B$1117,$B1005,Versuchsdaten!$C$2:$C$1117,"Sprint_5m",Versuchsdaten!$E$2:$E$1117,$E1005,Versuchsdaten!$J$2:$J$1117,1)=1,SUMIFS(Versuchsdaten!$F$2:$F$1117,Versuchsdaten!$A$2:$A$1117,$A1005,Versuchsdaten!$B$2:$B$1117,$B1005,Versuchsdaten!$C$2:$C$1117,"Sprint_5m",Versuchsdaten!$E$2:$E$1117,$E1005,Versuchsdaten!$J$2:$J$1117,1),""))</f>
        <v/>
      </c>
      <c r="L1005" s="22">
        <f>IF(LEFT(C1005,7)&lt;&gt;"Sprint_","",IF(COUNTIFS(Versuchsdaten!$A$2:$A$1117,$A1005,Versuchsdaten!$B$2:$B$1117,$B1005,Versuchsdaten!$C$2:$C$1117,"Sprint_10m",Versuchsdaten!$E$2:$E$1117,$E1005,Versuchsdaten!$J$2:$J$1117,1)=1,SUMIFS(Versuchsdaten!$F$2:$F$1117,Versuchsdaten!$A$2:$A$1117,$A1005,Versuchsdaten!$B$2:$B$1117,$B1005,Versuchsdaten!$C$2:$C$1117,"Sprint_10m",Versuchsdaten!$E$2:$E$1117,$E1005,Versuchsdaten!$J$2:$J$1117,1),""))</f>
        <v/>
      </c>
      <c r="M1005" s="22">
        <f>IF(LEFT(C1005,7)&lt;&gt;"Sprint_","",IF(COUNTIFS(Versuchsdaten!$A$2:$A$1117,$A1005,Versuchsdaten!$B$2:$B$1117,$B1005,Versuchsdaten!$C$2:$C$1117,"Sprint_30m",Versuchsdaten!$E$2:$E$1117,$E1005,Versuchsdaten!$J$2:$J$1117,1)=1,SUMIFS(Versuchsdaten!$F$2:$F$1117,Versuchsdaten!$A$2:$A$1117,$A1005,Versuchsdaten!$B$2:$B$1117,$B1005,Versuchsdaten!$C$2:$C$1117,"Sprint_30m",Versuchsdaten!$E$2:$E$1117,$E1005,Versuchsdaten!$J$2:$J$1117,1),""))</f>
        <v/>
      </c>
      <c r="N1005" s="22">
        <f>IF(LEFT(C1005,7)&lt;&gt;"Sprint_",0,IF(IF(ISNUMBER(K1005),IF(K1005&lt;=0,1,IF(5/K1005&gt;10,1,0)),0)+IF(ISNUMBER(L1005),IF(ISNUMBER(K1005),IF(L1005-K1005&lt;=0,1,IF(5/(L1005-K1005)&gt;10,1,0)),IF(L1005&lt;=0,1,IF(10/L1005&gt;10,1,0))),0)+IF(ISNUMBER(M1005),IF(ISNUMBER(L1005),IF(M1005-L1005&lt;=0,1,IF(20/(M1005-L1005)&gt;10,1,0)),IF(ISNUMBER(K1005),IF(M1005-K1005&lt;=0,1,IF(25/(M1005-K1005)&gt;10,1,0)),IF(M1005&lt;=0,1,IF(30/M1005&gt;10,1,0)))),0)&gt;0,1,0))</f>
        <v/>
      </c>
      <c r="O1005" s="22">
        <f>IF(AND(J1005=1,N1005=0),1,0)</f>
        <v/>
      </c>
      <c r="P1005" s="22">
        <f>INDEX(Personendaten!$J$2:$J$32,MATCH(A1005,Personendaten!$A$2:$A$32,0))</f>
        <v/>
      </c>
      <c r="Q1005" s="22">
        <f>IF(O1005=1,"",IF(AND(B1005="post",P1005="nicht angetreten"),"NANG",IF(N1005=1,"AUSL",IFERROR(VLOOKUP(H1005,Vokabular!$A$2:$B$8,2,FALSE),"UNBEKANNT"))))</f>
        <v/>
      </c>
    </row>
    <row r="1006">
      <c r="A1006" s="5" t="inlineStr">
        <is>
          <t>VS-07</t>
        </is>
      </c>
      <c r="B1006" s="5" t="inlineStr">
        <is>
          <t>post</t>
        </is>
      </c>
      <c r="C1006" s="5" t="inlineStr">
        <is>
          <t>COD_505</t>
        </is>
      </c>
      <c r="D1006" s="5" t="inlineStr">
        <is>
          <t>L</t>
        </is>
      </c>
      <c r="E1006" s="5" t="n">
        <v>3</v>
      </c>
      <c r="F1006" s="5" t="n"/>
      <c r="G1006" s="5" t="n"/>
      <c r="H1006" s="5" t="n"/>
      <c r="I1006" s="22">
        <f>INDEX(Personendaten!$C$2:$C$32,MATCH(A1006,Personendaten!$A$2:$A$32,0))</f>
        <v/>
      </c>
      <c r="J1006" s="22">
        <f>IF(AND(F1006&lt;&gt;"",G1006=""),1,0)</f>
        <v/>
      </c>
      <c r="K1006" s="22">
        <f>IF(LEFT(C1006,7)&lt;&gt;"Sprint_","",IF(COUNTIFS(Versuchsdaten!$A$2:$A$1117,$A1006,Versuchsdaten!$B$2:$B$1117,$B1006,Versuchsdaten!$C$2:$C$1117,"Sprint_5m",Versuchsdaten!$E$2:$E$1117,$E1006,Versuchsdaten!$J$2:$J$1117,1)=1,SUMIFS(Versuchsdaten!$F$2:$F$1117,Versuchsdaten!$A$2:$A$1117,$A1006,Versuchsdaten!$B$2:$B$1117,$B1006,Versuchsdaten!$C$2:$C$1117,"Sprint_5m",Versuchsdaten!$E$2:$E$1117,$E1006,Versuchsdaten!$J$2:$J$1117,1),""))</f>
        <v/>
      </c>
      <c r="L1006" s="22">
        <f>IF(LEFT(C1006,7)&lt;&gt;"Sprint_","",IF(COUNTIFS(Versuchsdaten!$A$2:$A$1117,$A1006,Versuchsdaten!$B$2:$B$1117,$B1006,Versuchsdaten!$C$2:$C$1117,"Sprint_10m",Versuchsdaten!$E$2:$E$1117,$E1006,Versuchsdaten!$J$2:$J$1117,1)=1,SUMIFS(Versuchsdaten!$F$2:$F$1117,Versuchsdaten!$A$2:$A$1117,$A1006,Versuchsdaten!$B$2:$B$1117,$B1006,Versuchsdaten!$C$2:$C$1117,"Sprint_10m",Versuchsdaten!$E$2:$E$1117,$E1006,Versuchsdaten!$J$2:$J$1117,1),""))</f>
        <v/>
      </c>
      <c r="M1006" s="22">
        <f>IF(LEFT(C1006,7)&lt;&gt;"Sprint_","",IF(COUNTIFS(Versuchsdaten!$A$2:$A$1117,$A1006,Versuchsdaten!$B$2:$B$1117,$B1006,Versuchsdaten!$C$2:$C$1117,"Sprint_30m",Versuchsdaten!$E$2:$E$1117,$E1006,Versuchsdaten!$J$2:$J$1117,1)=1,SUMIFS(Versuchsdaten!$F$2:$F$1117,Versuchsdaten!$A$2:$A$1117,$A1006,Versuchsdaten!$B$2:$B$1117,$B1006,Versuchsdaten!$C$2:$C$1117,"Sprint_30m",Versuchsdaten!$E$2:$E$1117,$E1006,Versuchsdaten!$J$2:$J$1117,1),""))</f>
        <v/>
      </c>
      <c r="N1006" s="22">
        <f>IF(LEFT(C1006,7)&lt;&gt;"Sprint_",0,IF(IF(ISNUMBER(K1006),IF(K1006&lt;=0,1,IF(5/K1006&gt;10,1,0)),0)+IF(ISNUMBER(L1006),IF(ISNUMBER(K1006),IF(L1006-K1006&lt;=0,1,IF(5/(L1006-K1006)&gt;10,1,0)),IF(L1006&lt;=0,1,IF(10/L1006&gt;10,1,0))),0)+IF(ISNUMBER(M1006),IF(ISNUMBER(L1006),IF(M1006-L1006&lt;=0,1,IF(20/(M1006-L1006)&gt;10,1,0)),IF(ISNUMBER(K1006),IF(M1006-K1006&lt;=0,1,IF(25/(M1006-K1006)&gt;10,1,0)),IF(M1006&lt;=0,1,IF(30/M1006&gt;10,1,0)))),0)&gt;0,1,0))</f>
        <v/>
      </c>
      <c r="O1006" s="22">
        <f>IF(AND(J1006=1,N1006=0),1,0)</f>
        <v/>
      </c>
      <c r="P1006" s="22">
        <f>INDEX(Personendaten!$J$2:$J$32,MATCH(A1006,Personendaten!$A$2:$A$32,0))</f>
        <v/>
      </c>
      <c r="Q1006" s="22">
        <f>IF(O1006=1,"",IF(AND(B1006="post",P1006="nicht angetreten"),"NANG",IF(N1006=1,"AUSL",IFERROR(VLOOKUP(H1006,Vokabular!$A$2:$B$8,2,FALSE),"UNBEKANNT"))))</f>
        <v/>
      </c>
    </row>
    <row r="1007">
      <c r="A1007" s="5" t="inlineStr">
        <is>
          <t>VS-07</t>
        </is>
      </c>
      <c r="B1007" s="5" t="inlineStr">
        <is>
          <t>post</t>
        </is>
      </c>
      <c r="C1007" s="5" t="inlineStr">
        <is>
          <t>COD_505</t>
        </is>
      </c>
      <c r="D1007" s="5" t="inlineStr">
        <is>
          <t>R</t>
        </is>
      </c>
      <c r="E1007" s="5" t="n">
        <v>1</v>
      </c>
      <c r="F1007" s="5" t="n"/>
      <c r="G1007" s="5" t="n"/>
      <c r="H1007" s="5" t="n"/>
      <c r="I1007" s="22">
        <f>INDEX(Personendaten!$C$2:$C$32,MATCH(A1007,Personendaten!$A$2:$A$32,0))</f>
        <v/>
      </c>
      <c r="J1007" s="22">
        <f>IF(AND(F1007&lt;&gt;"",G1007=""),1,0)</f>
        <v/>
      </c>
      <c r="K1007" s="22">
        <f>IF(LEFT(C1007,7)&lt;&gt;"Sprint_","",IF(COUNTIFS(Versuchsdaten!$A$2:$A$1117,$A1007,Versuchsdaten!$B$2:$B$1117,$B1007,Versuchsdaten!$C$2:$C$1117,"Sprint_5m",Versuchsdaten!$E$2:$E$1117,$E1007,Versuchsdaten!$J$2:$J$1117,1)=1,SUMIFS(Versuchsdaten!$F$2:$F$1117,Versuchsdaten!$A$2:$A$1117,$A1007,Versuchsdaten!$B$2:$B$1117,$B1007,Versuchsdaten!$C$2:$C$1117,"Sprint_5m",Versuchsdaten!$E$2:$E$1117,$E1007,Versuchsdaten!$J$2:$J$1117,1),""))</f>
        <v/>
      </c>
      <c r="L1007" s="22">
        <f>IF(LEFT(C1007,7)&lt;&gt;"Sprint_","",IF(COUNTIFS(Versuchsdaten!$A$2:$A$1117,$A1007,Versuchsdaten!$B$2:$B$1117,$B1007,Versuchsdaten!$C$2:$C$1117,"Sprint_10m",Versuchsdaten!$E$2:$E$1117,$E1007,Versuchsdaten!$J$2:$J$1117,1)=1,SUMIFS(Versuchsdaten!$F$2:$F$1117,Versuchsdaten!$A$2:$A$1117,$A1007,Versuchsdaten!$B$2:$B$1117,$B1007,Versuchsdaten!$C$2:$C$1117,"Sprint_10m",Versuchsdaten!$E$2:$E$1117,$E1007,Versuchsdaten!$J$2:$J$1117,1),""))</f>
        <v/>
      </c>
      <c r="M1007" s="22">
        <f>IF(LEFT(C1007,7)&lt;&gt;"Sprint_","",IF(COUNTIFS(Versuchsdaten!$A$2:$A$1117,$A1007,Versuchsdaten!$B$2:$B$1117,$B1007,Versuchsdaten!$C$2:$C$1117,"Sprint_30m",Versuchsdaten!$E$2:$E$1117,$E1007,Versuchsdaten!$J$2:$J$1117,1)=1,SUMIFS(Versuchsdaten!$F$2:$F$1117,Versuchsdaten!$A$2:$A$1117,$A1007,Versuchsdaten!$B$2:$B$1117,$B1007,Versuchsdaten!$C$2:$C$1117,"Sprint_30m",Versuchsdaten!$E$2:$E$1117,$E1007,Versuchsdaten!$J$2:$J$1117,1),""))</f>
        <v/>
      </c>
      <c r="N1007" s="22">
        <f>IF(LEFT(C1007,7)&lt;&gt;"Sprint_",0,IF(IF(ISNUMBER(K1007),IF(K1007&lt;=0,1,IF(5/K1007&gt;10,1,0)),0)+IF(ISNUMBER(L1007),IF(ISNUMBER(K1007),IF(L1007-K1007&lt;=0,1,IF(5/(L1007-K1007)&gt;10,1,0)),IF(L1007&lt;=0,1,IF(10/L1007&gt;10,1,0))),0)+IF(ISNUMBER(M1007),IF(ISNUMBER(L1007),IF(M1007-L1007&lt;=0,1,IF(20/(M1007-L1007)&gt;10,1,0)),IF(ISNUMBER(K1007),IF(M1007-K1007&lt;=0,1,IF(25/(M1007-K1007)&gt;10,1,0)),IF(M1007&lt;=0,1,IF(30/M1007&gt;10,1,0)))),0)&gt;0,1,0))</f>
        <v/>
      </c>
      <c r="O1007" s="22">
        <f>IF(AND(J1007=1,N1007=0),1,0)</f>
        <v/>
      </c>
      <c r="P1007" s="22">
        <f>INDEX(Personendaten!$J$2:$J$32,MATCH(A1007,Personendaten!$A$2:$A$32,0))</f>
        <v/>
      </c>
      <c r="Q1007" s="22">
        <f>IF(O1007=1,"",IF(AND(B1007="post",P1007="nicht angetreten"),"NANG",IF(N1007=1,"AUSL",IFERROR(VLOOKUP(H1007,Vokabular!$A$2:$B$8,2,FALSE),"UNBEKANNT"))))</f>
        <v/>
      </c>
    </row>
    <row r="1008">
      <c r="A1008" s="5" t="inlineStr">
        <is>
          <t>VS-07</t>
        </is>
      </c>
      <c r="B1008" s="5" t="inlineStr">
        <is>
          <t>post</t>
        </is>
      </c>
      <c r="C1008" s="5" t="inlineStr">
        <is>
          <t>COD_505</t>
        </is>
      </c>
      <c r="D1008" s="5" t="inlineStr">
        <is>
          <t>R</t>
        </is>
      </c>
      <c r="E1008" s="5" t="n">
        <v>2</v>
      </c>
      <c r="F1008" s="5" t="n"/>
      <c r="G1008" s="5" t="n"/>
      <c r="H1008" s="5" t="n"/>
      <c r="I1008" s="22">
        <f>INDEX(Personendaten!$C$2:$C$32,MATCH(A1008,Personendaten!$A$2:$A$32,0))</f>
        <v/>
      </c>
      <c r="J1008" s="22">
        <f>IF(AND(F1008&lt;&gt;"",G1008=""),1,0)</f>
        <v/>
      </c>
      <c r="K1008" s="22">
        <f>IF(LEFT(C1008,7)&lt;&gt;"Sprint_","",IF(COUNTIFS(Versuchsdaten!$A$2:$A$1117,$A1008,Versuchsdaten!$B$2:$B$1117,$B1008,Versuchsdaten!$C$2:$C$1117,"Sprint_5m",Versuchsdaten!$E$2:$E$1117,$E1008,Versuchsdaten!$J$2:$J$1117,1)=1,SUMIFS(Versuchsdaten!$F$2:$F$1117,Versuchsdaten!$A$2:$A$1117,$A1008,Versuchsdaten!$B$2:$B$1117,$B1008,Versuchsdaten!$C$2:$C$1117,"Sprint_5m",Versuchsdaten!$E$2:$E$1117,$E1008,Versuchsdaten!$J$2:$J$1117,1),""))</f>
        <v/>
      </c>
      <c r="L1008" s="22">
        <f>IF(LEFT(C1008,7)&lt;&gt;"Sprint_","",IF(COUNTIFS(Versuchsdaten!$A$2:$A$1117,$A1008,Versuchsdaten!$B$2:$B$1117,$B1008,Versuchsdaten!$C$2:$C$1117,"Sprint_10m",Versuchsdaten!$E$2:$E$1117,$E1008,Versuchsdaten!$J$2:$J$1117,1)=1,SUMIFS(Versuchsdaten!$F$2:$F$1117,Versuchsdaten!$A$2:$A$1117,$A1008,Versuchsdaten!$B$2:$B$1117,$B1008,Versuchsdaten!$C$2:$C$1117,"Sprint_10m",Versuchsdaten!$E$2:$E$1117,$E1008,Versuchsdaten!$J$2:$J$1117,1),""))</f>
        <v/>
      </c>
      <c r="M1008" s="22">
        <f>IF(LEFT(C1008,7)&lt;&gt;"Sprint_","",IF(COUNTIFS(Versuchsdaten!$A$2:$A$1117,$A1008,Versuchsdaten!$B$2:$B$1117,$B1008,Versuchsdaten!$C$2:$C$1117,"Sprint_30m",Versuchsdaten!$E$2:$E$1117,$E1008,Versuchsdaten!$J$2:$J$1117,1)=1,SUMIFS(Versuchsdaten!$F$2:$F$1117,Versuchsdaten!$A$2:$A$1117,$A1008,Versuchsdaten!$B$2:$B$1117,$B1008,Versuchsdaten!$C$2:$C$1117,"Sprint_30m",Versuchsdaten!$E$2:$E$1117,$E1008,Versuchsdaten!$J$2:$J$1117,1),""))</f>
        <v/>
      </c>
      <c r="N1008" s="22">
        <f>IF(LEFT(C1008,7)&lt;&gt;"Sprint_",0,IF(IF(ISNUMBER(K1008),IF(K1008&lt;=0,1,IF(5/K1008&gt;10,1,0)),0)+IF(ISNUMBER(L1008),IF(ISNUMBER(K1008),IF(L1008-K1008&lt;=0,1,IF(5/(L1008-K1008)&gt;10,1,0)),IF(L1008&lt;=0,1,IF(10/L1008&gt;10,1,0))),0)+IF(ISNUMBER(M1008),IF(ISNUMBER(L1008),IF(M1008-L1008&lt;=0,1,IF(20/(M1008-L1008)&gt;10,1,0)),IF(ISNUMBER(K1008),IF(M1008-K1008&lt;=0,1,IF(25/(M1008-K1008)&gt;10,1,0)),IF(M1008&lt;=0,1,IF(30/M1008&gt;10,1,0)))),0)&gt;0,1,0))</f>
        <v/>
      </c>
      <c r="O1008" s="22">
        <f>IF(AND(J1008=1,N1008=0),1,0)</f>
        <v/>
      </c>
      <c r="P1008" s="22">
        <f>INDEX(Personendaten!$J$2:$J$32,MATCH(A1008,Personendaten!$A$2:$A$32,0))</f>
        <v/>
      </c>
      <c r="Q1008" s="22">
        <f>IF(O1008=1,"",IF(AND(B1008="post",P1008="nicht angetreten"),"NANG",IF(N1008=1,"AUSL",IFERROR(VLOOKUP(H1008,Vokabular!$A$2:$B$8,2,FALSE),"UNBEKANNT"))))</f>
        <v/>
      </c>
    </row>
    <row r="1009">
      <c r="A1009" s="5" t="inlineStr">
        <is>
          <t>VS-07</t>
        </is>
      </c>
      <c r="B1009" s="5" t="inlineStr">
        <is>
          <t>post</t>
        </is>
      </c>
      <c r="C1009" s="5" t="inlineStr">
        <is>
          <t>COD_505</t>
        </is>
      </c>
      <c r="D1009" s="5" t="inlineStr">
        <is>
          <t>R</t>
        </is>
      </c>
      <c r="E1009" s="5" t="n">
        <v>3</v>
      </c>
      <c r="F1009" s="5" t="n"/>
      <c r="G1009" s="5" t="n"/>
      <c r="H1009" s="5" t="n"/>
      <c r="I1009" s="22">
        <f>INDEX(Personendaten!$C$2:$C$32,MATCH(A1009,Personendaten!$A$2:$A$32,0))</f>
        <v/>
      </c>
      <c r="J1009" s="22">
        <f>IF(AND(F1009&lt;&gt;"",G1009=""),1,0)</f>
        <v/>
      </c>
      <c r="K1009" s="22">
        <f>IF(LEFT(C1009,7)&lt;&gt;"Sprint_","",IF(COUNTIFS(Versuchsdaten!$A$2:$A$1117,$A1009,Versuchsdaten!$B$2:$B$1117,$B1009,Versuchsdaten!$C$2:$C$1117,"Sprint_5m",Versuchsdaten!$E$2:$E$1117,$E1009,Versuchsdaten!$J$2:$J$1117,1)=1,SUMIFS(Versuchsdaten!$F$2:$F$1117,Versuchsdaten!$A$2:$A$1117,$A1009,Versuchsdaten!$B$2:$B$1117,$B1009,Versuchsdaten!$C$2:$C$1117,"Sprint_5m",Versuchsdaten!$E$2:$E$1117,$E1009,Versuchsdaten!$J$2:$J$1117,1),""))</f>
        <v/>
      </c>
      <c r="L1009" s="22">
        <f>IF(LEFT(C1009,7)&lt;&gt;"Sprint_","",IF(COUNTIFS(Versuchsdaten!$A$2:$A$1117,$A1009,Versuchsdaten!$B$2:$B$1117,$B1009,Versuchsdaten!$C$2:$C$1117,"Sprint_10m",Versuchsdaten!$E$2:$E$1117,$E1009,Versuchsdaten!$J$2:$J$1117,1)=1,SUMIFS(Versuchsdaten!$F$2:$F$1117,Versuchsdaten!$A$2:$A$1117,$A1009,Versuchsdaten!$B$2:$B$1117,$B1009,Versuchsdaten!$C$2:$C$1117,"Sprint_10m",Versuchsdaten!$E$2:$E$1117,$E1009,Versuchsdaten!$J$2:$J$1117,1),""))</f>
        <v/>
      </c>
      <c r="M1009" s="22">
        <f>IF(LEFT(C1009,7)&lt;&gt;"Sprint_","",IF(COUNTIFS(Versuchsdaten!$A$2:$A$1117,$A1009,Versuchsdaten!$B$2:$B$1117,$B1009,Versuchsdaten!$C$2:$C$1117,"Sprint_30m",Versuchsdaten!$E$2:$E$1117,$E1009,Versuchsdaten!$J$2:$J$1117,1)=1,SUMIFS(Versuchsdaten!$F$2:$F$1117,Versuchsdaten!$A$2:$A$1117,$A1009,Versuchsdaten!$B$2:$B$1117,$B1009,Versuchsdaten!$C$2:$C$1117,"Sprint_30m",Versuchsdaten!$E$2:$E$1117,$E1009,Versuchsdaten!$J$2:$J$1117,1),""))</f>
        <v/>
      </c>
      <c r="N1009" s="22">
        <f>IF(LEFT(C1009,7)&lt;&gt;"Sprint_",0,IF(IF(ISNUMBER(K1009),IF(K1009&lt;=0,1,IF(5/K1009&gt;10,1,0)),0)+IF(ISNUMBER(L1009),IF(ISNUMBER(K1009),IF(L1009-K1009&lt;=0,1,IF(5/(L1009-K1009)&gt;10,1,0)),IF(L1009&lt;=0,1,IF(10/L1009&gt;10,1,0))),0)+IF(ISNUMBER(M1009),IF(ISNUMBER(L1009),IF(M1009-L1009&lt;=0,1,IF(20/(M1009-L1009)&gt;10,1,0)),IF(ISNUMBER(K1009),IF(M1009-K1009&lt;=0,1,IF(25/(M1009-K1009)&gt;10,1,0)),IF(M1009&lt;=0,1,IF(30/M1009&gt;10,1,0)))),0)&gt;0,1,0))</f>
        <v/>
      </c>
      <c r="O1009" s="22">
        <f>IF(AND(J1009=1,N1009=0),1,0)</f>
        <v/>
      </c>
      <c r="P1009" s="22">
        <f>INDEX(Personendaten!$J$2:$J$32,MATCH(A1009,Personendaten!$A$2:$A$32,0))</f>
        <v/>
      </c>
      <c r="Q1009" s="22">
        <f>IF(O1009=1,"",IF(AND(B1009="post",P1009="nicht angetreten"),"NANG",IF(N1009=1,"AUSL",IFERROR(VLOOKUP(H1009,Vokabular!$A$2:$B$8,2,FALSE),"UNBEKANNT"))))</f>
        <v/>
      </c>
    </row>
    <row r="1010">
      <c r="A1010" s="5" t="inlineStr">
        <is>
          <t>VS-08</t>
        </is>
      </c>
      <c r="B1010" s="5" t="inlineStr">
        <is>
          <t>post</t>
        </is>
      </c>
      <c r="C1010" s="5" t="inlineStr">
        <is>
          <t>Sprint_5m</t>
        </is>
      </c>
      <c r="D1010" s="5" t="inlineStr">
        <is>
          <t>–</t>
        </is>
      </c>
      <c r="E1010" s="5" t="n">
        <v>1</v>
      </c>
      <c r="F1010" s="5" t="n">
        <v>1.22</v>
      </c>
      <c r="G1010" s="5" t="n"/>
      <c r="H1010" s="5" t="n"/>
      <c r="I1010" s="22">
        <f>INDEX(Personendaten!$C$2:$C$32,MATCH(A1010,Personendaten!$A$2:$A$32,0))</f>
        <v/>
      </c>
      <c r="J1010" s="22">
        <f>IF(AND(F1010&lt;&gt;"",G1010=""),1,0)</f>
        <v/>
      </c>
      <c r="K1010" s="22">
        <f>IF(LEFT(C1010,7)&lt;&gt;"Sprint_","",IF(COUNTIFS(Versuchsdaten!$A$2:$A$1117,$A1010,Versuchsdaten!$B$2:$B$1117,$B1010,Versuchsdaten!$C$2:$C$1117,"Sprint_5m",Versuchsdaten!$E$2:$E$1117,$E1010,Versuchsdaten!$J$2:$J$1117,1)=1,SUMIFS(Versuchsdaten!$F$2:$F$1117,Versuchsdaten!$A$2:$A$1117,$A1010,Versuchsdaten!$B$2:$B$1117,$B1010,Versuchsdaten!$C$2:$C$1117,"Sprint_5m",Versuchsdaten!$E$2:$E$1117,$E1010,Versuchsdaten!$J$2:$J$1117,1),""))</f>
        <v/>
      </c>
      <c r="L1010" s="22">
        <f>IF(LEFT(C1010,7)&lt;&gt;"Sprint_","",IF(COUNTIFS(Versuchsdaten!$A$2:$A$1117,$A1010,Versuchsdaten!$B$2:$B$1117,$B1010,Versuchsdaten!$C$2:$C$1117,"Sprint_10m",Versuchsdaten!$E$2:$E$1117,$E1010,Versuchsdaten!$J$2:$J$1117,1)=1,SUMIFS(Versuchsdaten!$F$2:$F$1117,Versuchsdaten!$A$2:$A$1117,$A1010,Versuchsdaten!$B$2:$B$1117,$B1010,Versuchsdaten!$C$2:$C$1117,"Sprint_10m",Versuchsdaten!$E$2:$E$1117,$E1010,Versuchsdaten!$J$2:$J$1117,1),""))</f>
        <v/>
      </c>
      <c r="M1010" s="22">
        <f>IF(LEFT(C1010,7)&lt;&gt;"Sprint_","",IF(COUNTIFS(Versuchsdaten!$A$2:$A$1117,$A1010,Versuchsdaten!$B$2:$B$1117,$B1010,Versuchsdaten!$C$2:$C$1117,"Sprint_30m",Versuchsdaten!$E$2:$E$1117,$E1010,Versuchsdaten!$J$2:$J$1117,1)=1,SUMIFS(Versuchsdaten!$F$2:$F$1117,Versuchsdaten!$A$2:$A$1117,$A1010,Versuchsdaten!$B$2:$B$1117,$B1010,Versuchsdaten!$C$2:$C$1117,"Sprint_30m",Versuchsdaten!$E$2:$E$1117,$E1010,Versuchsdaten!$J$2:$J$1117,1),""))</f>
        <v/>
      </c>
      <c r="N1010" s="22">
        <f>IF(LEFT(C1010,7)&lt;&gt;"Sprint_",0,IF(IF(ISNUMBER(K1010),IF(K1010&lt;=0,1,IF(5/K1010&gt;10,1,0)),0)+IF(ISNUMBER(L1010),IF(ISNUMBER(K1010),IF(L1010-K1010&lt;=0,1,IF(5/(L1010-K1010)&gt;10,1,0)),IF(L1010&lt;=0,1,IF(10/L1010&gt;10,1,0))),0)+IF(ISNUMBER(M1010),IF(ISNUMBER(L1010),IF(M1010-L1010&lt;=0,1,IF(20/(M1010-L1010)&gt;10,1,0)),IF(ISNUMBER(K1010),IF(M1010-K1010&lt;=0,1,IF(25/(M1010-K1010)&gt;10,1,0)),IF(M1010&lt;=0,1,IF(30/M1010&gt;10,1,0)))),0)&gt;0,1,0))</f>
        <v/>
      </c>
      <c r="O1010" s="22">
        <f>IF(AND(J1010=1,N1010=0),1,0)</f>
        <v/>
      </c>
      <c r="P1010" s="22">
        <f>INDEX(Personendaten!$J$2:$J$32,MATCH(A1010,Personendaten!$A$2:$A$32,0))</f>
        <v/>
      </c>
      <c r="Q1010" s="22">
        <f>IF(O1010=1,"",IF(AND(B1010="post",P1010="nicht angetreten"),"NANG",IF(N1010=1,"AUSL",IFERROR(VLOOKUP(H1010,Vokabular!$A$2:$B$8,2,FALSE),"UNBEKANNT"))))</f>
        <v/>
      </c>
    </row>
    <row r="1011">
      <c r="A1011" s="5" t="inlineStr">
        <is>
          <t>VS-08</t>
        </is>
      </c>
      <c r="B1011" s="5" t="inlineStr">
        <is>
          <t>post</t>
        </is>
      </c>
      <c r="C1011" s="5" t="inlineStr">
        <is>
          <t>Sprint_5m</t>
        </is>
      </c>
      <c r="D1011" s="5" t="inlineStr">
        <is>
          <t>–</t>
        </is>
      </c>
      <c r="E1011" s="5" t="n">
        <v>2</v>
      </c>
      <c r="F1011" s="5" t="n">
        <v>1.25</v>
      </c>
      <c r="G1011" s="5" t="n"/>
      <c r="H1011" s="5" t="n"/>
      <c r="I1011" s="22">
        <f>INDEX(Personendaten!$C$2:$C$32,MATCH(A1011,Personendaten!$A$2:$A$32,0))</f>
        <v/>
      </c>
      <c r="J1011" s="22">
        <f>IF(AND(F1011&lt;&gt;"",G1011=""),1,0)</f>
        <v/>
      </c>
      <c r="K1011" s="22">
        <f>IF(LEFT(C1011,7)&lt;&gt;"Sprint_","",IF(COUNTIFS(Versuchsdaten!$A$2:$A$1117,$A1011,Versuchsdaten!$B$2:$B$1117,$B1011,Versuchsdaten!$C$2:$C$1117,"Sprint_5m",Versuchsdaten!$E$2:$E$1117,$E1011,Versuchsdaten!$J$2:$J$1117,1)=1,SUMIFS(Versuchsdaten!$F$2:$F$1117,Versuchsdaten!$A$2:$A$1117,$A1011,Versuchsdaten!$B$2:$B$1117,$B1011,Versuchsdaten!$C$2:$C$1117,"Sprint_5m",Versuchsdaten!$E$2:$E$1117,$E1011,Versuchsdaten!$J$2:$J$1117,1),""))</f>
        <v/>
      </c>
      <c r="L1011" s="22">
        <f>IF(LEFT(C1011,7)&lt;&gt;"Sprint_","",IF(COUNTIFS(Versuchsdaten!$A$2:$A$1117,$A1011,Versuchsdaten!$B$2:$B$1117,$B1011,Versuchsdaten!$C$2:$C$1117,"Sprint_10m",Versuchsdaten!$E$2:$E$1117,$E1011,Versuchsdaten!$J$2:$J$1117,1)=1,SUMIFS(Versuchsdaten!$F$2:$F$1117,Versuchsdaten!$A$2:$A$1117,$A1011,Versuchsdaten!$B$2:$B$1117,$B1011,Versuchsdaten!$C$2:$C$1117,"Sprint_10m",Versuchsdaten!$E$2:$E$1117,$E1011,Versuchsdaten!$J$2:$J$1117,1),""))</f>
        <v/>
      </c>
      <c r="M1011" s="22">
        <f>IF(LEFT(C1011,7)&lt;&gt;"Sprint_","",IF(COUNTIFS(Versuchsdaten!$A$2:$A$1117,$A1011,Versuchsdaten!$B$2:$B$1117,$B1011,Versuchsdaten!$C$2:$C$1117,"Sprint_30m",Versuchsdaten!$E$2:$E$1117,$E1011,Versuchsdaten!$J$2:$J$1117,1)=1,SUMIFS(Versuchsdaten!$F$2:$F$1117,Versuchsdaten!$A$2:$A$1117,$A1011,Versuchsdaten!$B$2:$B$1117,$B1011,Versuchsdaten!$C$2:$C$1117,"Sprint_30m",Versuchsdaten!$E$2:$E$1117,$E1011,Versuchsdaten!$J$2:$J$1117,1),""))</f>
        <v/>
      </c>
      <c r="N1011" s="22">
        <f>IF(LEFT(C1011,7)&lt;&gt;"Sprint_",0,IF(IF(ISNUMBER(K1011),IF(K1011&lt;=0,1,IF(5/K1011&gt;10,1,0)),0)+IF(ISNUMBER(L1011),IF(ISNUMBER(K1011),IF(L1011-K1011&lt;=0,1,IF(5/(L1011-K1011)&gt;10,1,0)),IF(L1011&lt;=0,1,IF(10/L1011&gt;10,1,0))),0)+IF(ISNUMBER(M1011),IF(ISNUMBER(L1011),IF(M1011-L1011&lt;=0,1,IF(20/(M1011-L1011)&gt;10,1,0)),IF(ISNUMBER(K1011),IF(M1011-K1011&lt;=0,1,IF(25/(M1011-K1011)&gt;10,1,0)),IF(M1011&lt;=0,1,IF(30/M1011&gt;10,1,0)))),0)&gt;0,1,0))</f>
        <v/>
      </c>
      <c r="O1011" s="22">
        <f>IF(AND(J1011=1,N1011=0),1,0)</f>
        <v/>
      </c>
      <c r="P1011" s="22">
        <f>INDEX(Personendaten!$J$2:$J$32,MATCH(A1011,Personendaten!$A$2:$A$32,0))</f>
        <v/>
      </c>
      <c r="Q1011" s="22">
        <f>IF(O1011=1,"",IF(AND(B1011="post",P1011="nicht angetreten"),"NANG",IF(N1011=1,"AUSL",IFERROR(VLOOKUP(H1011,Vokabular!$A$2:$B$8,2,FALSE),"UNBEKANNT"))))</f>
        <v/>
      </c>
    </row>
    <row r="1012">
      <c r="A1012" s="5" t="inlineStr">
        <is>
          <t>VS-08</t>
        </is>
      </c>
      <c r="B1012" s="5" t="inlineStr">
        <is>
          <t>post</t>
        </is>
      </c>
      <c r="C1012" s="5" t="inlineStr">
        <is>
          <t>Sprint_5m</t>
        </is>
      </c>
      <c r="D1012" s="5" t="inlineStr">
        <is>
          <t>–</t>
        </is>
      </c>
      <c r="E1012" s="5" t="n">
        <v>3</v>
      </c>
      <c r="F1012" s="5" t="n"/>
      <c r="G1012" s="5" t="n"/>
      <c r="H1012" s="5" t="inlineStr">
        <is>
          <t>Nur 2 Versuche aus Zeitmangel</t>
        </is>
      </c>
      <c r="I1012" s="22">
        <f>INDEX(Personendaten!$C$2:$C$32,MATCH(A1012,Personendaten!$A$2:$A$32,0))</f>
        <v/>
      </c>
      <c r="J1012" s="22">
        <f>IF(AND(F1012&lt;&gt;"",G1012=""),1,0)</f>
        <v/>
      </c>
      <c r="K1012" s="22">
        <f>IF(LEFT(C1012,7)&lt;&gt;"Sprint_","",IF(COUNTIFS(Versuchsdaten!$A$2:$A$1117,$A1012,Versuchsdaten!$B$2:$B$1117,$B1012,Versuchsdaten!$C$2:$C$1117,"Sprint_5m",Versuchsdaten!$E$2:$E$1117,$E1012,Versuchsdaten!$J$2:$J$1117,1)=1,SUMIFS(Versuchsdaten!$F$2:$F$1117,Versuchsdaten!$A$2:$A$1117,$A1012,Versuchsdaten!$B$2:$B$1117,$B1012,Versuchsdaten!$C$2:$C$1117,"Sprint_5m",Versuchsdaten!$E$2:$E$1117,$E1012,Versuchsdaten!$J$2:$J$1117,1),""))</f>
        <v/>
      </c>
      <c r="L1012" s="22">
        <f>IF(LEFT(C1012,7)&lt;&gt;"Sprint_","",IF(COUNTIFS(Versuchsdaten!$A$2:$A$1117,$A1012,Versuchsdaten!$B$2:$B$1117,$B1012,Versuchsdaten!$C$2:$C$1117,"Sprint_10m",Versuchsdaten!$E$2:$E$1117,$E1012,Versuchsdaten!$J$2:$J$1117,1)=1,SUMIFS(Versuchsdaten!$F$2:$F$1117,Versuchsdaten!$A$2:$A$1117,$A1012,Versuchsdaten!$B$2:$B$1117,$B1012,Versuchsdaten!$C$2:$C$1117,"Sprint_10m",Versuchsdaten!$E$2:$E$1117,$E1012,Versuchsdaten!$J$2:$J$1117,1),""))</f>
        <v/>
      </c>
      <c r="M1012" s="22">
        <f>IF(LEFT(C1012,7)&lt;&gt;"Sprint_","",IF(COUNTIFS(Versuchsdaten!$A$2:$A$1117,$A1012,Versuchsdaten!$B$2:$B$1117,$B1012,Versuchsdaten!$C$2:$C$1117,"Sprint_30m",Versuchsdaten!$E$2:$E$1117,$E1012,Versuchsdaten!$J$2:$J$1117,1)=1,SUMIFS(Versuchsdaten!$F$2:$F$1117,Versuchsdaten!$A$2:$A$1117,$A1012,Versuchsdaten!$B$2:$B$1117,$B1012,Versuchsdaten!$C$2:$C$1117,"Sprint_30m",Versuchsdaten!$E$2:$E$1117,$E1012,Versuchsdaten!$J$2:$J$1117,1),""))</f>
        <v/>
      </c>
      <c r="N1012" s="22">
        <f>IF(LEFT(C1012,7)&lt;&gt;"Sprint_",0,IF(IF(ISNUMBER(K1012),IF(K1012&lt;=0,1,IF(5/K1012&gt;10,1,0)),0)+IF(ISNUMBER(L1012),IF(ISNUMBER(K1012),IF(L1012-K1012&lt;=0,1,IF(5/(L1012-K1012)&gt;10,1,0)),IF(L1012&lt;=0,1,IF(10/L1012&gt;10,1,0))),0)+IF(ISNUMBER(M1012),IF(ISNUMBER(L1012),IF(M1012-L1012&lt;=0,1,IF(20/(M1012-L1012)&gt;10,1,0)),IF(ISNUMBER(K1012),IF(M1012-K1012&lt;=0,1,IF(25/(M1012-K1012)&gt;10,1,0)),IF(M1012&lt;=0,1,IF(30/M1012&gt;10,1,0)))),0)&gt;0,1,0))</f>
        <v/>
      </c>
      <c r="O1012" s="22">
        <f>IF(AND(J1012=1,N1012=0),1,0)</f>
        <v/>
      </c>
      <c r="P1012" s="22">
        <f>INDEX(Personendaten!$J$2:$J$32,MATCH(A1012,Personendaten!$A$2:$A$32,0))</f>
        <v/>
      </c>
      <c r="Q1012" s="22">
        <f>IF(O1012=1,"",IF(AND(B1012="post",P1012="nicht angetreten"),"NANG",IF(N1012=1,"AUSL",IFERROR(VLOOKUP(H1012,Vokabular!$A$2:$B$8,2,FALSE),"UNBEKANNT"))))</f>
        <v/>
      </c>
    </row>
    <row r="1013">
      <c r="A1013" s="5" t="inlineStr">
        <is>
          <t>VS-08</t>
        </is>
      </c>
      <c r="B1013" s="5" t="inlineStr">
        <is>
          <t>post</t>
        </is>
      </c>
      <c r="C1013" s="5" t="inlineStr">
        <is>
          <t>Sprint_10m</t>
        </is>
      </c>
      <c r="D1013" s="5" t="inlineStr">
        <is>
          <t>–</t>
        </is>
      </c>
      <c r="E1013" s="5" t="n">
        <v>1</v>
      </c>
      <c r="F1013" s="5" t="n">
        <v>2.07</v>
      </c>
      <c r="G1013" s="5" t="n"/>
      <c r="H1013" s="5" t="n"/>
      <c r="I1013" s="22">
        <f>INDEX(Personendaten!$C$2:$C$32,MATCH(A1013,Personendaten!$A$2:$A$32,0))</f>
        <v/>
      </c>
      <c r="J1013" s="22">
        <f>IF(AND(F1013&lt;&gt;"",G1013=""),1,0)</f>
        <v/>
      </c>
      <c r="K1013" s="22">
        <f>IF(LEFT(C1013,7)&lt;&gt;"Sprint_","",IF(COUNTIFS(Versuchsdaten!$A$2:$A$1117,$A1013,Versuchsdaten!$B$2:$B$1117,$B1013,Versuchsdaten!$C$2:$C$1117,"Sprint_5m",Versuchsdaten!$E$2:$E$1117,$E1013,Versuchsdaten!$J$2:$J$1117,1)=1,SUMIFS(Versuchsdaten!$F$2:$F$1117,Versuchsdaten!$A$2:$A$1117,$A1013,Versuchsdaten!$B$2:$B$1117,$B1013,Versuchsdaten!$C$2:$C$1117,"Sprint_5m",Versuchsdaten!$E$2:$E$1117,$E1013,Versuchsdaten!$J$2:$J$1117,1),""))</f>
        <v/>
      </c>
      <c r="L1013" s="22">
        <f>IF(LEFT(C1013,7)&lt;&gt;"Sprint_","",IF(COUNTIFS(Versuchsdaten!$A$2:$A$1117,$A1013,Versuchsdaten!$B$2:$B$1117,$B1013,Versuchsdaten!$C$2:$C$1117,"Sprint_10m",Versuchsdaten!$E$2:$E$1117,$E1013,Versuchsdaten!$J$2:$J$1117,1)=1,SUMIFS(Versuchsdaten!$F$2:$F$1117,Versuchsdaten!$A$2:$A$1117,$A1013,Versuchsdaten!$B$2:$B$1117,$B1013,Versuchsdaten!$C$2:$C$1117,"Sprint_10m",Versuchsdaten!$E$2:$E$1117,$E1013,Versuchsdaten!$J$2:$J$1117,1),""))</f>
        <v/>
      </c>
      <c r="M1013" s="22">
        <f>IF(LEFT(C1013,7)&lt;&gt;"Sprint_","",IF(COUNTIFS(Versuchsdaten!$A$2:$A$1117,$A1013,Versuchsdaten!$B$2:$B$1117,$B1013,Versuchsdaten!$C$2:$C$1117,"Sprint_30m",Versuchsdaten!$E$2:$E$1117,$E1013,Versuchsdaten!$J$2:$J$1117,1)=1,SUMIFS(Versuchsdaten!$F$2:$F$1117,Versuchsdaten!$A$2:$A$1117,$A1013,Versuchsdaten!$B$2:$B$1117,$B1013,Versuchsdaten!$C$2:$C$1117,"Sprint_30m",Versuchsdaten!$E$2:$E$1117,$E1013,Versuchsdaten!$J$2:$J$1117,1),""))</f>
        <v/>
      </c>
      <c r="N1013" s="22">
        <f>IF(LEFT(C1013,7)&lt;&gt;"Sprint_",0,IF(IF(ISNUMBER(K1013),IF(K1013&lt;=0,1,IF(5/K1013&gt;10,1,0)),0)+IF(ISNUMBER(L1013),IF(ISNUMBER(K1013),IF(L1013-K1013&lt;=0,1,IF(5/(L1013-K1013)&gt;10,1,0)),IF(L1013&lt;=0,1,IF(10/L1013&gt;10,1,0))),0)+IF(ISNUMBER(M1013),IF(ISNUMBER(L1013),IF(M1013-L1013&lt;=0,1,IF(20/(M1013-L1013)&gt;10,1,0)),IF(ISNUMBER(K1013),IF(M1013-K1013&lt;=0,1,IF(25/(M1013-K1013)&gt;10,1,0)),IF(M1013&lt;=0,1,IF(30/M1013&gt;10,1,0)))),0)&gt;0,1,0))</f>
        <v/>
      </c>
      <c r="O1013" s="22">
        <f>IF(AND(J1013=1,N1013=0),1,0)</f>
        <v/>
      </c>
      <c r="P1013" s="22">
        <f>INDEX(Personendaten!$J$2:$J$32,MATCH(A1013,Personendaten!$A$2:$A$32,0))</f>
        <v/>
      </c>
      <c r="Q1013" s="22">
        <f>IF(O1013=1,"",IF(AND(B1013="post",P1013="nicht angetreten"),"NANG",IF(N1013=1,"AUSL",IFERROR(VLOOKUP(H1013,Vokabular!$A$2:$B$8,2,FALSE),"UNBEKANNT"))))</f>
        <v/>
      </c>
    </row>
    <row r="1014">
      <c r="A1014" s="5" t="inlineStr">
        <is>
          <t>VS-08</t>
        </is>
      </c>
      <c r="B1014" s="5" t="inlineStr">
        <is>
          <t>post</t>
        </is>
      </c>
      <c r="C1014" s="5" t="inlineStr">
        <is>
          <t>Sprint_10m</t>
        </is>
      </c>
      <c r="D1014" s="5" t="inlineStr">
        <is>
          <t>–</t>
        </is>
      </c>
      <c r="E1014" s="5" t="n">
        <v>2</v>
      </c>
      <c r="F1014" s="5" t="n">
        <v>2.21</v>
      </c>
      <c r="G1014" s="5" t="n"/>
      <c r="H1014" s="5" t="n"/>
      <c r="I1014" s="22">
        <f>INDEX(Personendaten!$C$2:$C$32,MATCH(A1014,Personendaten!$A$2:$A$32,0))</f>
        <v/>
      </c>
      <c r="J1014" s="22">
        <f>IF(AND(F1014&lt;&gt;"",G1014=""),1,0)</f>
        <v/>
      </c>
      <c r="K1014" s="22">
        <f>IF(LEFT(C1014,7)&lt;&gt;"Sprint_","",IF(COUNTIFS(Versuchsdaten!$A$2:$A$1117,$A1014,Versuchsdaten!$B$2:$B$1117,$B1014,Versuchsdaten!$C$2:$C$1117,"Sprint_5m",Versuchsdaten!$E$2:$E$1117,$E1014,Versuchsdaten!$J$2:$J$1117,1)=1,SUMIFS(Versuchsdaten!$F$2:$F$1117,Versuchsdaten!$A$2:$A$1117,$A1014,Versuchsdaten!$B$2:$B$1117,$B1014,Versuchsdaten!$C$2:$C$1117,"Sprint_5m",Versuchsdaten!$E$2:$E$1117,$E1014,Versuchsdaten!$J$2:$J$1117,1),""))</f>
        <v/>
      </c>
      <c r="L1014" s="22">
        <f>IF(LEFT(C1014,7)&lt;&gt;"Sprint_","",IF(COUNTIFS(Versuchsdaten!$A$2:$A$1117,$A1014,Versuchsdaten!$B$2:$B$1117,$B1014,Versuchsdaten!$C$2:$C$1117,"Sprint_10m",Versuchsdaten!$E$2:$E$1117,$E1014,Versuchsdaten!$J$2:$J$1117,1)=1,SUMIFS(Versuchsdaten!$F$2:$F$1117,Versuchsdaten!$A$2:$A$1117,$A1014,Versuchsdaten!$B$2:$B$1117,$B1014,Versuchsdaten!$C$2:$C$1117,"Sprint_10m",Versuchsdaten!$E$2:$E$1117,$E1014,Versuchsdaten!$J$2:$J$1117,1),""))</f>
        <v/>
      </c>
      <c r="M1014" s="22">
        <f>IF(LEFT(C1014,7)&lt;&gt;"Sprint_","",IF(COUNTIFS(Versuchsdaten!$A$2:$A$1117,$A1014,Versuchsdaten!$B$2:$B$1117,$B1014,Versuchsdaten!$C$2:$C$1117,"Sprint_30m",Versuchsdaten!$E$2:$E$1117,$E1014,Versuchsdaten!$J$2:$J$1117,1)=1,SUMIFS(Versuchsdaten!$F$2:$F$1117,Versuchsdaten!$A$2:$A$1117,$A1014,Versuchsdaten!$B$2:$B$1117,$B1014,Versuchsdaten!$C$2:$C$1117,"Sprint_30m",Versuchsdaten!$E$2:$E$1117,$E1014,Versuchsdaten!$J$2:$J$1117,1),""))</f>
        <v/>
      </c>
      <c r="N1014" s="22">
        <f>IF(LEFT(C1014,7)&lt;&gt;"Sprint_",0,IF(IF(ISNUMBER(K1014),IF(K1014&lt;=0,1,IF(5/K1014&gt;10,1,0)),0)+IF(ISNUMBER(L1014),IF(ISNUMBER(K1014),IF(L1014-K1014&lt;=0,1,IF(5/(L1014-K1014)&gt;10,1,0)),IF(L1014&lt;=0,1,IF(10/L1014&gt;10,1,0))),0)+IF(ISNUMBER(M1014),IF(ISNUMBER(L1014),IF(M1014-L1014&lt;=0,1,IF(20/(M1014-L1014)&gt;10,1,0)),IF(ISNUMBER(K1014),IF(M1014-K1014&lt;=0,1,IF(25/(M1014-K1014)&gt;10,1,0)),IF(M1014&lt;=0,1,IF(30/M1014&gt;10,1,0)))),0)&gt;0,1,0))</f>
        <v/>
      </c>
      <c r="O1014" s="22">
        <f>IF(AND(J1014=1,N1014=0),1,0)</f>
        <v/>
      </c>
      <c r="P1014" s="22">
        <f>INDEX(Personendaten!$J$2:$J$32,MATCH(A1014,Personendaten!$A$2:$A$32,0))</f>
        <v/>
      </c>
      <c r="Q1014" s="22">
        <f>IF(O1014=1,"",IF(AND(B1014="post",P1014="nicht angetreten"),"NANG",IF(N1014=1,"AUSL",IFERROR(VLOOKUP(H1014,Vokabular!$A$2:$B$8,2,FALSE),"UNBEKANNT"))))</f>
        <v/>
      </c>
    </row>
    <row r="1015">
      <c r="A1015" s="5" t="inlineStr">
        <is>
          <t>VS-08</t>
        </is>
      </c>
      <c r="B1015" s="5" t="inlineStr">
        <is>
          <t>post</t>
        </is>
      </c>
      <c r="C1015" s="5" t="inlineStr">
        <is>
          <t>Sprint_10m</t>
        </is>
      </c>
      <c r="D1015" s="5" t="inlineStr">
        <is>
          <t>–</t>
        </is>
      </c>
      <c r="E1015" s="5" t="n">
        <v>3</v>
      </c>
      <c r="F1015" s="5" t="n"/>
      <c r="G1015" s="5" t="n"/>
      <c r="H1015" s="5" t="inlineStr">
        <is>
          <t>Nur 2 Versuche aus Zeitmangel</t>
        </is>
      </c>
      <c r="I1015" s="22">
        <f>INDEX(Personendaten!$C$2:$C$32,MATCH(A1015,Personendaten!$A$2:$A$32,0))</f>
        <v/>
      </c>
      <c r="J1015" s="22">
        <f>IF(AND(F1015&lt;&gt;"",G1015=""),1,0)</f>
        <v/>
      </c>
      <c r="K1015" s="22">
        <f>IF(LEFT(C1015,7)&lt;&gt;"Sprint_","",IF(COUNTIFS(Versuchsdaten!$A$2:$A$1117,$A1015,Versuchsdaten!$B$2:$B$1117,$B1015,Versuchsdaten!$C$2:$C$1117,"Sprint_5m",Versuchsdaten!$E$2:$E$1117,$E1015,Versuchsdaten!$J$2:$J$1117,1)=1,SUMIFS(Versuchsdaten!$F$2:$F$1117,Versuchsdaten!$A$2:$A$1117,$A1015,Versuchsdaten!$B$2:$B$1117,$B1015,Versuchsdaten!$C$2:$C$1117,"Sprint_5m",Versuchsdaten!$E$2:$E$1117,$E1015,Versuchsdaten!$J$2:$J$1117,1),""))</f>
        <v/>
      </c>
      <c r="L1015" s="22">
        <f>IF(LEFT(C1015,7)&lt;&gt;"Sprint_","",IF(COUNTIFS(Versuchsdaten!$A$2:$A$1117,$A1015,Versuchsdaten!$B$2:$B$1117,$B1015,Versuchsdaten!$C$2:$C$1117,"Sprint_10m",Versuchsdaten!$E$2:$E$1117,$E1015,Versuchsdaten!$J$2:$J$1117,1)=1,SUMIFS(Versuchsdaten!$F$2:$F$1117,Versuchsdaten!$A$2:$A$1117,$A1015,Versuchsdaten!$B$2:$B$1117,$B1015,Versuchsdaten!$C$2:$C$1117,"Sprint_10m",Versuchsdaten!$E$2:$E$1117,$E1015,Versuchsdaten!$J$2:$J$1117,1),""))</f>
        <v/>
      </c>
      <c r="M1015" s="22">
        <f>IF(LEFT(C1015,7)&lt;&gt;"Sprint_","",IF(COUNTIFS(Versuchsdaten!$A$2:$A$1117,$A1015,Versuchsdaten!$B$2:$B$1117,$B1015,Versuchsdaten!$C$2:$C$1117,"Sprint_30m",Versuchsdaten!$E$2:$E$1117,$E1015,Versuchsdaten!$J$2:$J$1117,1)=1,SUMIFS(Versuchsdaten!$F$2:$F$1117,Versuchsdaten!$A$2:$A$1117,$A1015,Versuchsdaten!$B$2:$B$1117,$B1015,Versuchsdaten!$C$2:$C$1117,"Sprint_30m",Versuchsdaten!$E$2:$E$1117,$E1015,Versuchsdaten!$J$2:$J$1117,1),""))</f>
        <v/>
      </c>
      <c r="N1015" s="22">
        <f>IF(LEFT(C1015,7)&lt;&gt;"Sprint_",0,IF(IF(ISNUMBER(K1015),IF(K1015&lt;=0,1,IF(5/K1015&gt;10,1,0)),0)+IF(ISNUMBER(L1015),IF(ISNUMBER(K1015),IF(L1015-K1015&lt;=0,1,IF(5/(L1015-K1015)&gt;10,1,0)),IF(L1015&lt;=0,1,IF(10/L1015&gt;10,1,0))),0)+IF(ISNUMBER(M1015),IF(ISNUMBER(L1015),IF(M1015-L1015&lt;=0,1,IF(20/(M1015-L1015)&gt;10,1,0)),IF(ISNUMBER(K1015),IF(M1015-K1015&lt;=0,1,IF(25/(M1015-K1015)&gt;10,1,0)),IF(M1015&lt;=0,1,IF(30/M1015&gt;10,1,0)))),0)&gt;0,1,0))</f>
        <v/>
      </c>
      <c r="O1015" s="22">
        <f>IF(AND(J1015=1,N1015=0),1,0)</f>
        <v/>
      </c>
      <c r="P1015" s="22">
        <f>INDEX(Personendaten!$J$2:$J$32,MATCH(A1015,Personendaten!$A$2:$A$32,0))</f>
        <v/>
      </c>
      <c r="Q1015" s="22">
        <f>IF(O1015=1,"",IF(AND(B1015="post",P1015="nicht angetreten"),"NANG",IF(N1015=1,"AUSL",IFERROR(VLOOKUP(H1015,Vokabular!$A$2:$B$8,2,FALSE),"UNBEKANNT"))))</f>
        <v/>
      </c>
    </row>
    <row r="1016">
      <c r="A1016" s="5" t="inlineStr">
        <is>
          <t>VS-08</t>
        </is>
      </c>
      <c r="B1016" s="5" t="inlineStr">
        <is>
          <t>post</t>
        </is>
      </c>
      <c r="C1016" s="5" t="inlineStr">
        <is>
          <t>Sprint_30m</t>
        </is>
      </c>
      <c r="D1016" s="5" t="inlineStr">
        <is>
          <t>–</t>
        </is>
      </c>
      <c r="E1016" s="5" t="n">
        <v>1</v>
      </c>
      <c r="F1016" s="5" t="n">
        <v>5.22</v>
      </c>
      <c r="G1016" s="5" t="n"/>
      <c r="H1016" s="5" t="n"/>
      <c r="I1016" s="22">
        <f>INDEX(Personendaten!$C$2:$C$32,MATCH(A1016,Personendaten!$A$2:$A$32,0))</f>
        <v/>
      </c>
      <c r="J1016" s="22">
        <f>IF(AND(F1016&lt;&gt;"",G1016=""),1,0)</f>
        <v/>
      </c>
      <c r="K1016" s="22">
        <f>IF(LEFT(C1016,7)&lt;&gt;"Sprint_","",IF(COUNTIFS(Versuchsdaten!$A$2:$A$1117,$A1016,Versuchsdaten!$B$2:$B$1117,$B1016,Versuchsdaten!$C$2:$C$1117,"Sprint_5m",Versuchsdaten!$E$2:$E$1117,$E1016,Versuchsdaten!$J$2:$J$1117,1)=1,SUMIFS(Versuchsdaten!$F$2:$F$1117,Versuchsdaten!$A$2:$A$1117,$A1016,Versuchsdaten!$B$2:$B$1117,$B1016,Versuchsdaten!$C$2:$C$1117,"Sprint_5m",Versuchsdaten!$E$2:$E$1117,$E1016,Versuchsdaten!$J$2:$J$1117,1),""))</f>
        <v/>
      </c>
      <c r="L1016" s="22">
        <f>IF(LEFT(C1016,7)&lt;&gt;"Sprint_","",IF(COUNTIFS(Versuchsdaten!$A$2:$A$1117,$A1016,Versuchsdaten!$B$2:$B$1117,$B1016,Versuchsdaten!$C$2:$C$1117,"Sprint_10m",Versuchsdaten!$E$2:$E$1117,$E1016,Versuchsdaten!$J$2:$J$1117,1)=1,SUMIFS(Versuchsdaten!$F$2:$F$1117,Versuchsdaten!$A$2:$A$1117,$A1016,Versuchsdaten!$B$2:$B$1117,$B1016,Versuchsdaten!$C$2:$C$1117,"Sprint_10m",Versuchsdaten!$E$2:$E$1117,$E1016,Versuchsdaten!$J$2:$J$1117,1),""))</f>
        <v/>
      </c>
      <c r="M1016" s="22">
        <f>IF(LEFT(C1016,7)&lt;&gt;"Sprint_","",IF(COUNTIFS(Versuchsdaten!$A$2:$A$1117,$A1016,Versuchsdaten!$B$2:$B$1117,$B1016,Versuchsdaten!$C$2:$C$1117,"Sprint_30m",Versuchsdaten!$E$2:$E$1117,$E1016,Versuchsdaten!$J$2:$J$1117,1)=1,SUMIFS(Versuchsdaten!$F$2:$F$1117,Versuchsdaten!$A$2:$A$1117,$A1016,Versuchsdaten!$B$2:$B$1117,$B1016,Versuchsdaten!$C$2:$C$1117,"Sprint_30m",Versuchsdaten!$E$2:$E$1117,$E1016,Versuchsdaten!$J$2:$J$1117,1),""))</f>
        <v/>
      </c>
      <c r="N1016" s="22">
        <f>IF(LEFT(C1016,7)&lt;&gt;"Sprint_",0,IF(IF(ISNUMBER(K1016),IF(K1016&lt;=0,1,IF(5/K1016&gt;10,1,0)),0)+IF(ISNUMBER(L1016),IF(ISNUMBER(K1016),IF(L1016-K1016&lt;=0,1,IF(5/(L1016-K1016)&gt;10,1,0)),IF(L1016&lt;=0,1,IF(10/L1016&gt;10,1,0))),0)+IF(ISNUMBER(M1016),IF(ISNUMBER(L1016),IF(M1016-L1016&lt;=0,1,IF(20/(M1016-L1016)&gt;10,1,0)),IF(ISNUMBER(K1016),IF(M1016-K1016&lt;=0,1,IF(25/(M1016-K1016)&gt;10,1,0)),IF(M1016&lt;=0,1,IF(30/M1016&gt;10,1,0)))),0)&gt;0,1,0))</f>
        <v/>
      </c>
      <c r="O1016" s="22">
        <f>IF(AND(J1016=1,N1016=0),1,0)</f>
        <v/>
      </c>
      <c r="P1016" s="22">
        <f>INDEX(Personendaten!$J$2:$J$32,MATCH(A1016,Personendaten!$A$2:$A$32,0))</f>
        <v/>
      </c>
      <c r="Q1016" s="22">
        <f>IF(O1016=1,"",IF(AND(B1016="post",P1016="nicht angetreten"),"NANG",IF(N1016=1,"AUSL",IFERROR(VLOOKUP(H1016,Vokabular!$A$2:$B$8,2,FALSE),"UNBEKANNT"))))</f>
        <v/>
      </c>
    </row>
    <row r="1017">
      <c r="A1017" s="5" t="inlineStr">
        <is>
          <t>VS-08</t>
        </is>
      </c>
      <c r="B1017" s="5" t="inlineStr">
        <is>
          <t>post</t>
        </is>
      </c>
      <c r="C1017" s="5" t="inlineStr">
        <is>
          <t>Sprint_30m</t>
        </is>
      </c>
      <c r="D1017" s="5" t="inlineStr">
        <is>
          <t>–</t>
        </is>
      </c>
      <c r="E1017" s="5" t="n">
        <v>2</v>
      </c>
      <c r="F1017" s="5" t="n">
        <v>5.44</v>
      </c>
      <c r="G1017" s="5" t="n"/>
      <c r="H1017" s="5" t="n"/>
      <c r="I1017" s="22">
        <f>INDEX(Personendaten!$C$2:$C$32,MATCH(A1017,Personendaten!$A$2:$A$32,0))</f>
        <v/>
      </c>
      <c r="J1017" s="22">
        <f>IF(AND(F1017&lt;&gt;"",G1017=""),1,0)</f>
        <v/>
      </c>
      <c r="K1017" s="22">
        <f>IF(LEFT(C1017,7)&lt;&gt;"Sprint_","",IF(COUNTIFS(Versuchsdaten!$A$2:$A$1117,$A1017,Versuchsdaten!$B$2:$B$1117,$B1017,Versuchsdaten!$C$2:$C$1117,"Sprint_5m",Versuchsdaten!$E$2:$E$1117,$E1017,Versuchsdaten!$J$2:$J$1117,1)=1,SUMIFS(Versuchsdaten!$F$2:$F$1117,Versuchsdaten!$A$2:$A$1117,$A1017,Versuchsdaten!$B$2:$B$1117,$B1017,Versuchsdaten!$C$2:$C$1117,"Sprint_5m",Versuchsdaten!$E$2:$E$1117,$E1017,Versuchsdaten!$J$2:$J$1117,1),""))</f>
        <v/>
      </c>
      <c r="L1017" s="22">
        <f>IF(LEFT(C1017,7)&lt;&gt;"Sprint_","",IF(COUNTIFS(Versuchsdaten!$A$2:$A$1117,$A1017,Versuchsdaten!$B$2:$B$1117,$B1017,Versuchsdaten!$C$2:$C$1117,"Sprint_10m",Versuchsdaten!$E$2:$E$1117,$E1017,Versuchsdaten!$J$2:$J$1117,1)=1,SUMIFS(Versuchsdaten!$F$2:$F$1117,Versuchsdaten!$A$2:$A$1117,$A1017,Versuchsdaten!$B$2:$B$1117,$B1017,Versuchsdaten!$C$2:$C$1117,"Sprint_10m",Versuchsdaten!$E$2:$E$1117,$E1017,Versuchsdaten!$J$2:$J$1117,1),""))</f>
        <v/>
      </c>
      <c r="M1017" s="22">
        <f>IF(LEFT(C1017,7)&lt;&gt;"Sprint_","",IF(COUNTIFS(Versuchsdaten!$A$2:$A$1117,$A1017,Versuchsdaten!$B$2:$B$1117,$B1017,Versuchsdaten!$C$2:$C$1117,"Sprint_30m",Versuchsdaten!$E$2:$E$1117,$E1017,Versuchsdaten!$J$2:$J$1117,1)=1,SUMIFS(Versuchsdaten!$F$2:$F$1117,Versuchsdaten!$A$2:$A$1117,$A1017,Versuchsdaten!$B$2:$B$1117,$B1017,Versuchsdaten!$C$2:$C$1117,"Sprint_30m",Versuchsdaten!$E$2:$E$1117,$E1017,Versuchsdaten!$J$2:$J$1117,1),""))</f>
        <v/>
      </c>
      <c r="N1017" s="22">
        <f>IF(LEFT(C1017,7)&lt;&gt;"Sprint_",0,IF(IF(ISNUMBER(K1017),IF(K1017&lt;=0,1,IF(5/K1017&gt;10,1,0)),0)+IF(ISNUMBER(L1017),IF(ISNUMBER(K1017),IF(L1017-K1017&lt;=0,1,IF(5/(L1017-K1017)&gt;10,1,0)),IF(L1017&lt;=0,1,IF(10/L1017&gt;10,1,0))),0)+IF(ISNUMBER(M1017),IF(ISNUMBER(L1017),IF(M1017-L1017&lt;=0,1,IF(20/(M1017-L1017)&gt;10,1,0)),IF(ISNUMBER(K1017),IF(M1017-K1017&lt;=0,1,IF(25/(M1017-K1017)&gt;10,1,0)),IF(M1017&lt;=0,1,IF(30/M1017&gt;10,1,0)))),0)&gt;0,1,0))</f>
        <v/>
      </c>
      <c r="O1017" s="22">
        <f>IF(AND(J1017=1,N1017=0),1,0)</f>
        <v/>
      </c>
      <c r="P1017" s="22">
        <f>INDEX(Personendaten!$J$2:$J$32,MATCH(A1017,Personendaten!$A$2:$A$32,0))</f>
        <v/>
      </c>
      <c r="Q1017" s="22">
        <f>IF(O1017=1,"",IF(AND(B1017="post",P1017="nicht angetreten"),"NANG",IF(N1017=1,"AUSL",IFERROR(VLOOKUP(H1017,Vokabular!$A$2:$B$8,2,FALSE),"UNBEKANNT"))))</f>
        <v/>
      </c>
    </row>
    <row r="1018">
      <c r="A1018" s="5" t="inlineStr">
        <is>
          <t>VS-08</t>
        </is>
      </c>
      <c r="B1018" s="5" t="inlineStr">
        <is>
          <t>post</t>
        </is>
      </c>
      <c r="C1018" s="5" t="inlineStr">
        <is>
          <t>Sprint_30m</t>
        </is>
      </c>
      <c r="D1018" s="5" t="inlineStr">
        <is>
          <t>–</t>
        </is>
      </c>
      <c r="E1018" s="5" t="n">
        <v>3</v>
      </c>
      <c r="F1018" s="5" t="n"/>
      <c r="G1018" s="5" t="n"/>
      <c r="H1018" s="5" t="inlineStr">
        <is>
          <t>Nur 2 Versuche aus Zeitmangel</t>
        </is>
      </c>
      <c r="I1018" s="22">
        <f>INDEX(Personendaten!$C$2:$C$32,MATCH(A1018,Personendaten!$A$2:$A$32,0))</f>
        <v/>
      </c>
      <c r="J1018" s="22">
        <f>IF(AND(F1018&lt;&gt;"",G1018=""),1,0)</f>
        <v/>
      </c>
      <c r="K1018" s="22">
        <f>IF(LEFT(C1018,7)&lt;&gt;"Sprint_","",IF(COUNTIFS(Versuchsdaten!$A$2:$A$1117,$A1018,Versuchsdaten!$B$2:$B$1117,$B1018,Versuchsdaten!$C$2:$C$1117,"Sprint_5m",Versuchsdaten!$E$2:$E$1117,$E1018,Versuchsdaten!$J$2:$J$1117,1)=1,SUMIFS(Versuchsdaten!$F$2:$F$1117,Versuchsdaten!$A$2:$A$1117,$A1018,Versuchsdaten!$B$2:$B$1117,$B1018,Versuchsdaten!$C$2:$C$1117,"Sprint_5m",Versuchsdaten!$E$2:$E$1117,$E1018,Versuchsdaten!$J$2:$J$1117,1),""))</f>
        <v/>
      </c>
      <c r="L1018" s="22">
        <f>IF(LEFT(C1018,7)&lt;&gt;"Sprint_","",IF(COUNTIFS(Versuchsdaten!$A$2:$A$1117,$A1018,Versuchsdaten!$B$2:$B$1117,$B1018,Versuchsdaten!$C$2:$C$1117,"Sprint_10m",Versuchsdaten!$E$2:$E$1117,$E1018,Versuchsdaten!$J$2:$J$1117,1)=1,SUMIFS(Versuchsdaten!$F$2:$F$1117,Versuchsdaten!$A$2:$A$1117,$A1018,Versuchsdaten!$B$2:$B$1117,$B1018,Versuchsdaten!$C$2:$C$1117,"Sprint_10m",Versuchsdaten!$E$2:$E$1117,$E1018,Versuchsdaten!$J$2:$J$1117,1),""))</f>
        <v/>
      </c>
      <c r="M1018" s="22">
        <f>IF(LEFT(C1018,7)&lt;&gt;"Sprint_","",IF(COUNTIFS(Versuchsdaten!$A$2:$A$1117,$A1018,Versuchsdaten!$B$2:$B$1117,$B1018,Versuchsdaten!$C$2:$C$1117,"Sprint_30m",Versuchsdaten!$E$2:$E$1117,$E1018,Versuchsdaten!$J$2:$J$1117,1)=1,SUMIFS(Versuchsdaten!$F$2:$F$1117,Versuchsdaten!$A$2:$A$1117,$A1018,Versuchsdaten!$B$2:$B$1117,$B1018,Versuchsdaten!$C$2:$C$1117,"Sprint_30m",Versuchsdaten!$E$2:$E$1117,$E1018,Versuchsdaten!$J$2:$J$1117,1),""))</f>
        <v/>
      </c>
      <c r="N1018" s="22">
        <f>IF(LEFT(C1018,7)&lt;&gt;"Sprint_",0,IF(IF(ISNUMBER(K1018),IF(K1018&lt;=0,1,IF(5/K1018&gt;10,1,0)),0)+IF(ISNUMBER(L1018),IF(ISNUMBER(K1018),IF(L1018-K1018&lt;=0,1,IF(5/(L1018-K1018)&gt;10,1,0)),IF(L1018&lt;=0,1,IF(10/L1018&gt;10,1,0))),0)+IF(ISNUMBER(M1018),IF(ISNUMBER(L1018),IF(M1018-L1018&lt;=0,1,IF(20/(M1018-L1018)&gt;10,1,0)),IF(ISNUMBER(K1018),IF(M1018-K1018&lt;=0,1,IF(25/(M1018-K1018)&gt;10,1,0)),IF(M1018&lt;=0,1,IF(30/M1018&gt;10,1,0)))),0)&gt;0,1,0))</f>
        <v/>
      </c>
      <c r="O1018" s="22">
        <f>IF(AND(J1018=1,N1018=0),1,0)</f>
        <v/>
      </c>
      <c r="P1018" s="22">
        <f>INDEX(Personendaten!$J$2:$J$32,MATCH(A1018,Personendaten!$A$2:$A$32,0))</f>
        <v/>
      </c>
      <c r="Q1018" s="22">
        <f>IF(O1018=1,"",IF(AND(B1018="post",P1018="nicht angetreten"),"NANG",IF(N1018=1,"AUSL",IFERROR(VLOOKUP(H1018,Vokabular!$A$2:$B$8,2,FALSE),"UNBEKANNT"))))</f>
        <v/>
      </c>
    </row>
    <row r="1019">
      <c r="A1019" s="5" t="inlineStr">
        <is>
          <t>VS-08</t>
        </is>
      </c>
      <c r="B1019" s="5" t="inlineStr">
        <is>
          <t>post</t>
        </is>
      </c>
      <c r="C1019" s="5" t="inlineStr">
        <is>
          <t>Standweitsprung</t>
        </is>
      </c>
      <c r="D1019" s="5" t="inlineStr">
        <is>
          <t>–</t>
        </is>
      </c>
      <c r="E1019" s="5" t="n">
        <v>1</v>
      </c>
      <c r="F1019" s="5" t="n">
        <v>202</v>
      </c>
      <c r="G1019" s="5" t="n"/>
      <c r="H1019" s="5" t="n"/>
      <c r="I1019" s="22">
        <f>INDEX(Personendaten!$C$2:$C$32,MATCH(A1019,Personendaten!$A$2:$A$32,0))</f>
        <v/>
      </c>
      <c r="J1019" s="22">
        <f>IF(AND(F1019&lt;&gt;"",G1019=""),1,0)</f>
        <v/>
      </c>
      <c r="K1019" s="22">
        <f>IF(LEFT(C1019,7)&lt;&gt;"Sprint_","",IF(COUNTIFS(Versuchsdaten!$A$2:$A$1117,$A1019,Versuchsdaten!$B$2:$B$1117,$B1019,Versuchsdaten!$C$2:$C$1117,"Sprint_5m",Versuchsdaten!$E$2:$E$1117,$E1019,Versuchsdaten!$J$2:$J$1117,1)=1,SUMIFS(Versuchsdaten!$F$2:$F$1117,Versuchsdaten!$A$2:$A$1117,$A1019,Versuchsdaten!$B$2:$B$1117,$B1019,Versuchsdaten!$C$2:$C$1117,"Sprint_5m",Versuchsdaten!$E$2:$E$1117,$E1019,Versuchsdaten!$J$2:$J$1117,1),""))</f>
        <v/>
      </c>
      <c r="L1019" s="22">
        <f>IF(LEFT(C1019,7)&lt;&gt;"Sprint_","",IF(COUNTIFS(Versuchsdaten!$A$2:$A$1117,$A1019,Versuchsdaten!$B$2:$B$1117,$B1019,Versuchsdaten!$C$2:$C$1117,"Sprint_10m",Versuchsdaten!$E$2:$E$1117,$E1019,Versuchsdaten!$J$2:$J$1117,1)=1,SUMIFS(Versuchsdaten!$F$2:$F$1117,Versuchsdaten!$A$2:$A$1117,$A1019,Versuchsdaten!$B$2:$B$1117,$B1019,Versuchsdaten!$C$2:$C$1117,"Sprint_10m",Versuchsdaten!$E$2:$E$1117,$E1019,Versuchsdaten!$J$2:$J$1117,1),""))</f>
        <v/>
      </c>
      <c r="M1019" s="22">
        <f>IF(LEFT(C1019,7)&lt;&gt;"Sprint_","",IF(COUNTIFS(Versuchsdaten!$A$2:$A$1117,$A1019,Versuchsdaten!$B$2:$B$1117,$B1019,Versuchsdaten!$C$2:$C$1117,"Sprint_30m",Versuchsdaten!$E$2:$E$1117,$E1019,Versuchsdaten!$J$2:$J$1117,1)=1,SUMIFS(Versuchsdaten!$F$2:$F$1117,Versuchsdaten!$A$2:$A$1117,$A1019,Versuchsdaten!$B$2:$B$1117,$B1019,Versuchsdaten!$C$2:$C$1117,"Sprint_30m",Versuchsdaten!$E$2:$E$1117,$E1019,Versuchsdaten!$J$2:$J$1117,1),""))</f>
        <v/>
      </c>
      <c r="N1019" s="22">
        <f>IF(LEFT(C1019,7)&lt;&gt;"Sprint_",0,IF(IF(ISNUMBER(K1019),IF(K1019&lt;=0,1,IF(5/K1019&gt;10,1,0)),0)+IF(ISNUMBER(L1019),IF(ISNUMBER(K1019),IF(L1019-K1019&lt;=0,1,IF(5/(L1019-K1019)&gt;10,1,0)),IF(L1019&lt;=0,1,IF(10/L1019&gt;10,1,0))),0)+IF(ISNUMBER(M1019),IF(ISNUMBER(L1019),IF(M1019-L1019&lt;=0,1,IF(20/(M1019-L1019)&gt;10,1,0)),IF(ISNUMBER(K1019),IF(M1019-K1019&lt;=0,1,IF(25/(M1019-K1019)&gt;10,1,0)),IF(M1019&lt;=0,1,IF(30/M1019&gt;10,1,0)))),0)&gt;0,1,0))</f>
        <v/>
      </c>
      <c r="O1019" s="22">
        <f>IF(AND(J1019=1,N1019=0),1,0)</f>
        <v/>
      </c>
      <c r="P1019" s="22">
        <f>INDEX(Personendaten!$J$2:$J$32,MATCH(A1019,Personendaten!$A$2:$A$32,0))</f>
        <v/>
      </c>
      <c r="Q1019" s="22">
        <f>IF(O1019=1,"",IF(AND(B1019="post",P1019="nicht angetreten"),"NANG",IF(N1019=1,"AUSL",IFERROR(VLOOKUP(H1019,Vokabular!$A$2:$B$8,2,FALSE),"UNBEKANNT"))))</f>
        <v/>
      </c>
    </row>
    <row r="1020">
      <c r="A1020" s="5" t="inlineStr">
        <is>
          <t>VS-08</t>
        </is>
      </c>
      <c r="B1020" s="5" t="inlineStr">
        <is>
          <t>post</t>
        </is>
      </c>
      <c r="C1020" s="5" t="inlineStr">
        <is>
          <t>Standweitsprung</t>
        </is>
      </c>
      <c r="D1020" s="5" t="inlineStr">
        <is>
          <t>–</t>
        </is>
      </c>
      <c r="E1020" s="5" t="n">
        <v>2</v>
      </c>
      <c r="F1020" s="5" t="n">
        <v>213</v>
      </c>
      <c r="G1020" s="5" t="n"/>
      <c r="H1020" s="5" t="n"/>
      <c r="I1020" s="22">
        <f>INDEX(Personendaten!$C$2:$C$32,MATCH(A1020,Personendaten!$A$2:$A$32,0))</f>
        <v/>
      </c>
      <c r="J1020" s="22">
        <f>IF(AND(F1020&lt;&gt;"",G1020=""),1,0)</f>
        <v/>
      </c>
      <c r="K1020" s="22">
        <f>IF(LEFT(C1020,7)&lt;&gt;"Sprint_","",IF(COUNTIFS(Versuchsdaten!$A$2:$A$1117,$A1020,Versuchsdaten!$B$2:$B$1117,$B1020,Versuchsdaten!$C$2:$C$1117,"Sprint_5m",Versuchsdaten!$E$2:$E$1117,$E1020,Versuchsdaten!$J$2:$J$1117,1)=1,SUMIFS(Versuchsdaten!$F$2:$F$1117,Versuchsdaten!$A$2:$A$1117,$A1020,Versuchsdaten!$B$2:$B$1117,$B1020,Versuchsdaten!$C$2:$C$1117,"Sprint_5m",Versuchsdaten!$E$2:$E$1117,$E1020,Versuchsdaten!$J$2:$J$1117,1),""))</f>
        <v/>
      </c>
      <c r="L1020" s="22">
        <f>IF(LEFT(C1020,7)&lt;&gt;"Sprint_","",IF(COUNTIFS(Versuchsdaten!$A$2:$A$1117,$A1020,Versuchsdaten!$B$2:$B$1117,$B1020,Versuchsdaten!$C$2:$C$1117,"Sprint_10m",Versuchsdaten!$E$2:$E$1117,$E1020,Versuchsdaten!$J$2:$J$1117,1)=1,SUMIFS(Versuchsdaten!$F$2:$F$1117,Versuchsdaten!$A$2:$A$1117,$A1020,Versuchsdaten!$B$2:$B$1117,$B1020,Versuchsdaten!$C$2:$C$1117,"Sprint_10m",Versuchsdaten!$E$2:$E$1117,$E1020,Versuchsdaten!$J$2:$J$1117,1),""))</f>
        <v/>
      </c>
      <c r="M1020" s="22">
        <f>IF(LEFT(C1020,7)&lt;&gt;"Sprint_","",IF(COUNTIFS(Versuchsdaten!$A$2:$A$1117,$A1020,Versuchsdaten!$B$2:$B$1117,$B1020,Versuchsdaten!$C$2:$C$1117,"Sprint_30m",Versuchsdaten!$E$2:$E$1117,$E1020,Versuchsdaten!$J$2:$J$1117,1)=1,SUMIFS(Versuchsdaten!$F$2:$F$1117,Versuchsdaten!$A$2:$A$1117,$A1020,Versuchsdaten!$B$2:$B$1117,$B1020,Versuchsdaten!$C$2:$C$1117,"Sprint_30m",Versuchsdaten!$E$2:$E$1117,$E1020,Versuchsdaten!$J$2:$J$1117,1),""))</f>
        <v/>
      </c>
      <c r="N1020" s="22">
        <f>IF(LEFT(C1020,7)&lt;&gt;"Sprint_",0,IF(IF(ISNUMBER(K1020),IF(K1020&lt;=0,1,IF(5/K1020&gt;10,1,0)),0)+IF(ISNUMBER(L1020),IF(ISNUMBER(K1020),IF(L1020-K1020&lt;=0,1,IF(5/(L1020-K1020)&gt;10,1,0)),IF(L1020&lt;=0,1,IF(10/L1020&gt;10,1,0))),0)+IF(ISNUMBER(M1020),IF(ISNUMBER(L1020),IF(M1020-L1020&lt;=0,1,IF(20/(M1020-L1020)&gt;10,1,0)),IF(ISNUMBER(K1020),IF(M1020-K1020&lt;=0,1,IF(25/(M1020-K1020)&gt;10,1,0)),IF(M1020&lt;=0,1,IF(30/M1020&gt;10,1,0)))),0)&gt;0,1,0))</f>
        <v/>
      </c>
      <c r="O1020" s="22">
        <f>IF(AND(J1020=1,N1020=0),1,0)</f>
        <v/>
      </c>
      <c r="P1020" s="22">
        <f>INDEX(Personendaten!$J$2:$J$32,MATCH(A1020,Personendaten!$A$2:$A$32,0))</f>
        <v/>
      </c>
      <c r="Q1020" s="22">
        <f>IF(O1020=1,"",IF(AND(B1020="post",P1020="nicht angetreten"),"NANG",IF(N1020=1,"AUSL",IFERROR(VLOOKUP(H1020,Vokabular!$A$2:$B$8,2,FALSE),"UNBEKANNT"))))</f>
        <v/>
      </c>
    </row>
    <row r="1021">
      <c r="A1021" s="5" t="inlineStr">
        <is>
          <t>VS-08</t>
        </is>
      </c>
      <c r="B1021" s="5" t="inlineStr">
        <is>
          <t>post</t>
        </is>
      </c>
      <c r="C1021" s="5" t="inlineStr">
        <is>
          <t>Standweitsprung</t>
        </is>
      </c>
      <c r="D1021" s="5" t="inlineStr">
        <is>
          <t>–</t>
        </is>
      </c>
      <c r="E1021" s="5" t="n">
        <v>3</v>
      </c>
      <c r="F1021" s="5" t="n"/>
      <c r="G1021" s="5" t="n"/>
      <c r="H1021" s="5" t="inlineStr">
        <is>
          <t>Nur 2 Versuche aus Zeitmangel</t>
        </is>
      </c>
      <c r="I1021" s="22">
        <f>INDEX(Personendaten!$C$2:$C$32,MATCH(A1021,Personendaten!$A$2:$A$32,0))</f>
        <v/>
      </c>
      <c r="J1021" s="22">
        <f>IF(AND(F1021&lt;&gt;"",G1021=""),1,0)</f>
        <v/>
      </c>
      <c r="K1021" s="22">
        <f>IF(LEFT(C1021,7)&lt;&gt;"Sprint_","",IF(COUNTIFS(Versuchsdaten!$A$2:$A$1117,$A1021,Versuchsdaten!$B$2:$B$1117,$B1021,Versuchsdaten!$C$2:$C$1117,"Sprint_5m",Versuchsdaten!$E$2:$E$1117,$E1021,Versuchsdaten!$J$2:$J$1117,1)=1,SUMIFS(Versuchsdaten!$F$2:$F$1117,Versuchsdaten!$A$2:$A$1117,$A1021,Versuchsdaten!$B$2:$B$1117,$B1021,Versuchsdaten!$C$2:$C$1117,"Sprint_5m",Versuchsdaten!$E$2:$E$1117,$E1021,Versuchsdaten!$J$2:$J$1117,1),""))</f>
        <v/>
      </c>
      <c r="L1021" s="22">
        <f>IF(LEFT(C1021,7)&lt;&gt;"Sprint_","",IF(COUNTIFS(Versuchsdaten!$A$2:$A$1117,$A1021,Versuchsdaten!$B$2:$B$1117,$B1021,Versuchsdaten!$C$2:$C$1117,"Sprint_10m",Versuchsdaten!$E$2:$E$1117,$E1021,Versuchsdaten!$J$2:$J$1117,1)=1,SUMIFS(Versuchsdaten!$F$2:$F$1117,Versuchsdaten!$A$2:$A$1117,$A1021,Versuchsdaten!$B$2:$B$1117,$B1021,Versuchsdaten!$C$2:$C$1117,"Sprint_10m",Versuchsdaten!$E$2:$E$1117,$E1021,Versuchsdaten!$J$2:$J$1117,1),""))</f>
        <v/>
      </c>
      <c r="M1021" s="22">
        <f>IF(LEFT(C1021,7)&lt;&gt;"Sprint_","",IF(COUNTIFS(Versuchsdaten!$A$2:$A$1117,$A1021,Versuchsdaten!$B$2:$B$1117,$B1021,Versuchsdaten!$C$2:$C$1117,"Sprint_30m",Versuchsdaten!$E$2:$E$1117,$E1021,Versuchsdaten!$J$2:$J$1117,1)=1,SUMIFS(Versuchsdaten!$F$2:$F$1117,Versuchsdaten!$A$2:$A$1117,$A1021,Versuchsdaten!$B$2:$B$1117,$B1021,Versuchsdaten!$C$2:$C$1117,"Sprint_30m",Versuchsdaten!$E$2:$E$1117,$E1021,Versuchsdaten!$J$2:$J$1117,1),""))</f>
        <v/>
      </c>
      <c r="N1021" s="22">
        <f>IF(LEFT(C1021,7)&lt;&gt;"Sprint_",0,IF(IF(ISNUMBER(K1021),IF(K1021&lt;=0,1,IF(5/K1021&gt;10,1,0)),0)+IF(ISNUMBER(L1021),IF(ISNUMBER(K1021),IF(L1021-K1021&lt;=0,1,IF(5/(L1021-K1021)&gt;10,1,0)),IF(L1021&lt;=0,1,IF(10/L1021&gt;10,1,0))),0)+IF(ISNUMBER(M1021),IF(ISNUMBER(L1021),IF(M1021-L1021&lt;=0,1,IF(20/(M1021-L1021)&gt;10,1,0)),IF(ISNUMBER(K1021),IF(M1021-K1021&lt;=0,1,IF(25/(M1021-K1021)&gt;10,1,0)),IF(M1021&lt;=0,1,IF(30/M1021&gt;10,1,0)))),0)&gt;0,1,0))</f>
        <v/>
      </c>
      <c r="O1021" s="22">
        <f>IF(AND(J1021=1,N1021=0),1,0)</f>
        <v/>
      </c>
      <c r="P1021" s="22">
        <f>INDEX(Personendaten!$J$2:$J$32,MATCH(A1021,Personendaten!$A$2:$A$32,0))</f>
        <v/>
      </c>
      <c r="Q1021" s="22">
        <f>IF(O1021=1,"",IF(AND(B1021="post",P1021="nicht angetreten"),"NANG",IF(N1021=1,"AUSL",IFERROR(VLOOKUP(H1021,Vokabular!$A$2:$B$8,2,FALSE),"UNBEKANNT"))))</f>
        <v/>
      </c>
    </row>
    <row r="1022">
      <c r="A1022" s="5" t="inlineStr">
        <is>
          <t>VS-08</t>
        </is>
      </c>
      <c r="B1022" s="5" t="inlineStr">
        <is>
          <t>post</t>
        </is>
      </c>
      <c r="C1022" s="5" t="inlineStr">
        <is>
          <t>COD_505</t>
        </is>
      </c>
      <c r="D1022" s="5" t="inlineStr">
        <is>
          <t>L</t>
        </is>
      </c>
      <c r="E1022" s="5" t="n">
        <v>1</v>
      </c>
      <c r="F1022" s="5" t="n">
        <v>2.75</v>
      </c>
      <c r="G1022" s="5" t="n"/>
      <c r="H1022" s="5" t="n"/>
      <c r="I1022" s="22">
        <f>INDEX(Personendaten!$C$2:$C$32,MATCH(A1022,Personendaten!$A$2:$A$32,0))</f>
        <v/>
      </c>
      <c r="J1022" s="22">
        <f>IF(AND(F1022&lt;&gt;"",G1022=""),1,0)</f>
        <v/>
      </c>
      <c r="K1022" s="22">
        <f>IF(LEFT(C1022,7)&lt;&gt;"Sprint_","",IF(COUNTIFS(Versuchsdaten!$A$2:$A$1117,$A1022,Versuchsdaten!$B$2:$B$1117,$B1022,Versuchsdaten!$C$2:$C$1117,"Sprint_5m",Versuchsdaten!$E$2:$E$1117,$E1022,Versuchsdaten!$J$2:$J$1117,1)=1,SUMIFS(Versuchsdaten!$F$2:$F$1117,Versuchsdaten!$A$2:$A$1117,$A1022,Versuchsdaten!$B$2:$B$1117,$B1022,Versuchsdaten!$C$2:$C$1117,"Sprint_5m",Versuchsdaten!$E$2:$E$1117,$E1022,Versuchsdaten!$J$2:$J$1117,1),""))</f>
        <v/>
      </c>
      <c r="L1022" s="22">
        <f>IF(LEFT(C1022,7)&lt;&gt;"Sprint_","",IF(COUNTIFS(Versuchsdaten!$A$2:$A$1117,$A1022,Versuchsdaten!$B$2:$B$1117,$B1022,Versuchsdaten!$C$2:$C$1117,"Sprint_10m",Versuchsdaten!$E$2:$E$1117,$E1022,Versuchsdaten!$J$2:$J$1117,1)=1,SUMIFS(Versuchsdaten!$F$2:$F$1117,Versuchsdaten!$A$2:$A$1117,$A1022,Versuchsdaten!$B$2:$B$1117,$B1022,Versuchsdaten!$C$2:$C$1117,"Sprint_10m",Versuchsdaten!$E$2:$E$1117,$E1022,Versuchsdaten!$J$2:$J$1117,1),""))</f>
        <v/>
      </c>
      <c r="M1022" s="22">
        <f>IF(LEFT(C1022,7)&lt;&gt;"Sprint_","",IF(COUNTIFS(Versuchsdaten!$A$2:$A$1117,$A1022,Versuchsdaten!$B$2:$B$1117,$B1022,Versuchsdaten!$C$2:$C$1117,"Sprint_30m",Versuchsdaten!$E$2:$E$1117,$E1022,Versuchsdaten!$J$2:$J$1117,1)=1,SUMIFS(Versuchsdaten!$F$2:$F$1117,Versuchsdaten!$A$2:$A$1117,$A1022,Versuchsdaten!$B$2:$B$1117,$B1022,Versuchsdaten!$C$2:$C$1117,"Sprint_30m",Versuchsdaten!$E$2:$E$1117,$E1022,Versuchsdaten!$J$2:$J$1117,1),""))</f>
        <v/>
      </c>
      <c r="N1022" s="22">
        <f>IF(LEFT(C1022,7)&lt;&gt;"Sprint_",0,IF(IF(ISNUMBER(K1022),IF(K1022&lt;=0,1,IF(5/K1022&gt;10,1,0)),0)+IF(ISNUMBER(L1022),IF(ISNUMBER(K1022),IF(L1022-K1022&lt;=0,1,IF(5/(L1022-K1022)&gt;10,1,0)),IF(L1022&lt;=0,1,IF(10/L1022&gt;10,1,0))),0)+IF(ISNUMBER(M1022),IF(ISNUMBER(L1022),IF(M1022-L1022&lt;=0,1,IF(20/(M1022-L1022)&gt;10,1,0)),IF(ISNUMBER(K1022),IF(M1022-K1022&lt;=0,1,IF(25/(M1022-K1022)&gt;10,1,0)),IF(M1022&lt;=0,1,IF(30/M1022&gt;10,1,0)))),0)&gt;0,1,0))</f>
        <v/>
      </c>
      <c r="O1022" s="22">
        <f>IF(AND(J1022=1,N1022=0),1,0)</f>
        <v/>
      </c>
      <c r="P1022" s="22">
        <f>INDEX(Personendaten!$J$2:$J$32,MATCH(A1022,Personendaten!$A$2:$A$32,0))</f>
        <v/>
      </c>
      <c r="Q1022" s="22">
        <f>IF(O1022=1,"",IF(AND(B1022="post",P1022="nicht angetreten"),"NANG",IF(N1022=1,"AUSL",IFERROR(VLOOKUP(H1022,Vokabular!$A$2:$B$8,2,FALSE),"UNBEKANNT"))))</f>
        <v/>
      </c>
    </row>
    <row r="1023">
      <c r="A1023" s="5" t="inlineStr">
        <is>
          <t>VS-08</t>
        </is>
      </c>
      <c r="B1023" s="5" t="inlineStr">
        <is>
          <t>post</t>
        </is>
      </c>
      <c r="C1023" s="5" t="inlineStr">
        <is>
          <t>COD_505</t>
        </is>
      </c>
      <c r="D1023" s="5" t="inlineStr">
        <is>
          <t>L</t>
        </is>
      </c>
      <c r="E1023" s="5" t="n">
        <v>2</v>
      </c>
      <c r="F1023" s="5" t="n">
        <v>2.77</v>
      </c>
      <c r="G1023" s="5" t="n"/>
      <c r="H1023" s="5" t="n"/>
      <c r="I1023" s="22">
        <f>INDEX(Personendaten!$C$2:$C$32,MATCH(A1023,Personendaten!$A$2:$A$32,0))</f>
        <v/>
      </c>
      <c r="J1023" s="22">
        <f>IF(AND(F1023&lt;&gt;"",G1023=""),1,0)</f>
        <v/>
      </c>
      <c r="K1023" s="22">
        <f>IF(LEFT(C1023,7)&lt;&gt;"Sprint_","",IF(COUNTIFS(Versuchsdaten!$A$2:$A$1117,$A1023,Versuchsdaten!$B$2:$B$1117,$B1023,Versuchsdaten!$C$2:$C$1117,"Sprint_5m",Versuchsdaten!$E$2:$E$1117,$E1023,Versuchsdaten!$J$2:$J$1117,1)=1,SUMIFS(Versuchsdaten!$F$2:$F$1117,Versuchsdaten!$A$2:$A$1117,$A1023,Versuchsdaten!$B$2:$B$1117,$B1023,Versuchsdaten!$C$2:$C$1117,"Sprint_5m",Versuchsdaten!$E$2:$E$1117,$E1023,Versuchsdaten!$J$2:$J$1117,1),""))</f>
        <v/>
      </c>
      <c r="L1023" s="22">
        <f>IF(LEFT(C1023,7)&lt;&gt;"Sprint_","",IF(COUNTIFS(Versuchsdaten!$A$2:$A$1117,$A1023,Versuchsdaten!$B$2:$B$1117,$B1023,Versuchsdaten!$C$2:$C$1117,"Sprint_10m",Versuchsdaten!$E$2:$E$1117,$E1023,Versuchsdaten!$J$2:$J$1117,1)=1,SUMIFS(Versuchsdaten!$F$2:$F$1117,Versuchsdaten!$A$2:$A$1117,$A1023,Versuchsdaten!$B$2:$B$1117,$B1023,Versuchsdaten!$C$2:$C$1117,"Sprint_10m",Versuchsdaten!$E$2:$E$1117,$E1023,Versuchsdaten!$J$2:$J$1117,1),""))</f>
        <v/>
      </c>
      <c r="M1023" s="22">
        <f>IF(LEFT(C1023,7)&lt;&gt;"Sprint_","",IF(COUNTIFS(Versuchsdaten!$A$2:$A$1117,$A1023,Versuchsdaten!$B$2:$B$1117,$B1023,Versuchsdaten!$C$2:$C$1117,"Sprint_30m",Versuchsdaten!$E$2:$E$1117,$E1023,Versuchsdaten!$J$2:$J$1117,1)=1,SUMIFS(Versuchsdaten!$F$2:$F$1117,Versuchsdaten!$A$2:$A$1117,$A1023,Versuchsdaten!$B$2:$B$1117,$B1023,Versuchsdaten!$C$2:$C$1117,"Sprint_30m",Versuchsdaten!$E$2:$E$1117,$E1023,Versuchsdaten!$J$2:$J$1117,1),""))</f>
        <v/>
      </c>
      <c r="N1023" s="22">
        <f>IF(LEFT(C1023,7)&lt;&gt;"Sprint_",0,IF(IF(ISNUMBER(K1023),IF(K1023&lt;=0,1,IF(5/K1023&gt;10,1,0)),0)+IF(ISNUMBER(L1023),IF(ISNUMBER(K1023),IF(L1023-K1023&lt;=0,1,IF(5/(L1023-K1023)&gt;10,1,0)),IF(L1023&lt;=0,1,IF(10/L1023&gt;10,1,0))),0)+IF(ISNUMBER(M1023),IF(ISNUMBER(L1023),IF(M1023-L1023&lt;=0,1,IF(20/(M1023-L1023)&gt;10,1,0)),IF(ISNUMBER(K1023),IF(M1023-K1023&lt;=0,1,IF(25/(M1023-K1023)&gt;10,1,0)),IF(M1023&lt;=0,1,IF(30/M1023&gt;10,1,0)))),0)&gt;0,1,0))</f>
        <v/>
      </c>
      <c r="O1023" s="22">
        <f>IF(AND(J1023=1,N1023=0),1,0)</f>
        <v/>
      </c>
      <c r="P1023" s="22">
        <f>INDEX(Personendaten!$J$2:$J$32,MATCH(A1023,Personendaten!$A$2:$A$32,0))</f>
        <v/>
      </c>
      <c r="Q1023" s="22">
        <f>IF(O1023=1,"",IF(AND(B1023="post",P1023="nicht angetreten"),"NANG",IF(N1023=1,"AUSL",IFERROR(VLOOKUP(H1023,Vokabular!$A$2:$B$8,2,FALSE),"UNBEKANNT"))))</f>
        <v/>
      </c>
    </row>
    <row r="1024">
      <c r="A1024" s="5" t="inlineStr">
        <is>
          <t>VS-08</t>
        </is>
      </c>
      <c r="B1024" s="5" t="inlineStr">
        <is>
          <t>post</t>
        </is>
      </c>
      <c r="C1024" s="5" t="inlineStr">
        <is>
          <t>COD_505</t>
        </is>
      </c>
      <c r="D1024" s="5" t="inlineStr">
        <is>
          <t>L</t>
        </is>
      </c>
      <c r="E1024" s="5" t="n">
        <v>3</v>
      </c>
      <c r="F1024" s="5" t="n"/>
      <c r="G1024" s="5" t="n"/>
      <c r="H1024" s="5" t="inlineStr">
        <is>
          <t>Nur 2 Versuche aus Zeitmangel</t>
        </is>
      </c>
      <c r="I1024" s="22">
        <f>INDEX(Personendaten!$C$2:$C$32,MATCH(A1024,Personendaten!$A$2:$A$32,0))</f>
        <v/>
      </c>
      <c r="J1024" s="22">
        <f>IF(AND(F1024&lt;&gt;"",G1024=""),1,0)</f>
        <v/>
      </c>
      <c r="K1024" s="22">
        <f>IF(LEFT(C1024,7)&lt;&gt;"Sprint_","",IF(COUNTIFS(Versuchsdaten!$A$2:$A$1117,$A1024,Versuchsdaten!$B$2:$B$1117,$B1024,Versuchsdaten!$C$2:$C$1117,"Sprint_5m",Versuchsdaten!$E$2:$E$1117,$E1024,Versuchsdaten!$J$2:$J$1117,1)=1,SUMIFS(Versuchsdaten!$F$2:$F$1117,Versuchsdaten!$A$2:$A$1117,$A1024,Versuchsdaten!$B$2:$B$1117,$B1024,Versuchsdaten!$C$2:$C$1117,"Sprint_5m",Versuchsdaten!$E$2:$E$1117,$E1024,Versuchsdaten!$J$2:$J$1117,1),""))</f>
        <v/>
      </c>
      <c r="L1024" s="22">
        <f>IF(LEFT(C1024,7)&lt;&gt;"Sprint_","",IF(COUNTIFS(Versuchsdaten!$A$2:$A$1117,$A1024,Versuchsdaten!$B$2:$B$1117,$B1024,Versuchsdaten!$C$2:$C$1117,"Sprint_10m",Versuchsdaten!$E$2:$E$1117,$E1024,Versuchsdaten!$J$2:$J$1117,1)=1,SUMIFS(Versuchsdaten!$F$2:$F$1117,Versuchsdaten!$A$2:$A$1117,$A1024,Versuchsdaten!$B$2:$B$1117,$B1024,Versuchsdaten!$C$2:$C$1117,"Sprint_10m",Versuchsdaten!$E$2:$E$1117,$E1024,Versuchsdaten!$J$2:$J$1117,1),""))</f>
        <v/>
      </c>
      <c r="M1024" s="22">
        <f>IF(LEFT(C1024,7)&lt;&gt;"Sprint_","",IF(COUNTIFS(Versuchsdaten!$A$2:$A$1117,$A1024,Versuchsdaten!$B$2:$B$1117,$B1024,Versuchsdaten!$C$2:$C$1117,"Sprint_30m",Versuchsdaten!$E$2:$E$1117,$E1024,Versuchsdaten!$J$2:$J$1117,1)=1,SUMIFS(Versuchsdaten!$F$2:$F$1117,Versuchsdaten!$A$2:$A$1117,$A1024,Versuchsdaten!$B$2:$B$1117,$B1024,Versuchsdaten!$C$2:$C$1117,"Sprint_30m",Versuchsdaten!$E$2:$E$1117,$E1024,Versuchsdaten!$J$2:$J$1117,1),""))</f>
        <v/>
      </c>
      <c r="N1024" s="22">
        <f>IF(LEFT(C1024,7)&lt;&gt;"Sprint_",0,IF(IF(ISNUMBER(K1024),IF(K1024&lt;=0,1,IF(5/K1024&gt;10,1,0)),0)+IF(ISNUMBER(L1024),IF(ISNUMBER(K1024),IF(L1024-K1024&lt;=0,1,IF(5/(L1024-K1024)&gt;10,1,0)),IF(L1024&lt;=0,1,IF(10/L1024&gt;10,1,0))),0)+IF(ISNUMBER(M1024),IF(ISNUMBER(L1024),IF(M1024-L1024&lt;=0,1,IF(20/(M1024-L1024)&gt;10,1,0)),IF(ISNUMBER(K1024),IF(M1024-K1024&lt;=0,1,IF(25/(M1024-K1024)&gt;10,1,0)),IF(M1024&lt;=0,1,IF(30/M1024&gt;10,1,0)))),0)&gt;0,1,0))</f>
        <v/>
      </c>
      <c r="O1024" s="22">
        <f>IF(AND(J1024=1,N1024=0),1,0)</f>
        <v/>
      </c>
      <c r="P1024" s="22">
        <f>INDEX(Personendaten!$J$2:$J$32,MATCH(A1024,Personendaten!$A$2:$A$32,0))</f>
        <v/>
      </c>
      <c r="Q1024" s="22">
        <f>IF(O1024=1,"",IF(AND(B1024="post",P1024="nicht angetreten"),"NANG",IF(N1024=1,"AUSL",IFERROR(VLOOKUP(H1024,Vokabular!$A$2:$B$8,2,FALSE),"UNBEKANNT"))))</f>
        <v/>
      </c>
    </row>
    <row r="1025">
      <c r="A1025" s="5" t="inlineStr">
        <is>
          <t>VS-08</t>
        </is>
      </c>
      <c r="B1025" s="5" t="inlineStr">
        <is>
          <t>post</t>
        </is>
      </c>
      <c r="C1025" s="5" t="inlineStr">
        <is>
          <t>COD_505</t>
        </is>
      </c>
      <c r="D1025" s="5" t="inlineStr">
        <is>
          <t>R</t>
        </is>
      </c>
      <c r="E1025" s="5" t="n">
        <v>1</v>
      </c>
      <c r="F1025" s="5" t="n">
        <v>2.7</v>
      </c>
      <c r="G1025" s="5" t="n"/>
      <c r="H1025" s="5" t="n"/>
      <c r="I1025" s="22">
        <f>INDEX(Personendaten!$C$2:$C$32,MATCH(A1025,Personendaten!$A$2:$A$32,0))</f>
        <v/>
      </c>
      <c r="J1025" s="22">
        <f>IF(AND(F1025&lt;&gt;"",G1025=""),1,0)</f>
        <v/>
      </c>
      <c r="K1025" s="22">
        <f>IF(LEFT(C1025,7)&lt;&gt;"Sprint_","",IF(COUNTIFS(Versuchsdaten!$A$2:$A$1117,$A1025,Versuchsdaten!$B$2:$B$1117,$B1025,Versuchsdaten!$C$2:$C$1117,"Sprint_5m",Versuchsdaten!$E$2:$E$1117,$E1025,Versuchsdaten!$J$2:$J$1117,1)=1,SUMIFS(Versuchsdaten!$F$2:$F$1117,Versuchsdaten!$A$2:$A$1117,$A1025,Versuchsdaten!$B$2:$B$1117,$B1025,Versuchsdaten!$C$2:$C$1117,"Sprint_5m",Versuchsdaten!$E$2:$E$1117,$E1025,Versuchsdaten!$J$2:$J$1117,1),""))</f>
        <v/>
      </c>
      <c r="L1025" s="22">
        <f>IF(LEFT(C1025,7)&lt;&gt;"Sprint_","",IF(COUNTIFS(Versuchsdaten!$A$2:$A$1117,$A1025,Versuchsdaten!$B$2:$B$1117,$B1025,Versuchsdaten!$C$2:$C$1117,"Sprint_10m",Versuchsdaten!$E$2:$E$1117,$E1025,Versuchsdaten!$J$2:$J$1117,1)=1,SUMIFS(Versuchsdaten!$F$2:$F$1117,Versuchsdaten!$A$2:$A$1117,$A1025,Versuchsdaten!$B$2:$B$1117,$B1025,Versuchsdaten!$C$2:$C$1117,"Sprint_10m",Versuchsdaten!$E$2:$E$1117,$E1025,Versuchsdaten!$J$2:$J$1117,1),""))</f>
        <v/>
      </c>
      <c r="M1025" s="22">
        <f>IF(LEFT(C1025,7)&lt;&gt;"Sprint_","",IF(COUNTIFS(Versuchsdaten!$A$2:$A$1117,$A1025,Versuchsdaten!$B$2:$B$1117,$B1025,Versuchsdaten!$C$2:$C$1117,"Sprint_30m",Versuchsdaten!$E$2:$E$1117,$E1025,Versuchsdaten!$J$2:$J$1117,1)=1,SUMIFS(Versuchsdaten!$F$2:$F$1117,Versuchsdaten!$A$2:$A$1117,$A1025,Versuchsdaten!$B$2:$B$1117,$B1025,Versuchsdaten!$C$2:$C$1117,"Sprint_30m",Versuchsdaten!$E$2:$E$1117,$E1025,Versuchsdaten!$J$2:$J$1117,1),""))</f>
        <v/>
      </c>
      <c r="N1025" s="22">
        <f>IF(LEFT(C1025,7)&lt;&gt;"Sprint_",0,IF(IF(ISNUMBER(K1025),IF(K1025&lt;=0,1,IF(5/K1025&gt;10,1,0)),0)+IF(ISNUMBER(L1025),IF(ISNUMBER(K1025),IF(L1025-K1025&lt;=0,1,IF(5/(L1025-K1025)&gt;10,1,0)),IF(L1025&lt;=0,1,IF(10/L1025&gt;10,1,0))),0)+IF(ISNUMBER(M1025),IF(ISNUMBER(L1025),IF(M1025-L1025&lt;=0,1,IF(20/(M1025-L1025)&gt;10,1,0)),IF(ISNUMBER(K1025),IF(M1025-K1025&lt;=0,1,IF(25/(M1025-K1025)&gt;10,1,0)),IF(M1025&lt;=0,1,IF(30/M1025&gt;10,1,0)))),0)&gt;0,1,0))</f>
        <v/>
      </c>
      <c r="O1025" s="22">
        <f>IF(AND(J1025=1,N1025=0),1,0)</f>
        <v/>
      </c>
      <c r="P1025" s="22">
        <f>INDEX(Personendaten!$J$2:$J$32,MATCH(A1025,Personendaten!$A$2:$A$32,0))</f>
        <v/>
      </c>
      <c r="Q1025" s="22">
        <f>IF(O1025=1,"",IF(AND(B1025="post",P1025="nicht angetreten"),"NANG",IF(N1025=1,"AUSL",IFERROR(VLOOKUP(H1025,Vokabular!$A$2:$B$8,2,FALSE),"UNBEKANNT"))))</f>
        <v/>
      </c>
    </row>
    <row r="1026">
      <c r="A1026" s="5" t="inlineStr">
        <is>
          <t>VS-08</t>
        </is>
      </c>
      <c r="B1026" s="5" t="inlineStr">
        <is>
          <t>post</t>
        </is>
      </c>
      <c r="C1026" s="5" t="inlineStr">
        <is>
          <t>COD_505</t>
        </is>
      </c>
      <c r="D1026" s="5" t="inlineStr">
        <is>
          <t>R</t>
        </is>
      </c>
      <c r="E1026" s="5" t="n">
        <v>2</v>
      </c>
      <c r="F1026" s="5" t="n">
        <v>2.62</v>
      </c>
      <c r="G1026" s="5" t="n"/>
      <c r="H1026" s="5" t="n"/>
      <c r="I1026" s="22">
        <f>INDEX(Personendaten!$C$2:$C$32,MATCH(A1026,Personendaten!$A$2:$A$32,0))</f>
        <v/>
      </c>
      <c r="J1026" s="22">
        <f>IF(AND(F1026&lt;&gt;"",G1026=""),1,0)</f>
        <v/>
      </c>
      <c r="K1026" s="22">
        <f>IF(LEFT(C1026,7)&lt;&gt;"Sprint_","",IF(COUNTIFS(Versuchsdaten!$A$2:$A$1117,$A1026,Versuchsdaten!$B$2:$B$1117,$B1026,Versuchsdaten!$C$2:$C$1117,"Sprint_5m",Versuchsdaten!$E$2:$E$1117,$E1026,Versuchsdaten!$J$2:$J$1117,1)=1,SUMIFS(Versuchsdaten!$F$2:$F$1117,Versuchsdaten!$A$2:$A$1117,$A1026,Versuchsdaten!$B$2:$B$1117,$B1026,Versuchsdaten!$C$2:$C$1117,"Sprint_5m",Versuchsdaten!$E$2:$E$1117,$E1026,Versuchsdaten!$J$2:$J$1117,1),""))</f>
        <v/>
      </c>
      <c r="L1026" s="22">
        <f>IF(LEFT(C1026,7)&lt;&gt;"Sprint_","",IF(COUNTIFS(Versuchsdaten!$A$2:$A$1117,$A1026,Versuchsdaten!$B$2:$B$1117,$B1026,Versuchsdaten!$C$2:$C$1117,"Sprint_10m",Versuchsdaten!$E$2:$E$1117,$E1026,Versuchsdaten!$J$2:$J$1117,1)=1,SUMIFS(Versuchsdaten!$F$2:$F$1117,Versuchsdaten!$A$2:$A$1117,$A1026,Versuchsdaten!$B$2:$B$1117,$B1026,Versuchsdaten!$C$2:$C$1117,"Sprint_10m",Versuchsdaten!$E$2:$E$1117,$E1026,Versuchsdaten!$J$2:$J$1117,1),""))</f>
        <v/>
      </c>
      <c r="M1026" s="22">
        <f>IF(LEFT(C1026,7)&lt;&gt;"Sprint_","",IF(COUNTIFS(Versuchsdaten!$A$2:$A$1117,$A1026,Versuchsdaten!$B$2:$B$1117,$B1026,Versuchsdaten!$C$2:$C$1117,"Sprint_30m",Versuchsdaten!$E$2:$E$1117,$E1026,Versuchsdaten!$J$2:$J$1117,1)=1,SUMIFS(Versuchsdaten!$F$2:$F$1117,Versuchsdaten!$A$2:$A$1117,$A1026,Versuchsdaten!$B$2:$B$1117,$B1026,Versuchsdaten!$C$2:$C$1117,"Sprint_30m",Versuchsdaten!$E$2:$E$1117,$E1026,Versuchsdaten!$J$2:$J$1117,1),""))</f>
        <v/>
      </c>
      <c r="N1026" s="22">
        <f>IF(LEFT(C1026,7)&lt;&gt;"Sprint_",0,IF(IF(ISNUMBER(K1026),IF(K1026&lt;=0,1,IF(5/K1026&gt;10,1,0)),0)+IF(ISNUMBER(L1026),IF(ISNUMBER(K1026),IF(L1026-K1026&lt;=0,1,IF(5/(L1026-K1026)&gt;10,1,0)),IF(L1026&lt;=0,1,IF(10/L1026&gt;10,1,0))),0)+IF(ISNUMBER(M1026),IF(ISNUMBER(L1026),IF(M1026-L1026&lt;=0,1,IF(20/(M1026-L1026)&gt;10,1,0)),IF(ISNUMBER(K1026),IF(M1026-K1026&lt;=0,1,IF(25/(M1026-K1026)&gt;10,1,0)),IF(M1026&lt;=0,1,IF(30/M1026&gt;10,1,0)))),0)&gt;0,1,0))</f>
        <v/>
      </c>
      <c r="O1026" s="22">
        <f>IF(AND(J1026=1,N1026=0),1,0)</f>
        <v/>
      </c>
      <c r="P1026" s="22">
        <f>INDEX(Personendaten!$J$2:$J$32,MATCH(A1026,Personendaten!$A$2:$A$32,0))</f>
        <v/>
      </c>
      <c r="Q1026" s="22">
        <f>IF(O1026=1,"",IF(AND(B1026="post",P1026="nicht angetreten"),"NANG",IF(N1026=1,"AUSL",IFERROR(VLOOKUP(H1026,Vokabular!$A$2:$B$8,2,FALSE),"UNBEKANNT"))))</f>
        <v/>
      </c>
    </row>
    <row r="1027">
      <c r="A1027" s="5" t="inlineStr">
        <is>
          <t>VS-08</t>
        </is>
      </c>
      <c r="B1027" s="5" t="inlineStr">
        <is>
          <t>post</t>
        </is>
      </c>
      <c r="C1027" s="5" t="inlineStr">
        <is>
          <t>COD_505</t>
        </is>
      </c>
      <c r="D1027" s="5" t="inlineStr">
        <is>
          <t>R</t>
        </is>
      </c>
      <c r="E1027" s="5" t="n">
        <v>3</v>
      </c>
      <c r="F1027" s="5" t="n"/>
      <c r="G1027" s="5" t="n"/>
      <c r="H1027" s="5" t="inlineStr">
        <is>
          <t>Nur 2 Versuche aus Zeitmangel</t>
        </is>
      </c>
      <c r="I1027" s="22">
        <f>INDEX(Personendaten!$C$2:$C$32,MATCH(A1027,Personendaten!$A$2:$A$32,0))</f>
        <v/>
      </c>
      <c r="J1027" s="22">
        <f>IF(AND(F1027&lt;&gt;"",G1027=""),1,0)</f>
        <v/>
      </c>
      <c r="K1027" s="22">
        <f>IF(LEFT(C1027,7)&lt;&gt;"Sprint_","",IF(COUNTIFS(Versuchsdaten!$A$2:$A$1117,$A1027,Versuchsdaten!$B$2:$B$1117,$B1027,Versuchsdaten!$C$2:$C$1117,"Sprint_5m",Versuchsdaten!$E$2:$E$1117,$E1027,Versuchsdaten!$J$2:$J$1117,1)=1,SUMIFS(Versuchsdaten!$F$2:$F$1117,Versuchsdaten!$A$2:$A$1117,$A1027,Versuchsdaten!$B$2:$B$1117,$B1027,Versuchsdaten!$C$2:$C$1117,"Sprint_5m",Versuchsdaten!$E$2:$E$1117,$E1027,Versuchsdaten!$J$2:$J$1117,1),""))</f>
        <v/>
      </c>
      <c r="L1027" s="22">
        <f>IF(LEFT(C1027,7)&lt;&gt;"Sprint_","",IF(COUNTIFS(Versuchsdaten!$A$2:$A$1117,$A1027,Versuchsdaten!$B$2:$B$1117,$B1027,Versuchsdaten!$C$2:$C$1117,"Sprint_10m",Versuchsdaten!$E$2:$E$1117,$E1027,Versuchsdaten!$J$2:$J$1117,1)=1,SUMIFS(Versuchsdaten!$F$2:$F$1117,Versuchsdaten!$A$2:$A$1117,$A1027,Versuchsdaten!$B$2:$B$1117,$B1027,Versuchsdaten!$C$2:$C$1117,"Sprint_10m",Versuchsdaten!$E$2:$E$1117,$E1027,Versuchsdaten!$J$2:$J$1117,1),""))</f>
        <v/>
      </c>
      <c r="M1027" s="22">
        <f>IF(LEFT(C1027,7)&lt;&gt;"Sprint_","",IF(COUNTIFS(Versuchsdaten!$A$2:$A$1117,$A1027,Versuchsdaten!$B$2:$B$1117,$B1027,Versuchsdaten!$C$2:$C$1117,"Sprint_30m",Versuchsdaten!$E$2:$E$1117,$E1027,Versuchsdaten!$J$2:$J$1117,1)=1,SUMIFS(Versuchsdaten!$F$2:$F$1117,Versuchsdaten!$A$2:$A$1117,$A1027,Versuchsdaten!$B$2:$B$1117,$B1027,Versuchsdaten!$C$2:$C$1117,"Sprint_30m",Versuchsdaten!$E$2:$E$1117,$E1027,Versuchsdaten!$J$2:$J$1117,1),""))</f>
        <v/>
      </c>
      <c r="N1027" s="22">
        <f>IF(LEFT(C1027,7)&lt;&gt;"Sprint_",0,IF(IF(ISNUMBER(K1027),IF(K1027&lt;=0,1,IF(5/K1027&gt;10,1,0)),0)+IF(ISNUMBER(L1027),IF(ISNUMBER(K1027),IF(L1027-K1027&lt;=0,1,IF(5/(L1027-K1027)&gt;10,1,0)),IF(L1027&lt;=0,1,IF(10/L1027&gt;10,1,0))),0)+IF(ISNUMBER(M1027),IF(ISNUMBER(L1027),IF(M1027-L1027&lt;=0,1,IF(20/(M1027-L1027)&gt;10,1,0)),IF(ISNUMBER(K1027),IF(M1027-K1027&lt;=0,1,IF(25/(M1027-K1027)&gt;10,1,0)),IF(M1027&lt;=0,1,IF(30/M1027&gt;10,1,0)))),0)&gt;0,1,0))</f>
        <v/>
      </c>
      <c r="O1027" s="22">
        <f>IF(AND(J1027=1,N1027=0),1,0)</f>
        <v/>
      </c>
      <c r="P1027" s="22">
        <f>INDEX(Personendaten!$J$2:$J$32,MATCH(A1027,Personendaten!$A$2:$A$32,0))</f>
        <v/>
      </c>
      <c r="Q1027" s="22">
        <f>IF(O1027=1,"",IF(AND(B1027="post",P1027="nicht angetreten"),"NANG",IF(N1027=1,"AUSL",IFERROR(VLOOKUP(H1027,Vokabular!$A$2:$B$8,2,FALSE),"UNBEKANNT"))))</f>
        <v/>
      </c>
    </row>
    <row r="1028">
      <c r="A1028" s="5" t="inlineStr">
        <is>
          <t>VS-10</t>
        </is>
      </c>
      <c r="B1028" s="5" t="inlineStr">
        <is>
          <t>post</t>
        </is>
      </c>
      <c r="C1028" s="5" t="inlineStr">
        <is>
          <t>Sprint_5m</t>
        </is>
      </c>
      <c r="D1028" s="5" t="inlineStr">
        <is>
          <t>–</t>
        </is>
      </c>
      <c r="E1028" s="5" t="n">
        <v>1</v>
      </c>
      <c r="F1028" s="5" t="n">
        <v>1.15</v>
      </c>
      <c r="G1028" s="5" t="n"/>
      <c r="H1028" s="5" t="n"/>
      <c r="I1028" s="22">
        <f>INDEX(Personendaten!$C$2:$C$32,MATCH(A1028,Personendaten!$A$2:$A$32,0))</f>
        <v/>
      </c>
      <c r="J1028" s="22">
        <f>IF(AND(F1028&lt;&gt;"",G1028=""),1,0)</f>
        <v/>
      </c>
      <c r="K1028" s="22">
        <f>IF(LEFT(C1028,7)&lt;&gt;"Sprint_","",IF(COUNTIFS(Versuchsdaten!$A$2:$A$1117,$A1028,Versuchsdaten!$B$2:$B$1117,$B1028,Versuchsdaten!$C$2:$C$1117,"Sprint_5m",Versuchsdaten!$E$2:$E$1117,$E1028,Versuchsdaten!$J$2:$J$1117,1)=1,SUMIFS(Versuchsdaten!$F$2:$F$1117,Versuchsdaten!$A$2:$A$1117,$A1028,Versuchsdaten!$B$2:$B$1117,$B1028,Versuchsdaten!$C$2:$C$1117,"Sprint_5m",Versuchsdaten!$E$2:$E$1117,$E1028,Versuchsdaten!$J$2:$J$1117,1),""))</f>
        <v/>
      </c>
      <c r="L1028" s="22">
        <f>IF(LEFT(C1028,7)&lt;&gt;"Sprint_","",IF(COUNTIFS(Versuchsdaten!$A$2:$A$1117,$A1028,Versuchsdaten!$B$2:$B$1117,$B1028,Versuchsdaten!$C$2:$C$1117,"Sprint_10m",Versuchsdaten!$E$2:$E$1117,$E1028,Versuchsdaten!$J$2:$J$1117,1)=1,SUMIFS(Versuchsdaten!$F$2:$F$1117,Versuchsdaten!$A$2:$A$1117,$A1028,Versuchsdaten!$B$2:$B$1117,$B1028,Versuchsdaten!$C$2:$C$1117,"Sprint_10m",Versuchsdaten!$E$2:$E$1117,$E1028,Versuchsdaten!$J$2:$J$1117,1),""))</f>
        <v/>
      </c>
      <c r="M1028" s="22">
        <f>IF(LEFT(C1028,7)&lt;&gt;"Sprint_","",IF(COUNTIFS(Versuchsdaten!$A$2:$A$1117,$A1028,Versuchsdaten!$B$2:$B$1117,$B1028,Versuchsdaten!$C$2:$C$1117,"Sprint_30m",Versuchsdaten!$E$2:$E$1117,$E1028,Versuchsdaten!$J$2:$J$1117,1)=1,SUMIFS(Versuchsdaten!$F$2:$F$1117,Versuchsdaten!$A$2:$A$1117,$A1028,Versuchsdaten!$B$2:$B$1117,$B1028,Versuchsdaten!$C$2:$C$1117,"Sprint_30m",Versuchsdaten!$E$2:$E$1117,$E1028,Versuchsdaten!$J$2:$J$1117,1),""))</f>
        <v/>
      </c>
      <c r="N1028" s="22">
        <f>IF(LEFT(C1028,7)&lt;&gt;"Sprint_",0,IF(IF(ISNUMBER(K1028),IF(K1028&lt;=0,1,IF(5/K1028&gt;10,1,0)),0)+IF(ISNUMBER(L1028),IF(ISNUMBER(K1028),IF(L1028-K1028&lt;=0,1,IF(5/(L1028-K1028)&gt;10,1,0)),IF(L1028&lt;=0,1,IF(10/L1028&gt;10,1,0))),0)+IF(ISNUMBER(M1028),IF(ISNUMBER(L1028),IF(M1028-L1028&lt;=0,1,IF(20/(M1028-L1028)&gt;10,1,0)),IF(ISNUMBER(K1028),IF(M1028-K1028&lt;=0,1,IF(25/(M1028-K1028)&gt;10,1,0)),IF(M1028&lt;=0,1,IF(30/M1028&gt;10,1,0)))),0)&gt;0,1,0))</f>
        <v/>
      </c>
      <c r="O1028" s="22">
        <f>IF(AND(J1028=1,N1028=0),1,0)</f>
        <v/>
      </c>
      <c r="P1028" s="22">
        <f>INDEX(Personendaten!$J$2:$J$32,MATCH(A1028,Personendaten!$A$2:$A$32,0))</f>
        <v/>
      </c>
      <c r="Q1028" s="22">
        <f>IF(O1028=1,"",IF(AND(B1028="post",P1028="nicht angetreten"),"NANG",IF(N1028=1,"AUSL",IFERROR(VLOOKUP(H1028,Vokabular!$A$2:$B$8,2,FALSE),"UNBEKANNT"))))</f>
        <v/>
      </c>
    </row>
    <row r="1029">
      <c r="A1029" s="5" t="inlineStr">
        <is>
          <t>VS-10</t>
        </is>
      </c>
      <c r="B1029" s="5" t="inlineStr">
        <is>
          <t>post</t>
        </is>
      </c>
      <c r="C1029" s="5" t="inlineStr">
        <is>
          <t>Sprint_5m</t>
        </is>
      </c>
      <c r="D1029" s="5" t="inlineStr">
        <is>
          <t>–</t>
        </is>
      </c>
      <c r="E1029" s="5" t="n">
        <v>2</v>
      </c>
      <c r="F1029" s="5" t="n">
        <v>1.17</v>
      </c>
      <c r="G1029" s="5" t="n"/>
      <c r="H1029" s="5" t="n"/>
      <c r="I1029" s="22">
        <f>INDEX(Personendaten!$C$2:$C$32,MATCH(A1029,Personendaten!$A$2:$A$32,0))</f>
        <v/>
      </c>
      <c r="J1029" s="22">
        <f>IF(AND(F1029&lt;&gt;"",G1029=""),1,0)</f>
        <v/>
      </c>
      <c r="K1029" s="22">
        <f>IF(LEFT(C1029,7)&lt;&gt;"Sprint_","",IF(COUNTIFS(Versuchsdaten!$A$2:$A$1117,$A1029,Versuchsdaten!$B$2:$B$1117,$B1029,Versuchsdaten!$C$2:$C$1117,"Sprint_5m",Versuchsdaten!$E$2:$E$1117,$E1029,Versuchsdaten!$J$2:$J$1117,1)=1,SUMIFS(Versuchsdaten!$F$2:$F$1117,Versuchsdaten!$A$2:$A$1117,$A1029,Versuchsdaten!$B$2:$B$1117,$B1029,Versuchsdaten!$C$2:$C$1117,"Sprint_5m",Versuchsdaten!$E$2:$E$1117,$E1029,Versuchsdaten!$J$2:$J$1117,1),""))</f>
        <v/>
      </c>
      <c r="L1029" s="22">
        <f>IF(LEFT(C1029,7)&lt;&gt;"Sprint_","",IF(COUNTIFS(Versuchsdaten!$A$2:$A$1117,$A1029,Versuchsdaten!$B$2:$B$1117,$B1029,Versuchsdaten!$C$2:$C$1117,"Sprint_10m",Versuchsdaten!$E$2:$E$1117,$E1029,Versuchsdaten!$J$2:$J$1117,1)=1,SUMIFS(Versuchsdaten!$F$2:$F$1117,Versuchsdaten!$A$2:$A$1117,$A1029,Versuchsdaten!$B$2:$B$1117,$B1029,Versuchsdaten!$C$2:$C$1117,"Sprint_10m",Versuchsdaten!$E$2:$E$1117,$E1029,Versuchsdaten!$J$2:$J$1117,1),""))</f>
        <v/>
      </c>
      <c r="M1029" s="22">
        <f>IF(LEFT(C1029,7)&lt;&gt;"Sprint_","",IF(COUNTIFS(Versuchsdaten!$A$2:$A$1117,$A1029,Versuchsdaten!$B$2:$B$1117,$B1029,Versuchsdaten!$C$2:$C$1117,"Sprint_30m",Versuchsdaten!$E$2:$E$1117,$E1029,Versuchsdaten!$J$2:$J$1117,1)=1,SUMIFS(Versuchsdaten!$F$2:$F$1117,Versuchsdaten!$A$2:$A$1117,$A1029,Versuchsdaten!$B$2:$B$1117,$B1029,Versuchsdaten!$C$2:$C$1117,"Sprint_30m",Versuchsdaten!$E$2:$E$1117,$E1029,Versuchsdaten!$J$2:$J$1117,1),""))</f>
        <v/>
      </c>
      <c r="N1029" s="22">
        <f>IF(LEFT(C1029,7)&lt;&gt;"Sprint_",0,IF(IF(ISNUMBER(K1029),IF(K1029&lt;=0,1,IF(5/K1029&gt;10,1,0)),0)+IF(ISNUMBER(L1029),IF(ISNUMBER(K1029),IF(L1029-K1029&lt;=0,1,IF(5/(L1029-K1029)&gt;10,1,0)),IF(L1029&lt;=0,1,IF(10/L1029&gt;10,1,0))),0)+IF(ISNUMBER(M1029),IF(ISNUMBER(L1029),IF(M1029-L1029&lt;=0,1,IF(20/(M1029-L1029)&gt;10,1,0)),IF(ISNUMBER(K1029),IF(M1029-K1029&lt;=0,1,IF(25/(M1029-K1029)&gt;10,1,0)),IF(M1029&lt;=0,1,IF(30/M1029&gt;10,1,0)))),0)&gt;0,1,0))</f>
        <v/>
      </c>
      <c r="O1029" s="22">
        <f>IF(AND(J1029=1,N1029=0),1,0)</f>
        <v/>
      </c>
      <c r="P1029" s="22">
        <f>INDEX(Personendaten!$J$2:$J$32,MATCH(A1029,Personendaten!$A$2:$A$32,0))</f>
        <v/>
      </c>
      <c r="Q1029" s="22">
        <f>IF(O1029=1,"",IF(AND(B1029="post",P1029="nicht angetreten"),"NANG",IF(N1029=1,"AUSL",IFERROR(VLOOKUP(H1029,Vokabular!$A$2:$B$8,2,FALSE),"UNBEKANNT"))))</f>
        <v/>
      </c>
    </row>
    <row r="1030">
      <c r="A1030" s="5" t="inlineStr">
        <is>
          <t>VS-10</t>
        </is>
      </c>
      <c r="B1030" s="5" t="inlineStr">
        <is>
          <t>post</t>
        </is>
      </c>
      <c r="C1030" s="5" t="inlineStr">
        <is>
          <t>Sprint_5m</t>
        </is>
      </c>
      <c r="D1030" s="5" t="inlineStr">
        <is>
          <t>–</t>
        </is>
      </c>
      <c r="E1030" s="5" t="n">
        <v>3</v>
      </c>
      <c r="F1030" s="5" t="n"/>
      <c r="G1030" s="5" t="n"/>
      <c r="H1030" s="5" t="inlineStr">
        <is>
          <t>Nur 2 Versuche aus Zeitmangel</t>
        </is>
      </c>
      <c r="I1030" s="22">
        <f>INDEX(Personendaten!$C$2:$C$32,MATCH(A1030,Personendaten!$A$2:$A$32,0))</f>
        <v/>
      </c>
      <c r="J1030" s="22">
        <f>IF(AND(F1030&lt;&gt;"",G1030=""),1,0)</f>
        <v/>
      </c>
      <c r="K1030" s="22">
        <f>IF(LEFT(C1030,7)&lt;&gt;"Sprint_","",IF(COUNTIFS(Versuchsdaten!$A$2:$A$1117,$A1030,Versuchsdaten!$B$2:$B$1117,$B1030,Versuchsdaten!$C$2:$C$1117,"Sprint_5m",Versuchsdaten!$E$2:$E$1117,$E1030,Versuchsdaten!$J$2:$J$1117,1)=1,SUMIFS(Versuchsdaten!$F$2:$F$1117,Versuchsdaten!$A$2:$A$1117,$A1030,Versuchsdaten!$B$2:$B$1117,$B1030,Versuchsdaten!$C$2:$C$1117,"Sprint_5m",Versuchsdaten!$E$2:$E$1117,$E1030,Versuchsdaten!$J$2:$J$1117,1),""))</f>
        <v/>
      </c>
      <c r="L1030" s="22">
        <f>IF(LEFT(C1030,7)&lt;&gt;"Sprint_","",IF(COUNTIFS(Versuchsdaten!$A$2:$A$1117,$A1030,Versuchsdaten!$B$2:$B$1117,$B1030,Versuchsdaten!$C$2:$C$1117,"Sprint_10m",Versuchsdaten!$E$2:$E$1117,$E1030,Versuchsdaten!$J$2:$J$1117,1)=1,SUMIFS(Versuchsdaten!$F$2:$F$1117,Versuchsdaten!$A$2:$A$1117,$A1030,Versuchsdaten!$B$2:$B$1117,$B1030,Versuchsdaten!$C$2:$C$1117,"Sprint_10m",Versuchsdaten!$E$2:$E$1117,$E1030,Versuchsdaten!$J$2:$J$1117,1),""))</f>
        <v/>
      </c>
      <c r="M1030" s="22">
        <f>IF(LEFT(C1030,7)&lt;&gt;"Sprint_","",IF(COUNTIFS(Versuchsdaten!$A$2:$A$1117,$A1030,Versuchsdaten!$B$2:$B$1117,$B1030,Versuchsdaten!$C$2:$C$1117,"Sprint_30m",Versuchsdaten!$E$2:$E$1117,$E1030,Versuchsdaten!$J$2:$J$1117,1)=1,SUMIFS(Versuchsdaten!$F$2:$F$1117,Versuchsdaten!$A$2:$A$1117,$A1030,Versuchsdaten!$B$2:$B$1117,$B1030,Versuchsdaten!$C$2:$C$1117,"Sprint_30m",Versuchsdaten!$E$2:$E$1117,$E1030,Versuchsdaten!$J$2:$J$1117,1),""))</f>
        <v/>
      </c>
      <c r="N1030" s="22">
        <f>IF(LEFT(C1030,7)&lt;&gt;"Sprint_",0,IF(IF(ISNUMBER(K1030),IF(K1030&lt;=0,1,IF(5/K1030&gt;10,1,0)),0)+IF(ISNUMBER(L1030),IF(ISNUMBER(K1030),IF(L1030-K1030&lt;=0,1,IF(5/(L1030-K1030)&gt;10,1,0)),IF(L1030&lt;=0,1,IF(10/L1030&gt;10,1,0))),0)+IF(ISNUMBER(M1030),IF(ISNUMBER(L1030),IF(M1030-L1030&lt;=0,1,IF(20/(M1030-L1030)&gt;10,1,0)),IF(ISNUMBER(K1030),IF(M1030-K1030&lt;=0,1,IF(25/(M1030-K1030)&gt;10,1,0)),IF(M1030&lt;=0,1,IF(30/M1030&gt;10,1,0)))),0)&gt;0,1,0))</f>
        <v/>
      </c>
      <c r="O1030" s="22">
        <f>IF(AND(J1030=1,N1030=0),1,0)</f>
        <v/>
      </c>
      <c r="P1030" s="22">
        <f>INDEX(Personendaten!$J$2:$J$32,MATCH(A1030,Personendaten!$A$2:$A$32,0))</f>
        <v/>
      </c>
      <c r="Q1030" s="22">
        <f>IF(O1030=1,"",IF(AND(B1030="post",P1030="nicht angetreten"),"NANG",IF(N1030=1,"AUSL",IFERROR(VLOOKUP(H1030,Vokabular!$A$2:$B$8,2,FALSE),"UNBEKANNT"))))</f>
        <v/>
      </c>
    </row>
    <row r="1031">
      <c r="A1031" s="5" t="inlineStr">
        <is>
          <t>VS-10</t>
        </is>
      </c>
      <c r="B1031" s="5" t="inlineStr">
        <is>
          <t>post</t>
        </is>
      </c>
      <c r="C1031" s="5" t="inlineStr">
        <is>
          <t>Sprint_10m</t>
        </is>
      </c>
      <c r="D1031" s="5" t="inlineStr">
        <is>
          <t>–</t>
        </is>
      </c>
      <c r="E1031" s="5" t="n">
        <v>1</v>
      </c>
      <c r="F1031" s="5" t="n">
        <v>1.94</v>
      </c>
      <c r="G1031" s="5" t="n"/>
      <c r="H1031" s="5" t="n"/>
      <c r="I1031" s="22">
        <f>INDEX(Personendaten!$C$2:$C$32,MATCH(A1031,Personendaten!$A$2:$A$32,0))</f>
        <v/>
      </c>
      <c r="J1031" s="22">
        <f>IF(AND(F1031&lt;&gt;"",G1031=""),1,0)</f>
        <v/>
      </c>
      <c r="K1031" s="22">
        <f>IF(LEFT(C1031,7)&lt;&gt;"Sprint_","",IF(COUNTIFS(Versuchsdaten!$A$2:$A$1117,$A1031,Versuchsdaten!$B$2:$B$1117,$B1031,Versuchsdaten!$C$2:$C$1117,"Sprint_5m",Versuchsdaten!$E$2:$E$1117,$E1031,Versuchsdaten!$J$2:$J$1117,1)=1,SUMIFS(Versuchsdaten!$F$2:$F$1117,Versuchsdaten!$A$2:$A$1117,$A1031,Versuchsdaten!$B$2:$B$1117,$B1031,Versuchsdaten!$C$2:$C$1117,"Sprint_5m",Versuchsdaten!$E$2:$E$1117,$E1031,Versuchsdaten!$J$2:$J$1117,1),""))</f>
        <v/>
      </c>
      <c r="L1031" s="22">
        <f>IF(LEFT(C1031,7)&lt;&gt;"Sprint_","",IF(COUNTIFS(Versuchsdaten!$A$2:$A$1117,$A1031,Versuchsdaten!$B$2:$B$1117,$B1031,Versuchsdaten!$C$2:$C$1117,"Sprint_10m",Versuchsdaten!$E$2:$E$1117,$E1031,Versuchsdaten!$J$2:$J$1117,1)=1,SUMIFS(Versuchsdaten!$F$2:$F$1117,Versuchsdaten!$A$2:$A$1117,$A1031,Versuchsdaten!$B$2:$B$1117,$B1031,Versuchsdaten!$C$2:$C$1117,"Sprint_10m",Versuchsdaten!$E$2:$E$1117,$E1031,Versuchsdaten!$J$2:$J$1117,1),""))</f>
        <v/>
      </c>
      <c r="M1031" s="22">
        <f>IF(LEFT(C1031,7)&lt;&gt;"Sprint_","",IF(COUNTIFS(Versuchsdaten!$A$2:$A$1117,$A1031,Versuchsdaten!$B$2:$B$1117,$B1031,Versuchsdaten!$C$2:$C$1117,"Sprint_30m",Versuchsdaten!$E$2:$E$1117,$E1031,Versuchsdaten!$J$2:$J$1117,1)=1,SUMIFS(Versuchsdaten!$F$2:$F$1117,Versuchsdaten!$A$2:$A$1117,$A1031,Versuchsdaten!$B$2:$B$1117,$B1031,Versuchsdaten!$C$2:$C$1117,"Sprint_30m",Versuchsdaten!$E$2:$E$1117,$E1031,Versuchsdaten!$J$2:$J$1117,1),""))</f>
        <v/>
      </c>
      <c r="N1031" s="22">
        <f>IF(LEFT(C1031,7)&lt;&gt;"Sprint_",0,IF(IF(ISNUMBER(K1031),IF(K1031&lt;=0,1,IF(5/K1031&gt;10,1,0)),0)+IF(ISNUMBER(L1031),IF(ISNUMBER(K1031),IF(L1031-K1031&lt;=0,1,IF(5/(L1031-K1031)&gt;10,1,0)),IF(L1031&lt;=0,1,IF(10/L1031&gt;10,1,0))),0)+IF(ISNUMBER(M1031),IF(ISNUMBER(L1031),IF(M1031-L1031&lt;=0,1,IF(20/(M1031-L1031)&gt;10,1,0)),IF(ISNUMBER(K1031),IF(M1031-K1031&lt;=0,1,IF(25/(M1031-K1031)&gt;10,1,0)),IF(M1031&lt;=0,1,IF(30/M1031&gt;10,1,0)))),0)&gt;0,1,0))</f>
        <v/>
      </c>
      <c r="O1031" s="22">
        <f>IF(AND(J1031=1,N1031=0),1,0)</f>
        <v/>
      </c>
      <c r="P1031" s="22">
        <f>INDEX(Personendaten!$J$2:$J$32,MATCH(A1031,Personendaten!$A$2:$A$32,0))</f>
        <v/>
      </c>
      <c r="Q1031" s="22">
        <f>IF(O1031=1,"",IF(AND(B1031="post",P1031="nicht angetreten"),"NANG",IF(N1031=1,"AUSL",IFERROR(VLOOKUP(H1031,Vokabular!$A$2:$B$8,2,FALSE),"UNBEKANNT"))))</f>
        <v/>
      </c>
    </row>
    <row r="1032">
      <c r="A1032" s="5" t="inlineStr">
        <is>
          <t>VS-10</t>
        </is>
      </c>
      <c r="B1032" s="5" t="inlineStr">
        <is>
          <t>post</t>
        </is>
      </c>
      <c r="C1032" s="5" t="inlineStr">
        <is>
          <t>Sprint_10m</t>
        </is>
      </c>
      <c r="D1032" s="5" t="inlineStr">
        <is>
          <t>–</t>
        </is>
      </c>
      <c r="E1032" s="5" t="n">
        <v>2</v>
      </c>
      <c r="F1032" s="5" t="n">
        <v>1.98</v>
      </c>
      <c r="G1032" s="5" t="n"/>
      <c r="H1032" s="5" t="n"/>
      <c r="I1032" s="22">
        <f>INDEX(Personendaten!$C$2:$C$32,MATCH(A1032,Personendaten!$A$2:$A$32,0))</f>
        <v/>
      </c>
      <c r="J1032" s="22">
        <f>IF(AND(F1032&lt;&gt;"",G1032=""),1,0)</f>
        <v/>
      </c>
      <c r="K1032" s="22">
        <f>IF(LEFT(C1032,7)&lt;&gt;"Sprint_","",IF(COUNTIFS(Versuchsdaten!$A$2:$A$1117,$A1032,Versuchsdaten!$B$2:$B$1117,$B1032,Versuchsdaten!$C$2:$C$1117,"Sprint_5m",Versuchsdaten!$E$2:$E$1117,$E1032,Versuchsdaten!$J$2:$J$1117,1)=1,SUMIFS(Versuchsdaten!$F$2:$F$1117,Versuchsdaten!$A$2:$A$1117,$A1032,Versuchsdaten!$B$2:$B$1117,$B1032,Versuchsdaten!$C$2:$C$1117,"Sprint_5m",Versuchsdaten!$E$2:$E$1117,$E1032,Versuchsdaten!$J$2:$J$1117,1),""))</f>
        <v/>
      </c>
      <c r="L1032" s="22">
        <f>IF(LEFT(C1032,7)&lt;&gt;"Sprint_","",IF(COUNTIFS(Versuchsdaten!$A$2:$A$1117,$A1032,Versuchsdaten!$B$2:$B$1117,$B1032,Versuchsdaten!$C$2:$C$1117,"Sprint_10m",Versuchsdaten!$E$2:$E$1117,$E1032,Versuchsdaten!$J$2:$J$1117,1)=1,SUMIFS(Versuchsdaten!$F$2:$F$1117,Versuchsdaten!$A$2:$A$1117,$A1032,Versuchsdaten!$B$2:$B$1117,$B1032,Versuchsdaten!$C$2:$C$1117,"Sprint_10m",Versuchsdaten!$E$2:$E$1117,$E1032,Versuchsdaten!$J$2:$J$1117,1),""))</f>
        <v/>
      </c>
      <c r="M1032" s="22">
        <f>IF(LEFT(C1032,7)&lt;&gt;"Sprint_","",IF(COUNTIFS(Versuchsdaten!$A$2:$A$1117,$A1032,Versuchsdaten!$B$2:$B$1117,$B1032,Versuchsdaten!$C$2:$C$1117,"Sprint_30m",Versuchsdaten!$E$2:$E$1117,$E1032,Versuchsdaten!$J$2:$J$1117,1)=1,SUMIFS(Versuchsdaten!$F$2:$F$1117,Versuchsdaten!$A$2:$A$1117,$A1032,Versuchsdaten!$B$2:$B$1117,$B1032,Versuchsdaten!$C$2:$C$1117,"Sprint_30m",Versuchsdaten!$E$2:$E$1117,$E1032,Versuchsdaten!$J$2:$J$1117,1),""))</f>
        <v/>
      </c>
      <c r="N1032" s="22">
        <f>IF(LEFT(C1032,7)&lt;&gt;"Sprint_",0,IF(IF(ISNUMBER(K1032),IF(K1032&lt;=0,1,IF(5/K1032&gt;10,1,0)),0)+IF(ISNUMBER(L1032),IF(ISNUMBER(K1032),IF(L1032-K1032&lt;=0,1,IF(5/(L1032-K1032)&gt;10,1,0)),IF(L1032&lt;=0,1,IF(10/L1032&gt;10,1,0))),0)+IF(ISNUMBER(M1032),IF(ISNUMBER(L1032),IF(M1032-L1032&lt;=0,1,IF(20/(M1032-L1032)&gt;10,1,0)),IF(ISNUMBER(K1032),IF(M1032-K1032&lt;=0,1,IF(25/(M1032-K1032)&gt;10,1,0)),IF(M1032&lt;=0,1,IF(30/M1032&gt;10,1,0)))),0)&gt;0,1,0))</f>
        <v/>
      </c>
      <c r="O1032" s="22">
        <f>IF(AND(J1032=1,N1032=0),1,0)</f>
        <v/>
      </c>
      <c r="P1032" s="22">
        <f>INDEX(Personendaten!$J$2:$J$32,MATCH(A1032,Personendaten!$A$2:$A$32,0))</f>
        <v/>
      </c>
      <c r="Q1032" s="22">
        <f>IF(O1032=1,"",IF(AND(B1032="post",P1032="nicht angetreten"),"NANG",IF(N1032=1,"AUSL",IFERROR(VLOOKUP(H1032,Vokabular!$A$2:$B$8,2,FALSE),"UNBEKANNT"))))</f>
        <v/>
      </c>
    </row>
    <row r="1033">
      <c r="A1033" s="5" t="inlineStr">
        <is>
          <t>VS-10</t>
        </is>
      </c>
      <c r="B1033" s="5" t="inlineStr">
        <is>
          <t>post</t>
        </is>
      </c>
      <c r="C1033" s="5" t="inlineStr">
        <is>
          <t>Sprint_10m</t>
        </is>
      </c>
      <c r="D1033" s="5" t="inlineStr">
        <is>
          <t>–</t>
        </is>
      </c>
      <c r="E1033" s="5" t="n">
        <v>3</v>
      </c>
      <c r="F1033" s="5" t="n"/>
      <c r="G1033" s="5" t="n"/>
      <c r="H1033" s="5" t="inlineStr">
        <is>
          <t>Nur 2 Versuche aus Zeitmangel</t>
        </is>
      </c>
      <c r="I1033" s="22">
        <f>INDEX(Personendaten!$C$2:$C$32,MATCH(A1033,Personendaten!$A$2:$A$32,0))</f>
        <v/>
      </c>
      <c r="J1033" s="22">
        <f>IF(AND(F1033&lt;&gt;"",G1033=""),1,0)</f>
        <v/>
      </c>
      <c r="K1033" s="22">
        <f>IF(LEFT(C1033,7)&lt;&gt;"Sprint_","",IF(COUNTIFS(Versuchsdaten!$A$2:$A$1117,$A1033,Versuchsdaten!$B$2:$B$1117,$B1033,Versuchsdaten!$C$2:$C$1117,"Sprint_5m",Versuchsdaten!$E$2:$E$1117,$E1033,Versuchsdaten!$J$2:$J$1117,1)=1,SUMIFS(Versuchsdaten!$F$2:$F$1117,Versuchsdaten!$A$2:$A$1117,$A1033,Versuchsdaten!$B$2:$B$1117,$B1033,Versuchsdaten!$C$2:$C$1117,"Sprint_5m",Versuchsdaten!$E$2:$E$1117,$E1033,Versuchsdaten!$J$2:$J$1117,1),""))</f>
        <v/>
      </c>
      <c r="L1033" s="22">
        <f>IF(LEFT(C1033,7)&lt;&gt;"Sprint_","",IF(COUNTIFS(Versuchsdaten!$A$2:$A$1117,$A1033,Versuchsdaten!$B$2:$B$1117,$B1033,Versuchsdaten!$C$2:$C$1117,"Sprint_10m",Versuchsdaten!$E$2:$E$1117,$E1033,Versuchsdaten!$J$2:$J$1117,1)=1,SUMIFS(Versuchsdaten!$F$2:$F$1117,Versuchsdaten!$A$2:$A$1117,$A1033,Versuchsdaten!$B$2:$B$1117,$B1033,Versuchsdaten!$C$2:$C$1117,"Sprint_10m",Versuchsdaten!$E$2:$E$1117,$E1033,Versuchsdaten!$J$2:$J$1117,1),""))</f>
        <v/>
      </c>
      <c r="M1033" s="22">
        <f>IF(LEFT(C1033,7)&lt;&gt;"Sprint_","",IF(COUNTIFS(Versuchsdaten!$A$2:$A$1117,$A1033,Versuchsdaten!$B$2:$B$1117,$B1033,Versuchsdaten!$C$2:$C$1117,"Sprint_30m",Versuchsdaten!$E$2:$E$1117,$E1033,Versuchsdaten!$J$2:$J$1117,1)=1,SUMIFS(Versuchsdaten!$F$2:$F$1117,Versuchsdaten!$A$2:$A$1117,$A1033,Versuchsdaten!$B$2:$B$1117,$B1033,Versuchsdaten!$C$2:$C$1117,"Sprint_30m",Versuchsdaten!$E$2:$E$1117,$E1033,Versuchsdaten!$J$2:$J$1117,1),""))</f>
        <v/>
      </c>
      <c r="N1033" s="22">
        <f>IF(LEFT(C1033,7)&lt;&gt;"Sprint_",0,IF(IF(ISNUMBER(K1033),IF(K1033&lt;=0,1,IF(5/K1033&gt;10,1,0)),0)+IF(ISNUMBER(L1033),IF(ISNUMBER(K1033),IF(L1033-K1033&lt;=0,1,IF(5/(L1033-K1033)&gt;10,1,0)),IF(L1033&lt;=0,1,IF(10/L1033&gt;10,1,0))),0)+IF(ISNUMBER(M1033),IF(ISNUMBER(L1033),IF(M1033-L1033&lt;=0,1,IF(20/(M1033-L1033)&gt;10,1,0)),IF(ISNUMBER(K1033),IF(M1033-K1033&lt;=0,1,IF(25/(M1033-K1033)&gt;10,1,0)),IF(M1033&lt;=0,1,IF(30/M1033&gt;10,1,0)))),0)&gt;0,1,0))</f>
        <v/>
      </c>
      <c r="O1033" s="22">
        <f>IF(AND(J1033=1,N1033=0),1,0)</f>
        <v/>
      </c>
      <c r="P1033" s="22">
        <f>INDEX(Personendaten!$J$2:$J$32,MATCH(A1033,Personendaten!$A$2:$A$32,0))</f>
        <v/>
      </c>
      <c r="Q1033" s="22">
        <f>IF(O1033=1,"",IF(AND(B1033="post",P1033="nicht angetreten"),"NANG",IF(N1033=1,"AUSL",IFERROR(VLOOKUP(H1033,Vokabular!$A$2:$B$8,2,FALSE),"UNBEKANNT"))))</f>
        <v/>
      </c>
    </row>
    <row r="1034">
      <c r="A1034" s="5" t="inlineStr">
        <is>
          <t>VS-10</t>
        </is>
      </c>
      <c r="B1034" s="5" t="inlineStr">
        <is>
          <t>post</t>
        </is>
      </c>
      <c r="C1034" s="5" t="inlineStr">
        <is>
          <t>Sprint_30m</t>
        </is>
      </c>
      <c r="D1034" s="5" t="inlineStr">
        <is>
          <t>–</t>
        </is>
      </c>
      <c r="E1034" s="5" t="n">
        <v>1</v>
      </c>
      <c r="F1034" s="5" t="n">
        <v>4.86</v>
      </c>
      <c r="G1034" s="5" t="n"/>
      <c r="H1034" s="5" t="n"/>
      <c r="I1034" s="22">
        <f>INDEX(Personendaten!$C$2:$C$32,MATCH(A1034,Personendaten!$A$2:$A$32,0))</f>
        <v/>
      </c>
      <c r="J1034" s="22">
        <f>IF(AND(F1034&lt;&gt;"",G1034=""),1,0)</f>
        <v/>
      </c>
      <c r="K1034" s="22">
        <f>IF(LEFT(C1034,7)&lt;&gt;"Sprint_","",IF(COUNTIFS(Versuchsdaten!$A$2:$A$1117,$A1034,Versuchsdaten!$B$2:$B$1117,$B1034,Versuchsdaten!$C$2:$C$1117,"Sprint_5m",Versuchsdaten!$E$2:$E$1117,$E1034,Versuchsdaten!$J$2:$J$1117,1)=1,SUMIFS(Versuchsdaten!$F$2:$F$1117,Versuchsdaten!$A$2:$A$1117,$A1034,Versuchsdaten!$B$2:$B$1117,$B1034,Versuchsdaten!$C$2:$C$1117,"Sprint_5m",Versuchsdaten!$E$2:$E$1117,$E1034,Versuchsdaten!$J$2:$J$1117,1),""))</f>
        <v/>
      </c>
      <c r="L1034" s="22">
        <f>IF(LEFT(C1034,7)&lt;&gt;"Sprint_","",IF(COUNTIFS(Versuchsdaten!$A$2:$A$1117,$A1034,Versuchsdaten!$B$2:$B$1117,$B1034,Versuchsdaten!$C$2:$C$1117,"Sprint_10m",Versuchsdaten!$E$2:$E$1117,$E1034,Versuchsdaten!$J$2:$J$1117,1)=1,SUMIFS(Versuchsdaten!$F$2:$F$1117,Versuchsdaten!$A$2:$A$1117,$A1034,Versuchsdaten!$B$2:$B$1117,$B1034,Versuchsdaten!$C$2:$C$1117,"Sprint_10m",Versuchsdaten!$E$2:$E$1117,$E1034,Versuchsdaten!$J$2:$J$1117,1),""))</f>
        <v/>
      </c>
      <c r="M1034" s="22">
        <f>IF(LEFT(C1034,7)&lt;&gt;"Sprint_","",IF(COUNTIFS(Versuchsdaten!$A$2:$A$1117,$A1034,Versuchsdaten!$B$2:$B$1117,$B1034,Versuchsdaten!$C$2:$C$1117,"Sprint_30m",Versuchsdaten!$E$2:$E$1117,$E1034,Versuchsdaten!$J$2:$J$1117,1)=1,SUMIFS(Versuchsdaten!$F$2:$F$1117,Versuchsdaten!$A$2:$A$1117,$A1034,Versuchsdaten!$B$2:$B$1117,$B1034,Versuchsdaten!$C$2:$C$1117,"Sprint_30m",Versuchsdaten!$E$2:$E$1117,$E1034,Versuchsdaten!$J$2:$J$1117,1),""))</f>
        <v/>
      </c>
      <c r="N1034" s="22">
        <f>IF(LEFT(C1034,7)&lt;&gt;"Sprint_",0,IF(IF(ISNUMBER(K1034),IF(K1034&lt;=0,1,IF(5/K1034&gt;10,1,0)),0)+IF(ISNUMBER(L1034),IF(ISNUMBER(K1034),IF(L1034-K1034&lt;=0,1,IF(5/(L1034-K1034)&gt;10,1,0)),IF(L1034&lt;=0,1,IF(10/L1034&gt;10,1,0))),0)+IF(ISNUMBER(M1034),IF(ISNUMBER(L1034),IF(M1034-L1034&lt;=0,1,IF(20/(M1034-L1034)&gt;10,1,0)),IF(ISNUMBER(K1034),IF(M1034-K1034&lt;=0,1,IF(25/(M1034-K1034)&gt;10,1,0)),IF(M1034&lt;=0,1,IF(30/M1034&gt;10,1,0)))),0)&gt;0,1,0))</f>
        <v/>
      </c>
      <c r="O1034" s="22">
        <f>IF(AND(J1034=1,N1034=0),1,0)</f>
        <v/>
      </c>
      <c r="P1034" s="22">
        <f>INDEX(Personendaten!$J$2:$J$32,MATCH(A1034,Personendaten!$A$2:$A$32,0))</f>
        <v/>
      </c>
      <c r="Q1034" s="22">
        <f>IF(O1034=1,"",IF(AND(B1034="post",P1034="nicht angetreten"),"NANG",IF(N1034=1,"AUSL",IFERROR(VLOOKUP(H1034,Vokabular!$A$2:$B$8,2,FALSE),"UNBEKANNT"))))</f>
        <v/>
      </c>
    </row>
    <row r="1035">
      <c r="A1035" s="5" t="inlineStr">
        <is>
          <t>VS-10</t>
        </is>
      </c>
      <c r="B1035" s="5" t="inlineStr">
        <is>
          <t>post</t>
        </is>
      </c>
      <c r="C1035" s="5" t="inlineStr">
        <is>
          <t>Sprint_30m</t>
        </is>
      </c>
      <c r="D1035" s="5" t="inlineStr">
        <is>
          <t>–</t>
        </is>
      </c>
      <c r="E1035" s="5" t="n">
        <v>2</v>
      </c>
      <c r="F1035" s="5" t="n">
        <v>4.9</v>
      </c>
      <c r="G1035" s="5" t="n"/>
      <c r="H1035" s="5" t="n"/>
      <c r="I1035" s="22">
        <f>INDEX(Personendaten!$C$2:$C$32,MATCH(A1035,Personendaten!$A$2:$A$32,0))</f>
        <v/>
      </c>
      <c r="J1035" s="22">
        <f>IF(AND(F1035&lt;&gt;"",G1035=""),1,0)</f>
        <v/>
      </c>
      <c r="K1035" s="22">
        <f>IF(LEFT(C1035,7)&lt;&gt;"Sprint_","",IF(COUNTIFS(Versuchsdaten!$A$2:$A$1117,$A1035,Versuchsdaten!$B$2:$B$1117,$B1035,Versuchsdaten!$C$2:$C$1117,"Sprint_5m",Versuchsdaten!$E$2:$E$1117,$E1035,Versuchsdaten!$J$2:$J$1117,1)=1,SUMIFS(Versuchsdaten!$F$2:$F$1117,Versuchsdaten!$A$2:$A$1117,$A1035,Versuchsdaten!$B$2:$B$1117,$B1035,Versuchsdaten!$C$2:$C$1117,"Sprint_5m",Versuchsdaten!$E$2:$E$1117,$E1035,Versuchsdaten!$J$2:$J$1117,1),""))</f>
        <v/>
      </c>
      <c r="L1035" s="22">
        <f>IF(LEFT(C1035,7)&lt;&gt;"Sprint_","",IF(COUNTIFS(Versuchsdaten!$A$2:$A$1117,$A1035,Versuchsdaten!$B$2:$B$1117,$B1035,Versuchsdaten!$C$2:$C$1117,"Sprint_10m",Versuchsdaten!$E$2:$E$1117,$E1035,Versuchsdaten!$J$2:$J$1117,1)=1,SUMIFS(Versuchsdaten!$F$2:$F$1117,Versuchsdaten!$A$2:$A$1117,$A1035,Versuchsdaten!$B$2:$B$1117,$B1035,Versuchsdaten!$C$2:$C$1117,"Sprint_10m",Versuchsdaten!$E$2:$E$1117,$E1035,Versuchsdaten!$J$2:$J$1117,1),""))</f>
        <v/>
      </c>
      <c r="M1035" s="22">
        <f>IF(LEFT(C1035,7)&lt;&gt;"Sprint_","",IF(COUNTIFS(Versuchsdaten!$A$2:$A$1117,$A1035,Versuchsdaten!$B$2:$B$1117,$B1035,Versuchsdaten!$C$2:$C$1117,"Sprint_30m",Versuchsdaten!$E$2:$E$1117,$E1035,Versuchsdaten!$J$2:$J$1117,1)=1,SUMIFS(Versuchsdaten!$F$2:$F$1117,Versuchsdaten!$A$2:$A$1117,$A1035,Versuchsdaten!$B$2:$B$1117,$B1035,Versuchsdaten!$C$2:$C$1117,"Sprint_30m",Versuchsdaten!$E$2:$E$1117,$E1035,Versuchsdaten!$J$2:$J$1117,1),""))</f>
        <v/>
      </c>
      <c r="N1035" s="22">
        <f>IF(LEFT(C1035,7)&lt;&gt;"Sprint_",0,IF(IF(ISNUMBER(K1035),IF(K1035&lt;=0,1,IF(5/K1035&gt;10,1,0)),0)+IF(ISNUMBER(L1035),IF(ISNUMBER(K1035),IF(L1035-K1035&lt;=0,1,IF(5/(L1035-K1035)&gt;10,1,0)),IF(L1035&lt;=0,1,IF(10/L1035&gt;10,1,0))),0)+IF(ISNUMBER(M1035),IF(ISNUMBER(L1035),IF(M1035-L1035&lt;=0,1,IF(20/(M1035-L1035)&gt;10,1,0)),IF(ISNUMBER(K1035),IF(M1035-K1035&lt;=0,1,IF(25/(M1035-K1035)&gt;10,1,0)),IF(M1035&lt;=0,1,IF(30/M1035&gt;10,1,0)))),0)&gt;0,1,0))</f>
        <v/>
      </c>
      <c r="O1035" s="22">
        <f>IF(AND(J1035=1,N1035=0),1,0)</f>
        <v/>
      </c>
      <c r="P1035" s="22">
        <f>INDEX(Personendaten!$J$2:$J$32,MATCH(A1035,Personendaten!$A$2:$A$32,0))</f>
        <v/>
      </c>
      <c r="Q1035" s="22">
        <f>IF(O1035=1,"",IF(AND(B1035="post",P1035="nicht angetreten"),"NANG",IF(N1035=1,"AUSL",IFERROR(VLOOKUP(H1035,Vokabular!$A$2:$B$8,2,FALSE),"UNBEKANNT"))))</f>
        <v/>
      </c>
    </row>
    <row r="1036">
      <c r="A1036" s="5" t="inlineStr">
        <is>
          <t>VS-10</t>
        </is>
      </c>
      <c r="B1036" s="5" t="inlineStr">
        <is>
          <t>post</t>
        </is>
      </c>
      <c r="C1036" s="5" t="inlineStr">
        <is>
          <t>Sprint_30m</t>
        </is>
      </c>
      <c r="D1036" s="5" t="inlineStr">
        <is>
          <t>–</t>
        </is>
      </c>
      <c r="E1036" s="5" t="n">
        <v>3</v>
      </c>
      <c r="F1036" s="5" t="n"/>
      <c r="G1036" s="5" t="n"/>
      <c r="H1036" s="5" t="inlineStr">
        <is>
          <t>Nur 2 Versuche aus Zeitmangel</t>
        </is>
      </c>
      <c r="I1036" s="22">
        <f>INDEX(Personendaten!$C$2:$C$32,MATCH(A1036,Personendaten!$A$2:$A$32,0))</f>
        <v/>
      </c>
      <c r="J1036" s="22">
        <f>IF(AND(F1036&lt;&gt;"",G1036=""),1,0)</f>
        <v/>
      </c>
      <c r="K1036" s="22">
        <f>IF(LEFT(C1036,7)&lt;&gt;"Sprint_","",IF(COUNTIFS(Versuchsdaten!$A$2:$A$1117,$A1036,Versuchsdaten!$B$2:$B$1117,$B1036,Versuchsdaten!$C$2:$C$1117,"Sprint_5m",Versuchsdaten!$E$2:$E$1117,$E1036,Versuchsdaten!$J$2:$J$1117,1)=1,SUMIFS(Versuchsdaten!$F$2:$F$1117,Versuchsdaten!$A$2:$A$1117,$A1036,Versuchsdaten!$B$2:$B$1117,$B1036,Versuchsdaten!$C$2:$C$1117,"Sprint_5m",Versuchsdaten!$E$2:$E$1117,$E1036,Versuchsdaten!$J$2:$J$1117,1),""))</f>
        <v/>
      </c>
      <c r="L1036" s="22">
        <f>IF(LEFT(C1036,7)&lt;&gt;"Sprint_","",IF(COUNTIFS(Versuchsdaten!$A$2:$A$1117,$A1036,Versuchsdaten!$B$2:$B$1117,$B1036,Versuchsdaten!$C$2:$C$1117,"Sprint_10m",Versuchsdaten!$E$2:$E$1117,$E1036,Versuchsdaten!$J$2:$J$1117,1)=1,SUMIFS(Versuchsdaten!$F$2:$F$1117,Versuchsdaten!$A$2:$A$1117,$A1036,Versuchsdaten!$B$2:$B$1117,$B1036,Versuchsdaten!$C$2:$C$1117,"Sprint_10m",Versuchsdaten!$E$2:$E$1117,$E1036,Versuchsdaten!$J$2:$J$1117,1),""))</f>
        <v/>
      </c>
      <c r="M1036" s="22">
        <f>IF(LEFT(C1036,7)&lt;&gt;"Sprint_","",IF(COUNTIFS(Versuchsdaten!$A$2:$A$1117,$A1036,Versuchsdaten!$B$2:$B$1117,$B1036,Versuchsdaten!$C$2:$C$1117,"Sprint_30m",Versuchsdaten!$E$2:$E$1117,$E1036,Versuchsdaten!$J$2:$J$1117,1)=1,SUMIFS(Versuchsdaten!$F$2:$F$1117,Versuchsdaten!$A$2:$A$1117,$A1036,Versuchsdaten!$B$2:$B$1117,$B1036,Versuchsdaten!$C$2:$C$1117,"Sprint_30m",Versuchsdaten!$E$2:$E$1117,$E1036,Versuchsdaten!$J$2:$J$1117,1),""))</f>
        <v/>
      </c>
      <c r="N1036" s="22">
        <f>IF(LEFT(C1036,7)&lt;&gt;"Sprint_",0,IF(IF(ISNUMBER(K1036),IF(K1036&lt;=0,1,IF(5/K1036&gt;10,1,0)),0)+IF(ISNUMBER(L1036),IF(ISNUMBER(K1036),IF(L1036-K1036&lt;=0,1,IF(5/(L1036-K1036)&gt;10,1,0)),IF(L1036&lt;=0,1,IF(10/L1036&gt;10,1,0))),0)+IF(ISNUMBER(M1036),IF(ISNUMBER(L1036),IF(M1036-L1036&lt;=0,1,IF(20/(M1036-L1036)&gt;10,1,0)),IF(ISNUMBER(K1036),IF(M1036-K1036&lt;=0,1,IF(25/(M1036-K1036)&gt;10,1,0)),IF(M1036&lt;=0,1,IF(30/M1036&gt;10,1,0)))),0)&gt;0,1,0))</f>
        <v/>
      </c>
      <c r="O1036" s="22">
        <f>IF(AND(J1036=1,N1036=0),1,0)</f>
        <v/>
      </c>
      <c r="P1036" s="22">
        <f>INDEX(Personendaten!$J$2:$J$32,MATCH(A1036,Personendaten!$A$2:$A$32,0))</f>
        <v/>
      </c>
      <c r="Q1036" s="22">
        <f>IF(O1036=1,"",IF(AND(B1036="post",P1036="nicht angetreten"),"NANG",IF(N1036=1,"AUSL",IFERROR(VLOOKUP(H1036,Vokabular!$A$2:$B$8,2,FALSE),"UNBEKANNT"))))</f>
        <v/>
      </c>
    </row>
    <row r="1037">
      <c r="A1037" s="5" t="inlineStr">
        <is>
          <t>VS-10</t>
        </is>
      </c>
      <c r="B1037" s="5" t="inlineStr">
        <is>
          <t>post</t>
        </is>
      </c>
      <c r="C1037" s="5" t="inlineStr">
        <is>
          <t>Standweitsprung</t>
        </is>
      </c>
      <c r="D1037" s="5" t="inlineStr">
        <is>
          <t>–</t>
        </is>
      </c>
      <c r="E1037" s="5" t="n">
        <v>1</v>
      </c>
      <c r="F1037" s="5" t="n">
        <v>220</v>
      </c>
      <c r="G1037" s="5" t="n"/>
      <c r="H1037" s="5" t="n"/>
      <c r="I1037" s="22">
        <f>INDEX(Personendaten!$C$2:$C$32,MATCH(A1037,Personendaten!$A$2:$A$32,0))</f>
        <v/>
      </c>
      <c r="J1037" s="22">
        <f>IF(AND(F1037&lt;&gt;"",G1037=""),1,0)</f>
        <v/>
      </c>
      <c r="K1037" s="22">
        <f>IF(LEFT(C1037,7)&lt;&gt;"Sprint_","",IF(COUNTIFS(Versuchsdaten!$A$2:$A$1117,$A1037,Versuchsdaten!$B$2:$B$1117,$B1037,Versuchsdaten!$C$2:$C$1117,"Sprint_5m",Versuchsdaten!$E$2:$E$1117,$E1037,Versuchsdaten!$J$2:$J$1117,1)=1,SUMIFS(Versuchsdaten!$F$2:$F$1117,Versuchsdaten!$A$2:$A$1117,$A1037,Versuchsdaten!$B$2:$B$1117,$B1037,Versuchsdaten!$C$2:$C$1117,"Sprint_5m",Versuchsdaten!$E$2:$E$1117,$E1037,Versuchsdaten!$J$2:$J$1117,1),""))</f>
        <v/>
      </c>
      <c r="L1037" s="22">
        <f>IF(LEFT(C1037,7)&lt;&gt;"Sprint_","",IF(COUNTIFS(Versuchsdaten!$A$2:$A$1117,$A1037,Versuchsdaten!$B$2:$B$1117,$B1037,Versuchsdaten!$C$2:$C$1117,"Sprint_10m",Versuchsdaten!$E$2:$E$1117,$E1037,Versuchsdaten!$J$2:$J$1117,1)=1,SUMIFS(Versuchsdaten!$F$2:$F$1117,Versuchsdaten!$A$2:$A$1117,$A1037,Versuchsdaten!$B$2:$B$1117,$B1037,Versuchsdaten!$C$2:$C$1117,"Sprint_10m",Versuchsdaten!$E$2:$E$1117,$E1037,Versuchsdaten!$J$2:$J$1117,1),""))</f>
        <v/>
      </c>
      <c r="M1037" s="22">
        <f>IF(LEFT(C1037,7)&lt;&gt;"Sprint_","",IF(COUNTIFS(Versuchsdaten!$A$2:$A$1117,$A1037,Versuchsdaten!$B$2:$B$1117,$B1037,Versuchsdaten!$C$2:$C$1117,"Sprint_30m",Versuchsdaten!$E$2:$E$1117,$E1037,Versuchsdaten!$J$2:$J$1117,1)=1,SUMIFS(Versuchsdaten!$F$2:$F$1117,Versuchsdaten!$A$2:$A$1117,$A1037,Versuchsdaten!$B$2:$B$1117,$B1037,Versuchsdaten!$C$2:$C$1117,"Sprint_30m",Versuchsdaten!$E$2:$E$1117,$E1037,Versuchsdaten!$J$2:$J$1117,1),""))</f>
        <v/>
      </c>
      <c r="N1037" s="22">
        <f>IF(LEFT(C1037,7)&lt;&gt;"Sprint_",0,IF(IF(ISNUMBER(K1037),IF(K1037&lt;=0,1,IF(5/K1037&gt;10,1,0)),0)+IF(ISNUMBER(L1037),IF(ISNUMBER(K1037),IF(L1037-K1037&lt;=0,1,IF(5/(L1037-K1037)&gt;10,1,0)),IF(L1037&lt;=0,1,IF(10/L1037&gt;10,1,0))),0)+IF(ISNUMBER(M1037),IF(ISNUMBER(L1037),IF(M1037-L1037&lt;=0,1,IF(20/(M1037-L1037)&gt;10,1,0)),IF(ISNUMBER(K1037),IF(M1037-K1037&lt;=0,1,IF(25/(M1037-K1037)&gt;10,1,0)),IF(M1037&lt;=0,1,IF(30/M1037&gt;10,1,0)))),0)&gt;0,1,0))</f>
        <v/>
      </c>
      <c r="O1037" s="22">
        <f>IF(AND(J1037=1,N1037=0),1,0)</f>
        <v/>
      </c>
      <c r="P1037" s="22">
        <f>INDEX(Personendaten!$J$2:$J$32,MATCH(A1037,Personendaten!$A$2:$A$32,0))</f>
        <v/>
      </c>
      <c r="Q1037" s="22">
        <f>IF(O1037=1,"",IF(AND(B1037="post",P1037="nicht angetreten"),"NANG",IF(N1037=1,"AUSL",IFERROR(VLOOKUP(H1037,Vokabular!$A$2:$B$8,2,FALSE),"UNBEKANNT"))))</f>
        <v/>
      </c>
    </row>
    <row r="1038">
      <c r="A1038" s="5" t="inlineStr">
        <is>
          <t>VS-10</t>
        </is>
      </c>
      <c r="B1038" s="5" t="inlineStr">
        <is>
          <t>post</t>
        </is>
      </c>
      <c r="C1038" s="5" t="inlineStr">
        <is>
          <t>Standweitsprung</t>
        </is>
      </c>
      <c r="D1038" s="5" t="inlineStr">
        <is>
          <t>–</t>
        </is>
      </c>
      <c r="E1038" s="5" t="n">
        <v>2</v>
      </c>
      <c r="F1038" s="5" t="n"/>
      <c r="G1038" s="5" t="inlineStr">
        <is>
          <t>x</t>
        </is>
      </c>
      <c r="H1038" s="5" t="inlineStr">
        <is>
          <t>Fehlversuch</t>
        </is>
      </c>
      <c r="I1038" s="22">
        <f>INDEX(Personendaten!$C$2:$C$32,MATCH(A1038,Personendaten!$A$2:$A$32,0))</f>
        <v/>
      </c>
      <c r="J1038" s="22">
        <f>IF(AND(F1038&lt;&gt;"",G1038=""),1,0)</f>
        <v/>
      </c>
      <c r="K1038" s="22">
        <f>IF(LEFT(C1038,7)&lt;&gt;"Sprint_","",IF(COUNTIFS(Versuchsdaten!$A$2:$A$1117,$A1038,Versuchsdaten!$B$2:$B$1117,$B1038,Versuchsdaten!$C$2:$C$1117,"Sprint_5m",Versuchsdaten!$E$2:$E$1117,$E1038,Versuchsdaten!$J$2:$J$1117,1)=1,SUMIFS(Versuchsdaten!$F$2:$F$1117,Versuchsdaten!$A$2:$A$1117,$A1038,Versuchsdaten!$B$2:$B$1117,$B1038,Versuchsdaten!$C$2:$C$1117,"Sprint_5m",Versuchsdaten!$E$2:$E$1117,$E1038,Versuchsdaten!$J$2:$J$1117,1),""))</f>
        <v/>
      </c>
      <c r="L1038" s="22">
        <f>IF(LEFT(C1038,7)&lt;&gt;"Sprint_","",IF(COUNTIFS(Versuchsdaten!$A$2:$A$1117,$A1038,Versuchsdaten!$B$2:$B$1117,$B1038,Versuchsdaten!$C$2:$C$1117,"Sprint_10m",Versuchsdaten!$E$2:$E$1117,$E1038,Versuchsdaten!$J$2:$J$1117,1)=1,SUMIFS(Versuchsdaten!$F$2:$F$1117,Versuchsdaten!$A$2:$A$1117,$A1038,Versuchsdaten!$B$2:$B$1117,$B1038,Versuchsdaten!$C$2:$C$1117,"Sprint_10m",Versuchsdaten!$E$2:$E$1117,$E1038,Versuchsdaten!$J$2:$J$1117,1),""))</f>
        <v/>
      </c>
      <c r="M1038" s="22">
        <f>IF(LEFT(C1038,7)&lt;&gt;"Sprint_","",IF(COUNTIFS(Versuchsdaten!$A$2:$A$1117,$A1038,Versuchsdaten!$B$2:$B$1117,$B1038,Versuchsdaten!$C$2:$C$1117,"Sprint_30m",Versuchsdaten!$E$2:$E$1117,$E1038,Versuchsdaten!$J$2:$J$1117,1)=1,SUMIFS(Versuchsdaten!$F$2:$F$1117,Versuchsdaten!$A$2:$A$1117,$A1038,Versuchsdaten!$B$2:$B$1117,$B1038,Versuchsdaten!$C$2:$C$1117,"Sprint_30m",Versuchsdaten!$E$2:$E$1117,$E1038,Versuchsdaten!$J$2:$J$1117,1),""))</f>
        <v/>
      </c>
      <c r="N1038" s="22">
        <f>IF(LEFT(C1038,7)&lt;&gt;"Sprint_",0,IF(IF(ISNUMBER(K1038),IF(K1038&lt;=0,1,IF(5/K1038&gt;10,1,0)),0)+IF(ISNUMBER(L1038),IF(ISNUMBER(K1038),IF(L1038-K1038&lt;=0,1,IF(5/(L1038-K1038)&gt;10,1,0)),IF(L1038&lt;=0,1,IF(10/L1038&gt;10,1,0))),0)+IF(ISNUMBER(M1038),IF(ISNUMBER(L1038),IF(M1038-L1038&lt;=0,1,IF(20/(M1038-L1038)&gt;10,1,0)),IF(ISNUMBER(K1038),IF(M1038-K1038&lt;=0,1,IF(25/(M1038-K1038)&gt;10,1,0)),IF(M1038&lt;=0,1,IF(30/M1038&gt;10,1,0)))),0)&gt;0,1,0))</f>
        <v/>
      </c>
      <c r="O1038" s="22">
        <f>IF(AND(J1038=1,N1038=0),1,0)</f>
        <v/>
      </c>
      <c r="P1038" s="22">
        <f>INDEX(Personendaten!$J$2:$J$32,MATCH(A1038,Personendaten!$A$2:$A$32,0))</f>
        <v/>
      </c>
      <c r="Q1038" s="22">
        <f>IF(O1038=1,"",IF(AND(B1038="post",P1038="nicht angetreten"),"NANG",IF(N1038=1,"AUSL",IFERROR(VLOOKUP(H1038,Vokabular!$A$2:$B$8,2,FALSE),"UNBEKANNT"))))</f>
        <v/>
      </c>
    </row>
    <row r="1039">
      <c r="A1039" s="5" t="inlineStr">
        <is>
          <t>VS-10</t>
        </is>
      </c>
      <c r="B1039" s="5" t="inlineStr">
        <is>
          <t>post</t>
        </is>
      </c>
      <c r="C1039" s="5" t="inlineStr">
        <is>
          <t>Standweitsprung</t>
        </is>
      </c>
      <c r="D1039" s="5" t="inlineStr">
        <is>
          <t>–</t>
        </is>
      </c>
      <c r="E1039" s="5" t="n">
        <v>3</v>
      </c>
      <c r="F1039" s="5" t="n"/>
      <c r="G1039" s="5" t="n"/>
      <c r="H1039" s="5" t="inlineStr">
        <is>
          <t>Nur 2 Versuche aus Zeitmangel</t>
        </is>
      </c>
      <c r="I1039" s="22">
        <f>INDEX(Personendaten!$C$2:$C$32,MATCH(A1039,Personendaten!$A$2:$A$32,0))</f>
        <v/>
      </c>
      <c r="J1039" s="22">
        <f>IF(AND(F1039&lt;&gt;"",G1039=""),1,0)</f>
        <v/>
      </c>
      <c r="K1039" s="22">
        <f>IF(LEFT(C1039,7)&lt;&gt;"Sprint_","",IF(COUNTIFS(Versuchsdaten!$A$2:$A$1117,$A1039,Versuchsdaten!$B$2:$B$1117,$B1039,Versuchsdaten!$C$2:$C$1117,"Sprint_5m",Versuchsdaten!$E$2:$E$1117,$E1039,Versuchsdaten!$J$2:$J$1117,1)=1,SUMIFS(Versuchsdaten!$F$2:$F$1117,Versuchsdaten!$A$2:$A$1117,$A1039,Versuchsdaten!$B$2:$B$1117,$B1039,Versuchsdaten!$C$2:$C$1117,"Sprint_5m",Versuchsdaten!$E$2:$E$1117,$E1039,Versuchsdaten!$J$2:$J$1117,1),""))</f>
        <v/>
      </c>
      <c r="L1039" s="22">
        <f>IF(LEFT(C1039,7)&lt;&gt;"Sprint_","",IF(COUNTIFS(Versuchsdaten!$A$2:$A$1117,$A1039,Versuchsdaten!$B$2:$B$1117,$B1039,Versuchsdaten!$C$2:$C$1117,"Sprint_10m",Versuchsdaten!$E$2:$E$1117,$E1039,Versuchsdaten!$J$2:$J$1117,1)=1,SUMIFS(Versuchsdaten!$F$2:$F$1117,Versuchsdaten!$A$2:$A$1117,$A1039,Versuchsdaten!$B$2:$B$1117,$B1039,Versuchsdaten!$C$2:$C$1117,"Sprint_10m",Versuchsdaten!$E$2:$E$1117,$E1039,Versuchsdaten!$J$2:$J$1117,1),""))</f>
        <v/>
      </c>
      <c r="M1039" s="22">
        <f>IF(LEFT(C1039,7)&lt;&gt;"Sprint_","",IF(COUNTIFS(Versuchsdaten!$A$2:$A$1117,$A1039,Versuchsdaten!$B$2:$B$1117,$B1039,Versuchsdaten!$C$2:$C$1117,"Sprint_30m",Versuchsdaten!$E$2:$E$1117,$E1039,Versuchsdaten!$J$2:$J$1117,1)=1,SUMIFS(Versuchsdaten!$F$2:$F$1117,Versuchsdaten!$A$2:$A$1117,$A1039,Versuchsdaten!$B$2:$B$1117,$B1039,Versuchsdaten!$C$2:$C$1117,"Sprint_30m",Versuchsdaten!$E$2:$E$1117,$E1039,Versuchsdaten!$J$2:$J$1117,1),""))</f>
        <v/>
      </c>
      <c r="N1039" s="22">
        <f>IF(LEFT(C1039,7)&lt;&gt;"Sprint_",0,IF(IF(ISNUMBER(K1039),IF(K1039&lt;=0,1,IF(5/K1039&gt;10,1,0)),0)+IF(ISNUMBER(L1039),IF(ISNUMBER(K1039),IF(L1039-K1039&lt;=0,1,IF(5/(L1039-K1039)&gt;10,1,0)),IF(L1039&lt;=0,1,IF(10/L1039&gt;10,1,0))),0)+IF(ISNUMBER(M1039),IF(ISNUMBER(L1039),IF(M1039-L1039&lt;=0,1,IF(20/(M1039-L1039)&gt;10,1,0)),IF(ISNUMBER(K1039),IF(M1039-K1039&lt;=0,1,IF(25/(M1039-K1039)&gt;10,1,0)),IF(M1039&lt;=0,1,IF(30/M1039&gt;10,1,0)))),0)&gt;0,1,0))</f>
        <v/>
      </c>
      <c r="O1039" s="22">
        <f>IF(AND(J1039=1,N1039=0),1,0)</f>
        <v/>
      </c>
      <c r="P1039" s="22">
        <f>INDEX(Personendaten!$J$2:$J$32,MATCH(A1039,Personendaten!$A$2:$A$32,0))</f>
        <v/>
      </c>
      <c r="Q1039" s="22">
        <f>IF(O1039=1,"",IF(AND(B1039="post",P1039="nicht angetreten"),"NANG",IF(N1039=1,"AUSL",IFERROR(VLOOKUP(H1039,Vokabular!$A$2:$B$8,2,FALSE),"UNBEKANNT"))))</f>
        <v/>
      </c>
    </row>
    <row r="1040">
      <c r="A1040" s="5" t="inlineStr">
        <is>
          <t>VS-10</t>
        </is>
      </c>
      <c r="B1040" s="5" t="inlineStr">
        <is>
          <t>post</t>
        </is>
      </c>
      <c r="C1040" s="5" t="inlineStr">
        <is>
          <t>COD_505</t>
        </is>
      </c>
      <c r="D1040" s="5" t="inlineStr">
        <is>
          <t>L</t>
        </is>
      </c>
      <c r="E1040" s="5" t="n">
        <v>1</v>
      </c>
      <c r="F1040" s="5" t="n">
        <v>2.45</v>
      </c>
      <c r="G1040" s="5" t="n"/>
      <c r="H1040" s="5" t="n"/>
      <c r="I1040" s="22">
        <f>INDEX(Personendaten!$C$2:$C$32,MATCH(A1040,Personendaten!$A$2:$A$32,0))</f>
        <v/>
      </c>
      <c r="J1040" s="22">
        <f>IF(AND(F1040&lt;&gt;"",G1040=""),1,0)</f>
        <v/>
      </c>
      <c r="K1040" s="22">
        <f>IF(LEFT(C1040,7)&lt;&gt;"Sprint_","",IF(COUNTIFS(Versuchsdaten!$A$2:$A$1117,$A1040,Versuchsdaten!$B$2:$B$1117,$B1040,Versuchsdaten!$C$2:$C$1117,"Sprint_5m",Versuchsdaten!$E$2:$E$1117,$E1040,Versuchsdaten!$J$2:$J$1117,1)=1,SUMIFS(Versuchsdaten!$F$2:$F$1117,Versuchsdaten!$A$2:$A$1117,$A1040,Versuchsdaten!$B$2:$B$1117,$B1040,Versuchsdaten!$C$2:$C$1117,"Sprint_5m",Versuchsdaten!$E$2:$E$1117,$E1040,Versuchsdaten!$J$2:$J$1117,1),""))</f>
        <v/>
      </c>
      <c r="L1040" s="22">
        <f>IF(LEFT(C1040,7)&lt;&gt;"Sprint_","",IF(COUNTIFS(Versuchsdaten!$A$2:$A$1117,$A1040,Versuchsdaten!$B$2:$B$1117,$B1040,Versuchsdaten!$C$2:$C$1117,"Sprint_10m",Versuchsdaten!$E$2:$E$1117,$E1040,Versuchsdaten!$J$2:$J$1117,1)=1,SUMIFS(Versuchsdaten!$F$2:$F$1117,Versuchsdaten!$A$2:$A$1117,$A1040,Versuchsdaten!$B$2:$B$1117,$B1040,Versuchsdaten!$C$2:$C$1117,"Sprint_10m",Versuchsdaten!$E$2:$E$1117,$E1040,Versuchsdaten!$J$2:$J$1117,1),""))</f>
        <v/>
      </c>
      <c r="M1040" s="22">
        <f>IF(LEFT(C1040,7)&lt;&gt;"Sprint_","",IF(COUNTIFS(Versuchsdaten!$A$2:$A$1117,$A1040,Versuchsdaten!$B$2:$B$1117,$B1040,Versuchsdaten!$C$2:$C$1117,"Sprint_30m",Versuchsdaten!$E$2:$E$1117,$E1040,Versuchsdaten!$J$2:$J$1117,1)=1,SUMIFS(Versuchsdaten!$F$2:$F$1117,Versuchsdaten!$A$2:$A$1117,$A1040,Versuchsdaten!$B$2:$B$1117,$B1040,Versuchsdaten!$C$2:$C$1117,"Sprint_30m",Versuchsdaten!$E$2:$E$1117,$E1040,Versuchsdaten!$J$2:$J$1117,1),""))</f>
        <v/>
      </c>
      <c r="N1040" s="22">
        <f>IF(LEFT(C1040,7)&lt;&gt;"Sprint_",0,IF(IF(ISNUMBER(K1040),IF(K1040&lt;=0,1,IF(5/K1040&gt;10,1,0)),0)+IF(ISNUMBER(L1040),IF(ISNUMBER(K1040),IF(L1040-K1040&lt;=0,1,IF(5/(L1040-K1040)&gt;10,1,0)),IF(L1040&lt;=0,1,IF(10/L1040&gt;10,1,0))),0)+IF(ISNUMBER(M1040),IF(ISNUMBER(L1040),IF(M1040-L1040&lt;=0,1,IF(20/(M1040-L1040)&gt;10,1,0)),IF(ISNUMBER(K1040),IF(M1040-K1040&lt;=0,1,IF(25/(M1040-K1040)&gt;10,1,0)),IF(M1040&lt;=0,1,IF(30/M1040&gt;10,1,0)))),0)&gt;0,1,0))</f>
        <v/>
      </c>
      <c r="O1040" s="22">
        <f>IF(AND(J1040=1,N1040=0),1,0)</f>
        <v/>
      </c>
      <c r="P1040" s="22">
        <f>INDEX(Personendaten!$J$2:$J$32,MATCH(A1040,Personendaten!$A$2:$A$32,0))</f>
        <v/>
      </c>
      <c r="Q1040" s="22">
        <f>IF(O1040=1,"",IF(AND(B1040="post",P1040="nicht angetreten"),"NANG",IF(N1040=1,"AUSL",IFERROR(VLOOKUP(H1040,Vokabular!$A$2:$B$8,2,FALSE),"UNBEKANNT"))))</f>
        <v/>
      </c>
    </row>
    <row r="1041">
      <c r="A1041" s="5" t="inlineStr">
        <is>
          <t>VS-10</t>
        </is>
      </c>
      <c r="B1041" s="5" t="inlineStr">
        <is>
          <t>post</t>
        </is>
      </c>
      <c r="C1041" s="5" t="inlineStr">
        <is>
          <t>COD_505</t>
        </is>
      </c>
      <c r="D1041" s="5" t="inlineStr">
        <is>
          <t>L</t>
        </is>
      </c>
      <c r="E1041" s="5" t="n">
        <v>2</v>
      </c>
      <c r="F1041" s="5" t="n">
        <v>2.54</v>
      </c>
      <c r="G1041" s="5" t="n"/>
      <c r="H1041" s="5" t="n"/>
      <c r="I1041" s="22">
        <f>INDEX(Personendaten!$C$2:$C$32,MATCH(A1041,Personendaten!$A$2:$A$32,0))</f>
        <v/>
      </c>
      <c r="J1041" s="22">
        <f>IF(AND(F1041&lt;&gt;"",G1041=""),1,0)</f>
        <v/>
      </c>
      <c r="K1041" s="22">
        <f>IF(LEFT(C1041,7)&lt;&gt;"Sprint_","",IF(COUNTIFS(Versuchsdaten!$A$2:$A$1117,$A1041,Versuchsdaten!$B$2:$B$1117,$B1041,Versuchsdaten!$C$2:$C$1117,"Sprint_5m",Versuchsdaten!$E$2:$E$1117,$E1041,Versuchsdaten!$J$2:$J$1117,1)=1,SUMIFS(Versuchsdaten!$F$2:$F$1117,Versuchsdaten!$A$2:$A$1117,$A1041,Versuchsdaten!$B$2:$B$1117,$B1041,Versuchsdaten!$C$2:$C$1117,"Sprint_5m",Versuchsdaten!$E$2:$E$1117,$E1041,Versuchsdaten!$J$2:$J$1117,1),""))</f>
        <v/>
      </c>
      <c r="L1041" s="22">
        <f>IF(LEFT(C1041,7)&lt;&gt;"Sprint_","",IF(COUNTIFS(Versuchsdaten!$A$2:$A$1117,$A1041,Versuchsdaten!$B$2:$B$1117,$B1041,Versuchsdaten!$C$2:$C$1117,"Sprint_10m",Versuchsdaten!$E$2:$E$1117,$E1041,Versuchsdaten!$J$2:$J$1117,1)=1,SUMIFS(Versuchsdaten!$F$2:$F$1117,Versuchsdaten!$A$2:$A$1117,$A1041,Versuchsdaten!$B$2:$B$1117,$B1041,Versuchsdaten!$C$2:$C$1117,"Sprint_10m",Versuchsdaten!$E$2:$E$1117,$E1041,Versuchsdaten!$J$2:$J$1117,1),""))</f>
        <v/>
      </c>
      <c r="M1041" s="22">
        <f>IF(LEFT(C1041,7)&lt;&gt;"Sprint_","",IF(COUNTIFS(Versuchsdaten!$A$2:$A$1117,$A1041,Versuchsdaten!$B$2:$B$1117,$B1041,Versuchsdaten!$C$2:$C$1117,"Sprint_30m",Versuchsdaten!$E$2:$E$1117,$E1041,Versuchsdaten!$J$2:$J$1117,1)=1,SUMIFS(Versuchsdaten!$F$2:$F$1117,Versuchsdaten!$A$2:$A$1117,$A1041,Versuchsdaten!$B$2:$B$1117,$B1041,Versuchsdaten!$C$2:$C$1117,"Sprint_30m",Versuchsdaten!$E$2:$E$1117,$E1041,Versuchsdaten!$J$2:$J$1117,1),""))</f>
        <v/>
      </c>
      <c r="N1041" s="22">
        <f>IF(LEFT(C1041,7)&lt;&gt;"Sprint_",0,IF(IF(ISNUMBER(K1041),IF(K1041&lt;=0,1,IF(5/K1041&gt;10,1,0)),0)+IF(ISNUMBER(L1041),IF(ISNUMBER(K1041),IF(L1041-K1041&lt;=0,1,IF(5/(L1041-K1041)&gt;10,1,0)),IF(L1041&lt;=0,1,IF(10/L1041&gt;10,1,0))),0)+IF(ISNUMBER(M1041),IF(ISNUMBER(L1041),IF(M1041-L1041&lt;=0,1,IF(20/(M1041-L1041)&gt;10,1,0)),IF(ISNUMBER(K1041),IF(M1041-K1041&lt;=0,1,IF(25/(M1041-K1041)&gt;10,1,0)),IF(M1041&lt;=0,1,IF(30/M1041&gt;10,1,0)))),0)&gt;0,1,0))</f>
        <v/>
      </c>
      <c r="O1041" s="22">
        <f>IF(AND(J1041=1,N1041=0),1,0)</f>
        <v/>
      </c>
      <c r="P1041" s="22">
        <f>INDEX(Personendaten!$J$2:$J$32,MATCH(A1041,Personendaten!$A$2:$A$32,0))</f>
        <v/>
      </c>
      <c r="Q1041" s="22">
        <f>IF(O1041=1,"",IF(AND(B1041="post",P1041="nicht angetreten"),"NANG",IF(N1041=1,"AUSL",IFERROR(VLOOKUP(H1041,Vokabular!$A$2:$B$8,2,FALSE),"UNBEKANNT"))))</f>
        <v/>
      </c>
    </row>
    <row r="1042">
      <c r="A1042" s="5" t="inlineStr">
        <is>
          <t>VS-10</t>
        </is>
      </c>
      <c r="B1042" s="5" t="inlineStr">
        <is>
          <t>post</t>
        </is>
      </c>
      <c r="C1042" s="5" t="inlineStr">
        <is>
          <t>COD_505</t>
        </is>
      </c>
      <c r="D1042" s="5" t="inlineStr">
        <is>
          <t>L</t>
        </is>
      </c>
      <c r="E1042" s="5" t="n">
        <v>3</v>
      </c>
      <c r="F1042" s="5" t="n"/>
      <c r="G1042" s="5" t="n"/>
      <c r="H1042" s="5" t="inlineStr">
        <is>
          <t>Nur 2 Versuche aus Zeitmangel</t>
        </is>
      </c>
      <c r="I1042" s="22">
        <f>INDEX(Personendaten!$C$2:$C$32,MATCH(A1042,Personendaten!$A$2:$A$32,0))</f>
        <v/>
      </c>
      <c r="J1042" s="22">
        <f>IF(AND(F1042&lt;&gt;"",G1042=""),1,0)</f>
        <v/>
      </c>
      <c r="K1042" s="22">
        <f>IF(LEFT(C1042,7)&lt;&gt;"Sprint_","",IF(COUNTIFS(Versuchsdaten!$A$2:$A$1117,$A1042,Versuchsdaten!$B$2:$B$1117,$B1042,Versuchsdaten!$C$2:$C$1117,"Sprint_5m",Versuchsdaten!$E$2:$E$1117,$E1042,Versuchsdaten!$J$2:$J$1117,1)=1,SUMIFS(Versuchsdaten!$F$2:$F$1117,Versuchsdaten!$A$2:$A$1117,$A1042,Versuchsdaten!$B$2:$B$1117,$B1042,Versuchsdaten!$C$2:$C$1117,"Sprint_5m",Versuchsdaten!$E$2:$E$1117,$E1042,Versuchsdaten!$J$2:$J$1117,1),""))</f>
        <v/>
      </c>
      <c r="L1042" s="22">
        <f>IF(LEFT(C1042,7)&lt;&gt;"Sprint_","",IF(COUNTIFS(Versuchsdaten!$A$2:$A$1117,$A1042,Versuchsdaten!$B$2:$B$1117,$B1042,Versuchsdaten!$C$2:$C$1117,"Sprint_10m",Versuchsdaten!$E$2:$E$1117,$E1042,Versuchsdaten!$J$2:$J$1117,1)=1,SUMIFS(Versuchsdaten!$F$2:$F$1117,Versuchsdaten!$A$2:$A$1117,$A1042,Versuchsdaten!$B$2:$B$1117,$B1042,Versuchsdaten!$C$2:$C$1117,"Sprint_10m",Versuchsdaten!$E$2:$E$1117,$E1042,Versuchsdaten!$J$2:$J$1117,1),""))</f>
        <v/>
      </c>
      <c r="M1042" s="22">
        <f>IF(LEFT(C1042,7)&lt;&gt;"Sprint_","",IF(COUNTIFS(Versuchsdaten!$A$2:$A$1117,$A1042,Versuchsdaten!$B$2:$B$1117,$B1042,Versuchsdaten!$C$2:$C$1117,"Sprint_30m",Versuchsdaten!$E$2:$E$1117,$E1042,Versuchsdaten!$J$2:$J$1117,1)=1,SUMIFS(Versuchsdaten!$F$2:$F$1117,Versuchsdaten!$A$2:$A$1117,$A1042,Versuchsdaten!$B$2:$B$1117,$B1042,Versuchsdaten!$C$2:$C$1117,"Sprint_30m",Versuchsdaten!$E$2:$E$1117,$E1042,Versuchsdaten!$J$2:$J$1117,1),""))</f>
        <v/>
      </c>
      <c r="N1042" s="22">
        <f>IF(LEFT(C1042,7)&lt;&gt;"Sprint_",0,IF(IF(ISNUMBER(K1042),IF(K1042&lt;=0,1,IF(5/K1042&gt;10,1,0)),0)+IF(ISNUMBER(L1042),IF(ISNUMBER(K1042),IF(L1042-K1042&lt;=0,1,IF(5/(L1042-K1042)&gt;10,1,0)),IF(L1042&lt;=0,1,IF(10/L1042&gt;10,1,0))),0)+IF(ISNUMBER(M1042),IF(ISNUMBER(L1042),IF(M1042-L1042&lt;=0,1,IF(20/(M1042-L1042)&gt;10,1,0)),IF(ISNUMBER(K1042),IF(M1042-K1042&lt;=0,1,IF(25/(M1042-K1042)&gt;10,1,0)),IF(M1042&lt;=0,1,IF(30/M1042&gt;10,1,0)))),0)&gt;0,1,0))</f>
        <v/>
      </c>
      <c r="O1042" s="22">
        <f>IF(AND(J1042=1,N1042=0),1,0)</f>
        <v/>
      </c>
      <c r="P1042" s="22">
        <f>INDEX(Personendaten!$J$2:$J$32,MATCH(A1042,Personendaten!$A$2:$A$32,0))</f>
        <v/>
      </c>
      <c r="Q1042" s="22">
        <f>IF(O1042=1,"",IF(AND(B1042="post",P1042="nicht angetreten"),"NANG",IF(N1042=1,"AUSL",IFERROR(VLOOKUP(H1042,Vokabular!$A$2:$B$8,2,FALSE),"UNBEKANNT"))))</f>
        <v/>
      </c>
    </row>
    <row r="1043">
      <c r="A1043" s="5" t="inlineStr">
        <is>
          <t>VS-10</t>
        </is>
      </c>
      <c r="B1043" s="5" t="inlineStr">
        <is>
          <t>post</t>
        </is>
      </c>
      <c r="C1043" s="5" t="inlineStr">
        <is>
          <t>COD_505</t>
        </is>
      </c>
      <c r="D1043" s="5" t="inlineStr">
        <is>
          <t>R</t>
        </is>
      </c>
      <c r="E1043" s="5" t="n">
        <v>1</v>
      </c>
      <c r="F1043" s="5" t="n"/>
      <c r="G1043" s="5" t="inlineStr">
        <is>
          <t>x</t>
        </is>
      </c>
      <c r="H1043" s="5" t="inlineStr">
        <is>
          <t>Fehlversuch</t>
        </is>
      </c>
      <c r="I1043" s="22">
        <f>INDEX(Personendaten!$C$2:$C$32,MATCH(A1043,Personendaten!$A$2:$A$32,0))</f>
        <v/>
      </c>
      <c r="J1043" s="22">
        <f>IF(AND(F1043&lt;&gt;"",G1043=""),1,0)</f>
        <v/>
      </c>
      <c r="K1043" s="22">
        <f>IF(LEFT(C1043,7)&lt;&gt;"Sprint_","",IF(COUNTIFS(Versuchsdaten!$A$2:$A$1117,$A1043,Versuchsdaten!$B$2:$B$1117,$B1043,Versuchsdaten!$C$2:$C$1117,"Sprint_5m",Versuchsdaten!$E$2:$E$1117,$E1043,Versuchsdaten!$J$2:$J$1117,1)=1,SUMIFS(Versuchsdaten!$F$2:$F$1117,Versuchsdaten!$A$2:$A$1117,$A1043,Versuchsdaten!$B$2:$B$1117,$B1043,Versuchsdaten!$C$2:$C$1117,"Sprint_5m",Versuchsdaten!$E$2:$E$1117,$E1043,Versuchsdaten!$J$2:$J$1117,1),""))</f>
        <v/>
      </c>
      <c r="L1043" s="22">
        <f>IF(LEFT(C1043,7)&lt;&gt;"Sprint_","",IF(COUNTIFS(Versuchsdaten!$A$2:$A$1117,$A1043,Versuchsdaten!$B$2:$B$1117,$B1043,Versuchsdaten!$C$2:$C$1117,"Sprint_10m",Versuchsdaten!$E$2:$E$1117,$E1043,Versuchsdaten!$J$2:$J$1117,1)=1,SUMIFS(Versuchsdaten!$F$2:$F$1117,Versuchsdaten!$A$2:$A$1117,$A1043,Versuchsdaten!$B$2:$B$1117,$B1043,Versuchsdaten!$C$2:$C$1117,"Sprint_10m",Versuchsdaten!$E$2:$E$1117,$E1043,Versuchsdaten!$J$2:$J$1117,1),""))</f>
        <v/>
      </c>
      <c r="M1043" s="22">
        <f>IF(LEFT(C1043,7)&lt;&gt;"Sprint_","",IF(COUNTIFS(Versuchsdaten!$A$2:$A$1117,$A1043,Versuchsdaten!$B$2:$B$1117,$B1043,Versuchsdaten!$C$2:$C$1117,"Sprint_30m",Versuchsdaten!$E$2:$E$1117,$E1043,Versuchsdaten!$J$2:$J$1117,1)=1,SUMIFS(Versuchsdaten!$F$2:$F$1117,Versuchsdaten!$A$2:$A$1117,$A1043,Versuchsdaten!$B$2:$B$1117,$B1043,Versuchsdaten!$C$2:$C$1117,"Sprint_30m",Versuchsdaten!$E$2:$E$1117,$E1043,Versuchsdaten!$J$2:$J$1117,1),""))</f>
        <v/>
      </c>
      <c r="N1043" s="22">
        <f>IF(LEFT(C1043,7)&lt;&gt;"Sprint_",0,IF(IF(ISNUMBER(K1043),IF(K1043&lt;=0,1,IF(5/K1043&gt;10,1,0)),0)+IF(ISNUMBER(L1043),IF(ISNUMBER(K1043),IF(L1043-K1043&lt;=0,1,IF(5/(L1043-K1043)&gt;10,1,0)),IF(L1043&lt;=0,1,IF(10/L1043&gt;10,1,0))),0)+IF(ISNUMBER(M1043),IF(ISNUMBER(L1043),IF(M1043-L1043&lt;=0,1,IF(20/(M1043-L1043)&gt;10,1,0)),IF(ISNUMBER(K1043),IF(M1043-K1043&lt;=0,1,IF(25/(M1043-K1043)&gt;10,1,0)),IF(M1043&lt;=0,1,IF(30/M1043&gt;10,1,0)))),0)&gt;0,1,0))</f>
        <v/>
      </c>
      <c r="O1043" s="22">
        <f>IF(AND(J1043=1,N1043=0),1,0)</f>
        <v/>
      </c>
      <c r="P1043" s="22">
        <f>INDEX(Personendaten!$J$2:$J$32,MATCH(A1043,Personendaten!$A$2:$A$32,0))</f>
        <v/>
      </c>
      <c r="Q1043" s="22">
        <f>IF(O1043=1,"",IF(AND(B1043="post",P1043="nicht angetreten"),"NANG",IF(N1043=1,"AUSL",IFERROR(VLOOKUP(H1043,Vokabular!$A$2:$B$8,2,FALSE),"UNBEKANNT"))))</f>
        <v/>
      </c>
    </row>
    <row r="1044">
      <c r="A1044" s="5" t="inlineStr">
        <is>
          <t>VS-10</t>
        </is>
      </c>
      <c r="B1044" s="5" t="inlineStr">
        <is>
          <t>post</t>
        </is>
      </c>
      <c r="C1044" s="5" t="inlineStr">
        <is>
          <t>COD_505</t>
        </is>
      </c>
      <c r="D1044" s="5" t="inlineStr">
        <is>
          <t>R</t>
        </is>
      </c>
      <c r="E1044" s="5" t="n">
        <v>2</v>
      </c>
      <c r="F1044" s="5" t="n">
        <v>2.37</v>
      </c>
      <c r="G1044" s="5" t="n"/>
      <c r="H1044" s="5" t="n"/>
      <c r="I1044" s="22">
        <f>INDEX(Personendaten!$C$2:$C$32,MATCH(A1044,Personendaten!$A$2:$A$32,0))</f>
        <v/>
      </c>
      <c r="J1044" s="22">
        <f>IF(AND(F1044&lt;&gt;"",G1044=""),1,0)</f>
        <v/>
      </c>
      <c r="K1044" s="22">
        <f>IF(LEFT(C1044,7)&lt;&gt;"Sprint_","",IF(COUNTIFS(Versuchsdaten!$A$2:$A$1117,$A1044,Versuchsdaten!$B$2:$B$1117,$B1044,Versuchsdaten!$C$2:$C$1117,"Sprint_5m",Versuchsdaten!$E$2:$E$1117,$E1044,Versuchsdaten!$J$2:$J$1117,1)=1,SUMIFS(Versuchsdaten!$F$2:$F$1117,Versuchsdaten!$A$2:$A$1117,$A1044,Versuchsdaten!$B$2:$B$1117,$B1044,Versuchsdaten!$C$2:$C$1117,"Sprint_5m",Versuchsdaten!$E$2:$E$1117,$E1044,Versuchsdaten!$J$2:$J$1117,1),""))</f>
        <v/>
      </c>
      <c r="L1044" s="22">
        <f>IF(LEFT(C1044,7)&lt;&gt;"Sprint_","",IF(COUNTIFS(Versuchsdaten!$A$2:$A$1117,$A1044,Versuchsdaten!$B$2:$B$1117,$B1044,Versuchsdaten!$C$2:$C$1117,"Sprint_10m",Versuchsdaten!$E$2:$E$1117,$E1044,Versuchsdaten!$J$2:$J$1117,1)=1,SUMIFS(Versuchsdaten!$F$2:$F$1117,Versuchsdaten!$A$2:$A$1117,$A1044,Versuchsdaten!$B$2:$B$1117,$B1044,Versuchsdaten!$C$2:$C$1117,"Sprint_10m",Versuchsdaten!$E$2:$E$1117,$E1044,Versuchsdaten!$J$2:$J$1117,1),""))</f>
        <v/>
      </c>
      <c r="M1044" s="22">
        <f>IF(LEFT(C1044,7)&lt;&gt;"Sprint_","",IF(COUNTIFS(Versuchsdaten!$A$2:$A$1117,$A1044,Versuchsdaten!$B$2:$B$1117,$B1044,Versuchsdaten!$C$2:$C$1117,"Sprint_30m",Versuchsdaten!$E$2:$E$1117,$E1044,Versuchsdaten!$J$2:$J$1117,1)=1,SUMIFS(Versuchsdaten!$F$2:$F$1117,Versuchsdaten!$A$2:$A$1117,$A1044,Versuchsdaten!$B$2:$B$1117,$B1044,Versuchsdaten!$C$2:$C$1117,"Sprint_30m",Versuchsdaten!$E$2:$E$1117,$E1044,Versuchsdaten!$J$2:$J$1117,1),""))</f>
        <v/>
      </c>
      <c r="N1044" s="22">
        <f>IF(LEFT(C1044,7)&lt;&gt;"Sprint_",0,IF(IF(ISNUMBER(K1044),IF(K1044&lt;=0,1,IF(5/K1044&gt;10,1,0)),0)+IF(ISNUMBER(L1044),IF(ISNUMBER(K1044),IF(L1044-K1044&lt;=0,1,IF(5/(L1044-K1044)&gt;10,1,0)),IF(L1044&lt;=0,1,IF(10/L1044&gt;10,1,0))),0)+IF(ISNUMBER(M1044),IF(ISNUMBER(L1044),IF(M1044-L1044&lt;=0,1,IF(20/(M1044-L1044)&gt;10,1,0)),IF(ISNUMBER(K1044),IF(M1044-K1044&lt;=0,1,IF(25/(M1044-K1044)&gt;10,1,0)),IF(M1044&lt;=0,1,IF(30/M1044&gt;10,1,0)))),0)&gt;0,1,0))</f>
        <v/>
      </c>
      <c r="O1044" s="22">
        <f>IF(AND(J1044=1,N1044=0),1,0)</f>
        <v/>
      </c>
      <c r="P1044" s="22">
        <f>INDEX(Personendaten!$J$2:$J$32,MATCH(A1044,Personendaten!$A$2:$A$32,0))</f>
        <v/>
      </c>
      <c r="Q1044" s="22">
        <f>IF(O1044=1,"",IF(AND(B1044="post",P1044="nicht angetreten"),"NANG",IF(N1044=1,"AUSL",IFERROR(VLOOKUP(H1044,Vokabular!$A$2:$B$8,2,FALSE),"UNBEKANNT"))))</f>
        <v/>
      </c>
    </row>
    <row r="1045">
      <c r="A1045" s="5" t="inlineStr">
        <is>
          <t>VS-10</t>
        </is>
      </c>
      <c r="B1045" s="5" t="inlineStr">
        <is>
          <t>post</t>
        </is>
      </c>
      <c r="C1045" s="5" t="inlineStr">
        <is>
          <t>COD_505</t>
        </is>
      </c>
      <c r="D1045" s="5" t="inlineStr">
        <is>
          <t>R</t>
        </is>
      </c>
      <c r="E1045" s="5" t="n">
        <v>3</v>
      </c>
      <c r="F1045" s="5" t="n"/>
      <c r="G1045" s="5" t="n"/>
      <c r="H1045" s="5" t="inlineStr">
        <is>
          <t>Nur 2 Versuche aus Zeitmangel</t>
        </is>
      </c>
      <c r="I1045" s="22">
        <f>INDEX(Personendaten!$C$2:$C$32,MATCH(A1045,Personendaten!$A$2:$A$32,0))</f>
        <v/>
      </c>
      <c r="J1045" s="22">
        <f>IF(AND(F1045&lt;&gt;"",G1045=""),1,0)</f>
        <v/>
      </c>
      <c r="K1045" s="22">
        <f>IF(LEFT(C1045,7)&lt;&gt;"Sprint_","",IF(COUNTIFS(Versuchsdaten!$A$2:$A$1117,$A1045,Versuchsdaten!$B$2:$B$1117,$B1045,Versuchsdaten!$C$2:$C$1117,"Sprint_5m",Versuchsdaten!$E$2:$E$1117,$E1045,Versuchsdaten!$J$2:$J$1117,1)=1,SUMIFS(Versuchsdaten!$F$2:$F$1117,Versuchsdaten!$A$2:$A$1117,$A1045,Versuchsdaten!$B$2:$B$1117,$B1045,Versuchsdaten!$C$2:$C$1117,"Sprint_5m",Versuchsdaten!$E$2:$E$1117,$E1045,Versuchsdaten!$J$2:$J$1117,1),""))</f>
        <v/>
      </c>
      <c r="L1045" s="22">
        <f>IF(LEFT(C1045,7)&lt;&gt;"Sprint_","",IF(COUNTIFS(Versuchsdaten!$A$2:$A$1117,$A1045,Versuchsdaten!$B$2:$B$1117,$B1045,Versuchsdaten!$C$2:$C$1117,"Sprint_10m",Versuchsdaten!$E$2:$E$1117,$E1045,Versuchsdaten!$J$2:$J$1117,1)=1,SUMIFS(Versuchsdaten!$F$2:$F$1117,Versuchsdaten!$A$2:$A$1117,$A1045,Versuchsdaten!$B$2:$B$1117,$B1045,Versuchsdaten!$C$2:$C$1117,"Sprint_10m",Versuchsdaten!$E$2:$E$1117,$E1045,Versuchsdaten!$J$2:$J$1117,1),""))</f>
        <v/>
      </c>
      <c r="M1045" s="22">
        <f>IF(LEFT(C1045,7)&lt;&gt;"Sprint_","",IF(COUNTIFS(Versuchsdaten!$A$2:$A$1117,$A1045,Versuchsdaten!$B$2:$B$1117,$B1045,Versuchsdaten!$C$2:$C$1117,"Sprint_30m",Versuchsdaten!$E$2:$E$1117,$E1045,Versuchsdaten!$J$2:$J$1117,1)=1,SUMIFS(Versuchsdaten!$F$2:$F$1117,Versuchsdaten!$A$2:$A$1117,$A1045,Versuchsdaten!$B$2:$B$1117,$B1045,Versuchsdaten!$C$2:$C$1117,"Sprint_30m",Versuchsdaten!$E$2:$E$1117,$E1045,Versuchsdaten!$J$2:$J$1117,1),""))</f>
        <v/>
      </c>
      <c r="N1045" s="22">
        <f>IF(LEFT(C1045,7)&lt;&gt;"Sprint_",0,IF(IF(ISNUMBER(K1045),IF(K1045&lt;=0,1,IF(5/K1045&gt;10,1,0)),0)+IF(ISNUMBER(L1045),IF(ISNUMBER(K1045),IF(L1045-K1045&lt;=0,1,IF(5/(L1045-K1045)&gt;10,1,0)),IF(L1045&lt;=0,1,IF(10/L1045&gt;10,1,0))),0)+IF(ISNUMBER(M1045),IF(ISNUMBER(L1045),IF(M1045-L1045&lt;=0,1,IF(20/(M1045-L1045)&gt;10,1,0)),IF(ISNUMBER(K1045),IF(M1045-K1045&lt;=0,1,IF(25/(M1045-K1045)&gt;10,1,0)),IF(M1045&lt;=0,1,IF(30/M1045&gt;10,1,0)))),0)&gt;0,1,0))</f>
        <v/>
      </c>
      <c r="O1045" s="22">
        <f>IF(AND(J1045=1,N1045=0),1,0)</f>
        <v/>
      </c>
      <c r="P1045" s="22">
        <f>INDEX(Personendaten!$J$2:$J$32,MATCH(A1045,Personendaten!$A$2:$A$32,0))</f>
        <v/>
      </c>
      <c r="Q1045" s="22">
        <f>IF(O1045=1,"",IF(AND(B1045="post",P1045="nicht angetreten"),"NANG",IF(N1045=1,"AUSL",IFERROR(VLOOKUP(H1045,Vokabular!$A$2:$B$8,2,FALSE),"UNBEKANNT"))))</f>
        <v/>
      </c>
    </row>
    <row r="1046">
      <c r="A1046" s="5" t="inlineStr">
        <is>
          <t>VS-11</t>
        </is>
      </c>
      <c r="B1046" s="5" t="inlineStr">
        <is>
          <t>post</t>
        </is>
      </c>
      <c r="C1046" s="5" t="inlineStr">
        <is>
          <t>Sprint_5m</t>
        </is>
      </c>
      <c r="D1046" s="5" t="inlineStr">
        <is>
          <t>–</t>
        </is>
      </c>
      <c r="E1046" s="5" t="n">
        <v>1</v>
      </c>
      <c r="F1046" s="5" t="n">
        <v>1.17</v>
      </c>
      <c r="G1046" s="5" t="n"/>
      <c r="H1046" s="5" t="n"/>
      <c r="I1046" s="22">
        <f>INDEX(Personendaten!$C$2:$C$32,MATCH(A1046,Personendaten!$A$2:$A$32,0))</f>
        <v/>
      </c>
      <c r="J1046" s="22">
        <f>IF(AND(F1046&lt;&gt;"",G1046=""),1,0)</f>
        <v/>
      </c>
      <c r="K1046" s="22">
        <f>IF(LEFT(C1046,7)&lt;&gt;"Sprint_","",IF(COUNTIFS(Versuchsdaten!$A$2:$A$1117,$A1046,Versuchsdaten!$B$2:$B$1117,$B1046,Versuchsdaten!$C$2:$C$1117,"Sprint_5m",Versuchsdaten!$E$2:$E$1117,$E1046,Versuchsdaten!$J$2:$J$1117,1)=1,SUMIFS(Versuchsdaten!$F$2:$F$1117,Versuchsdaten!$A$2:$A$1117,$A1046,Versuchsdaten!$B$2:$B$1117,$B1046,Versuchsdaten!$C$2:$C$1117,"Sprint_5m",Versuchsdaten!$E$2:$E$1117,$E1046,Versuchsdaten!$J$2:$J$1117,1),""))</f>
        <v/>
      </c>
      <c r="L1046" s="22">
        <f>IF(LEFT(C1046,7)&lt;&gt;"Sprint_","",IF(COUNTIFS(Versuchsdaten!$A$2:$A$1117,$A1046,Versuchsdaten!$B$2:$B$1117,$B1046,Versuchsdaten!$C$2:$C$1117,"Sprint_10m",Versuchsdaten!$E$2:$E$1117,$E1046,Versuchsdaten!$J$2:$J$1117,1)=1,SUMIFS(Versuchsdaten!$F$2:$F$1117,Versuchsdaten!$A$2:$A$1117,$A1046,Versuchsdaten!$B$2:$B$1117,$B1046,Versuchsdaten!$C$2:$C$1117,"Sprint_10m",Versuchsdaten!$E$2:$E$1117,$E1046,Versuchsdaten!$J$2:$J$1117,1),""))</f>
        <v/>
      </c>
      <c r="M1046" s="22">
        <f>IF(LEFT(C1046,7)&lt;&gt;"Sprint_","",IF(COUNTIFS(Versuchsdaten!$A$2:$A$1117,$A1046,Versuchsdaten!$B$2:$B$1117,$B1046,Versuchsdaten!$C$2:$C$1117,"Sprint_30m",Versuchsdaten!$E$2:$E$1117,$E1046,Versuchsdaten!$J$2:$J$1117,1)=1,SUMIFS(Versuchsdaten!$F$2:$F$1117,Versuchsdaten!$A$2:$A$1117,$A1046,Versuchsdaten!$B$2:$B$1117,$B1046,Versuchsdaten!$C$2:$C$1117,"Sprint_30m",Versuchsdaten!$E$2:$E$1117,$E1046,Versuchsdaten!$J$2:$J$1117,1),""))</f>
        <v/>
      </c>
      <c r="N1046" s="22">
        <f>IF(LEFT(C1046,7)&lt;&gt;"Sprint_",0,IF(IF(ISNUMBER(K1046),IF(K1046&lt;=0,1,IF(5/K1046&gt;10,1,0)),0)+IF(ISNUMBER(L1046),IF(ISNUMBER(K1046),IF(L1046-K1046&lt;=0,1,IF(5/(L1046-K1046)&gt;10,1,0)),IF(L1046&lt;=0,1,IF(10/L1046&gt;10,1,0))),0)+IF(ISNUMBER(M1046),IF(ISNUMBER(L1046),IF(M1046-L1046&lt;=0,1,IF(20/(M1046-L1046)&gt;10,1,0)),IF(ISNUMBER(K1046),IF(M1046-K1046&lt;=0,1,IF(25/(M1046-K1046)&gt;10,1,0)),IF(M1046&lt;=0,1,IF(30/M1046&gt;10,1,0)))),0)&gt;0,1,0))</f>
        <v/>
      </c>
      <c r="O1046" s="22">
        <f>IF(AND(J1046=1,N1046=0),1,0)</f>
        <v/>
      </c>
      <c r="P1046" s="22">
        <f>INDEX(Personendaten!$J$2:$J$32,MATCH(A1046,Personendaten!$A$2:$A$32,0))</f>
        <v/>
      </c>
      <c r="Q1046" s="22">
        <f>IF(O1046=1,"",IF(AND(B1046="post",P1046="nicht angetreten"),"NANG",IF(N1046=1,"AUSL",IFERROR(VLOOKUP(H1046,Vokabular!$A$2:$B$8,2,FALSE),"UNBEKANNT"))))</f>
        <v/>
      </c>
    </row>
    <row r="1047">
      <c r="A1047" s="5" t="inlineStr">
        <is>
          <t>VS-11</t>
        </is>
      </c>
      <c r="B1047" s="5" t="inlineStr">
        <is>
          <t>post</t>
        </is>
      </c>
      <c r="C1047" s="5" t="inlineStr">
        <is>
          <t>Sprint_5m</t>
        </is>
      </c>
      <c r="D1047" s="5" t="inlineStr">
        <is>
          <t>–</t>
        </is>
      </c>
      <c r="E1047" s="5" t="n">
        <v>2</v>
      </c>
      <c r="F1047" s="5" t="n">
        <v>1.18</v>
      </c>
      <c r="G1047" s="5" t="n"/>
      <c r="H1047" s="5" t="n"/>
      <c r="I1047" s="22">
        <f>INDEX(Personendaten!$C$2:$C$32,MATCH(A1047,Personendaten!$A$2:$A$32,0))</f>
        <v/>
      </c>
      <c r="J1047" s="22">
        <f>IF(AND(F1047&lt;&gt;"",G1047=""),1,0)</f>
        <v/>
      </c>
      <c r="K1047" s="22">
        <f>IF(LEFT(C1047,7)&lt;&gt;"Sprint_","",IF(COUNTIFS(Versuchsdaten!$A$2:$A$1117,$A1047,Versuchsdaten!$B$2:$B$1117,$B1047,Versuchsdaten!$C$2:$C$1117,"Sprint_5m",Versuchsdaten!$E$2:$E$1117,$E1047,Versuchsdaten!$J$2:$J$1117,1)=1,SUMIFS(Versuchsdaten!$F$2:$F$1117,Versuchsdaten!$A$2:$A$1117,$A1047,Versuchsdaten!$B$2:$B$1117,$B1047,Versuchsdaten!$C$2:$C$1117,"Sprint_5m",Versuchsdaten!$E$2:$E$1117,$E1047,Versuchsdaten!$J$2:$J$1117,1),""))</f>
        <v/>
      </c>
      <c r="L1047" s="22">
        <f>IF(LEFT(C1047,7)&lt;&gt;"Sprint_","",IF(COUNTIFS(Versuchsdaten!$A$2:$A$1117,$A1047,Versuchsdaten!$B$2:$B$1117,$B1047,Versuchsdaten!$C$2:$C$1117,"Sprint_10m",Versuchsdaten!$E$2:$E$1117,$E1047,Versuchsdaten!$J$2:$J$1117,1)=1,SUMIFS(Versuchsdaten!$F$2:$F$1117,Versuchsdaten!$A$2:$A$1117,$A1047,Versuchsdaten!$B$2:$B$1117,$B1047,Versuchsdaten!$C$2:$C$1117,"Sprint_10m",Versuchsdaten!$E$2:$E$1117,$E1047,Versuchsdaten!$J$2:$J$1117,1),""))</f>
        <v/>
      </c>
      <c r="M1047" s="22">
        <f>IF(LEFT(C1047,7)&lt;&gt;"Sprint_","",IF(COUNTIFS(Versuchsdaten!$A$2:$A$1117,$A1047,Versuchsdaten!$B$2:$B$1117,$B1047,Versuchsdaten!$C$2:$C$1117,"Sprint_30m",Versuchsdaten!$E$2:$E$1117,$E1047,Versuchsdaten!$J$2:$J$1117,1)=1,SUMIFS(Versuchsdaten!$F$2:$F$1117,Versuchsdaten!$A$2:$A$1117,$A1047,Versuchsdaten!$B$2:$B$1117,$B1047,Versuchsdaten!$C$2:$C$1117,"Sprint_30m",Versuchsdaten!$E$2:$E$1117,$E1047,Versuchsdaten!$J$2:$J$1117,1),""))</f>
        <v/>
      </c>
      <c r="N1047" s="22">
        <f>IF(LEFT(C1047,7)&lt;&gt;"Sprint_",0,IF(IF(ISNUMBER(K1047),IF(K1047&lt;=0,1,IF(5/K1047&gt;10,1,0)),0)+IF(ISNUMBER(L1047),IF(ISNUMBER(K1047),IF(L1047-K1047&lt;=0,1,IF(5/(L1047-K1047)&gt;10,1,0)),IF(L1047&lt;=0,1,IF(10/L1047&gt;10,1,0))),0)+IF(ISNUMBER(M1047),IF(ISNUMBER(L1047),IF(M1047-L1047&lt;=0,1,IF(20/(M1047-L1047)&gt;10,1,0)),IF(ISNUMBER(K1047),IF(M1047-K1047&lt;=0,1,IF(25/(M1047-K1047)&gt;10,1,0)),IF(M1047&lt;=0,1,IF(30/M1047&gt;10,1,0)))),0)&gt;0,1,0))</f>
        <v/>
      </c>
      <c r="O1047" s="22">
        <f>IF(AND(J1047=1,N1047=0),1,0)</f>
        <v/>
      </c>
      <c r="P1047" s="22">
        <f>INDEX(Personendaten!$J$2:$J$32,MATCH(A1047,Personendaten!$A$2:$A$32,0))</f>
        <v/>
      </c>
      <c r="Q1047" s="22">
        <f>IF(O1047=1,"",IF(AND(B1047="post",P1047="nicht angetreten"),"NANG",IF(N1047=1,"AUSL",IFERROR(VLOOKUP(H1047,Vokabular!$A$2:$B$8,2,FALSE),"UNBEKANNT"))))</f>
        <v/>
      </c>
    </row>
    <row r="1048">
      <c r="A1048" s="5" t="inlineStr">
        <is>
          <t>VS-11</t>
        </is>
      </c>
      <c r="B1048" s="5" t="inlineStr">
        <is>
          <t>post</t>
        </is>
      </c>
      <c r="C1048" s="5" t="inlineStr">
        <is>
          <t>Sprint_5m</t>
        </is>
      </c>
      <c r="D1048" s="5" t="inlineStr">
        <is>
          <t>–</t>
        </is>
      </c>
      <c r="E1048" s="5" t="n">
        <v>3</v>
      </c>
      <c r="F1048" s="5" t="n"/>
      <c r="G1048" s="5" t="n"/>
      <c r="H1048" s="5" t="inlineStr">
        <is>
          <t>Nur 2 Versuche aus Zeitmangel</t>
        </is>
      </c>
      <c r="I1048" s="22">
        <f>INDEX(Personendaten!$C$2:$C$32,MATCH(A1048,Personendaten!$A$2:$A$32,0))</f>
        <v/>
      </c>
      <c r="J1048" s="22">
        <f>IF(AND(F1048&lt;&gt;"",G1048=""),1,0)</f>
        <v/>
      </c>
      <c r="K1048" s="22">
        <f>IF(LEFT(C1048,7)&lt;&gt;"Sprint_","",IF(COUNTIFS(Versuchsdaten!$A$2:$A$1117,$A1048,Versuchsdaten!$B$2:$B$1117,$B1048,Versuchsdaten!$C$2:$C$1117,"Sprint_5m",Versuchsdaten!$E$2:$E$1117,$E1048,Versuchsdaten!$J$2:$J$1117,1)=1,SUMIFS(Versuchsdaten!$F$2:$F$1117,Versuchsdaten!$A$2:$A$1117,$A1048,Versuchsdaten!$B$2:$B$1117,$B1048,Versuchsdaten!$C$2:$C$1117,"Sprint_5m",Versuchsdaten!$E$2:$E$1117,$E1048,Versuchsdaten!$J$2:$J$1117,1),""))</f>
        <v/>
      </c>
      <c r="L1048" s="22">
        <f>IF(LEFT(C1048,7)&lt;&gt;"Sprint_","",IF(COUNTIFS(Versuchsdaten!$A$2:$A$1117,$A1048,Versuchsdaten!$B$2:$B$1117,$B1048,Versuchsdaten!$C$2:$C$1117,"Sprint_10m",Versuchsdaten!$E$2:$E$1117,$E1048,Versuchsdaten!$J$2:$J$1117,1)=1,SUMIFS(Versuchsdaten!$F$2:$F$1117,Versuchsdaten!$A$2:$A$1117,$A1048,Versuchsdaten!$B$2:$B$1117,$B1048,Versuchsdaten!$C$2:$C$1117,"Sprint_10m",Versuchsdaten!$E$2:$E$1117,$E1048,Versuchsdaten!$J$2:$J$1117,1),""))</f>
        <v/>
      </c>
      <c r="M1048" s="22">
        <f>IF(LEFT(C1048,7)&lt;&gt;"Sprint_","",IF(COUNTIFS(Versuchsdaten!$A$2:$A$1117,$A1048,Versuchsdaten!$B$2:$B$1117,$B1048,Versuchsdaten!$C$2:$C$1117,"Sprint_30m",Versuchsdaten!$E$2:$E$1117,$E1048,Versuchsdaten!$J$2:$J$1117,1)=1,SUMIFS(Versuchsdaten!$F$2:$F$1117,Versuchsdaten!$A$2:$A$1117,$A1048,Versuchsdaten!$B$2:$B$1117,$B1048,Versuchsdaten!$C$2:$C$1117,"Sprint_30m",Versuchsdaten!$E$2:$E$1117,$E1048,Versuchsdaten!$J$2:$J$1117,1),""))</f>
        <v/>
      </c>
      <c r="N1048" s="22">
        <f>IF(LEFT(C1048,7)&lt;&gt;"Sprint_",0,IF(IF(ISNUMBER(K1048),IF(K1048&lt;=0,1,IF(5/K1048&gt;10,1,0)),0)+IF(ISNUMBER(L1048),IF(ISNUMBER(K1048),IF(L1048-K1048&lt;=0,1,IF(5/(L1048-K1048)&gt;10,1,0)),IF(L1048&lt;=0,1,IF(10/L1048&gt;10,1,0))),0)+IF(ISNUMBER(M1048),IF(ISNUMBER(L1048),IF(M1048-L1048&lt;=0,1,IF(20/(M1048-L1048)&gt;10,1,0)),IF(ISNUMBER(K1048),IF(M1048-K1048&lt;=0,1,IF(25/(M1048-K1048)&gt;10,1,0)),IF(M1048&lt;=0,1,IF(30/M1048&gt;10,1,0)))),0)&gt;0,1,0))</f>
        <v/>
      </c>
      <c r="O1048" s="22">
        <f>IF(AND(J1048=1,N1048=0),1,0)</f>
        <v/>
      </c>
      <c r="P1048" s="22">
        <f>INDEX(Personendaten!$J$2:$J$32,MATCH(A1048,Personendaten!$A$2:$A$32,0))</f>
        <v/>
      </c>
      <c r="Q1048" s="22">
        <f>IF(O1048=1,"",IF(AND(B1048="post",P1048="nicht angetreten"),"NANG",IF(N1048=1,"AUSL",IFERROR(VLOOKUP(H1048,Vokabular!$A$2:$B$8,2,FALSE),"UNBEKANNT"))))</f>
        <v/>
      </c>
    </row>
    <row r="1049">
      <c r="A1049" s="5" t="inlineStr">
        <is>
          <t>VS-11</t>
        </is>
      </c>
      <c r="B1049" s="5" t="inlineStr">
        <is>
          <t>post</t>
        </is>
      </c>
      <c r="C1049" s="5" t="inlineStr">
        <is>
          <t>Sprint_10m</t>
        </is>
      </c>
      <c r="D1049" s="5" t="inlineStr">
        <is>
          <t>–</t>
        </is>
      </c>
      <c r="E1049" s="5" t="n">
        <v>1</v>
      </c>
      <c r="F1049" s="5" t="n">
        <v>1.92</v>
      </c>
      <c r="G1049" s="5" t="n"/>
      <c r="H1049" s="5" t="n"/>
      <c r="I1049" s="22">
        <f>INDEX(Personendaten!$C$2:$C$32,MATCH(A1049,Personendaten!$A$2:$A$32,0))</f>
        <v/>
      </c>
      <c r="J1049" s="22">
        <f>IF(AND(F1049&lt;&gt;"",G1049=""),1,0)</f>
        <v/>
      </c>
      <c r="K1049" s="22">
        <f>IF(LEFT(C1049,7)&lt;&gt;"Sprint_","",IF(COUNTIFS(Versuchsdaten!$A$2:$A$1117,$A1049,Versuchsdaten!$B$2:$B$1117,$B1049,Versuchsdaten!$C$2:$C$1117,"Sprint_5m",Versuchsdaten!$E$2:$E$1117,$E1049,Versuchsdaten!$J$2:$J$1117,1)=1,SUMIFS(Versuchsdaten!$F$2:$F$1117,Versuchsdaten!$A$2:$A$1117,$A1049,Versuchsdaten!$B$2:$B$1117,$B1049,Versuchsdaten!$C$2:$C$1117,"Sprint_5m",Versuchsdaten!$E$2:$E$1117,$E1049,Versuchsdaten!$J$2:$J$1117,1),""))</f>
        <v/>
      </c>
      <c r="L1049" s="22">
        <f>IF(LEFT(C1049,7)&lt;&gt;"Sprint_","",IF(COUNTIFS(Versuchsdaten!$A$2:$A$1117,$A1049,Versuchsdaten!$B$2:$B$1117,$B1049,Versuchsdaten!$C$2:$C$1117,"Sprint_10m",Versuchsdaten!$E$2:$E$1117,$E1049,Versuchsdaten!$J$2:$J$1117,1)=1,SUMIFS(Versuchsdaten!$F$2:$F$1117,Versuchsdaten!$A$2:$A$1117,$A1049,Versuchsdaten!$B$2:$B$1117,$B1049,Versuchsdaten!$C$2:$C$1117,"Sprint_10m",Versuchsdaten!$E$2:$E$1117,$E1049,Versuchsdaten!$J$2:$J$1117,1),""))</f>
        <v/>
      </c>
      <c r="M1049" s="22">
        <f>IF(LEFT(C1049,7)&lt;&gt;"Sprint_","",IF(COUNTIFS(Versuchsdaten!$A$2:$A$1117,$A1049,Versuchsdaten!$B$2:$B$1117,$B1049,Versuchsdaten!$C$2:$C$1117,"Sprint_30m",Versuchsdaten!$E$2:$E$1117,$E1049,Versuchsdaten!$J$2:$J$1117,1)=1,SUMIFS(Versuchsdaten!$F$2:$F$1117,Versuchsdaten!$A$2:$A$1117,$A1049,Versuchsdaten!$B$2:$B$1117,$B1049,Versuchsdaten!$C$2:$C$1117,"Sprint_30m",Versuchsdaten!$E$2:$E$1117,$E1049,Versuchsdaten!$J$2:$J$1117,1),""))</f>
        <v/>
      </c>
      <c r="N1049" s="22">
        <f>IF(LEFT(C1049,7)&lt;&gt;"Sprint_",0,IF(IF(ISNUMBER(K1049),IF(K1049&lt;=0,1,IF(5/K1049&gt;10,1,0)),0)+IF(ISNUMBER(L1049),IF(ISNUMBER(K1049),IF(L1049-K1049&lt;=0,1,IF(5/(L1049-K1049)&gt;10,1,0)),IF(L1049&lt;=0,1,IF(10/L1049&gt;10,1,0))),0)+IF(ISNUMBER(M1049),IF(ISNUMBER(L1049),IF(M1049-L1049&lt;=0,1,IF(20/(M1049-L1049)&gt;10,1,0)),IF(ISNUMBER(K1049),IF(M1049-K1049&lt;=0,1,IF(25/(M1049-K1049)&gt;10,1,0)),IF(M1049&lt;=0,1,IF(30/M1049&gt;10,1,0)))),0)&gt;0,1,0))</f>
        <v/>
      </c>
      <c r="O1049" s="22">
        <f>IF(AND(J1049=1,N1049=0),1,0)</f>
        <v/>
      </c>
      <c r="P1049" s="22">
        <f>INDEX(Personendaten!$J$2:$J$32,MATCH(A1049,Personendaten!$A$2:$A$32,0))</f>
        <v/>
      </c>
      <c r="Q1049" s="22">
        <f>IF(O1049=1,"",IF(AND(B1049="post",P1049="nicht angetreten"),"NANG",IF(N1049=1,"AUSL",IFERROR(VLOOKUP(H1049,Vokabular!$A$2:$B$8,2,FALSE),"UNBEKANNT"))))</f>
        <v/>
      </c>
    </row>
    <row r="1050">
      <c r="A1050" s="5" t="inlineStr">
        <is>
          <t>VS-11</t>
        </is>
      </c>
      <c r="B1050" s="5" t="inlineStr">
        <is>
          <t>post</t>
        </is>
      </c>
      <c r="C1050" s="5" t="inlineStr">
        <is>
          <t>Sprint_10m</t>
        </is>
      </c>
      <c r="D1050" s="5" t="inlineStr">
        <is>
          <t>–</t>
        </is>
      </c>
      <c r="E1050" s="5" t="n">
        <v>2</v>
      </c>
      <c r="F1050" s="5" t="n">
        <v>1.95</v>
      </c>
      <c r="G1050" s="5" t="n"/>
      <c r="H1050" s="5" t="n"/>
      <c r="I1050" s="22">
        <f>INDEX(Personendaten!$C$2:$C$32,MATCH(A1050,Personendaten!$A$2:$A$32,0))</f>
        <v/>
      </c>
      <c r="J1050" s="22">
        <f>IF(AND(F1050&lt;&gt;"",G1050=""),1,0)</f>
        <v/>
      </c>
      <c r="K1050" s="22">
        <f>IF(LEFT(C1050,7)&lt;&gt;"Sprint_","",IF(COUNTIFS(Versuchsdaten!$A$2:$A$1117,$A1050,Versuchsdaten!$B$2:$B$1117,$B1050,Versuchsdaten!$C$2:$C$1117,"Sprint_5m",Versuchsdaten!$E$2:$E$1117,$E1050,Versuchsdaten!$J$2:$J$1117,1)=1,SUMIFS(Versuchsdaten!$F$2:$F$1117,Versuchsdaten!$A$2:$A$1117,$A1050,Versuchsdaten!$B$2:$B$1117,$B1050,Versuchsdaten!$C$2:$C$1117,"Sprint_5m",Versuchsdaten!$E$2:$E$1117,$E1050,Versuchsdaten!$J$2:$J$1117,1),""))</f>
        <v/>
      </c>
      <c r="L1050" s="22">
        <f>IF(LEFT(C1050,7)&lt;&gt;"Sprint_","",IF(COUNTIFS(Versuchsdaten!$A$2:$A$1117,$A1050,Versuchsdaten!$B$2:$B$1117,$B1050,Versuchsdaten!$C$2:$C$1117,"Sprint_10m",Versuchsdaten!$E$2:$E$1117,$E1050,Versuchsdaten!$J$2:$J$1117,1)=1,SUMIFS(Versuchsdaten!$F$2:$F$1117,Versuchsdaten!$A$2:$A$1117,$A1050,Versuchsdaten!$B$2:$B$1117,$B1050,Versuchsdaten!$C$2:$C$1117,"Sprint_10m",Versuchsdaten!$E$2:$E$1117,$E1050,Versuchsdaten!$J$2:$J$1117,1),""))</f>
        <v/>
      </c>
      <c r="M1050" s="22">
        <f>IF(LEFT(C1050,7)&lt;&gt;"Sprint_","",IF(COUNTIFS(Versuchsdaten!$A$2:$A$1117,$A1050,Versuchsdaten!$B$2:$B$1117,$B1050,Versuchsdaten!$C$2:$C$1117,"Sprint_30m",Versuchsdaten!$E$2:$E$1117,$E1050,Versuchsdaten!$J$2:$J$1117,1)=1,SUMIFS(Versuchsdaten!$F$2:$F$1117,Versuchsdaten!$A$2:$A$1117,$A1050,Versuchsdaten!$B$2:$B$1117,$B1050,Versuchsdaten!$C$2:$C$1117,"Sprint_30m",Versuchsdaten!$E$2:$E$1117,$E1050,Versuchsdaten!$J$2:$J$1117,1),""))</f>
        <v/>
      </c>
      <c r="N1050" s="22">
        <f>IF(LEFT(C1050,7)&lt;&gt;"Sprint_",0,IF(IF(ISNUMBER(K1050),IF(K1050&lt;=0,1,IF(5/K1050&gt;10,1,0)),0)+IF(ISNUMBER(L1050),IF(ISNUMBER(K1050),IF(L1050-K1050&lt;=0,1,IF(5/(L1050-K1050)&gt;10,1,0)),IF(L1050&lt;=0,1,IF(10/L1050&gt;10,1,0))),0)+IF(ISNUMBER(M1050),IF(ISNUMBER(L1050),IF(M1050-L1050&lt;=0,1,IF(20/(M1050-L1050)&gt;10,1,0)),IF(ISNUMBER(K1050),IF(M1050-K1050&lt;=0,1,IF(25/(M1050-K1050)&gt;10,1,0)),IF(M1050&lt;=0,1,IF(30/M1050&gt;10,1,0)))),0)&gt;0,1,0))</f>
        <v/>
      </c>
      <c r="O1050" s="22">
        <f>IF(AND(J1050=1,N1050=0),1,0)</f>
        <v/>
      </c>
      <c r="P1050" s="22">
        <f>INDEX(Personendaten!$J$2:$J$32,MATCH(A1050,Personendaten!$A$2:$A$32,0))</f>
        <v/>
      </c>
      <c r="Q1050" s="22">
        <f>IF(O1050=1,"",IF(AND(B1050="post",P1050="nicht angetreten"),"NANG",IF(N1050=1,"AUSL",IFERROR(VLOOKUP(H1050,Vokabular!$A$2:$B$8,2,FALSE),"UNBEKANNT"))))</f>
        <v/>
      </c>
    </row>
    <row r="1051">
      <c r="A1051" s="5" t="inlineStr">
        <is>
          <t>VS-11</t>
        </is>
      </c>
      <c r="B1051" s="5" t="inlineStr">
        <is>
          <t>post</t>
        </is>
      </c>
      <c r="C1051" s="5" t="inlineStr">
        <is>
          <t>Sprint_10m</t>
        </is>
      </c>
      <c r="D1051" s="5" t="inlineStr">
        <is>
          <t>–</t>
        </is>
      </c>
      <c r="E1051" s="5" t="n">
        <v>3</v>
      </c>
      <c r="F1051" s="5" t="n"/>
      <c r="G1051" s="5" t="n"/>
      <c r="H1051" s="5" t="inlineStr">
        <is>
          <t>Nur 2 Versuche aus Zeitmangel</t>
        </is>
      </c>
      <c r="I1051" s="22">
        <f>INDEX(Personendaten!$C$2:$C$32,MATCH(A1051,Personendaten!$A$2:$A$32,0))</f>
        <v/>
      </c>
      <c r="J1051" s="22">
        <f>IF(AND(F1051&lt;&gt;"",G1051=""),1,0)</f>
        <v/>
      </c>
      <c r="K1051" s="22">
        <f>IF(LEFT(C1051,7)&lt;&gt;"Sprint_","",IF(COUNTIFS(Versuchsdaten!$A$2:$A$1117,$A1051,Versuchsdaten!$B$2:$B$1117,$B1051,Versuchsdaten!$C$2:$C$1117,"Sprint_5m",Versuchsdaten!$E$2:$E$1117,$E1051,Versuchsdaten!$J$2:$J$1117,1)=1,SUMIFS(Versuchsdaten!$F$2:$F$1117,Versuchsdaten!$A$2:$A$1117,$A1051,Versuchsdaten!$B$2:$B$1117,$B1051,Versuchsdaten!$C$2:$C$1117,"Sprint_5m",Versuchsdaten!$E$2:$E$1117,$E1051,Versuchsdaten!$J$2:$J$1117,1),""))</f>
        <v/>
      </c>
      <c r="L1051" s="22">
        <f>IF(LEFT(C1051,7)&lt;&gt;"Sprint_","",IF(COUNTIFS(Versuchsdaten!$A$2:$A$1117,$A1051,Versuchsdaten!$B$2:$B$1117,$B1051,Versuchsdaten!$C$2:$C$1117,"Sprint_10m",Versuchsdaten!$E$2:$E$1117,$E1051,Versuchsdaten!$J$2:$J$1117,1)=1,SUMIFS(Versuchsdaten!$F$2:$F$1117,Versuchsdaten!$A$2:$A$1117,$A1051,Versuchsdaten!$B$2:$B$1117,$B1051,Versuchsdaten!$C$2:$C$1117,"Sprint_10m",Versuchsdaten!$E$2:$E$1117,$E1051,Versuchsdaten!$J$2:$J$1117,1),""))</f>
        <v/>
      </c>
      <c r="M1051" s="22">
        <f>IF(LEFT(C1051,7)&lt;&gt;"Sprint_","",IF(COUNTIFS(Versuchsdaten!$A$2:$A$1117,$A1051,Versuchsdaten!$B$2:$B$1117,$B1051,Versuchsdaten!$C$2:$C$1117,"Sprint_30m",Versuchsdaten!$E$2:$E$1117,$E1051,Versuchsdaten!$J$2:$J$1117,1)=1,SUMIFS(Versuchsdaten!$F$2:$F$1117,Versuchsdaten!$A$2:$A$1117,$A1051,Versuchsdaten!$B$2:$B$1117,$B1051,Versuchsdaten!$C$2:$C$1117,"Sprint_30m",Versuchsdaten!$E$2:$E$1117,$E1051,Versuchsdaten!$J$2:$J$1117,1),""))</f>
        <v/>
      </c>
      <c r="N1051" s="22">
        <f>IF(LEFT(C1051,7)&lt;&gt;"Sprint_",0,IF(IF(ISNUMBER(K1051),IF(K1051&lt;=0,1,IF(5/K1051&gt;10,1,0)),0)+IF(ISNUMBER(L1051),IF(ISNUMBER(K1051),IF(L1051-K1051&lt;=0,1,IF(5/(L1051-K1051)&gt;10,1,0)),IF(L1051&lt;=0,1,IF(10/L1051&gt;10,1,0))),0)+IF(ISNUMBER(M1051),IF(ISNUMBER(L1051),IF(M1051-L1051&lt;=0,1,IF(20/(M1051-L1051)&gt;10,1,0)),IF(ISNUMBER(K1051),IF(M1051-K1051&lt;=0,1,IF(25/(M1051-K1051)&gt;10,1,0)),IF(M1051&lt;=0,1,IF(30/M1051&gt;10,1,0)))),0)&gt;0,1,0))</f>
        <v/>
      </c>
      <c r="O1051" s="22">
        <f>IF(AND(J1051=1,N1051=0),1,0)</f>
        <v/>
      </c>
      <c r="P1051" s="22">
        <f>INDEX(Personendaten!$J$2:$J$32,MATCH(A1051,Personendaten!$A$2:$A$32,0))</f>
        <v/>
      </c>
      <c r="Q1051" s="22">
        <f>IF(O1051=1,"",IF(AND(B1051="post",P1051="nicht angetreten"),"NANG",IF(N1051=1,"AUSL",IFERROR(VLOOKUP(H1051,Vokabular!$A$2:$B$8,2,FALSE),"UNBEKANNT"))))</f>
        <v/>
      </c>
    </row>
    <row r="1052">
      <c r="A1052" s="5" t="inlineStr">
        <is>
          <t>VS-11</t>
        </is>
      </c>
      <c r="B1052" s="5" t="inlineStr">
        <is>
          <t>post</t>
        </is>
      </c>
      <c r="C1052" s="5" t="inlineStr">
        <is>
          <t>Sprint_30m</t>
        </is>
      </c>
      <c r="D1052" s="5" t="inlineStr">
        <is>
          <t>–</t>
        </is>
      </c>
      <c r="E1052" s="5" t="n">
        <v>1</v>
      </c>
      <c r="F1052" s="5" t="n">
        <v>4.64</v>
      </c>
      <c r="G1052" s="5" t="n"/>
      <c r="H1052" s="5" t="n"/>
      <c r="I1052" s="22">
        <f>INDEX(Personendaten!$C$2:$C$32,MATCH(A1052,Personendaten!$A$2:$A$32,0))</f>
        <v/>
      </c>
      <c r="J1052" s="22">
        <f>IF(AND(F1052&lt;&gt;"",G1052=""),1,0)</f>
        <v/>
      </c>
      <c r="K1052" s="22">
        <f>IF(LEFT(C1052,7)&lt;&gt;"Sprint_","",IF(COUNTIFS(Versuchsdaten!$A$2:$A$1117,$A1052,Versuchsdaten!$B$2:$B$1117,$B1052,Versuchsdaten!$C$2:$C$1117,"Sprint_5m",Versuchsdaten!$E$2:$E$1117,$E1052,Versuchsdaten!$J$2:$J$1117,1)=1,SUMIFS(Versuchsdaten!$F$2:$F$1117,Versuchsdaten!$A$2:$A$1117,$A1052,Versuchsdaten!$B$2:$B$1117,$B1052,Versuchsdaten!$C$2:$C$1117,"Sprint_5m",Versuchsdaten!$E$2:$E$1117,$E1052,Versuchsdaten!$J$2:$J$1117,1),""))</f>
        <v/>
      </c>
      <c r="L1052" s="22">
        <f>IF(LEFT(C1052,7)&lt;&gt;"Sprint_","",IF(COUNTIFS(Versuchsdaten!$A$2:$A$1117,$A1052,Versuchsdaten!$B$2:$B$1117,$B1052,Versuchsdaten!$C$2:$C$1117,"Sprint_10m",Versuchsdaten!$E$2:$E$1117,$E1052,Versuchsdaten!$J$2:$J$1117,1)=1,SUMIFS(Versuchsdaten!$F$2:$F$1117,Versuchsdaten!$A$2:$A$1117,$A1052,Versuchsdaten!$B$2:$B$1117,$B1052,Versuchsdaten!$C$2:$C$1117,"Sprint_10m",Versuchsdaten!$E$2:$E$1117,$E1052,Versuchsdaten!$J$2:$J$1117,1),""))</f>
        <v/>
      </c>
      <c r="M1052" s="22">
        <f>IF(LEFT(C1052,7)&lt;&gt;"Sprint_","",IF(COUNTIFS(Versuchsdaten!$A$2:$A$1117,$A1052,Versuchsdaten!$B$2:$B$1117,$B1052,Versuchsdaten!$C$2:$C$1117,"Sprint_30m",Versuchsdaten!$E$2:$E$1117,$E1052,Versuchsdaten!$J$2:$J$1117,1)=1,SUMIFS(Versuchsdaten!$F$2:$F$1117,Versuchsdaten!$A$2:$A$1117,$A1052,Versuchsdaten!$B$2:$B$1117,$B1052,Versuchsdaten!$C$2:$C$1117,"Sprint_30m",Versuchsdaten!$E$2:$E$1117,$E1052,Versuchsdaten!$J$2:$J$1117,1),""))</f>
        <v/>
      </c>
      <c r="N1052" s="22">
        <f>IF(LEFT(C1052,7)&lt;&gt;"Sprint_",0,IF(IF(ISNUMBER(K1052),IF(K1052&lt;=0,1,IF(5/K1052&gt;10,1,0)),0)+IF(ISNUMBER(L1052),IF(ISNUMBER(K1052),IF(L1052-K1052&lt;=0,1,IF(5/(L1052-K1052)&gt;10,1,0)),IF(L1052&lt;=0,1,IF(10/L1052&gt;10,1,0))),0)+IF(ISNUMBER(M1052),IF(ISNUMBER(L1052),IF(M1052-L1052&lt;=0,1,IF(20/(M1052-L1052)&gt;10,1,0)),IF(ISNUMBER(K1052),IF(M1052-K1052&lt;=0,1,IF(25/(M1052-K1052)&gt;10,1,0)),IF(M1052&lt;=0,1,IF(30/M1052&gt;10,1,0)))),0)&gt;0,1,0))</f>
        <v/>
      </c>
      <c r="O1052" s="22">
        <f>IF(AND(J1052=1,N1052=0),1,0)</f>
        <v/>
      </c>
      <c r="P1052" s="22">
        <f>INDEX(Personendaten!$J$2:$J$32,MATCH(A1052,Personendaten!$A$2:$A$32,0))</f>
        <v/>
      </c>
      <c r="Q1052" s="22">
        <f>IF(O1052=1,"",IF(AND(B1052="post",P1052="nicht angetreten"),"NANG",IF(N1052=1,"AUSL",IFERROR(VLOOKUP(H1052,Vokabular!$A$2:$B$8,2,FALSE),"UNBEKANNT"))))</f>
        <v/>
      </c>
    </row>
    <row r="1053">
      <c r="A1053" s="5" t="inlineStr">
        <is>
          <t>VS-11</t>
        </is>
      </c>
      <c r="B1053" s="5" t="inlineStr">
        <is>
          <t>post</t>
        </is>
      </c>
      <c r="C1053" s="5" t="inlineStr">
        <is>
          <t>Sprint_30m</t>
        </is>
      </c>
      <c r="D1053" s="5" t="inlineStr">
        <is>
          <t>–</t>
        </is>
      </c>
      <c r="E1053" s="5" t="n">
        <v>2</v>
      </c>
      <c r="F1053" s="5" t="n">
        <v>4.72</v>
      </c>
      <c r="G1053" s="5" t="n"/>
      <c r="H1053" s="5" t="n"/>
      <c r="I1053" s="22">
        <f>INDEX(Personendaten!$C$2:$C$32,MATCH(A1053,Personendaten!$A$2:$A$32,0))</f>
        <v/>
      </c>
      <c r="J1053" s="22">
        <f>IF(AND(F1053&lt;&gt;"",G1053=""),1,0)</f>
        <v/>
      </c>
      <c r="K1053" s="22">
        <f>IF(LEFT(C1053,7)&lt;&gt;"Sprint_","",IF(COUNTIFS(Versuchsdaten!$A$2:$A$1117,$A1053,Versuchsdaten!$B$2:$B$1117,$B1053,Versuchsdaten!$C$2:$C$1117,"Sprint_5m",Versuchsdaten!$E$2:$E$1117,$E1053,Versuchsdaten!$J$2:$J$1117,1)=1,SUMIFS(Versuchsdaten!$F$2:$F$1117,Versuchsdaten!$A$2:$A$1117,$A1053,Versuchsdaten!$B$2:$B$1117,$B1053,Versuchsdaten!$C$2:$C$1117,"Sprint_5m",Versuchsdaten!$E$2:$E$1117,$E1053,Versuchsdaten!$J$2:$J$1117,1),""))</f>
        <v/>
      </c>
      <c r="L1053" s="22">
        <f>IF(LEFT(C1053,7)&lt;&gt;"Sprint_","",IF(COUNTIFS(Versuchsdaten!$A$2:$A$1117,$A1053,Versuchsdaten!$B$2:$B$1117,$B1053,Versuchsdaten!$C$2:$C$1117,"Sprint_10m",Versuchsdaten!$E$2:$E$1117,$E1053,Versuchsdaten!$J$2:$J$1117,1)=1,SUMIFS(Versuchsdaten!$F$2:$F$1117,Versuchsdaten!$A$2:$A$1117,$A1053,Versuchsdaten!$B$2:$B$1117,$B1053,Versuchsdaten!$C$2:$C$1117,"Sprint_10m",Versuchsdaten!$E$2:$E$1117,$E1053,Versuchsdaten!$J$2:$J$1117,1),""))</f>
        <v/>
      </c>
      <c r="M1053" s="22">
        <f>IF(LEFT(C1053,7)&lt;&gt;"Sprint_","",IF(COUNTIFS(Versuchsdaten!$A$2:$A$1117,$A1053,Versuchsdaten!$B$2:$B$1117,$B1053,Versuchsdaten!$C$2:$C$1117,"Sprint_30m",Versuchsdaten!$E$2:$E$1117,$E1053,Versuchsdaten!$J$2:$J$1117,1)=1,SUMIFS(Versuchsdaten!$F$2:$F$1117,Versuchsdaten!$A$2:$A$1117,$A1053,Versuchsdaten!$B$2:$B$1117,$B1053,Versuchsdaten!$C$2:$C$1117,"Sprint_30m",Versuchsdaten!$E$2:$E$1117,$E1053,Versuchsdaten!$J$2:$J$1117,1),""))</f>
        <v/>
      </c>
      <c r="N1053" s="22">
        <f>IF(LEFT(C1053,7)&lt;&gt;"Sprint_",0,IF(IF(ISNUMBER(K1053),IF(K1053&lt;=0,1,IF(5/K1053&gt;10,1,0)),0)+IF(ISNUMBER(L1053),IF(ISNUMBER(K1053),IF(L1053-K1053&lt;=0,1,IF(5/(L1053-K1053)&gt;10,1,0)),IF(L1053&lt;=0,1,IF(10/L1053&gt;10,1,0))),0)+IF(ISNUMBER(M1053),IF(ISNUMBER(L1053),IF(M1053-L1053&lt;=0,1,IF(20/(M1053-L1053)&gt;10,1,0)),IF(ISNUMBER(K1053),IF(M1053-K1053&lt;=0,1,IF(25/(M1053-K1053)&gt;10,1,0)),IF(M1053&lt;=0,1,IF(30/M1053&gt;10,1,0)))),0)&gt;0,1,0))</f>
        <v/>
      </c>
      <c r="O1053" s="22">
        <f>IF(AND(J1053=1,N1053=0),1,0)</f>
        <v/>
      </c>
      <c r="P1053" s="22">
        <f>INDEX(Personendaten!$J$2:$J$32,MATCH(A1053,Personendaten!$A$2:$A$32,0))</f>
        <v/>
      </c>
      <c r="Q1053" s="22">
        <f>IF(O1053=1,"",IF(AND(B1053="post",P1053="nicht angetreten"),"NANG",IF(N1053=1,"AUSL",IFERROR(VLOOKUP(H1053,Vokabular!$A$2:$B$8,2,FALSE),"UNBEKANNT"))))</f>
        <v/>
      </c>
    </row>
    <row r="1054">
      <c r="A1054" s="5" t="inlineStr">
        <is>
          <t>VS-11</t>
        </is>
      </c>
      <c r="B1054" s="5" t="inlineStr">
        <is>
          <t>post</t>
        </is>
      </c>
      <c r="C1054" s="5" t="inlineStr">
        <is>
          <t>Sprint_30m</t>
        </is>
      </c>
      <c r="D1054" s="5" t="inlineStr">
        <is>
          <t>–</t>
        </is>
      </c>
      <c r="E1054" s="5" t="n">
        <v>3</v>
      </c>
      <c r="F1054" s="5" t="n"/>
      <c r="G1054" s="5" t="n"/>
      <c r="H1054" s="5" t="inlineStr">
        <is>
          <t>Nur 2 Versuche aus Zeitmangel</t>
        </is>
      </c>
      <c r="I1054" s="22">
        <f>INDEX(Personendaten!$C$2:$C$32,MATCH(A1054,Personendaten!$A$2:$A$32,0))</f>
        <v/>
      </c>
      <c r="J1054" s="22">
        <f>IF(AND(F1054&lt;&gt;"",G1054=""),1,0)</f>
        <v/>
      </c>
      <c r="K1054" s="22">
        <f>IF(LEFT(C1054,7)&lt;&gt;"Sprint_","",IF(COUNTIFS(Versuchsdaten!$A$2:$A$1117,$A1054,Versuchsdaten!$B$2:$B$1117,$B1054,Versuchsdaten!$C$2:$C$1117,"Sprint_5m",Versuchsdaten!$E$2:$E$1117,$E1054,Versuchsdaten!$J$2:$J$1117,1)=1,SUMIFS(Versuchsdaten!$F$2:$F$1117,Versuchsdaten!$A$2:$A$1117,$A1054,Versuchsdaten!$B$2:$B$1117,$B1054,Versuchsdaten!$C$2:$C$1117,"Sprint_5m",Versuchsdaten!$E$2:$E$1117,$E1054,Versuchsdaten!$J$2:$J$1117,1),""))</f>
        <v/>
      </c>
      <c r="L1054" s="22">
        <f>IF(LEFT(C1054,7)&lt;&gt;"Sprint_","",IF(COUNTIFS(Versuchsdaten!$A$2:$A$1117,$A1054,Versuchsdaten!$B$2:$B$1117,$B1054,Versuchsdaten!$C$2:$C$1117,"Sprint_10m",Versuchsdaten!$E$2:$E$1117,$E1054,Versuchsdaten!$J$2:$J$1117,1)=1,SUMIFS(Versuchsdaten!$F$2:$F$1117,Versuchsdaten!$A$2:$A$1117,$A1054,Versuchsdaten!$B$2:$B$1117,$B1054,Versuchsdaten!$C$2:$C$1117,"Sprint_10m",Versuchsdaten!$E$2:$E$1117,$E1054,Versuchsdaten!$J$2:$J$1117,1),""))</f>
        <v/>
      </c>
      <c r="M1054" s="22">
        <f>IF(LEFT(C1054,7)&lt;&gt;"Sprint_","",IF(COUNTIFS(Versuchsdaten!$A$2:$A$1117,$A1054,Versuchsdaten!$B$2:$B$1117,$B1054,Versuchsdaten!$C$2:$C$1117,"Sprint_30m",Versuchsdaten!$E$2:$E$1117,$E1054,Versuchsdaten!$J$2:$J$1117,1)=1,SUMIFS(Versuchsdaten!$F$2:$F$1117,Versuchsdaten!$A$2:$A$1117,$A1054,Versuchsdaten!$B$2:$B$1117,$B1054,Versuchsdaten!$C$2:$C$1117,"Sprint_30m",Versuchsdaten!$E$2:$E$1117,$E1054,Versuchsdaten!$J$2:$J$1117,1),""))</f>
        <v/>
      </c>
      <c r="N1054" s="22">
        <f>IF(LEFT(C1054,7)&lt;&gt;"Sprint_",0,IF(IF(ISNUMBER(K1054),IF(K1054&lt;=0,1,IF(5/K1054&gt;10,1,0)),0)+IF(ISNUMBER(L1054),IF(ISNUMBER(K1054),IF(L1054-K1054&lt;=0,1,IF(5/(L1054-K1054)&gt;10,1,0)),IF(L1054&lt;=0,1,IF(10/L1054&gt;10,1,0))),0)+IF(ISNUMBER(M1054),IF(ISNUMBER(L1054),IF(M1054-L1054&lt;=0,1,IF(20/(M1054-L1054)&gt;10,1,0)),IF(ISNUMBER(K1054),IF(M1054-K1054&lt;=0,1,IF(25/(M1054-K1054)&gt;10,1,0)),IF(M1054&lt;=0,1,IF(30/M1054&gt;10,1,0)))),0)&gt;0,1,0))</f>
        <v/>
      </c>
      <c r="O1054" s="22">
        <f>IF(AND(J1054=1,N1054=0),1,0)</f>
        <v/>
      </c>
      <c r="P1054" s="22">
        <f>INDEX(Personendaten!$J$2:$J$32,MATCH(A1054,Personendaten!$A$2:$A$32,0))</f>
        <v/>
      </c>
      <c r="Q1054" s="22">
        <f>IF(O1054=1,"",IF(AND(B1054="post",P1054="nicht angetreten"),"NANG",IF(N1054=1,"AUSL",IFERROR(VLOOKUP(H1054,Vokabular!$A$2:$B$8,2,FALSE),"UNBEKANNT"))))</f>
        <v/>
      </c>
    </row>
    <row r="1055">
      <c r="A1055" s="5" t="inlineStr">
        <is>
          <t>VS-11</t>
        </is>
      </c>
      <c r="B1055" s="5" t="inlineStr">
        <is>
          <t>post</t>
        </is>
      </c>
      <c r="C1055" s="5" t="inlineStr">
        <is>
          <t>Standweitsprung</t>
        </is>
      </c>
      <c r="D1055" s="5" t="inlineStr">
        <is>
          <t>–</t>
        </is>
      </c>
      <c r="E1055" s="5" t="n">
        <v>1</v>
      </c>
      <c r="F1055" s="5" t="n">
        <v>218</v>
      </c>
      <c r="G1055" s="5" t="n"/>
      <c r="H1055" s="5" t="n"/>
      <c r="I1055" s="22">
        <f>INDEX(Personendaten!$C$2:$C$32,MATCH(A1055,Personendaten!$A$2:$A$32,0))</f>
        <v/>
      </c>
      <c r="J1055" s="22">
        <f>IF(AND(F1055&lt;&gt;"",G1055=""),1,0)</f>
        <v/>
      </c>
      <c r="K1055" s="22">
        <f>IF(LEFT(C1055,7)&lt;&gt;"Sprint_","",IF(COUNTIFS(Versuchsdaten!$A$2:$A$1117,$A1055,Versuchsdaten!$B$2:$B$1117,$B1055,Versuchsdaten!$C$2:$C$1117,"Sprint_5m",Versuchsdaten!$E$2:$E$1117,$E1055,Versuchsdaten!$J$2:$J$1117,1)=1,SUMIFS(Versuchsdaten!$F$2:$F$1117,Versuchsdaten!$A$2:$A$1117,$A1055,Versuchsdaten!$B$2:$B$1117,$B1055,Versuchsdaten!$C$2:$C$1117,"Sprint_5m",Versuchsdaten!$E$2:$E$1117,$E1055,Versuchsdaten!$J$2:$J$1117,1),""))</f>
        <v/>
      </c>
      <c r="L1055" s="22">
        <f>IF(LEFT(C1055,7)&lt;&gt;"Sprint_","",IF(COUNTIFS(Versuchsdaten!$A$2:$A$1117,$A1055,Versuchsdaten!$B$2:$B$1117,$B1055,Versuchsdaten!$C$2:$C$1117,"Sprint_10m",Versuchsdaten!$E$2:$E$1117,$E1055,Versuchsdaten!$J$2:$J$1117,1)=1,SUMIFS(Versuchsdaten!$F$2:$F$1117,Versuchsdaten!$A$2:$A$1117,$A1055,Versuchsdaten!$B$2:$B$1117,$B1055,Versuchsdaten!$C$2:$C$1117,"Sprint_10m",Versuchsdaten!$E$2:$E$1117,$E1055,Versuchsdaten!$J$2:$J$1117,1),""))</f>
        <v/>
      </c>
      <c r="M1055" s="22">
        <f>IF(LEFT(C1055,7)&lt;&gt;"Sprint_","",IF(COUNTIFS(Versuchsdaten!$A$2:$A$1117,$A1055,Versuchsdaten!$B$2:$B$1117,$B1055,Versuchsdaten!$C$2:$C$1117,"Sprint_30m",Versuchsdaten!$E$2:$E$1117,$E1055,Versuchsdaten!$J$2:$J$1117,1)=1,SUMIFS(Versuchsdaten!$F$2:$F$1117,Versuchsdaten!$A$2:$A$1117,$A1055,Versuchsdaten!$B$2:$B$1117,$B1055,Versuchsdaten!$C$2:$C$1117,"Sprint_30m",Versuchsdaten!$E$2:$E$1117,$E1055,Versuchsdaten!$J$2:$J$1117,1),""))</f>
        <v/>
      </c>
      <c r="N1055" s="22">
        <f>IF(LEFT(C1055,7)&lt;&gt;"Sprint_",0,IF(IF(ISNUMBER(K1055),IF(K1055&lt;=0,1,IF(5/K1055&gt;10,1,0)),0)+IF(ISNUMBER(L1055),IF(ISNUMBER(K1055),IF(L1055-K1055&lt;=0,1,IF(5/(L1055-K1055)&gt;10,1,0)),IF(L1055&lt;=0,1,IF(10/L1055&gt;10,1,0))),0)+IF(ISNUMBER(M1055),IF(ISNUMBER(L1055),IF(M1055-L1055&lt;=0,1,IF(20/(M1055-L1055)&gt;10,1,0)),IF(ISNUMBER(K1055),IF(M1055-K1055&lt;=0,1,IF(25/(M1055-K1055)&gt;10,1,0)),IF(M1055&lt;=0,1,IF(30/M1055&gt;10,1,0)))),0)&gt;0,1,0))</f>
        <v/>
      </c>
      <c r="O1055" s="22">
        <f>IF(AND(J1055=1,N1055=0),1,0)</f>
        <v/>
      </c>
      <c r="P1055" s="22">
        <f>INDEX(Personendaten!$J$2:$J$32,MATCH(A1055,Personendaten!$A$2:$A$32,0))</f>
        <v/>
      </c>
      <c r="Q1055" s="22">
        <f>IF(O1055=1,"",IF(AND(B1055="post",P1055="nicht angetreten"),"NANG",IF(N1055=1,"AUSL",IFERROR(VLOOKUP(H1055,Vokabular!$A$2:$B$8,2,FALSE),"UNBEKANNT"))))</f>
        <v/>
      </c>
    </row>
    <row r="1056">
      <c r="A1056" s="5" t="inlineStr">
        <is>
          <t>VS-11</t>
        </is>
      </c>
      <c r="B1056" s="5" t="inlineStr">
        <is>
          <t>post</t>
        </is>
      </c>
      <c r="C1056" s="5" t="inlineStr">
        <is>
          <t>Standweitsprung</t>
        </is>
      </c>
      <c r="D1056" s="5" t="inlineStr">
        <is>
          <t>–</t>
        </is>
      </c>
      <c r="E1056" s="5" t="n">
        <v>2</v>
      </c>
      <c r="F1056" s="5" t="n">
        <v>212</v>
      </c>
      <c r="G1056" s="5" t="n"/>
      <c r="H1056" s="5" t="n"/>
      <c r="I1056" s="22">
        <f>INDEX(Personendaten!$C$2:$C$32,MATCH(A1056,Personendaten!$A$2:$A$32,0))</f>
        <v/>
      </c>
      <c r="J1056" s="22">
        <f>IF(AND(F1056&lt;&gt;"",G1056=""),1,0)</f>
        <v/>
      </c>
      <c r="K1056" s="22">
        <f>IF(LEFT(C1056,7)&lt;&gt;"Sprint_","",IF(COUNTIFS(Versuchsdaten!$A$2:$A$1117,$A1056,Versuchsdaten!$B$2:$B$1117,$B1056,Versuchsdaten!$C$2:$C$1117,"Sprint_5m",Versuchsdaten!$E$2:$E$1117,$E1056,Versuchsdaten!$J$2:$J$1117,1)=1,SUMIFS(Versuchsdaten!$F$2:$F$1117,Versuchsdaten!$A$2:$A$1117,$A1056,Versuchsdaten!$B$2:$B$1117,$B1056,Versuchsdaten!$C$2:$C$1117,"Sprint_5m",Versuchsdaten!$E$2:$E$1117,$E1056,Versuchsdaten!$J$2:$J$1117,1),""))</f>
        <v/>
      </c>
      <c r="L1056" s="22">
        <f>IF(LEFT(C1056,7)&lt;&gt;"Sprint_","",IF(COUNTIFS(Versuchsdaten!$A$2:$A$1117,$A1056,Versuchsdaten!$B$2:$B$1117,$B1056,Versuchsdaten!$C$2:$C$1117,"Sprint_10m",Versuchsdaten!$E$2:$E$1117,$E1056,Versuchsdaten!$J$2:$J$1117,1)=1,SUMIFS(Versuchsdaten!$F$2:$F$1117,Versuchsdaten!$A$2:$A$1117,$A1056,Versuchsdaten!$B$2:$B$1117,$B1056,Versuchsdaten!$C$2:$C$1117,"Sprint_10m",Versuchsdaten!$E$2:$E$1117,$E1056,Versuchsdaten!$J$2:$J$1117,1),""))</f>
        <v/>
      </c>
      <c r="M1056" s="22">
        <f>IF(LEFT(C1056,7)&lt;&gt;"Sprint_","",IF(COUNTIFS(Versuchsdaten!$A$2:$A$1117,$A1056,Versuchsdaten!$B$2:$B$1117,$B1056,Versuchsdaten!$C$2:$C$1117,"Sprint_30m",Versuchsdaten!$E$2:$E$1117,$E1056,Versuchsdaten!$J$2:$J$1117,1)=1,SUMIFS(Versuchsdaten!$F$2:$F$1117,Versuchsdaten!$A$2:$A$1117,$A1056,Versuchsdaten!$B$2:$B$1117,$B1056,Versuchsdaten!$C$2:$C$1117,"Sprint_30m",Versuchsdaten!$E$2:$E$1117,$E1056,Versuchsdaten!$J$2:$J$1117,1),""))</f>
        <v/>
      </c>
      <c r="N1056" s="22">
        <f>IF(LEFT(C1056,7)&lt;&gt;"Sprint_",0,IF(IF(ISNUMBER(K1056),IF(K1056&lt;=0,1,IF(5/K1056&gt;10,1,0)),0)+IF(ISNUMBER(L1056),IF(ISNUMBER(K1056),IF(L1056-K1056&lt;=0,1,IF(5/(L1056-K1056)&gt;10,1,0)),IF(L1056&lt;=0,1,IF(10/L1056&gt;10,1,0))),0)+IF(ISNUMBER(M1056),IF(ISNUMBER(L1056),IF(M1056-L1056&lt;=0,1,IF(20/(M1056-L1056)&gt;10,1,0)),IF(ISNUMBER(K1056),IF(M1056-K1056&lt;=0,1,IF(25/(M1056-K1056)&gt;10,1,0)),IF(M1056&lt;=0,1,IF(30/M1056&gt;10,1,0)))),0)&gt;0,1,0))</f>
        <v/>
      </c>
      <c r="O1056" s="22">
        <f>IF(AND(J1056=1,N1056=0),1,0)</f>
        <v/>
      </c>
      <c r="P1056" s="22">
        <f>INDEX(Personendaten!$J$2:$J$32,MATCH(A1056,Personendaten!$A$2:$A$32,0))</f>
        <v/>
      </c>
      <c r="Q1056" s="22">
        <f>IF(O1056=1,"",IF(AND(B1056="post",P1056="nicht angetreten"),"NANG",IF(N1056=1,"AUSL",IFERROR(VLOOKUP(H1056,Vokabular!$A$2:$B$8,2,FALSE),"UNBEKANNT"))))</f>
        <v/>
      </c>
    </row>
    <row r="1057">
      <c r="A1057" s="5" t="inlineStr">
        <is>
          <t>VS-11</t>
        </is>
      </c>
      <c r="B1057" s="5" t="inlineStr">
        <is>
          <t>post</t>
        </is>
      </c>
      <c r="C1057" s="5" t="inlineStr">
        <is>
          <t>Standweitsprung</t>
        </is>
      </c>
      <c r="D1057" s="5" t="inlineStr">
        <is>
          <t>–</t>
        </is>
      </c>
      <c r="E1057" s="5" t="n">
        <v>3</v>
      </c>
      <c r="F1057" s="5" t="n"/>
      <c r="G1057" s="5" t="n"/>
      <c r="H1057" s="5" t="inlineStr">
        <is>
          <t>Nur 2 Versuche aus Zeitmangel</t>
        </is>
      </c>
      <c r="I1057" s="22">
        <f>INDEX(Personendaten!$C$2:$C$32,MATCH(A1057,Personendaten!$A$2:$A$32,0))</f>
        <v/>
      </c>
      <c r="J1057" s="22">
        <f>IF(AND(F1057&lt;&gt;"",G1057=""),1,0)</f>
        <v/>
      </c>
      <c r="K1057" s="22">
        <f>IF(LEFT(C1057,7)&lt;&gt;"Sprint_","",IF(COUNTIFS(Versuchsdaten!$A$2:$A$1117,$A1057,Versuchsdaten!$B$2:$B$1117,$B1057,Versuchsdaten!$C$2:$C$1117,"Sprint_5m",Versuchsdaten!$E$2:$E$1117,$E1057,Versuchsdaten!$J$2:$J$1117,1)=1,SUMIFS(Versuchsdaten!$F$2:$F$1117,Versuchsdaten!$A$2:$A$1117,$A1057,Versuchsdaten!$B$2:$B$1117,$B1057,Versuchsdaten!$C$2:$C$1117,"Sprint_5m",Versuchsdaten!$E$2:$E$1117,$E1057,Versuchsdaten!$J$2:$J$1117,1),""))</f>
        <v/>
      </c>
      <c r="L1057" s="22">
        <f>IF(LEFT(C1057,7)&lt;&gt;"Sprint_","",IF(COUNTIFS(Versuchsdaten!$A$2:$A$1117,$A1057,Versuchsdaten!$B$2:$B$1117,$B1057,Versuchsdaten!$C$2:$C$1117,"Sprint_10m",Versuchsdaten!$E$2:$E$1117,$E1057,Versuchsdaten!$J$2:$J$1117,1)=1,SUMIFS(Versuchsdaten!$F$2:$F$1117,Versuchsdaten!$A$2:$A$1117,$A1057,Versuchsdaten!$B$2:$B$1117,$B1057,Versuchsdaten!$C$2:$C$1117,"Sprint_10m",Versuchsdaten!$E$2:$E$1117,$E1057,Versuchsdaten!$J$2:$J$1117,1),""))</f>
        <v/>
      </c>
      <c r="M1057" s="22">
        <f>IF(LEFT(C1057,7)&lt;&gt;"Sprint_","",IF(COUNTIFS(Versuchsdaten!$A$2:$A$1117,$A1057,Versuchsdaten!$B$2:$B$1117,$B1057,Versuchsdaten!$C$2:$C$1117,"Sprint_30m",Versuchsdaten!$E$2:$E$1117,$E1057,Versuchsdaten!$J$2:$J$1117,1)=1,SUMIFS(Versuchsdaten!$F$2:$F$1117,Versuchsdaten!$A$2:$A$1117,$A1057,Versuchsdaten!$B$2:$B$1117,$B1057,Versuchsdaten!$C$2:$C$1117,"Sprint_30m",Versuchsdaten!$E$2:$E$1117,$E1057,Versuchsdaten!$J$2:$J$1117,1),""))</f>
        <v/>
      </c>
      <c r="N1057" s="22">
        <f>IF(LEFT(C1057,7)&lt;&gt;"Sprint_",0,IF(IF(ISNUMBER(K1057),IF(K1057&lt;=0,1,IF(5/K1057&gt;10,1,0)),0)+IF(ISNUMBER(L1057),IF(ISNUMBER(K1057),IF(L1057-K1057&lt;=0,1,IF(5/(L1057-K1057)&gt;10,1,0)),IF(L1057&lt;=0,1,IF(10/L1057&gt;10,1,0))),0)+IF(ISNUMBER(M1057),IF(ISNUMBER(L1057),IF(M1057-L1057&lt;=0,1,IF(20/(M1057-L1057)&gt;10,1,0)),IF(ISNUMBER(K1057),IF(M1057-K1057&lt;=0,1,IF(25/(M1057-K1057)&gt;10,1,0)),IF(M1057&lt;=0,1,IF(30/M1057&gt;10,1,0)))),0)&gt;0,1,0))</f>
        <v/>
      </c>
      <c r="O1057" s="22">
        <f>IF(AND(J1057=1,N1057=0),1,0)</f>
        <v/>
      </c>
      <c r="P1057" s="22">
        <f>INDEX(Personendaten!$J$2:$J$32,MATCH(A1057,Personendaten!$A$2:$A$32,0))</f>
        <v/>
      </c>
      <c r="Q1057" s="22">
        <f>IF(O1057=1,"",IF(AND(B1057="post",P1057="nicht angetreten"),"NANG",IF(N1057=1,"AUSL",IFERROR(VLOOKUP(H1057,Vokabular!$A$2:$B$8,2,FALSE),"UNBEKANNT"))))</f>
        <v/>
      </c>
    </row>
    <row r="1058">
      <c r="A1058" s="5" t="inlineStr">
        <is>
          <t>VS-11</t>
        </is>
      </c>
      <c r="B1058" s="5" t="inlineStr">
        <is>
          <t>post</t>
        </is>
      </c>
      <c r="C1058" s="5" t="inlineStr">
        <is>
          <t>COD_505</t>
        </is>
      </c>
      <c r="D1058" s="5" t="inlineStr">
        <is>
          <t>L</t>
        </is>
      </c>
      <c r="E1058" s="5" t="n">
        <v>1</v>
      </c>
      <c r="F1058" s="5" t="n">
        <v>2.5</v>
      </c>
      <c r="G1058" s="5" t="n"/>
      <c r="H1058" s="5" t="n"/>
      <c r="I1058" s="22">
        <f>INDEX(Personendaten!$C$2:$C$32,MATCH(A1058,Personendaten!$A$2:$A$32,0))</f>
        <v/>
      </c>
      <c r="J1058" s="22">
        <f>IF(AND(F1058&lt;&gt;"",G1058=""),1,0)</f>
        <v/>
      </c>
      <c r="K1058" s="22">
        <f>IF(LEFT(C1058,7)&lt;&gt;"Sprint_","",IF(COUNTIFS(Versuchsdaten!$A$2:$A$1117,$A1058,Versuchsdaten!$B$2:$B$1117,$B1058,Versuchsdaten!$C$2:$C$1117,"Sprint_5m",Versuchsdaten!$E$2:$E$1117,$E1058,Versuchsdaten!$J$2:$J$1117,1)=1,SUMIFS(Versuchsdaten!$F$2:$F$1117,Versuchsdaten!$A$2:$A$1117,$A1058,Versuchsdaten!$B$2:$B$1117,$B1058,Versuchsdaten!$C$2:$C$1117,"Sprint_5m",Versuchsdaten!$E$2:$E$1117,$E1058,Versuchsdaten!$J$2:$J$1117,1),""))</f>
        <v/>
      </c>
      <c r="L1058" s="22">
        <f>IF(LEFT(C1058,7)&lt;&gt;"Sprint_","",IF(COUNTIFS(Versuchsdaten!$A$2:$A$1117,$A1058,Versuchsdaten!$B$2:$B$1117,$B1058,Versuchsdaten!$C$2:$C$1117,"Sprint_10m",Versuchsdaten!$E$2:$E$1117,$E1058,Versuchsdaten!$J$2:$J$1117,1)=1,SUMIFS(Versuchsdaten!$F$2:$F$1117,Versuchsdaten!$A$2:$A$1117,$A1058,Versuchsdaten!$B$2:$B$1117,$B1058,Versuchsdaten!$C$2:$C$1117,"Sprint_10m",Versuchsdaten!$E$2:$E$1117,$E1058,Versuchsdaten!$J$2:$J$1117,1),""))</f>
        <v/>
      </c>
      <c r="M1058" s="22">
        <f>IF(LEFT(C1058,7)&lt;&gt;"Sprint_","",IF(COUNTIFS(Versuchsdaten!$A$2:$A$1117,$A1058,Versuchsdaten!$B$2:$B$1117,$B1058,Versuchsdaten!$C$2:$C$1117,"Sprint_30m",Versuchsdaten!$E$2:$E$1117,$E1058,Versuchsdaten!$J$2:$J$1117,1)=1,SUMIFS(Versuchsdaten!$F$2:$F$1117,Versuchsdaten!$A$2:$A$1117,$A1058,Versuchsdaten!$B$2:$B$1117,$B1058,Versuchsdaten!$C$2:$C$1117,"Sprint_30m",Versuchsdaten!$E$2:$E$1117,$E1058,Versuchsdaten!$J$2:$J$1117,1),""))</f>
        <v/>
      </c>
      <c r="N1058" s="22">
        <f>IF(LEFT(C1058,7)&lt;&gt;"Sprint_",0,IF(IF(ISNUMBER(K1058),IF(K1058&lt;=0,1,IF(5/K1058&gt;10,1,0)),0)+IF(ISNUMBER(L1058),IF(ISNUMBER(K1058),IF(L1058-K1058&lt;=0,1,IF(5/(L1058-K1058)&gt;10,1,0)),IF(L1058&lt;=0,1,IF(10/L1058&gt;10,1,0))),0)+IF(ISNUMBER(M1058),IF(ISNUMBER(L1058),IF(M1058-L1058&lt;=0,1,IF(20/(M1058-L1058)&gt;10,1,0)),IF(ISNUMBER(K1058),IF(M1058-K1058&lt;=0,1,IF(25/(M1058-K1058)&gt;10,1,0)),IF(M1058&lt;=0,1,IF(30/M1058&gt;10,1,0)))),0)&gt;0,1,0))</f>
        <v/>
      </c>
      <c r="O1058" s="22">
        <f>IF(AND(J1058=1,N1058=0),1,0)</f>
        <v/>
      </c>
      <c r="P1058" s="22">
        <f>INDEX(Personendaten!$J$2:$J$32,MATCH(A1058,Personendaten!$A$2:$A$32,0))</f>
        <v/>
      </c>
      <c r="Q1058" s="22">
        <f>IF(O1058=1,"",IF(AND(B1058="post",P1058="nicht angetreten"),"NANG",IF(N1058=1,"AUSL",IFERROR(VLOOKUP(H1058,Vokabular!$A$2:$B$8,2,FALSE),"UNBEKANNT"))))</f>
        <v/>
      </c>
    </row>
    <row r="1059">
      <c r="A1059" s="5" t="inlineStr">
        <is>
          <t>VS-11</t>
        </is>
      </c>
      <c r="B1059" s="5" t="inlineStr">
        <is>
          <t>post</t>
        </is>
      </c>
      <c r="C1059" s="5" t="inlineStr">
        <is>
          <t>COD_505</t>
        </is>
      </c>
      <c r="D1059" s="5" t="inlineStr">
        <is>
          <t>L</t>
        </is>
      </c>
      <c r="E1059" s="5" t="n">
        <v>2</v>
      </c>
      <c r="F1059" s="5" t="n">
        <v>2.5</v>
      </c>
      <c r="G1059" s="5" t="n"/>
      <c r="H1059" s="5" t="n"/>
      <c r="I1059" s="22">
        <f>INDEX(Personendaten!$C$2:$C$32,MATCH(A1059,Personendaten!$A$2:$A$32,0))</f>
        <v/>
      </c>
      <c r="J1059" s="22">
        <f>IF(AND(F1059&lt;&gt;"",G1059=""),1,0)</f>
        <v/>
      </c>
      <c r="K1059" s="22">
        <f>IF(LEFT(C1059,7)&lt;&gt;"Sprint_","",IF(COUNTIFS(Versuchsdaten!$A$2:$A$1117,$A1059,Versuchsdaten!$B$2:$B$1117,$B1059,Versuchsdaten!$C$2:$C$1117,"Sprint_5m",Versuchsdaten!$E$2:$E$1117,$E1059,Versuchsdaten!$J$2:$J$1117,1)=1,SUMIFS(Versuchsdaten!$F$2:$F$1117,Versuchsdaten!$A$2:$A$1117,$A1059,Versuchsdaten!$B$2:$B$1117,$B1059,Versuchsdaten!$C$2:$C$1117,"Sprint_5m",Versuchsdaten!$E$2:$E$1117,$E1059,Versuchsdaten!$J$2:$J$1117,1),""))</f>
        <v/>
      </c>
      <c r="L1059" s="22">
        <f>IF(LEFT(C1059,7)&lt;&gt;"Sprint_","",IF(COUNTIFS(Versuchsdaten!$A$2:$A$1117,$A1059,Versuchsdaten!$B$2:$B$1117,$B1059,Versuchsdaten!$C$2:$C$1117,"Sprint_10m",Versuchsdaten!$E$2:$E$1117,$E1059,Versuchsdaten!$J$2:$J$1117,1)=1,SUMIFS(Versuchsdaten!$F$2:$F$1117,Versuchsdaten!$A$2:$A$1117,$A1059,Versuchsdaten!$B$2:$B$1117,$B1059,Versuchsdaten!$C$2:$C$1117,"Sprint_10m",Versuchsdaten!$E$2:$E$1117,$E1059,Versuchsdaten!$J$2:$J$1117,1),""))</f>
        <v/>
      </c>
      <c r="M1059" s="22">
        <f>IF(LEFT(C1059,7)&lt;&gt;"Sprint_","",IF(COUNTIFS(Versuchsdaten!$A$2:$A$1117,$A1059,Versuchsdaten!$B$2:$B$1117,$B1059,Versuchsdaten!$C$2:$C$1117,"Sprint_30m",Versuchsdaten!$E$2:$E$1117,$E1059,Versuchsdaten!$J$2:$J$1117,1)=1,SUMIFS(Versuchsdaten!$F$2:$F$1117,Versuchsdaten!$A$2:$A$1117,$A1059,Versuchsdaten!$B$2:$B$1117,$B1059,Versuchsdaten!$C$2:$C$1117,"Sprint_30m",Versuchsdaten!$E$2:$E$1117,$E1059,Versuchsdaten!$J$2:$J$1117,1),""))</f>
        <v/>
      </c>
      <c r="N1059" s="22">
        <f>IF(LEFT(C1059,7)&lt;&gt;"Sprint_",0,IF(IF(ISNUMBER(K1059),IF(K1059&lt;=0,1,IF(5/K1059&gt;10,1,0)),0)+IF(ISNUMBER(L1059),IF(ISNUMBER(K1059),IF(L1059-K1059&lt;=0,1,IF(5/(L1059-K1059)&gt;10,1,0)),IF(L1059&lt;=0,1,IF(10/L1059&gt;10,1,0))),0)+IF(ISNUMBER(M1059),IF(ISNUMBER(L1059),IF(M1059-L1059&lt;=0,1,IF(20/(M1059-L1059)&gt;10,1,0)),IF(ISNUMBER(K1059),IF(M1059-K1059&lt;=0,1,IF(25/(M1059-K1059)&gt;10,1,0)),IF(M1059&lt;=0,1,IF(30/M1059&gt;10,1,0)))),0)&gt;0,1,0))</f>
        <v/>
      </c>
      <c r="O1059" s="22">
        <f>IF(AND(J1059=1,N1059=0),1,0)</f>
        <v/>
      </c>
      <c r="P1059" s="22">
        <f>INDEX(Personendaten!$J$2:$J$32,MATCH(A1059,Personendaten!$A$2:$A$32,0))</f>
        <v/>
      </c>
      <c r="Q1059" s="22">
        <f>IF(O1059=1,"",IF(AND(B1059="post",P1059="nicht angetreten"),"NANG",IF(N1059=1,"AUSL",IFERROR(VLOOKUP(H1059,Vokabular!$A$2:$B$8,2,FALSE),"UNBEKANNT"))))</f>
        <v/>
      </c>
    </row>
    <row r="1060">
      <c r="A1060" s="5" t="inlineStr">
        <is>
          <t>VS-11</t>
        </is>
      </c>
      <c r="B1060" s="5" t="inlineStr">
        <is>
          <t>post</t>
        </is>
      </c>
      <c r="C1060" s="5" t="inlineStr">
        <is>
          <t>COD_505</t>
        </is>
      </c>
      <c r="D1060" s="5" t="inlineStr">
        <is>
          <t>L</t>
        </is>
      </c>
      <c r="E1060" s="5" t="n">
        <v>3</v>
      </c>
      <c r="F1060" s="5" t="n"/>
      <c r="G1060" s="5" t="n"/>
      <c r="H1060" s="5" t="inlineStr">
        <is>
          <t>Nur 2 Versuche aus Zeitmangel</t>
        </is>
      </c>
      <c r="I1060" s="22">
        <f>INDEX(Personendaten!$C$2:$C$32,MATCH(A1060,Personendaten!$A$2:$A$32,0))</f>
        <v/>
      </c>
      <c r="J1060" s="22">
        <f>IF(AND(F1060&lt;&gt;"",G1060=""),1,0)</f>
        <v/>
      </c>
      <c r="K1060" s="22">
        <f>IF(LEFT(C1060,7)&lt;&gt;"Sprint_","",IF(COUNTIFS(Versuchsdaten!$A$2:$A$1117,$A1060,Versuchsdaten!$B$2:$B$1117,$B1060,Versuchsdaten!$C$2:$C$1117,"Sprint_5m",Versuchsdaten!$E$2:$E$1117,$E1060,Versuchsdaten!$J$2:$J$1117,1)=1,SUMIFS(Versuchsdaten!$F$2:$F$1117,Versuchsdaten!$A$2:$A$1117,$A1060,Versuchsdaten!$B$2:$B$1117,$B1060,Versuchsdaten!$C$2:$C$1117,"Sprint_5m",Versuchsdaten!$E$2:$E$1117,$E1060,Versuchsdaten!$J$2:$J$1117,1),""))</f>
        <v/>
      </c>
      <c r="L1060" s="22">
        <f>IF(LEFT(C1060,7)&lt;&gt;"Sprint_","",IF(COUNTIFS(Versuchsdaten!$A$2:$A$1117,$A1060,Versuchsdaten!$B$2:$B$1117,$B1060,Versuchsdaten!$C$2:$C$1117,"Sprint_10m",Versuchsdaten!$E$2:$E$1117,$E1060,Versuchsdaten!$J$2:$J$1117,1)=1,SUMIFS(Versuchsdaten!$F$2:$F$1117,Versuchsdaten!$A$2:$A$1117,$A1060,Versuchsdaten!$B$2:$B$1117,$B1060,Versuchsdaten!$C$2:$C$1117,"Sprint_10m",Versuchsdaten!$E$2:$E$1117,$E1060,Versuchsdaten!$J$2:$J$1117,1),""))</f>
        <v/>
      </c>
      <c r="M1060" s="22">
        <f>IF(LEFT(C1060,7)&lt;&gt;"Sprint_","",IF(COUNTIFS(Versuchsdaten!$A$2:$A$1117,$A1060,Versuchsdaten!$B$2:$B$1117,$B1060,Versuchsdaten!$C$2:$C$1117,"Sprint_30m",Versuchsdaten!$E$2:$E$1117,$E1060,Versuchsdaten!$J$2:$J$1117,1)=1,SUMIFS(Versuchsdaten!$F$2:$F$1117,Versuchsdaten!$A$2:$A$1117,$A1060,Versuchsdaten!$B$2:$B$1117,$B1060,Versuchsdaten!$C$2:$C$1117,"Sprint_30m",Versuchsdaten!$E$2:$E$1117,$E1060,Versuchsdaten!$J$2:$J$1117,1),""))</f>
        <v/>
      </c>
      <c r="N1060" s="22">
        <f>IF(LEFT(C1060,7)&lt;&gt;"Sprint_",0,IF(IF(ISNUMBER(K1060),IF(K1060&lt;=0,1,IF(5/K1060&gt;10,1,0)),0)+IF(ISNUMBER(L1060),IF(ISNUMBER(K1060),IF(L1060-K1060&lt;=0,1,IF(5/(L1060-K1060)&gt;10,1,0)),IF(L1060&lt;=0,1,IF(10/L1060&gt;10,1,0))),0)+IF(ISNUMBER(M1060),IF(ISNUMBER(L1060),IF(M1060-L1060&lt;=0,1,IF(20/(M1060-L1060)&gt;10,1,0)),IF(ISNUMBER(K1060),IF(M1060-K1060&lt;=0,1,IF(25/(M1060-K1060)&gt;10,1,0)),IF(M1060&lt;=0,1,IF(30/M1060&gt;10,1,0)))),0)&gt;0,1,0))</f>
        <v/>
      </c>
      <c r="O1060" s="22">
        <f>IF(AND(J1060=1,N1060=0),1,0)</f>
        <v/>
      </c>
      <c r="P1060" s="22">
        <f>INDEX(Personendaten!$J$2:$J$32,MATCH(A1060,Personendaten!$A$2:$A$32,0))</f>
        <v/>
      </c>
      <c r="Q1060" s="22">
        <f>IF(O1060=1,"",IF(AND(B1060="post",P1060="nicht angetreten"),"NANG",IF(N1060=1,"AUSL",IFERROR(VLOOKUP(H1060,Vokabular!$A$2:$B$8,2,FALSE),"UNBEKANNT"))))</f>
        <v/>
      </c>
    </row>
    <row r="1061">
      <c r="A1061" s="5" t="inlineStr">
        <is>
          <t>VS-11</t>
        </is>
      </c>
      <c r="B1061" s="5" t="inlineStr">
        <is>
          <t>post</t>
        </is>
      </c>
      <c r="C1061" s="5" t="inlineStr">
        <is>
          <t>COD_505</t>
        </is>
      </c>
      <c r="D1061" s="5" t="inlineStr">
        <is>
          <t>R</t>
        </is>
      </c>
      <c r="E1061" s="5" t="n">
        <v>1</v>
      </c>
      <c r="F1061" s="5" t="n">
        <v>2.67</v>
      </c>
      <c r="G1061" s="5" t="n"/>
      <c r="H1061" s="5" t="n"/>
      <c r="I1061" s="22">
        <f>INDEX(Personendaten!$C$2:$C$32,MATCH(A1061,Personendaten!$A$2:$A$32,0))</f>
        <v/>
      </c>
      <c r="J1061" s="22">
        <f>IF(AND(F1061&lt;&gt;"",G1061=""),1,0)</f>
        <v/>
      </c>
      <c r="K1061" s="22">
        <f>IF(LEFT(C1061,7)&lt;&gt;"Sprint_","",IF(COUNTIFS(Versuchsdaten!$A$2:$A$1117,$A1061,Versuchsdaten!$B$2:$B$1117,$B1061,Versuchsdaten!$C$2:$C$1117,"Sprint_5m",Versuchsdaten!$E$2:$E$1117,$E1061,Versuchsdaten!$J$2:$J$1117,1)=1,SUMIFS(Versuchsdaten!$F$2:$F$1117,Versuchsdaten!$A$2:$A$1117,$A1061,Versuchsdaten!$B$2:$B$1117,$B1061,Versuchsdaten!$C$2:$C$1117,"Sprint_5m",Versuchsdaten!$E$2:$E$1117,$E1061,Versuchsdaten!$J$2:$J$1117,1),""))</f>
        <v/>
      </c>
      <c r="L1061" s="22">
        <f>IF(LEFT(C1061,7)&lt;&gt;"Sprint_","",IF(COUNTIFS(Versuchsdaten!$A$2:$A$1117,$A1061,Versuchsdaten!$B$2:$B$1117,$B1061,Versuchsdaten!$C$2:$C$1117,"Sprint_10m",Versuchsdaten!$E$2:$E$1117,$E1061,Versuchsdaten!$J$2:$J$1117,1)=1,SUMIFS(Versuchsdaten!$F$2:$F$1117,Versuchsdaten!$A$2:$A$1117,$A1061,Versuchsdaten!$B$2:$B$1117,$B1061,Versuchsdaten!$C$2:$C$1117,"Sprint_10m",Versuchsdaten!$E$2:$E$1117,$E1061,Versuchsdaten!$J$2:$J$1117,1),""))</f>
        <v/>
      </c>
      <c r="M1061" s="22">
        <f>IF(LEFT(C1061,7)&lt;&gt;"Sprint_","",IF(COUNTIFS(Versuchsdaten!$A$2:$A$1117,$A1061,Versuchsdaten!$B$2:$B$1117,$B1061,Versuchsdaten!$C$2:$C$1117,"Sprint_30m",Versuchsdaten!$E$2:$E$1117,$E1061,Versuchsdaten!$J$2:$J$1117,1)=1,SUMIFS(Versuchsdaten!$F$2:$F$1117,Versuchsdaten!$A$2:$A$1117,$A1061,Versuchsdaten!$B$2:$B$1117,$B1061,Versuchsdaten!$C$2:$C$1117,"Sprint_30m",Versuchsdaten!$E$2:$E$1117,$E1061,Versuchsdaten!$J$2:$J$1117,1),""))</f>
        <v/>
      </c>
      <c r="N1061" s="22">
        <f>IF(LEFT(C1061,7)&lt;&gt;"Sprint_",0,IF(IF(ISNUMBER(K1061),IF(K1061&lt;=0,1,IF(5/K1061&gt;10,1,0)),0)+IF(ISNUMBER(L1061),IF(ISNUMBER(K1061),IF(L1061-K1061&lt;=0,1,IF(5/(L1061-K1061)&gt;10,1,0)),IF(L1061&lt;=0,1,IF(10/L1061&gt;10,1,0))),0)+IF(ISNUMBER(M1061),IF(ISNUMBER(L1061),IF(M1061-L1061&lt;=0,1,IF(20/(M1061-L1061)&gt;10,1,0)),IF(ISNUMBER(K1061),IF(M1061-K1061&lt;=0,1,IF(25/(M1061-K1061)&gt;10,1,0)),IF(M1061&lt;=0,1,IF(30/M1061&gt;10,1,0)))),0)&gt;0,1,0))</f>
        <v/>
      </c>
      <c r="O1061" s="22">
        <f>IF(AND(J1061=1,N1061=0),1,0)</f>
        <v/>
      </c>
      <c r="P1061" s="22">
        <f>INDEX(Personendaten!$J$2:$J$32,MATCH(A1061,Personendaten!$A$2:$A$32,0))</f>
        <v/>
      </c>
      <c r="Q1061" s="22">
        <f>IF(O1061=1,"",IF(AND(B1061="post",P1061="nicht angetreten"),"NANG",IF(N1061=1,"AUSL",IFERROR(VLOOKUP(H1061,Vokabular!$A$2:$B$8,2,FALSE),"UNBEKANNT"))))</f>
        <v/>
      </c>
    </row>
    <row r="1062">
      <c r="A1062" s="5" t="inlineStr">
        <is>
          <t>VS-11</t>
        </is>
      </c>
      <c r="B1062" s="5" t="inlineStr">
        <is>
          <t>post</t>
        </is>
      </c>
      <c r="C1062" s="5" t="inlineStr">
        <is>
          <t>COD_505</t>
        </is>
      </c>
      <c r="D1062" s="5" t="inlineStr">
        <is>
          <t>R</t>
        </is>
      </c>
      <c r="E1062" s="5" t="n">
        <v>2</v>
      </c>
      <c r="F1062" s="5" t="n"/>
      <c r="G1062" s="5" t="inlineStr">
        <is>
          <t>x</t>
        </is>
      </c>
      <c r="H1062" s="5" t="inlineStr">
        <is>
          <t>Fehlversuch</t>
        </is>
      </c>
      <c r="I1062" s="22">
        <f>INDEX(Personendaten!$C$2:$C$32,MATCH(A1062,Personendaten!$A$2:$A$32,0))</f>
        <v/>
      </c>
      <c r="J1062" s="22">
        <f>IF(AND(F1062&lt;&gt;"",G1062=""),1,0)</f>
        <v/>
      </c>
      <c r="K1062" s="22">
        <f>IF(LEFT(C1062,7)&lt;&gt;"Sprint_","",IF(COUNTIFS(Versuchsdaten!$A$2:$A$1117,$A1062,Versuchsdaten!$B$2:$B$1117,$B1062,Versuchsdaten!$C$2:$C$1117,"Sprint_5m",Versuchsdaten!$E$2:$E$1117,$E1062,Versuchsdaten!$J$2:$J$1117,1)=1,SUMIFS(Versuchsdaten!$F$2:$F$1117,Versuchsdaten!$A$2:$A$1117,$A1062,Versuchsdaten!$B$2:$B$1117,$B1062,Versuchsdaten!$C$2:$C$1117,"Sprint_5m",Versuchsdaten!$E$2:$E$1117,$E1062,Versuchsdaten!$J$2:$J$1117,1),""))</f>
        <v/>
      </c>
      <c r="L1062" s="22">
        <f>IF(LEFT(C1062,7)&lt;&gt;"Sprint_","",IF(COUNTIFS(Versuchsdaten!$A$2:$A$1117,$A1062,Versuchsdaten!$B$2:$B$1117,$B1062,Versuchsdaten!$C$2:$C$1117,"Sprint_10m",Versuchsdaten!$E$2:$E$1117,$E1062,Versuchsdaten!$J$2:$J$1117,1)=1,SUMIFS(Versuchsdaten!$F$2:$F$1117,Versuchsdaten!$A$2:$A$1117,$A1062,Versuchsdaten!$B$2:$B$1117,$B1062,Versuchsdaten!$C$2:$C$1117,"Sprint_10m",Versuchsdaten!$E$2:$E$1117,$E1062,Versuchsdaten!$J$2:$J$1117,1),""))</f>
        <v/>
      </c>
      <c r="M1062" s="22">
        <f>IF(LEFT(C1062,7)&lt;&gt;"Sprint_","",IF(COUNTIFS(Versuchsdaten!$A$2:$A$1117,$A1062,Versuchsdaten!$B$2:$B$1117,$B1062,Versuchsdaten!$C$2:$C$1117,"Sprint_30m",Versuchsdaten!$E$2:$E$1117,$E1062,Versuchsdaten!$J$2:$J$1117,1)=1,SUMIFS(Versuchsdaten!$F$2:$F$1117,Versuchsdaten!$A$2:$A$1117,$A1062,Versuchsdaten!$B$2:$B$1117,$B1062,Versuchsdaten!$C$2:$C$1117,"Sprint_30m",Versuchsdaten!$E$2:$E$1117,$E1062,Versuchsdaten!$J$2:$J$1117,1),""))</f>
        <v/>
      </c>
      <c r="N1062" s="22">
        <f>IF(LEFT(C1062,7)&lt;&gt;"Sprint_",0,IF(IF(ISNUMBER(K1062),IF(K1062&lt;=0,1,IF(5/K1062&gt;10,1,0)),0)+IF(ISNUMBER(L1062),IF(ISNUMBER(K1062),IF(L1062-K1062&lt;=0,1,IF(5/(L1062-K1062)&gt;10,1,0)),IF(L1062&lt;=0,1,IF(10/L1062&gt;10,1,0))),0)+IF(ISNUMBER(M1062),IF(ISNUMBER(L1062),IF(M1062-L1062&lt;=0,1,IF(20/(M1062-L1062)&gt;10,1,0)),IF(ISNUMBER(K1062),IF(M1062-K1062&lt;=0,1,IF(25/(M1062-K1062)&gt;10,1,0)),IF(M1062&lt;=0,1,IF(30/M1062&gt;10,1,0)))),0)&gt;0,1,0))</f>
        <v/>
      </c>
      <c r="O1062" s="22">
        <f>IF(AND(J1062=1,N1062=0),1,0)</f>
        <v/>
      </c>
      <c r="P1062" s="22">
        <f>INDEX(Personendaten!$J$2:$J$32,MATCH(A1062,Personendaten!$A$2:$A$32,0))</f>
        <v/>
      </c>
      <c r="Q1062" s="22">
        <f>IF(O1062=1,"",IF(AND(B1062="post",P1062="nicht angetreten"),"NANG",IF(N1062=1,"AUSL",IFERROR(VLOOKUP(H1062,Vokabular!$A$2:$B$8,2,FALSE),"UNBEKANNT"))))</f>
        <v/>
      </c>
    </row>
    <row r="1063">
      <c r="A1063" s="5" t="inlineStr">
        <is>
          <t>VS-11</t>
        </is>
      </c>
      <c r="B1063" s="5" t="inlineStr">
        <is>
          <t>post</t>
        </is>
      </c>
      <c r="C1063" s="5" t="inlineStr">
        <is>
          <t>COD_505</t>
        </is>
      </c>
      <c r="D1063" s="5" t="inlineStr">
        <is>
          <t>R</t>
        </is>
      </c>
      <c r="E1063" s="5" t="n">
        <v>3</v>
      </c>
      <c r="F1063" s="5" t="n"/>
      <c r="G1063" s="5" t="n"/>
      <c r="H1063" s="5" t="inlineStr">
        <is>
          <t>Nur 2 Versuche aus Zeitmangel</t>
        </is>
      </c>
      <c r="I1063" s="22">
        <f>INDEX(Personendaten!$C$2:$C$32,MATCH(A1063,Personendaten!$A$2:$A$32,0))</f>
        <v/>
      </c>
      <c r="J1063" s="22">
        <f>IF(AND(F1063&lt;&gt;"",G1063=""),1,0)</f>
        <v/>
      </c>
      <c r="K1063" s="22">
        <f>IF(LEFT(C1063,7)&lt;&gt;"Sprint_","",IF(COUNTIFS(Versuchsdaten!$A$2:$A$1117,$A1063,Versuchsdaten!$B$2:$B$1117,$B1063,Versuchsdaten!$C$2:$C$1117,"Sprint_5m",Versuchsdaten!$E$2:$E$1117,$E1063,Versuchsdaten!$J$2:$J$1117,1)=1,SUMIFS(Versuchsdaten!$F$2:$F$1117,Versuchsdaten!$A$2:$A$1117,$A1063,Versuchsdaten!$B$2:$B$1117,$B1063,Versuchsdaten!$C$2:$C$1117,"Sprint_5m",Versuchsdaten!$E$2:$E$1117,$E1063,Versuchsdaten!$J$2:$J$1117,1),""))</f>
        <v/>
      </c>
      <c r="L1063" s="22">
        <f>IF(LEFT(C1063,7)&lt;&gt;"Sprint_","",IF(COUNTIFS(Versuchsdaten!$A$2:$A$1117,$A1063,Versuchsdaten!$B$2:$B$1117,$B1063,Versuchsdaten!$C$2:$C$1117,"Sprint_10m",Versuchsdaten!$E$2:$E$1117,$E1063,Versuchsdaten!$J$2:$J$1117,1)=1,SUMIFS(Versuchsdaten!$F$2:$F$1117,Versuchsdaten!$A$2:$A$1117,$A1063,Versuchsdaten!$B$2:$B$1117,$B1063,Versuchsdaten!$C$2:$C$1117,"Sprint_10m",Versuchsdaten!$E$2:$E$1117,$E1063,Versuchsdaten!$J$2:$J$1117,1),""))</f>
        <v/>
      </c>
      <c r="M1063" s="22">
        <f>IF(LEFT(C1063,7)&lt;&gt;"Sprint_","",IF(COUNTIFS(Versuchsdaten!$A$2:$A$1117,$A1063,Versuchsdaten!$B$2:$B$1117,$B1063,Versuchsdaten!$C$2:$C$1117,"Sprint_30m",Versuchsdaten!$E$2:$E$1117,$E1063,Versuchsdaten!$J$2:$J$1117,1)=1,SUMIFS(Versuchsdaten!$F$2:$F$1117,Versuchsdaten!$A$2:$A$1117,$A1063,Versuchsdaten!$B$2:$B$1117,$B1063,Versuchsdaten!$C$2:$C$1117,"Sprint_30m",Versuchsdaten!$E$2:$E$1117,$E1063,Versuchsdaten!$J$2:$J$1117,1),""))</f>
        <v/>
      </c>
      <c r="N1063" s="22">
        <f>IF(LEFT(C1063,7)&lt;&gt;"Sprint_",0,IF(IF(ISNUMBER(K1063),IF(K1063&lt;=0,1,IF(5/K1063&gt;10,1,0)),0)+IF(ISNUMBER(L1063),IF(ISNUMBER(K1063),IF(L1063-K1063&lt;=0,1,IF(5/(L1063-K1063)&gt;10,1,0)),IF(L1063&lt;=0,1,IF(10/L1063&gt;10,1,0))),0)+IF(ISNUMBER(M1063),IF(ISNUMBER(L1063),IF(M1063-L1063&lt;=0,1,IF(20/(M1063-L1063)&gt;10,1,0)),IF(ISNUMBER(K1063),IF(M1063-K1063&lt;=0,1,IF(25/(M1063-K1063)&gt;10,1,0)),IF(M1063&lt;=0,1,IF(30/M1063&gt;10,1,0)))),0)&gt;0,1,0))</f>
        <v/>
      </c>
      <c r="O1063" s="22">
        <f>IF(AND(J1063=1,N1063=0),1,0)</f>
        <v/>
      </c>
      <c r="P1063" s="22">
        <f>INDEX(Personendaten!$J$2:$J$32,MATCH(A1063,Personendaten!$A$2:$A$32,0))</f>
        <v/>
      </c>
      <c r="Q1063" s="22">
        <f>IF(O1063=1,"",IF(AND(B1063="post",P1063="nicht angetreten"),"NANG",IF(N1063=1,"AUSL",IFERROR(VLOOKUP(H1063,Vokabular!$A$2:$B$8,2,FALSE),"UNBEKANNT"))))</f>
        <v/>
      </c>
    </row>
    <row r="1064">
      <c r="A1064" s="5" t="inlineStr">
        <is>
          <t>VS-16</t>
        </is>
      </c>
      <c r="B1064" s="5" t="inlineStr">
        <is>
          <t>post</t>
        </is>
      </c>
      <c r="C1064" s="5" t="inlineStr">
        <is>
          <t>Sprint_5m</t>
        </is>
      </c>
      <c r="D1064" s="5" t="inlineStr">
        <is>
          <t>–</t>
        </is>
      </c>
      <c r="E1064" s="5" t="n">
        <v>1</v>
      </c>
      <c r="F1064" s="5" t="n"/>
      <c r="G1064" s="5" t="n"/>
      <c r="H1064" s="5" t="n"/>
      <c r="I1064" s="22">
        <f>INDEX(Personendaten!$C$2:$C$32,MATCH(A1064,Personendaten!$A$2:$A$32,0))</f>
        <v/>
      </c>
      <c r="J1064" s="22">
        <f>IF(AND(F1064&lt;&gt;"",G1064=""),1,0)</f>
        <v/>
      </c>
      <c r="K1064" s="22">
        <f>IF(LEFT(C1064,7)&lt;&gt;"Sprint_","",IF(COUNTIFS(Versuchsdaten!$A$2:$A$1117,$A1064,Versuchsdaten!$B$2:$B$1117,$B1064,Versuchsdaten!$C$2:$C$1117,"Sprint_5m",Versuchsdaten!$E$2:$E$1117,$E1064,Versuchsdaten!$J$2:$J$1117,1)=1,SUMIFS(Versuchsdaten!$F$2:$F$1117,Versuchsdaten!$A$2:$A$1117,$A1064,Versuchsdaten!$B$2:$B$1117,$B1064,Versuchsdaten!$C$2:$C$1117,"Sprint_5m",Versuchsdaten!$E$2:$E$1117,$E1064,Versuchsdaten!$J$2:$J$1117,1),""))</f>
        <v/>
      </c>
      <c r="L1064" s="22">
        <f>IF(LEFT(C1064,7)&lt;&gt;"Sprint_","",IF(COUNTIFS(Versuchsdaten!$A$2:$A$1117,$A1064,Versuchsdaten!$B$2:$B$1117,$B1064,Versuchsdaten!$C$2:$C$1117,"Sprint_10m",Versuchsdaten!$E$2:$E$1117,$E1064,Versuchsdaten!$J$2:$J$1117,1)=1,SUMIFS(Versuchsdaten!$F$2:$F$1117,Versuchsdaten!$A$2:$A$1117,$A1064,Versuchsdaten!$B$2:$B$1117,$B1064,Versuchsdaten!$C$2:$C$1117,"Sprint_10m",Versuchsdaten!$E$2:$E$1117,$E1064,Versuchsdaten!$J$2:$J$1117,1),""))</f>
        <v/>
      </c>
      <c r="M1064" s="22">
        <f>IF(LEFT(C1064,7)&lt;&gt;"Sprint_","",IF(COUNTIFS(Versuchsdaten!$A$2:$A$1117,$A1064,Versuchsdaten!$B$2:$B$1117,$B1064,Versuchsdaten!$C$2:$C$1117,"Sprint_30m",Versuchsdaten!$E$2:$E$1117,$E1064,Versuchsdaten!$J$2:$J$1117,1)=1,SUMIFS(Versuchsdaten!$F$2:$F$1117,Versuchsdaten!$A$2:$A$1117,$A1064,Versuchsdaten!$B$2:$B$1117,$B1064,Versuchsdaten!$C$2:$C$1117,"Sprint_30m",Versuchsdaten!$E$2:$E$1117,$E1064,Versuchsdaten!$J$2:$J$1117,1),""))</f>
        <v/>
      </c>
      <c r="N1064" s="22">
        <f>IF(LEFT(C1064,7)&lt;&gt;"Sprint_",0,IF(IF(ISNUMBER(K1064),IF(K1064&lt;=0,1,IF(5/K1064&gt;10,1,0)),0)+IF(ISNUMBER(L1064),IF(ISNUMBER(K1064),IF(L1064-K1064&lt;=0,1,IF(5/(L1064-K1064)&gt;10,1,0)),IF(L1064&lt;=0,1,IF(10/L1064&gt;10,1,0))),0)+IF(ISNUMBER(M1064),IF(ISNUMBER(L1064),IF(M1064-L1064&lt;=0,1,IF(20/(M1064-L1064)&gt;10,1,0)),IF(ISNUMBER(K1064),IF(M1064-K1064&lt;=0,1,IF(25/(M1064-K1064)&gt;10,1,0)),IF(M1064&lt;=0,1,IF(30/M1064&gt;10,1,0)))),0)&gt;0,1,0))</f>
        <v/>
      </c>
      <c r="O1064" s="22">
        <f>IF(AND(J1064=1,N1064=0),1,0)</f>
        <v/>
      </c>
      <c r="P1064" s="22">
        <f>INDEX(Personendaten!$J$2:$J$32,MATCH(A1064,Personendaten!$A$2:$A$32,0))</f>
        <v/>
      </c>
      <c r="Q1064" s="22">
        <f>IF(O1064=1,"",IF(AND(B1064="post",P1064="nicht angetreten"),"NANG",IF(N1064=1,"AUSL",IFERROR(VLOOKUP(H1064,Vokabular!$A$2:$B$8,2,FALSE),"UNBEKANNT"))))</f>
        <v/>
      </c>
    </row>
    <row r="1065">
      <c r="A1065" s="5" t="inlineStr">
        <is>
          <t>VS-16</t>
        </is>
      </c>
      <c r="B1065" s="5" t="inlineStr">
        <is>
          <t>post</t>
        </is>
      </c>
      <c r="C1065" s="5" t="inlineStr">
        <is>
          <t>Sprint_5m</t>
        </is>
      </c>
      <c r="D1065" s="5" t="inlineStr">
        <is>
          <t>–</t>
        </is>
      </c>
      <c r="E1065" s="5" t="n">
        <v>2</v>
      </c>
      <c r="F1065" s="5" t="n"/>
      <c r="G1065" s="5" t="n"/>
      <c r="H1065" s="5" t="n"/>
      <c r="I1065" s="22">
        <f>INDEX(Personendaten!$C$2:$C$32,MATCH(A1065,Personendaten!$A$2:$A$32,0))</f>
        <v/>
      </c>
      <c r="J1065" s="22">
        <f>IF(AND(F1065&lt;&gt;"",G1065=""),1,0)</f>
        <v/>
      </c>
      <c r="K1065" s="22">
        <f>IF(LEFT(C1065,7)&lt;&gt;"Sprint_","",IF(COUNTIFS(Versuchsdaten!$A$2:$A$1117,$A1065,Versuchsdaten!$B$2:$B$1117,$B1065,Versuchsdaten!$C$2:$C$1117,"Sprint_5m",Versuchsdaten!$E$2:$E$1117,$E1065,Versuchsdaten!$J$2:$J$1117,1)=1,SUMIFS(Versuchsdaten!$F$2:$F$1117,Versuchsdaten!$A$2:$A$1117,$A1065,Versuchsdaten!$B$2:$B$1117,$B1065,Versuchsdaten!$C$2:$C$1117,"Sprint_5m",Versuchsdaten!$E$2:$E$1117,$E1065,Versuchsdaten!$J$2:$J$1117,1),""))</f>
        <v/>
      </c>
      <c r="L1065" s="22">
        <f>IF(LEFT(C1065,7)&lt;&gt;"Sprint_","",IF(COUNTIFS(Versuchsdaten!$A$2:$A$1117,$A1065,Versuchsdaten!$B$2:$B$1117,$B1065,Versuchsdaten!$C$2:$C$1117,"Sprint_10m",Versuchsdaten!$E$2:$E$1117,$E1065,Versuchsdaten!$J$2:$J$1117,1)=1,SUMIFS(Versuchsdaten!$F$2:$F$1117,Versuchsdaten!$A$2:$A$1117,$A1065,Versuchsdaten!$B$2:$B$1117,$B1065,Versuchsdaten!$C$2:$C$1117,"Sprint_10m",Versuchsdaten!$E$2:$E$1117,$E1065,Versuchsdaten!$J$2:$J$1117,1),""))</f>
        <v/>
      </c>
      <c r="M1065" s="22">
        <f>IF(LEFT(C1065,7)&lt;&gt;"Sprint_","",IF(COUNTIFS(Versuchsdaten!$A$2:$A$1117,$A1065,Versuchsdaten!$B$2:$B$1117,$B1065,Versuchsdaten!$C$2:$C$1117,"Sprint_30m",Versuchsdaten!$E$2:$E$1117,$E1065,Versuchsdaten!$J$2:$J$1117,1)=1,SUMIFS(Versuchsdaten!$F$2:$F$1117,Versuchsdaten!$A$2:$A$1117,$A1065,Versuchsdaten!$B$2:$B$1117,$B1065,Versuchsdaten!$C$2:$C$1117,"Sprint_30m",Versuchsdaten!$E$2:$E$1117,$E1065,Versuchsdaten!$J$2:$J$1117,1),""))</f>
        <v/>
      </c>
      <c r="N1065" s="22">
        <f>IF(LEFT(C1065,7)&lt;&gt;"Sprint_",0,IF(IF(ISNUMBER(K1065),IF(K1065&lt;=0,1,IF(5/K1065&gt;10,1,0)),0)+IF(ISNUMBER(L1065),IF(ISNUMBER(K1065),IF(L1065-K1065&lt;=0,1,IF(5/(L1065-K1065)&gt;10,1,0)),IF(L1065&lt;=0,1,IF(10/L1065&gt;10,1,0))),0)+IF(ISNUMBER(M1065),IF(ISNUMBER(L1065),IF(M1065-L1065&lt;=0,1,IF(20/(M1065-L1065)&gt;10,1,0)),IF(ISNUMBER(K1065),IF(M1065-K1065&lt;=0,1,IF(25/(M1065-K1065)&gt;10,1,0)),IF(M1065&lt;=0,1,IF(30/M1065&gt;10,1,0)))),0)&gt;0,1,0))</f>
        <v/>
      </c>
      <c r="O1065" s="22">
        <f>IF(AND(J1065=1,N1065=0),1,0)</f>
        <v/>
      </c>
      <c r="P1065" s="22">
        <f>INDEX(Personendaten!$J$2:$J$32,MATCH(A1065,Personendaten!$A$2:$A$32,0))</f>
        <v/>
      </c>
      <c r="Q1065" s="22">
        <f>IF(O1065=1,"",IF(AND(B1065="post",P1065="nicht angetreten"),"NANG",IF(N1065=1,"AUSL",IFERROR(VLOOKUP(H1065,Vokabular!$A$2:$B$8,2,FALSE),"UNBEKANNT"))))</f>
        <v/>
      </c>
    </row>
    <row r="1066">
      <c r="A1066" s="5" t="inlineStr">
        <is>
          <t>VS-16</t>
        </is>
      </c>
      <c r="B1066" s="5" t="inlineStr">
        <is>
          <t>post</t>
        </is>
      </c>
      <c r="C1066" s="5" t="inlineStr">
        <is>
          <t>Sprint_5m</t>
        </is>
      </c>
      <c r="D1066" s="5" t="inlineStr">
        <is>
          <t>–</t>
        </is>
      </c>
      <c r="E1066" s="5" t="n">
        <v>3</v>
      </c>
      <c r="F1066" s="5" t="n"/>
      <c r="G1066" s="5" t="n"/>
      <c r="H1066" s="5" t="n"/>
      <c r="I1066" s="22">
        <f>INDEX(Personendaten!$C$2:$C$32,MATCH(A1066,Personendaten!$A$2:$A$32,0))</f>
        <v/>
      </c>
      <c r="J1066" s="22">
        <f>IF(AND(F1066&lt;&gt;"",G1066=""),1,0)</f>
        <v/>
      </c>
      <c r="K1066" s="22">
        <f>IF(LEFT(C1066,7)&lt;&gt;"Sprint_","",IF(COUNTIFS(Versuchsdaten!$A$2:$A$1117,$A1066,Versuchsdaten!$B$2:$B$1117,$B1066,Versuchsdaten!$C$2:$C$1117,"Sprint_5m",Versuchsdaten!$E$2:$E$1117,$E1066,Versuchsdaten!$J$2:$J$1117,1)=1,SUMIFS(Versuchsdaten!$F$2:$F$1117,Versuchsdaten!$A$2:$A$1117,$A1066,Versuchsdaten!$B$2:$B$1117,$B1066,Versuchsdaten!$C$2:$C$1117,"Sprint_5m",Versuchsdaten!$E$2:$E$1117,$E1066,Versuchsdaten!$J$2:$J$1117,1),""))</f>
        <v/>
      </c>
      <c r="L1066" s="22">
        <f>IF(LEFT(C1066,7)&lt;&gt;"Sprint_","",IF(COUNTIFS(Versuchsdaten!$A$2:$A$1117,$A1066,Versuchsdaten!$B$2:$B$1117,$B1066,Versuchsdaten!$C$2:$C$1117,"Sprint_10m",Versuchsdaten!$E$2:$E$1117,$E1066,Versuchsdaten!$J$2:$J$1117,1)=1,SUMIFS(Versuchsdaten!$F$2:$F$1117,Versuchsdaten!$A$2:$A$1117,$A1066,Versuchsdaten!$B$2:$B$1117,$B1066,Versuchsdaten!$C$2:$C$1117,"Sprint_10m",Versuchsdaten!$E$2:$E$1117,$E1066,Versuchsdaten!$J$2:$J$1117,1),""))</f>
        <v/>
      </c>
      <c r="M1066" s="22">
        <f>IF(LEFT(C1066,7)&lt;&gt;"Sprint_","",IF(COUNTIFS(Versuchsdaten!$A$2:$A$1117,$A1066,Versuchsdaten!$B$2:$B$1117,$B1066,Versuchsdaten!$C$2:$C$1117,"Sprint_30m",Versuchsdaten!$E$2:$E$1117,$E1066,Versuchsdaten!$J$2:$J$1117,1)=1,SUMIFS(Versuchsdaten!$F$2:$F$1117,Versuchsdaten!$A$2:$A$1117,$A1066,Versuchsdaten!$B$2:$B$1117,$B1066,Versuchsdaten!$C$2:$C$1117,"Sprint_30m",Versuchsdaten!$E$2:$E$1117,$E1066,Versuchsdaten!$J$2:$J$1117,1),""))</f>
        <v/>
      </c>
      <c r="N1066" s="22">
        <f>IF(LEFT(C1066,7)&lt;&gt;"Sprint_",0,IF(IF(ISNUMBER(K1066),IF(K1066&lt;=0,1,IF(5/K1066&gt;10,1,0)),0)+IF(ISNUMBER(L1066),IF(ISNUMBER(K1066),IF(L1066-K1066&lt;=0,1,IF(5/(L1066-K1066)&gt;10,1,0)),IF(L1066&lt;=0,1,IF(10/L1066&gt;10,1,0))),0)+IF(ISNUMBER(M1066),IF(ISNUMBER(L1066),IF(M1066-L1066&lt;=0,1,IF(20/(M1066-L1066)&gt;10,1,0)),IF(ISNUMBER(K1066),IF(M1066-K1066&lt;=0,1,IF(25/(M1066-K1066)&gt;10,1,0)),IF(M1066&lt;=0,1,IF(30/M1066&gt;10,1,0)))),0)&gt;0,1,0))</f>
        <v/>
      </c>
      <c r="O1066" s="22">
        <f>IF(AND(J1066=1,N1066=0),1,0)</f>
        <v/>
      </c>
      <c r="P1066" s="22">
        <f>INDEX(Personendaten!$J$2:$J$32,MATCH(A1066,Personendaten!$A$2:$A$32,0))</f>
        <v/>
      </c>
      <c r="Q1066" s="22">
        <f>IF(O1066=1,"",IF(AND(B1066="post",P1066="nicht angetreten"),"NANG",IF(N1066=1,"AUSL",IFERROR(VLOOKUP(H1066,Vokabular!$A$2:$B$8,2,FALSE),"UNBEKANNT"))))</f>
        <v/>
      </c>
    </row>
    <row r="1067">
      <c r="A1067" s="5" t="inlineStr">
        <is>
          <t>VS-16</t>
        </is>
      </c>
      <c r="B1067" s="5" t="inlineStr">
        <is>
          <t>post</t>
        </is>
      </c>
      <c r="C1067" s="5" t="inlineStr">
        <is>
          <t>Sprint_10m</t>
        </is>
      </c>
      <c r="D1067" s="5" t="inlineStr">
        <is>
          <t>–</t>
        </is>
      </c>
      <c r="E1067" s="5" t="n">
        <v>1</v>
      </c>
      <c r="F1067" s="5" t="n"/>
      <c r="G1067" s="5" t="n"/>
      <c r="H1067" s="5" t="n"/>
      <c r="I1067" s="22">
        <f>INDEX(Personendaten!$C$2:$C$32,MATCH(A1067,Personendaten!$A$2:$A$32,0))</f>
        <v/>
      </c>
      <c r="J1067" s="22">
        <f>IF(AND(F1067&lt;&gt;"",G1067=""),1,0)</f>
        <v/>
      </c>
      <c r="K1067" s="22">
        <f>IF(LEFT(C1067,7)&lt;&gt;"Sprint_","",IF(COUNTIFS(Versuchsdaten!$A$2:$A$1117,$A1067,Versuchsdaten!$B$2:$B$1117,$B1067,Versuchsdaten!$C$2:$C$1117,"Sprint_5m",Versuchsdaten!$E$2:$E$1117,$E1067,Versuchsdaten!$J$2:$J$1117,1)=1,SUMIFS(Versuchsdaten!$F$2:$F$1117,Versuchsdaten!$A$2:$A$1117,$A1067,Versuchsdaten!$B$2:$B$1117,$B1067,Versuchsdaten!$C$2:$C$1117,"Sprint_5m",Versuchsdaten!$E$2:$E$1117,$E1067,Versuchsdaten!$J$2:$J$1117,1),""))</f>
        <v/>
      </c>
      <c r="L1067" s="22">
        <f>IF(LEFT(C1067,7)&lt;&gt;"Sprint_","",IF(COUNTIFS(Versuchsdaten!$A$2:$A$1117,$A1067,Versuchsdaten!$B$2:$B$1117,$B1067,Versuchsdaten!$C$2:$C$1117,"Sprint_10m",Versuchsdaten!$E$2:$E$1117,$E1067,Versuchsdaten!$J$2:$J$1117,1)=1,SUMIFS(Versuchsdaten!$F$2:$F$1117,Versuchsdaten!$A$2:$A$1117,$A1067,Versuchsdaten!$B$2:$B$1117,$B1067,Versuchsdaten!$C$2:$C$1117,"Sprint_10m",Versuchsdaten!$E$2:$E$1117,$E1067,Versuchsdaten!$J$2:$J$1117,1),""))</f>
        <v/>
      </c>
      <c r="M1067" s="22">
        <f>IF(LEFT(C1067,7)&lt;&gt;"Sprint_","",IF(COUNTIFS(Versuchsdaten!$A$2:$A$1117,$A1067,Versuchsdaten!$B$2:$B$1117,$B1067,Versuchsdaten!$C$2:$C$1117,"Sprint_30m",Versuchsdaten!$E$2:$E$1117,$E1067,Versuchsdaten!$J$2:$J$1117,1)=1,SUMIFS(Versuchsdaten!$F$2:$F$1117,Versuchsdaten!$A$2:$A$1117,$A1067,Versuchsdaten!$B$2:$B$1117,$B1067,Versuchsdaten!$C$2:$C$1117,"Sprint_30m",Versuchsdaten!$E$2:$E$1117,$E1067,Versuchsdaten!$J$2:$J$1117,1),""))</f>
        <v/>
      </c>
      <c r="N1067" s="22">
        <f>IF(LEFT(C1067,7)&lt;&gt;"Sprint_",0,IF(IF(ISNUMBER(K1067),IF(K1067&lt;=0,1,IF(5/K1067&gt;10,1,0)),0)+IF(ISNUMBER(L1067),IF(ISNUMBER(K1067),IF(L1067-K1067&lt;=0,1,IF(5/(L1067-K1067)&gt;10,1,0)),IF(L1067&lt;=0,1,IF(10/L1067&gt;10,1,0))),0)+IF(ISNUMBER(M1067),IF(ISNUMBER(L1067),IF(M1067-L1067&lt;=0,1,IF(20/(M1067-L1067)&gt;10,1,0)),IF(ISNUMBER(K1067),IF(M1067-K1067&lt;=0,1,IF(25/(M1067-K1067)&gt;10,1,0)),IF(M1067&lt;=0,1,IF(30/M1067&gt;10,1,0)))),0)&gt;0,1,0))</f>
        <v/>
      </c>
      <c r="O1067" s="22">
        <f>IF(AND(J1067=1,N1067=0),1,0)</f>
        <v/>
      </c>
      <c r="P1067" s="22">
        <f>INDEX(Personendaten!$J$2:$J$32,MATCH(A1067,Personendaten!$A$2:$A$32,0))</f>
        <v/>
      </c>
      <c r="Q1067" s="22">
        <f>IF(O1067=1,"",IF(AND(B1067="post",P1067="nicht angetreten"),"NANG",IF(N1067=1,"AUSL",IFERROR(VLOOKUP(H1067,Vokabular!$A$2:$B$8,2,FALSE),"UNBEKANNT"))))</f>
        <v/>
      </c>
    </row>
    <row r="1068">
      <c r="A1068" s="5" t="inlineStr">
        <is>
          <t>VS-16</t>
        </is>
      </c>
      <c r="B1068" s="5" t="inlineStr">
        <is>
          <t>post</t>
        </is>
      </c>
      <c r="C1068" s="5" t="inlineStr">
        <is>
          <t>Sprint_10m</t>
        </is>
      </c>
      <c r="D1068" s="5" t="inlineStr">
        <is>
          <t>–</t>
        </is>
      </c>
      <c r="E1068" s="5" t="n">
        <v>2</v>
      </c>
      <c r="F1068" s="5" t="n"/>
      <c r="G1068" s="5" t="n"/>
      <c r="H1068" s="5" t="n"/>
      <c r="I1068" s="22">
        <f>INDEX(Personendaten!$C$2:$C$32,MATCH(A1068,Personendaten!$A$2:$A$32,0))</f>
        <v/>
      </c>
      <c r="J1068" s="22">
        <f>IF(AND(F1068&lt;&gt;"",G1068=""),1,0)</f>
        <v/>
      </c>
      <c r="K1068" s="22">
        <f>IF(LEFT(C1068,7)&lt;&gt;"Sprint_","",IF(COUNTIFS(Versuchsdaten!$A$2:$A$1117,$A1068,Versuchsdaten!$B$2:$B$1117,$B1068,Versuchsdaten!$C$2:$C$1117,"Sprint_5m",Versuchsdaten!$E$2:$E$1117,$E1068,Versuchsdaten!$J$2:$J$1117,1)=1,SUMIFS(Versuchsdaten!$F$2:$F$1117,Versuchsdaten!$A$2:$A$1117,$A1068,Versuchsdaten!$B$2:$B$1117,$B1068,Versuchsdaten!$C$2:$C$1117,"Sprint_5m",Versuchsdaten!$E$2:$E$1117,$E1068,Versuchsdaten!$J$2:$J$1117,1),""))</f>
        <v/>
      </c>
      <c r="L1068" s="22">
        <f>IF(LEFT(C1068,7)&lt;&gt;"Sprint_","",IF(COUNTIFS(Versuchsdaten!$A$2:$A$1117,$A1068,Versuchsdaten!$B$2:$B$1117,$B1068,Versuchsdaten!$C$2:$C$1117,"Sprint_10m",Versuchsdaten!$E$2:$E$1117,$E1068,Versuchsdaten!$J$2:$J$1117,1)=1,SUMIFS(Versuchsdaten!$F$2:$F$1117,Versuchsdaten!$A$2:$A$1117,$A1068,Versuchsdaten!$B$2:$B$1117,$B1068,Versuchsdaten!$C$2:$C$1117,"Sprint_10m",Versuchsdaten!$E$2:$E$1117,$E1068,Versuchsdaten!$J$2:$J$1117,1),""))</f>
        <v/>
      </c>
      <c r="M1068" s="22">
        <f>IF(LEFT(C1068,7)&lt;&gt;"Sprint_","",IF(COUNTIFS(Versuchsdaten!$A$2:$A$1117,$A1068,Versuchsdaten!$B$2:$B$1117,$B1068,Versuchsdaten!$C$2:$C$1117,"Sprint_30m",Versuchsdaten!$E$2:$E$1117,$E1068,Versuchsdaten!$J$2:$J$1117,1)=1,SUMIFS(Versuchsdaten!$F$2:$F$1117,Versuchsdaten!$A$2:$A$1117,$A1068,Versuchsdaten!$B$2:$B$1117,$B1068,Versuchsdaten!$C$2:$C$1117,"Sprint_30m",Versuchsdaten!$E$2:$E$1117,$E1068,Versuchsdaten!$J$2:$J$1117,1),""))</f>
        <v/>
      </c>
      <c r="N1068" s="22">
        <f>IF(LEFT(C1068,7)&lt;&gt;"Sprint_",0,IF(IF(ISNUMBER(K1068),IF(K1068&lt;=0,1,IF(5/K1068&gt;10,1,0)),0)+IF(ISNUMBER(L1068),IF(ISNUMBER(K1068),IF(L1068-K1068&lt;=0,1,IF(5/(L1068-K1068)&gt;10,1,0)),IF(L1068&lt;=0,1,IF(10/L1068&gt;10,1,0))),0)+IF(ISNUMBER(M1068),IF(ISNUMBER(L1068),IF(M1068-L1068&lt;=0,1,IF(20/(M1068-L1068)&gt;10,1,0)),IF(ISNUMBER(K1068),IF(M1068-K1068&lt;=0,1,IF(25/(M1068-K1068)&gt;10,1,0)),IF(M1068&lt;=0,1,IF(30/M1068&gt;10,1,0)))),0)&gt;0,1,0))</f>
        <v/>
      </c>
      <c r="O1068" s="22">
        <f>IF(AND(J1068=1,N1068=0),1,0)</f>
        <v/>
      </c>
      <c r="P1068" s="22">
        <f>INDEX(Personendaten!$J$2:$J$32,MATCH(A1068,Personendaten!$A$2:$A$32,0))</f>
        <v/>
      </c>
      <c r="Q1068" s="22">
        <f>IF(O1068=1,"",IF(AND(B1068="post",P1068="nicht angetreten"),"NANG",IF(N1068=1,"AUSL",IFERROR(VLOOKUP(H1068,Vokabular!$A$2:$B$8,2,FALSE),"UNBEKANNT"))))</f>
        <v/>
      </c>
    </row>
    <row r="1069">
      <c r="A1069" s="5" t="inlineStr">
        <is>
          <t>VS-16</t>
        </is>
      </c>
      <c r="B1069" s="5" t="inlineStr">
        <is>
          <t>post</t>
        </is>
      </c>
      <c r="C1069" s="5" t="inlineStr">
        <is>
          <t>Sprint_10m</t>
        </is>
      </c>
      <c r="D1069" s="5" t="inlineStr">
        <is>
          <t>–</t>
        </is>
      </c>
      <c r="E1069" s="5" t="n">
        <v>3</v>
      </c>
      <c r="F1069" s="5" t="n"/>
      <c r="G1069" s="5" t="n"/>
      <c r="H1069" s="5" t="n"/>
      <c r="I1069" s="22">
        <f>INDEX(Personendaten!$C$2:$C$32,MATCH(A1069,Personendaten!$A$2:$A$32,0))</f>
        <v/>
      </c>
      <c r="J1069" s="22">
        <f>IF(AND(F1069&lt;&gt;"",G1069=""),1,0)</f>
        <v/>
      </c>
      <c r="K1069" s="22">
        <f>IF(LEFT(C1069,7)&lt;&gt;"Sprint_","",IF(COUNTIFS(Versuchsdaten!$A$2:$A$1117,$A1069,Versuchsdaten!$B$2:$B$1117,$B1069,Versuchsdaten!$C$2:$C$1117,"Sprint_5m",Versuchsdaten!$E$2:$E$1117,$E1069,Versuchsdaten!$J$2:$J$1117,1)=1,SUMIFS(Versuchsdaten!$F$2:$F$1117,Versuchsdaten!$A$2:$A$1117,$A1069,Versuchsdaten!$B$2:$B$1117,$B1069,Versuchsdaten!$C$2:$C$1117,"Sprint_5m",Versuchsdaten!$E$2:$E$1117,$E1069,Versuchsdaten!$J$2:$J$1117,1),""))</f>
        <v/>
      </c>
      <c r="L1069" s="22">
        <f>IF(LEFT(C1069,7)&lt;&gt;"Sprint_","",IF(COUNTIFS(Versuchsdaten!$A$2:$A$1117,$A1069,Versuchsdaten!$B$2:$B$1117,$B1069,Versuchsdaten!$C$2:$C$1117,"Sprint_10m",Versuchsdaten!$E$2:$E$1117,$E1069,Versuchsdaten!$J$2:$J$1117,1)=1,SUMIFS(Versuchsdaten!$F$2:$F$1117,Versuchsdaten!$A$2:$A$1117,$A1069,Versuchsdaten!$B$2:$B$1117,$B1069,Versuchsdaten!$C$2:$C$1117,"Sprint_10m",Versuchsdaten!$E$2:$E$1117,$E1069,Versuchsdaten!$J$2:$J$1117,1),""))</f>
        <v/>
      </c>
      <c r="M1069" s="22">
        <f>IF(LEFT(C1069,7)&lt;&gt;"Sprint_","",IF(COUNTIFS(Versuchsdaten!$A$2:$A$1117,$A1069,Versuchsdaten!$B$2:$B$1117,$B1069,Versuchsdaten!$C$2:$C$1117,"Sprint_30m",Versuchsdaten!$E$2:$E$1117,$E1069,Versuchsdaten!$J$2:$J$1117,1)=1,SUMIFS(Versuchsdaten!$F$2:$F$1117,Versuchsdaten!$A$2:$A$1117,$A1069,Versuchsdaten!$B$2:$B$1117,$B1069,Versuchsdaten!$C$2:$C$1117,"Sprint_30m",Versuchsdaten!$E$2:$E$1117,$E1069,Versuchsdaten!$J$2:$J$1117,1),""))</f>
        <v/>
      </c>
      <c r="N1069" s="22">
        <f>IF(LEFT(C1069,7)&lt;&gt;"Sprint_",0,IF(IF(ISNUMBER(K1069),IF(K1069&lt;=0,1,IF(5/K1069&gt;10,1,0)),0)+IF(ISNUMBER(L1069),IF(ISNUMBER(K1069),IF(L1069-K1069&lt;=0,1,IF(5/(L1069-K1069)&gt;10,1,0)),IF(L1069&lt;=0,1,IF(10/L1069&gt;10,1,0))),0)+IF(ISNUMBER(M1069),IF(ISNUMBER(L1069),IF(M1069-L1069&lt;=0,1,IF(20/(M1069-L1069)&gt;10,1,0)),IF(ISNUMBER(K1069),IF(M1069-K1069&lt;=0,1,IF(25/(M1069-K1069)&gt;10,1,0)),IF(M1069&lt;=0,1,IF(30/M1069&gt;10,1,0)))),0)&gt;0,1,0))</f>
        <v/>
      </c>
      <c r="O1069" s="22">
        <f>IF(AND(J1069=1,N1069=0),1,0)</f>
        <v/>
      </c>
      <c r="P1069" s="22">
        <f>INDEX(Personendaten!$J$2:$J$32,MATCH(A1069,Personendaten!$A$2:$A$32,0))</f>
        <v/>
      </c>
      <c r="Q1069" s="22">
        <f>IF(O1069=1,"",IF(AND(B1069="post",P1069="nicht angetreten"),"NANG",IF(N1069=1,"AUSL",IFERROR(VLOOKUP(H1069,Vokabular!$A$2:$B$8,2,FALSE),"UNBEKANNT"))))</f>
        <v/>
      </c>
    </row>
    <row r="1070">
      <c r="A1070" s="5" t="inlineStr">
        <is>
          <t>VS-16</t>
        </is>
      </c>
      <c r="B1070" s="5" t="inlineStr">
        <is>
          <t>post</t>
        </is>
      </c>
      <c r="C1070" s="5" t="inlineStr">
        <is>
          <t>Sprint_30m</t>
        </is>
      </c>
      <c r="D1070" s="5" t="inlineStr">
        <is>
          <t>–</t>
        </is>
      </c>
      <c r="E1070" s="5" t="n">
        <v>1</v>
      </c>
      <c r="F1070" s="5" t="n"/>
      <c r="G1070" s="5" t="n"/>
      <c r="H1070" s="5" t="n"/>
      <c r="I1070" s="22">
        <f>INDEX(Personendaten!$C$2:$C$32,MATCH(A1070,Personendaten!$A$2:$A$32,0))</f>
        <v/>
      </c>
      <c r="J1070" s="22">
        <f>IF(AND(F1070&lt;&gt;"",G1070=""),1,0)</f>
        <v/>
      </c>
      <c r="K1070" s="22">
        <f>IF(LEFT(C1070,7)&lt;&gt;"Sprint_","",IF(COUNTIFS(Versuchsdaten!$A$2:$A$1117,$A1070,Versuchsdaten!$B$2:$B$1117,$B1070,Versuchsdaten!$C$2:$C$1117,"Sprint_5m",Versuchsdaten!$E$2:$E$1117,$E1070,Versuchsdaten!$J$2:$J$1117,1)=1,SUMIFS(Versuchsdaten!$F$2:$F$1117,Versuchsdaten!$A$2:$A$1117,$A1070,Versuchsdaten!$B$2:$B$1117,$B1070,Versuchsdaten!$C$2:$C$1117,"Sprint_5m",Versuchsdaten!$E$2:$E$1117,$E1070,Versuchsdaten!$J$2:$J$1117,1),""))</f>
        <v/>
      </c>
      <c r="L1070" s="22">
        <f>IF(LEFT(C1070,7)&lt;&gt;"Sprint_","",IF(COUNTIFS(Versuchsdaten!$A$2:$A$1117,$A1070,Versuchsdaten!$B$2:$B$1117,$B1070,Versuchsdaten!$C$2:$C$1117,"Sprint_10m",Versuchsdaten!$E$2:$E$1117,$E1070,Versuchsdaten!$J$2:$J$1117,1)=1,SUMIFS(Versuchsdaten!$F$2:$F$1117,Versuchsdaten!$A$2:$A$1117,$A1070,Versuchsdaten!$B$2:$B$1117,$B1070,Versuchsdaten!$C$2:$C$1117,"Sprint_10m",Versuchsdaten!$E$2:$E$1117,$E1070,Versuchsdaten!$J$2:$J$1117,1),""))</f>
        <v/>
      </c>
      <c r="M1070" s="22">
        <f>IF(LEFT(C1070,7)&lt;&gt;"Sprint_","",IF(COUNTIFS(Versuchsdaten!$A$2:$A$1117,$A1070,Versuchsdaten!$B$2:$B$1117,$B1070,Versuchsdaten!$C$2:$C$1117,"Sprint_30m",Versuchsdaten!$E$2:$E$1117,$E1070,Versuchsdaten!$J$2:$J$1117,1)=1,SUMIFS(Versuchsdaten!$F$2:$F$1117,Versuchsdaten!$A$2:$A$1117,$A1070,Versuchsdaten!$B$2:$B$1117,$B1070,Versuchsdaten!$C$2:$C$1117,"Sprint_30m",Versuchsdaten!$E$2:$E$1117,$E1070,Versuchsdaten!$J$2:$J$1117,1),""))</f>
        <v/>
      </c>
      <c r="N1070" s="22">
        <f>IF(LEFT(C1070,7)&lt;&gt;"Sprint_",0,IF(IF(ISNUMBER(K1070),IF(K1070&lt;=0,1,IF(5/K1070&gt;10,1,0)),0)+IF(ISNUMBER(L1070),IF(ISNUMBER(K1070),IF(L1070-K1070&lt;=0,1,IF(5/(L1070-K1070)&gt;10,1,0)),IF(L1070&lt;=0,1,IF(10/L1070&gt;10,1,0))),0)+IF(ISNUMBER(M1070),IF(ISNUMBER(L1070),IF(M1070-L1070&lt;=0,1,IF(20/(M1070-L1070)&gt;10,1,0)),IF(ISNUMBER(K1070),IF(M1070-K1070&lt;=0,1,IF(25/(M1070-K1070)&gt;10,1,0)),IF(M1070&lt;=0,1,IF(30/M1070&gt;10,1,0)))),0)&gt;0,1,0))</f>
        <v/>
      </c>
      <c r="O1070" s="22">
        <f>IF(AND(J1070=1,N1070=0),1,0)</f>
        <v/>
      </c>
      <c r="P1070" s="22">
        <f>INDEX(Personendaten!$J$2:$J$32,MATCH(A1070,Personendaten!$A$2:$A$32,0))</f>
        <v/>
      </c>
      <c r="Q1070" s="22">
        <f>IF(O1070=1,"",IF(AND(B1070="post",P1070="nicht angetreten"),"NANG",IF(N1070=1,"AUSL",IFERROR(VLOOKUP(H1070,Vokabular!$A$2:$B$8,2,FALSE),"UNBEKANNT"))))</f>
        <v/>
      </c>
    </row>
    <row r="1071">
      <c r="A1071" s="5" t="inlineStr">
        <is>
          <t>VS-16</t>
        </is>
      </c>
      <c r="B1071" s="5" t="inlineStr">
        <is>
          <t>post</t>
        </is>
      </c>
      <c r="C1071" s="5" t="inlineStr">
        <is>
          <t>Sprint_30m</t>
        </is>
      </c>
      <c r="D1071" s="5" t="inlineStr">
        <is>
          <t>–</t>
        </is>
      </c>
      <c r="E1071" s="5" t="n">
        <v>2</v>
      </c>
      <c r="F1071" s="5" t="n"/>
      <c r="G1071" s="5" t="n"/>
      <c r="H1071" s="5" t="n"/>
      <c r="I1071" s="22">
        <f>INDEX(Personendaten!$C$2:$C$32,MATCH(A1071,Personendaten!$A$2:$A$32,0))</f>
        <v/>
      </c>
      <c r="J1071" s="22">
        <f>IF(AND(F1071&lt;&gt;"",G1071=""),1,0)</f>
        <v/>
      </c>
      <c r="K1071" s="22">
        <f>IF(LEFT(C1071,7)&lt;&gt;"Sprint_","",IF(COUNTIFS(Versuchsdaten!$A$2:$A$1117,$A1071,Versuchsdaten!$B$2:$B$1117,$B1071,Versuchsdaten!$C$2:$C$1117,"Sprint_5m",Versuchsdaten!$E$2:$E$1117,$E1071,Versuchsdaten!$J$2:$J$1117,1)=1,SUMIFS(Versuchsdaten!$F$2:$F$1117,Versuchsdaten!$A$2:$A$1117,$A1071,Versuchsdaten!$B$2:$B$1117,$B1071,Versuchsdaten!$C$2:$C$1117,"Sprint_5m",Versuchsdaten!$E$2:$E$1117,$E1071,Versuchsdaten!$J$2:$J$1117,1),""))</f>
        <v/>
      </c>
      <c r="L1071" s="22">
        <f>IF(LEFT(C1071,7)&lt;&gt;"Sprint_","",IF(COUNTIFS(Versuchsdaten!$A$2:$A$1117,$A1071,Versuchsdaten!$B$2:$B$1117,$B1071,Versuchsdaten!$C$2:$C$1117,"Sprint_10m",Versuchsdaten!$E$2:$E$1117,$E1071,Versuchsdaten!$J$2:$J$1117,1)=1,SUMIFS(Versuchsdaten!$F$2:$F$1117,Versuchsdaten!$A$2:$A$1117,$A1071,Versuchsdaten!$B$2:$B$1117,$B1071,Versuchsdaten!$C$2:$C$1117,"Sprint_10m",Versuchsdaten!$E$2:$E$1117,$E1071,Versuchsdaten!$J$2:$J$1117,1),""))</f>
        <v/>
      </c>
      <c r="M1071" s="22">
        <f>IF(LEFT(C1071,7)&lt;&gt;"Sprint_","",IF(COUNTIFS(Versuchsdaten!$A$2:$A$1117,$A1071,Versuchsdaten!$B$2:$B$1117,$B1071,Versuchsdaten!$C$2:$C$1117,"Sprint_30m",Versuchsdaten!$E$2:$E$1117,$E1071,Versuchsdaten!$J$2:$J$1117,1)=1,SUMIFS(Versuchsdaten!$F$2:$F$1117,Versuchsdaten!$A$2:$A$1117,$A1071,Versuchsdaten!$B$2:$B$1117,$B1071,Versuchsdaten!$C$2:$C$1117,"Sprint_30m",Versuchsdaten!$E$2:$E$1117,$E1071,Versuchsdaten!$J$2:$J$1117,1),""))</f>
        <v/>
      </c>
      <c r="N1071" s="22">
        <f>IF(LEFT(C1071,7)&lt;&gt;"Sprint_",0,IF(IF(ISNUMBER(K1071),IF(K1071&lt;=0,1,IF(5/K1071&gt;10,1,0)),0)+IF(ISNUMBER(L1071),IF(ISNUMBER(K1071),IF(L1071-K1071&lt;=0,1,IF(5/(L1071-K1071)&gt;10,1,0)),IF(L1071&lt;=0,1,IF(10/L1071&gt;10,1,0))),0)+IF(ISNUMBER(M1071),IF(ISNUMBER(L1071),IF(M1071-L1071&lt;=0,1,IF(20/(M1071-L1071)&gt;10,1,0)),IF(ISNUMBER(K1071),IF(M1071-K1071&lt;=0,1,IF(25/(M1071-K1071)&gt;10,1,0)),IF(M1071&lt;=0,1,IF(30/M1071&gt;10,1,0)))),0)&gt;0,1,0))</f>
        <v/>
      </c>
      <c r="O1071" s="22">
        <f>IF(AND(J1071=1,N1071=0),1,0)</f>
        <v/>
      </c>
      <c r="P1071" s="22">
        <f>INDEX(Personendaten!$J$2:$J$32,MATCH(A1071,Personendaten!$A$2:$A$32,0))</f>
        <v/>
      </c>
      <c r="Q1071" s="22">
        <f>IF(O1071=1,"",IF(AND(B1071="post",P1071="nicht angetreten"),"NANG",IF(N1071=1,"AUSL",IFERROR(VLOOKUP(H1071,Vokabular!$A$2:$B$8,2,FALSE),"UNBEKANNT"))))</f>
        <v/>
      </c>
    </row>
    <row r="1072">
      <c r="A1072" s="5" t="inlineStr">
        <is>
          <t>VS-16</t>
        </is>
      </c>
      <c r="B1072" s="5" t="inlineStr">
        <is>
          <t>post</t>
        </is>
      </c>
      <c r="C1072" s="5" t="inlineStr">
        <is>
          <t>Sprint_30m</t>
        </is>
      </c>
      <c r="D1072" s="5" t="inlineStr">
        <is>
          <t>–</t>
        </is>
      </c>
      <c r="E1072" s="5" t="n">
        <v>3</v>
      </c>
      <c r="F1072" s="5" t="n"/>
      <c r="G1072" s="5" t="n"/>
      <c r="H1072" s="5" t="n"/>
      <c r="I1072" s="22">
        <f>INDEX(Personendaten!$C$2:$C$32,MATCH(A1072,Personendaten!$A$2:$A$32,0))</f>
        <v/>
      </c>
      <c r="J1072" s="22">
        <f>IF(AND(F1072&lt;&gt;"",G1072=""),1,0)</f>
        <v/>
      </c>
      <c r="K1072" s="22">
        <f>IF(LEFT(C1072,7)&lt;&gt;"Sprint_","",IF(COUNTIFS(Versuchsdaten!$A$2:$A$1117,$A1072,Versuchsdaten!$B$2:$B$1117,$B1072,Versuchsdaten!$C$2:$C$1117,"Sprint_5m",Versuchsdaten!$E$2:$E$1117,$E1072,Versuchsdaten!$J$2:$J$1117,1)=1,SUMIFS(Versuchsdaten!$F$2:$F$1117,Versuchsdaten!$A$2:$A$1117,$A1072,Versuchsdaten!$B$2:$B$1117,$B1072,Versuchsdaten!$C$2:$C$1117,"Sprint_5m",Versuchsdaten!$E$2:$E$1117,$E1072,Versuchsdaten!$J$2:$J$1117,1),""))</f>
        <v/>
      </c>
      <c r="L1072" s="22">
        <f>IF(LEFT(C1072,7)&lt;&gt;"Sprint_","",IF(COUNTIFS(Versuchsdaten!$A$2:$A$1117,$A1072,Versuchsdaten!$B$2:$B$1117,$B1072,Versuchsdaten!$C$2:$C$1117,"Sprint_10m",Versuchsdaten!$E$2:$E$1117,$E1072,Versuchsdaten!$J$2:$J$1117,1)=1,SUMIFS(Versuchsdaten!$F$2:$F$1117,Versuchsdaten!$A$2:$A$1117,$A1072,Versuchsdaten!$B$2:$B$1117,$B1072,Versuchsdaten!$C$2:$C$1117,"Sprint_10m",Versuchsdaten!$E$2:$E$1117,$E1072,Versuchsdaten!$J$2:$J$1117,1),""))</f>
        <v/>
      </c>
      <c r="M1072" s="22">
        <f>IF(LEFT(C1072,7)&lt;&gt;"Sprint_","",IF(COUNTIFS(Versuchsdaten!$A$2:$A$1117,$A1072,Versuchsdaten!$B$2:$B$1117,$B1072,Versuchsdaten!$C$2:$C$1117,"Sprint_30m",Versuchsdaten!$E$2:$E$1117,$E1072,Versuchsdaten!$J$2:$J$1117,1)=1,SUMIFS(Versuchsdaten!$F$2:$F$1117,Versuchsdaten!$A$2:$A$1117,$A1072,Versuchsdaten!$B$2:$B$1117,$B1072,Versuchsdaten!$C$2:$C$1117,"Sprint_30m",Versuchsdaten!$E$2:$E$1117,$E1072,Versuchsdaten!$J$2:$J$1117,1),""))</f>
        <v/>
      </c>
      <c r="N1072" s="22">
        <f>IF(LEFT(C1072,7)&lt;&gt;"Sprint_",0,IF(IF(ISNUMBER(K1072),IF(K1072&lt;=0,1,IF(5/K1072&gt;10,1,0)),0)+IF(ISNUMBER(L1072),IF(ISNUMBER(K1072),IF(L1072-K1072&lt;=0,1,IF(5/(L1072-K1072)&gt;10,1,0)),IF(L1072&lt;=0,1,IF(10/L1072&gt;10,1,0))),0)+IF(ISNUMBER(M1072),IF(ISNUMBER(L1072),IF(M1072-L1072&lt;=0,1,IF(20/(M1072-L1072)&gt;10,1,0)),IF(ISNUMBER(K1072),IF(M1072-K1072&lt;=0,1,IF(25/(M1072-K1072)&gt;10,1,0)),IF(M1072&lt;=0,1,IF(30/M1072&gt;10,1,0)))),0)&gt;0,1,0))</f>
        <v/>
      </c>
      <c r="O1072" s="22">
        <f>IF(AND(J1072=1,N1072=0),1,0)</f>
        <v/>
      </c>
      <c r="P1072" s="22">
        <f>INDEX(Personendaten!$J$2:$J$32,MATCH(A1072,Personendaten!$A$2:$A$32,0))</f>
        <v/>
      </c>
      <c r="Q1072" s="22">
        <f>IF(O1072=1,"",IF(AND(B1072="post",P1072="nicht angetreten"),"NANG",IF(N1072=1,"AUSL",IFERROR(VLOOKUP(H1072,Vokabular!$A$2:$B$8,2,FALSE),"UNBEKANNT"))))</f>
        <v/>
      </c>
    </row>
    <row r="1073">
      <c r="A1073" s="5" t="inlineStr">
        <is>
          <t>VS-16</t>
        </is>
      </c>
      <c r="B1073" s="5" t="inlineStr">
        <is>
          <t>post</t>
        </is>
      </c>
      <c r="C1073" s="5" t="inlineStr">
        <is>
          <t>Standweitsprung</t>
        </is>
      </c>
      <c r="D1073" s="5" t="inlineStr">
        <is>
          <t>–</t>
        </is>
      </c>
      <c r="E1073" s="5" t="n">
        <v>1</v>
      </c>
      <c r="F1073" s="5" t="n"/>
      <c r="G1073" s="5" t="n"/>
      <c r="H1073" s="5" t="n"/>
      <c r="I1073" s="22">
        <f>INDEX(Personendaten!$C$2:$C$32,MATCH(A1073,Personendaten!$A$2:$A$32,0))</f>
        <v/>
      </c>
      <c r="J1073" s="22">
        <f>IF(AND(F1073&lt;&gt;"",G1073=""),1,0)</f>
        <v/>
      </c>
      <c r="K1073" s="22">
        <f>IF(LEFT(C1073,7)&lt;&gt;"Sprint_","",IF(COUNTIFS(Versuchsdaten!$A$2:$A$1117,$A1073,Versuchsdaten!$B$2:$B$1117,$B1073,Versuchsdaten!$C$2:$C$1117,"Sprint_5m",Versuchsdaten!$E$2:$E$1117,$E1073,Versuchsdaten!$J$2:$J$1117,1)=1,SUMIFS(Versuchsdaten!$F$2:$F$1117,Versuchsdaten!$A$2:$A$1117,$A1073,Versuchsdaten!$B$2:$B$1117,$B1073,Versuchsdaten!$C$2:$C$1117,"Sprint_5m",Versuchsdaten!$E$2:$E$1117,$E1073,Versuchsdaten!$J$2:$J$1117,1),""))</f>
        <v/>
      </c>
      <c r="L1073" s="22">
        <f>IF(LEFT(C1073,7)&lt;&gt;"Sprint_","",IF(COUNTIFS(Versuchsdaten!$A$2:$A$1117,$A1073,Versuchsdaten!$B$2:$B$1117,$B1073,Versuchsdaten!$C$2:$C$1117,"Sprint_10m",Versuchsdaten!$E$2:$E$1117,$E1073,Versuchsdaten!$J$2:$J$1117,1)=1,SUMIFS(Versuchsdaten!$F$2:$F$1117,Versuchsdaten!$A$2:$A$1117,$A1073,Versuchsdaten!$B$2:$B$1117,$B1073,Versuchsdaten!$C$2:$C$1117,"Sprint_10m",Versuchsdaten!$E$2:$E$1117,$E1073,Versuchsdaten!$J$2:$J$1117,1),""))</f>
        <v/>
      </c>
      <c r="M1073" s="22">
        <f>IF(LEFT(C1073,7)&lt;&gt;"Sprint_","",IF(COUNTIFS(Versuchsdaten!$A$2:$A$1117,$A1073,Versuchsdaten!$B$2:$B$1117,$B1073,Versuchsdaten!$C$2:$C$1117,"Sprint_30m",Versuchsdaten!$E$2:$E$1117,$E1073,Versuchsdaten!$J$2:$J$1117,1)=1,SUMIFS(Versuchsdaten!$F$2:$F$1117,Versuchsdaten!$A$2:$A$1117,$A1073,Versuchsdaten!$B$2:$B$1117,$B1073,Versuchsdaten!$C$2:$C$1117,"Sprint_30m",Versuchsdaten!$E$2:$E$1117,$E1073,Versuchsdaten!$J$2:$J$1117,1),""))</f>
        <v/>
      </c>
      <c r="N1073" s="22">
        <f>IF(LEFT(C1073,7)&lt;&gt;"Sprint_",0,IF(IF(ISNUMBER(K1073),IF(K1073&lt;=0,1,IF(5/K1073&gt;10,1,0)),0)+IF(ISNUMBER(L1073),IF(ISNUMBER(K1073),IF(L1073-K1073&lt;=0,1,IF(5/(L1073-K1073)&gt;10,1,0)),IF(L1073&lt;=0,1,IF(10/L1073&gt;10,1,0))),0)+IF(ISNUMBER(M1073),IF(ISNUMBER(L1073),IF(M1073-L1073&lt;=0,1,IF(20/(M1073-L1073)&gt;10,1,0)),IF(ISNUMBER(K1073),IF(M1073-K1073&lt;=0,1,IF(25/(M1073-K1073)&gt;10,1,0)),IF(M1073&lt;=0,1,IF(30/M1073&gt;10,1,0)))),0)&gt;0,1,0))</f>
        <v/>
      </c>
      <c r="O1073" s="22">
        <f>IF(AND(J1073=1,N1073=0),1,0)</f>
        <v/>
      </c>
      <c r="P1073" s="22">
        <f>INDEX(Personendaten!$J$2:$J$32,MATCH(A1073,Personendaten!$A$2:$A$32,0))</f>
        <v/>
      </c>
      <c r="Q1073" s="22">
        <f>IF(O1073=1,"",IF(AND(B1073="post",P1073="nicht angetreten"),"NANG",IF(N1073=1,"AUSL",IFERROR(VLOOKUP(H1073,Vokabular!$A$2:$B$8,2,FALSE),"UNBEKANNT"))))</f>
        <v/>
      </c>
    </row>
    <row r="1074">
      <c r="A1074" s="5" t="inlineStr">
        <is>
          <t>VS-16</t>
        </is>
      </c>
      <c r="B1074" s="5" t="inlineStr">
        <is>
          <t>post</t>
        </is>
      </c>
      <c r="C1074" s="5" t="inlineStr">
        <is>
          <t>Standweitsprung</t>
        </is>
      </c>
      <c r="D1074" s="5" t="inlineStr">
        <is>
          <t>–</t>
        </is>
      </c>
      <c r="E1074" s="5" t="n">
        <v>2</v>
      </c>
      <c r="F1074" s="5" t="n"/>
      <c r="G1074" s="5" t="n"/>
      <c r="H1074" s="5" t="n"/>
      <c r="I1074" s="22">
        <f>INDEX(Personendaten!$C$2:$C$32,MATCH(A1074,Personendaten!$A$2:$A$32,0))</f>
        <v/>
      </c>
      <c r="J1074" s="22">
        <f>IF(AND(F1074&lt;&gt;"",G1074=""),1,0)</f>
        <v/>
      </c>
      <c r="K1074" s="22">
        <f>IF(LEFT(C1074,7)&lt;&gt;"Sprint_","",IF(COUNTIFS(Versuchsdaten!$A$2:$A$1117,$A1074,Versuchsdaten!$B$2:$B$1117,$B1074,Versuchsdaten!$C$2:$C$1117,"Sprint_5m",Versuchsdaten!$E$2:$E$1117,$E1074,Versuchsdaten!$J$2:$J$1117,1)=1,SUMIFS(Versuchsdaten!$F$2:$F$1117,Versuchsdaten!$A$2:$A$1117,$A1074,Versuchsdaten!$B$2:$B$1117,$B1074,Versuchsdaten!$C$2:$C$1117,"Sprint_5m",Versuchsdaten!$E$2:$E$1117,$E1074,Versuchsdaten!$J$2:$J$1117,1),""))</f>
        <v/>
      </c>
      <c r="L1074" s="22">
        <f>IF(LEFT(C1074,7)&lt;&gt;"Sprint_","",IF(COUNTIFS(Versuchsdaten!$A$2:$A$1117,$A1074,Versuchsdaten!$B$2:$B$1117,$B1074,Versuchsdaten!$C$2:$C$1117,"Sprint_10m",Versuchsdaten!$E$2:$E$1117,$E1074,Versuchsdaten!$J$2:$J$1117,1)=1,SUMIFS(Versuchsdaten!$F$2:$F$1117,Versuchsdaten!$A$2:$A$1117,$A1074,Versuchsdaten!$B$2:$B$1117,$B1074,Versuchsdaten!$C$2:$C$1117,"Sprint_10m",Versuchsdaten!$E$2:$E$1117,$E1074,Versuchsdaten!$J$2:$J$1117,1),""))</f>
        <v/>
      </c>
      <c r="M1074" s="22">
        <f>IF(LEFT(C1074,7)&lt;&gt;"Sprint_","",IF(COUNTIFS(Versuchsdaten!$A$2:$A$1117,$A1074,Versuchsdaten!$B$2:$B$1117,$B1074,Versuchsdaten!$C$2:$C$1117,"Sprint_30m",Versuchsdaten!$E$2:$E$1117,$E1074,Versuchsdaten!$J$2:$J$1117,1)=1,SUMIFS(Versuchsdaten!$F$2:$F$1117,Versuchsdaten!$A$2:$A$1117,$A1074,Versuchsdaten!$B$2:$B$1117,$B1074,Versuchsdaten!$C$2:$C$1117,"Sprint_30m",Versuchsdaten!$E$2:$E$1117,$E1074,Versuchsdaten!$J$2:$J$1117,1),""))</f>
        <v/>
      </c>
      <c r="N1074" s="22">
        <f>IF(LEFT(C1074,7)&lt;&gt;"Sprint_",0,IF(IF(ISNUMBER(K1074),IF(K1074&lt;=0,1,IF(5/K1074&gt;10,1,0)),0)+IF(ISNUMBER(L1074),IF(ISNUMBER(K1074),IF(L1074-K1074&lt;=0,1,IF(5/(L1074-K1074)&gt;10,1,0)),IF(L1074&lt;=0,1,IF(10/L1074&gt;10,1,0))),0)+IF(ISNUMBER(M1074),IF(ISNUMBER(L1074),IF(M1074-L1074&lt;=0,1,IF(20/(M1074-L1074)&gt;10,1,0)),IF(ISNUMBER(K1074),IF(M1074-K1074&lt;=0,1,IF(25/(M1074-K1074)&gt;10,1,0)),IF(M1074&lt;=0,1,IF(30/M1074&gt;10,1,0)))),0)&gt;0,1,0))</f>
        <v/>
      </c>
      <c r="O1074" s="22">
        <f>IF(AND(J1074=1,N1074=0),1,0)</f>
        <v/>
      </c>
      <c r="P1074" s="22">
        <f>INDEX(Personendaten!$J$2:$J$32,MATCH(A1074,Personendaten!$A$2:$A$32,0))</f>
        <v/>
      </c>
      <c r="Q1074" s="22">
        <f>IF(O1074=1,"",IF(AND(B1074="post",P1074="nicht angetreten"),"NANG",IF(N1074=1,"AUSL",IFERROR(VLOOKUP(H1074,Vokabular!$A$2:$B$8,2,FALSE),"UNBEKANNT"))))</f>
        <v/>
      </c>
    </row>
    <row r="1075">
      <c r="A1075" s="5" t="inlineStr">
        <is>
          <t>VS-16</t>
        </is>
      </c>
      <c r="B1075" s="5" t="inlineStr">
        <is>
          <t>post</t>
        </is>
      </c>
      <c r="C1075" s="5" t="inlineStr">
        <is>
          <t>Standweitsprung</t>
        </is>
      </c>
      <c r="D1075" s="5" t="inlineStr">
        <is>
          <t>–</t>
        </is>
      </c>
      <c r="E1075" s="5" t="n">
        <v>3</v>
      </c>
      <c r="F1075" s="5" t="n"/>
      <c r="G1075" s="5" t="n"/>
      <c r="H1075" s="5" t="n"/>
      <c r="I1075" s="22">
        <f>INDEX(Personendaten!$C$2:$C$32,MATCH(A1075,Personendaten!$A$2:$A$32,0))</f>
        <v/>
      </c>
      <c r="J1075" s="22">
        <f>IF(AND(F1075&lt;&gt;"",G1075=""),1,0)</f>
        <v/>
      </c>
      <c r="K1075" s="22">
        <f>IF(LEFT(C1075,7)&lt;&gt;"Sprint_","",IF(COUNTIFS(Versuchsdaten!$A$2:$A$1117,$A1075,Versuchsdaten!$B$2:$B$1117,$B1075,Versuchsdaten!$C$2:$C$1117,"Sprint_5m",Versuchsdaten!$E$2:$E$1117,$E1075,Versuchsdaten!$J$2:$J$1117,1)=1,SUMIFS(Versuchsdaten!$F$2:$F$1117,Versuchsdaten!$A$2:$A$1117,$A1075,Versuchsdaten!$B$2:$B$1117,$B1075,Versuchsdaten!$C$2:$C$1117,"Sprint_5m",Versuchsdaten!$E$2:$E$1117,$E1075,Versuchsdaten!$J$2:$J$1117,1),""))</f>
        <v/>
      </c>
      <c r="L1075" s="22">
        <f>IF(LEFT(C1075,7)&lt;&gt;"Sprint_","",IF(COUNTIFS(Versuchsdaten!$A$2:$A$1117,$A1075,Versuchsdaten!$B$2:$B$1117,$B1075,Versuchsdaten!$C$2:$C$1117,"Sprint_10m",Versuchsdaten!$E$2:$E$1117,$E1075,Versuchsdaten!$J$2:$J$1117,1)=1,SUMIFS(Versuchsdaten!$F$2:$F$1117,Versuchsdaten!$A$2:$A$1117,$A1075,Versuchsdaten!$B$2:$B$1117,$B1075,Versuchsdaten!$C$2:$C$1117,"Sprint_10m",Versuchsdaten!$E$2:$E$1117,$E1075,Versuchsdaten!$J$2:$J$1117,1),""))</f>
        <v/>
      </c>
      <c r="M1075" s="22">
        <f>IF(LEFT(C1075,7)&lt;&gt;"Sprint_","",IF(COUNTIFS(Versuchsdaten!$A$2:$A$1117,$A1075,Versuchsdaten!$B$2:$B$1117,$B1075,Versuchsdaten!$C$2:$C$1117,"Sprint_30m",Versuchsdaten!$E$2:$E$1117,$E1075,Versuchsdaten!$J$2:$J$1117,1)=1,SUMIFS(Versuchsdaten!$F$2:$F$1117,Versuchsdaten!$A$2:$A$1117,$A1075,Versuchsdaten!$B$2:$B$1117,$B1075,Versuchsdaten!$C$2:$C$1117,"Sprint_30m",Versuchsdaten!$E$2:$E$1117,$E1075,Versuchsdaten!$J$2:$J$1117,1),""))</f>
        <v/>
      </c>
      <c r="N1075" s="22">
        <f>IF(LEFT(C1075,7)&lt;&gt;"Sprint_",0,IF(IF(ISNUMBER(K1075),IF(K1075&lt;=0,1,IF(5/K1075&gt;10,1,0)),0)+IF(ISNUMBER(L1075),IF(ISNUMBER(K1075),IF(L1075-K1075&lt;=0,1,IF(5/(L1075-K1075)&gt;10,1,0)),IF(L1075&lt;=0,1,IF(10/L1075&gt;10,1,0))),0)+IF(ISNUMBER(M1075),IF(ISNUMBER(L1075),IF(M1075-L1075&lt;=0,1,IF(20/(M1075-L1075)&gt;10,1,0)),IF(ISNUMBER(K1075),IF(M1075-K1075&lt;=0,1,IF(25/(M1075-K1075)&gt;10,1,0)),IF(M1075&lt;=0,1,IF(30/M1075&gt;10,1,0)))),0)&gt;0,1,0))</f>
        <v/>
      </c>
      <c r="O1075" s="22">
        <f>IF(AND(J1075=1,N1075=0),1,0)</f>
        <v/>
      </c>
      <c r="P1075" s="22">
        <f>INDEX(Personendaten!$J$2:$J$32,MATCH(A1075,Personendaten!$A$2:$A$32,0))</f>
        <v/>
      </c>
      <c r="Q1075" s="22">
        <f>IF(O1075=1,"",IF(AND(B1075="post",P1075="nicht angetreten"),"NANG",IF(N1075=1,"AUSL",IFERROR(VLOOKUP(H1075,Vokabular!$A$2:$B$8,2,FALSE),"UNBEKANNT"))))</f>
        <v/>
      </c>
    </row>
    <row r="1076">
      <c r="A1076" s="5" t="inlineStr">
        <is>
          <t>VS-16</t>
        </is>
      </c>
      <c r="B1076" s="5" t="inlineStr">
        <is>
          <t>post</t>
        </is>
      </c>
      <c r="C1076" s="5" t="inlineStr">
        <is>
          <t>COD_505</t>
        </is>
      </c>
      <c r="D1076" s="5" t="inlineStr">
        <is>
          <t>L</t>
        </is>
      </c>
      <c r="E1076" s="5" t="n">
        <v>1</v>
      </c>
      <c r="F1076" s="5" t="n"/>
      <c r="G1076" s="5" t="n"/>
      <c r="H1076" s="5" t="n"/>
      <c r="I1076" s="22">
        <f>INDEX(Personendaten!$C$2:$C$32,MATCH(A1076,Personendaten!$A$2:$A$32,0))</f>
        <v/>
      </c>
      <c r="J1076" s="22">
        <f>IF(AND(F1076&lt;&gt;"",G1076=""),1,0)</f>
        <v/>
      </c>
      <c r="K1076" s="22">
        <f>IF(LEFT(C1076,7)&lt;&gt;"Sprint_","",IF(COUNTIFS(Versuchsdaten!$A$2:$A$1117,$A1076,Versuchsdaten!$B$2:$B$1117,$B1076,Versuchsdaten!$C$2:$C$1117,"Sprint_5m",Versuchsdaten!$E$2:$E$1117,$E1076,Versuchsdaten!$J$2:$J$1117,1)=1,SUMIFS(Versuchsdaten!$F$2:$F$1117,Versuchsdaten!$A$2:$A$1117,$A1076,Versuchsdaten!$B$2:$B$1117,$B1076,Versuchsdaten!$C$2:$C$1117,"Sprint_5m",Versuchsdaten!$E$2:$E$1117,$E1076,Versuchsdaten!$J$2:$J$1117,1),""))</f>
        <v/>
      </c>
      <c r="L1076" s="22">
        <f>IF(LEFT(C1076,7)&lt;&gt;"Sprint_","",IF(COUNTIFS(Versuchsdaten!$A$2:$A$1117,$A1076,Versuchsdaten!$B$2:$B$1117,$B1076,Versuchsdaten!$C$2:$C$1117,"Sprint_10m",Versuchsdaten!$E$2:$E$1117,$E1076,Versuchsdaten!$J$2:$J$1117,1)=1,SUMIFS(Versuchsdaten!$F$2:$F$1117,Versuchsdaten!$A$2:$A$1117,$A1076,Versuchsdaten!$B$2:$B$1117,$B1076,Versuchsdaten!$C$2:$C$1117,"Sprint_10m",Versuchsdaten!$E$2:$E$1117,$E1076,Versuchsdaten!$J$2:$J$1117,1),""))</f>
        <v/>
      </c>
      <c r="M1076" s="22">
        <f>IF(LEFT(C1076,7)&lt;&gt;"Sprint_","",IF(COUNTIFS(Versuchsdaten!$A$2:$A$1117,$A1076,Versuchsdaten!$B$2:$B$1117,$B1076,Versuchsdaten!$C$2:$C$1117,"Sprint_30m",Versuchsdaten!$E$2:$E$1117,$E1076,Versuchsdaten!$J$2:$J$1117,1)=1,SUMIFS(Versuchsdaten!$F$2:$F$1117,Versuchsdaten!$A$2:$A$1117,$A1076,Versuchsdaten!$B$2:$B$1117,$B1076,Versuchsdaten!$C$2:$C$1117,"Sprint_30m",Versuchsdaten!$E$2:$E$1117,$E1076,Versuchsdaten!$J$2:$J$1117,1),""))</f>
        <v/>
      </c>
      <c r="N1076" s="22">
        <f>IF(LEFT(C1076,7)&lt;&gt;"Sprint_",0,IF(IF(ISNUMBER(K1076),IF(K1076&lt;=0,1,IF(5/K1076&gt;10,1,0)),0)+IF(ISNUMBER(L1076),IF(ISNUMBER(K1076),IF(L1076-K1076&lt;=0,1,IF(5/(L1076-K1076)&gt;10,1,0)),IF(L1076&lt;=0,1,IF(10/L1076&gt;10,1,0))),0)+IF(ISNUMBER(M1076),IF(ISNUMBER(L1076),IF(M1076-L1076&lt;=0,1,IF(20/(M1076-L1076)&gt;10,1,0)),IF(ISNUMBER(K1076),IF(M1076-K1076&lt;=0,1,IF(25/(M1076-K1076)&gt;10,1,0)),IF(M1076&lt;=0,1,IF(30/M1076&gt;10,1,0)))),0)&gt;0,1,0))</f>
        <v/>
      </c>
      <c r="O1076" s="22">
        <f>IF(AND(J1076=1,N1076=0),1,0)</f>
        <v/>
      </c>
      <c r="P1076" s="22">
        <f>INDEX(Personendaten!$J$2:$J$32,MATCH(A1076,Personendaten!$A$2:$A$32,0))</f>
        <v/>
      </c>
      <c r="Q1076" s="22">
        <f>IF(O1076=1,"",IF(AND(B1076="post",P1076="nicht angetreten"),"NANG",IF(N1076=1,"AUSL",IFERROR(VLOOKUP(H1076,Vokabular!$A$2:$B$8,2,FALSE),"UNBEKANNT"))))</f>
        <v/>
      </c>
    </row>
    <row r="1077">
      <c r="A1077" s="5" t="inlineStr">
        <is>
          <t>VS-16</t>
        </is>
      </c>
      <c r="B1077" s="5" t="inlineStr">
        <is>
          <t>post</t>
        </is>
      </c>
      <c r="C1077" s="5" t="inlineStr">
        <is>
          <t>COD_505</t>
        </is>
      </c>
      <c r="D1077" s="5" t="inlineStr">
        <is>
          <t>L</t>
        </is>
      </c>
      <c r="E1077" s="5" t="n">
        <v>2</v>
      </c>
      <c r="F1077" s="5" t="n"/>
      <c r="G1077" s="5" t="n"/>
      <c r="H1077" s="5" t="n"/>
      <c r="I1077" s="22">
        <f>INDEX(Personendaten!$C$2:$C$32,MATCH(A1077,Personendaten!$A$2:$A$32,0))</f>
        <v/>
      </c>
      <c r="J1077" s="22">
        <f>IF(AND(F1077&lt;&gt;"",G1077=""),1,0)</f>
        <v/>
      </c>
      <c r="K1077" s="22">
        <f>IF(LEFT(C1077,7)&lt;&gt;"Sprint_","",IF(COUNTIFS(Versuchsdaten!$A$2:$A$1117,$A1077,Versuchsdaten!$B$2:$B$1117,$B1077,Versuchsdaten!$C$2:$C$1117,"Sprint_5m",Versuchsdaten!$E$2:$E$1117,$E1077,Versuchsdaten!$J$2:$J$1117,1)=1,SUMIFS(Versuchsdaten!$F$2:$F$1117,Versuchsdaten!$A$2:$A$1117,$A1077,Versuchsdaten!$B$2:$B$1117,$B1077,Versuchsdaten!$C$2:$C$1117,"Sprint_5m",Versuchsdaten!$E$2:$E$1117,$E1077,Versuchsdaten!$J$2:$J$1117,1),""))</f>
        <v/>
      </c>
      <c r="L1077" s="22">
        <f>IF(LEFT(C1077,7)&lt;&gt;"Sprint_","",IF(COUNTIFS(Versuchsdaten!$A$2:$A$1117,$A1077,Versuchsdaten!$B$2:$B$1117,$B1077,Versuchsdaten!$C$2:$C$1117,"Sprint_10m",Versuchsdaten!$E$2:$E$1117,$E1077,Versuchsdaten!$J$2:$J$1117,1)=1,SUMIFS(Versuchsdaten!$F$2:$F$1117,Versuchsdaten!$A$2:$A$1117,$A1077,Versuchsdaten!$B$2:$B$1117,$B1077,Versuchsdaten!$C$2:$C$1117,"Sprint_10m",Versuchsdaten!$E$2:$E$1117,$E1077,Versuchsdaten!$J$2:$J$1117,1),""))</f>
        <v/>
      </c>
      <c r="M1077" s="22">
        <f>IF(LEFT(C1077,7)&lt;&gt;"Sprint_","",IF(COUNTIFS(Versuchsdaten!$A$2:$A$1117,$A1077,Versuchsdaten!$B$2:$B$1117,$B1077,Versuchsdaten!$C$2:$C$1117,"Sprint_30m",Versuchsdaten!$E$2:$E$1117,$E1077,Versuchsdaten!$J$2:$J$1117,1)=1,SUMIFS(Versuchsdaten!$F$2:$F$1117,Versuchsdaten!$A$2:$A$1117,$A1077,Versuchsdaten!$B$2:$B$1117,$B1077,Versuchsdaten!$C$2:$C$1117,"Sprint_30m",Versuchsdaten!$E$2:$E$1117,$E1077,Versuchsdaten!$J$2:$J$1117,1),""))</f>
        <v/>
      </c>
      <c r="N1077" s="22">
        <f>IF(LEFT(C1077,7)&lt;&gt;"Sprint_",0,IF(IF(ISNUMBER(K1077),IF(K1077&lt;=0,1,IF(5/K1077&gt;10,1,0)),0)+IF(ISNUMBER(L1077),IF(ISNUMBER(K1077),IF(L1077-K1077&lt;=0,1,IF(5/(L1077-K1077)&gt;10,1,0)),IF(L1077&lt;=0,1,IF(10/L1077&gt;10,1,0))),0)+IF(ISNUMBER(M1077),IF(ISNUMBER(L1077),IF(M1077-L1077&lt;=0,1,IF(20/(M1077-L1077)&gt;10,1,0)),IF(ISNUMBER(K1077),IF(M1077-K1077&lt;=0,1,IF(25/(M1077-K1077)&gt;10,1,0)),IF(M1077&lt;=0,1,IF(30/M1077&gt;10,1,0)))),0)&gt;0,1,0))</f>
        <v/>
      </c>
      <c r="O1077" s="22">
        <f>IF(AND(J1077=1,N1077=0),1,0)</f>
        <v/>
      </c>
      <c r="P1077" s="22">
        <f>INDEX(Personendaten!$J$2:$J$32,MATCH(A1077,Personendaten!$A$2:$A$32,0))</f>
        <v/>
      </c>
      <c r="Q1077" s="22">
        <f>IF(O1077=1,"",IF(AND(B1077="post",P1077="nicht angetreten"),"NANG",IF(N1077=1,"AUSL",IFERROR(VLOOKUP(H1077,Vokabular!$A$2:$B$8,2,FALSE),"UNBEKANNT"))))</f>
        <v/>
      </c>
    </row>
    <row r="1078">
      <c r="A1078" s="5" t="inlineStr">
        <is>
          <t>VS-16</t>
        </is>
      </c>
      <c r="B1078" s="5" t="inlineStr">
        <is>
          <t>post</t>
        </is>
      </c>
      <c r="C1078" s="5" t="inlineStr">
        <is>
          <t>COD_505</t>
        </is>
      </c>
      <c r="D1078" s="5" t="inlineStr">
        <is>
          <t>L</t>
        </is>
      </c>
      <c r="E1078" s="5" t="n">
        <v>3</v>
      </c>
      <c r="F1078" s="5" t="n"/>
      <c r="G1078" s="5" t="n"/>
      <c r="H1078" s="5" t="n"/>
      <c r="I1078" s="22">
        <f>INDEX(Personendaten!$C$2:$C$32,MATCH(A1078,Personendaten!$A$2:$A$32,0))</f>
        <v/>
      </c>
      <c r="J1078" s="22">
        <f>IF(AND(F1078&lt;&gt;"",G1078=""),1,0)</f>
        <v/>
      </c>
      <c r="K1078" s="22">
        <f>IF(LEFT(C1078,7)&lt;&gt;"Sprint_","",IF(COUNTIFS(Versuchsdaten!$A$2:$A$1117,$A1078,Versuchsdaten!$B$2:$B$1117,$B1078,Versuchsdaten!$C$2:$C$1117,"Sprint_5m",Versuchsdaten!$E$2:$E$1117,$E1078,Versuchsdaten!$J$2:$J$1117,1)=1,SUMIFS(Versuchsdaten!$F$2:$F$1117,Versuchsdaten!$A$2:$A$1117,$A1078,Versuchsdaten!$B$2:$B$1117,$B1078,Versuchsdaten!$C$2:$C$1117,"Sprint_5m",Versuchsdaten!$E$2:$E$1117,$E1078,Versuchsdaten!$J$2:$J$1117,1),""))</f>
        <v/>
      </c>
      <c r="L1078" s="22">
        <f>IF(LEFT(C1078,7)&lt;&gt;"Sprint_","",IF(COUNTIFS(Versuchsdaten!$A$2:$A$1117,$A1078,Versuchsdaten!$B$2:$B$1117,$B1078,Versuchsdaten!$C$2:$C$1117,"Sprint_10m",Versuchsdaten!$E$2:$E$1117,$E1078,Versuchsdaten!$J$2:$J$1117,1)=1,SUMIFS(Versuchsdaten!$F$2:$F$1117,Versuchsdaten!$A$2:$A$1117,$A1078,Versuchsdaten!$B$2:$B$1117,$B1078,Versuchsdaten!$C$2:$C$1117,"Sprint_10m",Versuchsdaten!$E$2:$E$1117,$E1078,Versuchsdaten!$J$2:$J$1117,1),""))</f>
        <v/>
      </c>
      <c r="M1078" s="22">
        <f>IF(LEFT(C1078,7)&lt;&gt;"Sprint_","",IF(COUNTIFS(Versuchsdaten!$A$2:$A$1117,$A1078,Versuchsdaten!$B$2:$B$1117,$B1078,Versuchsdaten!$C$2:$C$1117,"Sprint_30m",Versuchsdaten!$E$2:$E$1117,$E1078,Versuchsdaten!$J$2:$J$1117,1)=1,SUMIFS(Versuchsdaten!$F$2:$F$1117,Versuchsdaten!$A$2:$A$1117,$A1078,Versuchsdaten!$B$2:$B$1117,$B1078,Versuchsdaten!$C$2:$C$1117,"Sprint_30m",Versuchsdaten!$E$2:$E$1117,$E1078,Versuchsdaten!$J$2:$J$1117,1),""))</f>
        <v/>
      </c>
      <c r="N1078" s="22">
        <f>IF(LEFT(C1078,7)&lt;&gt;"Sprint_",0,IF(IF(ISNUMBER(K1078),IF(K1078&lt;=0,1,IF(5/K1078&gt;10,1,0)),0)+IF(ISNUMBER(L1078),IF(ISNUMBER(K1078),IF(L1078-K1078&lt;=0,1,IF(5/(L1078-K1078)&gt;10,1,0)),IF(L1078&lt;=0,1,IF(10/L1078&gt;10,1,0))),0)+IF(ISNUMBER(M1078),IF(ISNUMBER(L1078),IF(M1078-L1078&lt;=0,1,IF(20/(M1078-L1078)&gt;10,1,0)),IF(ISNUMBER(K1078),IF(M1078-K1078&lt;=0,1,IF(25/(M1078-K1078)&gt;10,1,0)),IF(M1078&lt;=0,1,IF(30/M1078&gt;10,1,0)))),0)&gt;0,1,0))</f>
        <v/>
      </c>
      <c r="O1078" s="22">
        <f>IF(AND(J1078=1,N1078=0),1,0)</f>
        <v/>
      </c>
      <c r="P1078" s="22">
        <f>INDEX(Personendaten!$J$2:$J$32,MATCH(A1078,Personendaten!$A$2:$A$32,0))</f>
        <v/>
      </c>
      <c r="Q1078" s="22">
        <f>IF(O1078=1,"",IF(AND(B1078="post",P1078="nicht angetreten"),"NANG",IF(N1078=1,"AUSL",IFERROR(VLOOKUP(H1078,Vokabular!$A$2:$B$8,2,FALSE),"UNBEKANNT"))))</f>
        <v/>
      </c>
    </row>
    <row r="1079">
      <c r="A1079" s="5" t="inlineStr">
        <is>
          <t>VS-16</t>
        </is>
      </c>
      <c r="B1079" s="5" t="inlineStr">
        <is>
          <t>post</t>
        </is>
      </c>
      <c r="C1079" s="5" t="inlineStr">
        <is>
          <t>COD_505</t>
        </is>
      </c>
      <c r="D1079" s="5" t="inlineStr">
        <is>
          <t>R</t>
        </is>
      </c>
      <c r="E1079" s="5" t="n">
        <v>1</v>
      </c>
      <c r="F1079" s="5" t="n"/>
      <c r="G1079" s="5" t="n"/>
      <c r="H1079" s="5" t="n"/>
      <c r="I1079" s="22">
        <f>INDEX(Personendaten!$C$2:$C$32,MATCH(A1079,Personendaten!$A$2:$A$32,0))</f>
        <v/>
      </c>
      <c r="J1079" s="22">
        <f>IF(AND(F1079&lt;&gt;"",G1079=""),1,0)</f>
        <v/>
      </c>
      <c r="K1079" s="22">
        <f>IF(LEFT(C1079,7)&lt;&gt;"Sprint_","",IF(COUNTIFS(Versuchsdaten!$A$2:$A$1117,$A1079,Versuchsdaten!$B$2:$B$1117,$B1079,Versuchsdaten!$C$2:$C$1117,"Sprint_5m",Versuchsdaten!$E$2:$E$1117,$E1079,Versuchsdaten!$J$2:$J$1117,1)=1,SUMIFS(Versuchsdaten!$F$2:$F$1117,Versuchsdaten!$A$2:$A$1117,$A1079,Versuchsdaten!$B$2:$B$1117,$B1079,Versuchsdaten!$C$2:$C$1117,"Sprint_5m",Versuchsdaten!$E$2:$E$1117,$E1079,Versuchsdaten!$J$2:$J$1117,1),""))</f>
        <v/>
      </c>
      <c r="L1079" s="22">
        <f>IF(LEFT(C1079,7)&lt;&gt;"Sprint_","",IF(COUNTIFS(Versuchsdaten!$A$2:$A$1117,$A1079,Versuchsdaten!$B$2:$B$1117,$B1079,Versuchsdaten!$C$2:$C$1117,"Sprint_10m",Versuchsdaten!$E$2:$E$1117,$E1079,Versuchsdaten!$J$2:$J$1117,1)=1,SUMIFS(Versuchsdaten!$F$2:$F$1117,Versuchsdaten!$A$2:$A$1117,$A1079,Versuchsdaten!$B$2:$B$1117,$B1079,Versuchsdaten!$C$2:$C$1117,"Sprint_10m",Versuchsdaten!$E$2:$E$1117,$E1079,Versuchsdaten!$J$2:$J$1117,1),""))</f>
        <v/>
      </c>
      <c r="M1079" s="22">
        <f>IF(LEFT(C1079,7)&lt;&gt;"Sprint_","",IF(COUNTIFS(Versuchsdaten!$A$2:$A$1117,$A1079,Versuchsdaten!$B$2:$B$1117,$B1079,Versuchsdaten!$C$2:$C$1117,"Sprint_30m",Versuchsdaten!$E$2:$E$1117,$E1079,Versuchsdaten!$J$2:$J$1117,1)=1,SUMIFS(Versuchsdaten!$F$2:$F$1117,Versuchsdaten!$A$2:$A$1117,$A1079,Versuchsdaten!$B$2:$B$1117,$B1079,Versuchsdaten!$C$2:$C$1117,"Sprint_30m",Versuchsdaten!$E$2:$E$1117,$E1079,Versuchsdaten!$J$2:$J$1117,1),""))</f>
        <v/>
      </c>
      <c r="N1079" s="22">
        <f>IF(LEFT(C1079,7)&lt;&gt;"Sprint_",0,IF(IF(ISNUMBER(K1079),IF(K1079&lt;=0,1,IF(5/K1079&gt;10,1,0)),0)+IF(ISNUMBER(L1079),IF(ISNUMBER(K1079),IF(L1079-K1079&lt;=0,1,IF(5/(L1079-K1079)&gt;10,1,0)),IF(L1079&lt;=0,1,IF(10/L1079&gt;10,1,0))),0)+IF(ISNUMBER(M1079),IF(ISNUMBER(L1079),IF(M1079-L1079&lt;=0,1,IF(20/(M1079-L1079)&gt;10,1,0)),IF(ISNUMBER(K1079),IF(M1079-K1079&lt;=0,1,IF(25/(M1079-K1079)&gt;10,1,0)),IF(M1079&lt;=0,1,IF(30/M1079&gt;10,1,0)))),0)&gt;0,1,0))</f>
        <v/>
      </c>
      <c r="O1079" s="22">
        <f>IF(AND(J1079=1,N1079=0),1,0)</f>
        <v/>
      </c>
      <c r="P1079" s="22">
        <f>INDEX(Personendaten!$J$2:$J$32,MATCH(A1079,Personendaten!$A$2:$A$32,0))</f>
        <v/>
      </c>
      <c r="Q1079" s="22">
        <f>IF(O1079=1,"",IF(AND(B1079="post",P1079="nicht angetreten"),"NANG",IF(N1079=1,"AUSL",IFERROR(VLOOKUP(H1079,Vokabular!$A$2:$B$8,2,FALSE),"UNBEKANNT"))))</f>
        <v/>
      </c>
    </row>
    <row r="1080">
      <c r="A1080" s="5" t="inlineStr">
        <is>
          <t>VS-16</t>
        </is>
      </c>
      <c r="B1080" s="5" t="inlineStr">
        <is>
          <t>post</t>
        </is>
      </c>
      <c r="C1080" s="5" t="inlineStr">
        <is>
          <t>COD_505</t>
        </is>
      </c>
      <c r="D1080" s="5" t="inlineStr">
        <is>
          <t>R</t>
        </is>
      </c>
      <c r="E1080" s="5" t="n">
        <v>2</v>
      </c>
      <c r="F1080" s="5" t="n"/>
      <c r="G1080" s="5" t="n"/>
      <c r="H1080" s="5" t="n"/>
      <c r="I1080" s="22">
        <f>INDEX(Personendaten!$C$2:$C$32,MATCH(A1080,Personendaten!$A$2:$A$32,0))</f>
        <v/>
      </c>
      <c r="J1080" s="22">
        <f>IF(AND(F1080&lt;&gt;"",G1080=""),1,0)</f>
        <v/>
      </c>
      <c r="K1080" s="22">
        <f>IF(LEFT(C1080,7)&lt;&gt;"Sprint_","",IF(COUNTIFS(Versuchsdaten!$A$2:$A$1117,$A1080,Versuchsdaten!$B$2:$B$1117,$B1080,Versuchsdaten!$C$2:$C$1117,"Sprint_5m",Versuchsdaten!$E$2:$E$1117,$E1080,Versuchsdaten!$J$2:$J$1117,1)=1,SUMIFS(Versuchsdaten!$F$2:$F$1117,Versuchsdaten!$A$2:$A$1117,$A1080,Versuchsdaten!$B$2:$B$1117,$B1080,Versuchsdaten!$C$2:$C$1117,"Sprint_5m",Versuchsdaten!$E$2:$E$1117,$E1080,Versuchsdaten!$J$2:$J$1117,1),""))</f>
        <v/>
      </c>
      <c r="L1080" s="22">
        <f>IF(LEFT(C1080,7)&lt;&gt;"Sprint_","",IF(COUNTIFS(Versuchsdaten!$A$2:$A$1117,$A1080,Versuchsdaten!$B$2:$B$1117,$B1080,Versuchsdaten!$C$2:$C$1117,"Sprint_10m",Versuchsdaten!$E$2:$E$1117,$E1080,Versuchsdaten!$J$2:$J$1117,1)=1,SUMIFS(Versuchsdaten!$F$2:$F$1117,Versuchsdaten!$A$2:$A$1117,$A1080,Versuchsdaten!$B$2:$B$1117,$B1080,Versuchsdaten!$C$2:$C$1117,"Sprint_10m",Versuchsdaten!$E$2:$E$1117,$E1080,Versuchsdaten!$J$2:$J$1117,1),""))</f>
        <v/>
      </c>
      <c r="M1080" s="22">
        <f>IF(LEFT(C1080,7)&lt;&gt;"Sprint_","",IF(COUNTIFS(Versuchsdaten!$A$2:$A$1117,$A1080,Versuchsdaten!$B$2:$B$1117,$B1080,Versuchsdaten!$C$2:$C$1117,"Sprint_30m",Versuchsdaten!$E$2:$E$1117,$E1080,Versuchsdaten!$J$2:$J$1117,1)=1,SUMIFS(Versuchsdaten!$F$2:$F$1117,Versuchsdaten!$A$2:$A$1117,$A1080,Versuchsdaten!$B$2:$B$1117,$B1080,Versuchsdaten!$C$2:$C$1117,"Sprint_30m",Versuchsdaten!$E$2:$E$1117,$E1080,Versuchsdaten!$J$2:$J$1117,1),""))</f>
        <v/>
      </c>
      <c r="N1080" s="22">
        <f>IF(LEFT(C1080,7)&lt;&gt;"Sprint_",0,IF(IF(ISNUMBER(K1080),IF(K1080&lt;=0,1,IF(5/K1080&gt;10,1,0)),0)+IF(ISNUMBER(L1080),IF(ISNUMBER(K1080),IF(L1080-K1080&lt;=0,1,IF(5/(L1080-K1080)&gt;10,1,0)),IF(L1080&lt;=0,1,IF(10/L1080&gt;10,1,0))),0)+IF(ISNUMBER(M1080),IF(ISNUMBER(L1080),IF(M1080-L1080&lt;=0,1,IF(20/(M1080-L1080)&gt;10,1,0)),IF(ISNUMBER(K1080),IF(M1080-K1080&lt;=0,1,IF(25/(M1080-K1080)&gt;10,1,0)),IF(M1080&lt;=0,1,IF(30/M1080&gt;10,1,0)))),0)&gt;0,1,0))</f>
        <v/>
      </c>
      <c r="O1080" s="22">
        <f>IF(AND(J1080=1,N1080=0),1,0)</f>
        <v/>
      </c>
      <c r="P1080" s="22">
        <f>INDEX(Personendaten!$J$2:$J$32,MATCH(A1080,Personendaten!$A$2:$A$32,0))</f>
        <v/>
      </c>
      <c r="Q1080" s="22">
        <f>IF(O1080=1,"",IF(AND(B1080="post",P1080="nicht angetreten"),"NANG",IF(N1080=1,"AUSL",IFERROR(VLOOKUP(H1080,Vokabular!$A$2:$B$8,2,FALSE),"UNBEKANNT"))))</f>
        <v/>
      </c>
    </row>
    <row r="1081">
      <c r="A1081" s="5" t="inlineStr">
        <is>
          <t>VS-16</t>
        </is>
      </c>
      <c r="B1081" s="5" t="inlineStr">
        <is>
          <t>post</t>
        </is>
      </c>
      <c r="C1081" s="5" t="inlineStr">
        <is>
          <t>COD_505</t>
        </is>
      </c>
      <c r="D1081" s="5" t="inlineStr">
        <is>
          <t>R</t>
        </is>
      </c>
      <c r="E1081" s="5" t="n">
        <v>3</v>
      </c>
      <c r="F1081" s="5" t="n"/>
      <c r="G1081" s="5" t="n"/>
      <c r="H1081" s="5" t="n"/>
      <c r="I1081" s="22">
        <f>INDEX(Personendaten!$C$2:$C$32,MATCH(A1081,Personendaten!$A$2:$A$32,0))</f>
        <v/>
      </c>
      <c r="J1081" s="22">
        <f>IF(AND(F1081&lt;&gt;"",G1081=""),1,0)</f>
        <v/>
      </c>
      <c r="K1081" s="22">
        <f>IF(LEFT(C1081,7)&lt;&gt;"Sprint_","",IF(COUNTIFS(Versuchsdaten!$A$2:$A$1117,$A1081,Versuchsdaten!$B$2:$B$1117,$B1081,Versuchsdaten!$C$2:$C$1117,"Sprint_5m",Versuchsdaten!$E$2:$E$1117,$E1081,Versuchsdaten!$J$2:$J$1117,1)=1,SUMIFS(Versuchsdaten!$F$2:$F$1117,Versuchsdaten!$A$2:$A$1117,$A1081,Versuchsdaten!$B$2:$B$1117,$B1081,Versuchsdaten!$C$2:$C$1117,"Sprint_5m",Versuchsdaten!$E$2:$E$1117,$E1081,Versuchsdaten!$J$2:$J$1117,1),""))</f>
        <v/>
      </c>
      <c r="L1081" s="22">
        <f>IF(LEFT(C1081,7)&lt;&gt;"Sprint_","",IF(COUNTIFS(Versuchsdaten!$A$2:$A$1117,$A1081,Versuchsdaten!$B$2:$B$1117,$B1081,Versuchsdaten!$C$2:$C$1117,"Sprint_10m",Versuchsdaten!$E$2:$E$1117,$E1081,Versuchsdaten!$J$2:$J$1117,1)=1,SUMIFS(Versuchsdaten!$F$2:$F$1117,Versuchsdaten!$A$2:$A$1117,$A1081,Versuchsdaten!$B$2:$B$1117,$B1081,Versuchsdaten!$C$2:$C$1117,"Sprint_10m",Versuchsdaten!$E$2:$E$1117,$E1081,Versuchsdaten!$J$2:$J$1117,1),""))</f>
        <v/>
      </c>
      <c r="M1081" s="22">
        <f>IF(LEFT(C1081,7)&lt;&gt;"Sprint_","",IF(COUNTIFS(Versuchsdaten!$A$2:$A$1117,$A1081,Versuchsdaten!$B$2:$B$1117,$B1081,Versuchsdaten!$C$2:$C$1117,"Sprint_30m",Versuchsdaten!$E$2:$E$1117,$E1081,Versuchsdaten!$J$2:$J$1117,1)=1,SUMIFS(Versuchsdaten!$F$2:$F$1117,Versuchsdaten!$A$2:$A$1117,$A1081,Versuchsdaten!$B$2:$B$1117,$B1081,Versuchsdaten!$C$2:$C$1117,"Sprint_30m",Versuchsdaten!$E$2:$E$1117,$E1081,Versuchsdaten!$J$2:$J$1117,1),""))</f>
        <v/>
      </c>
      <c r="N1081" s="22">
        <f>IF(LEFT(C1081,7)&lt;&gt;"Sprint_",0,IF(IF(ISNUMBER(K1081),IF(K1081&lt;=0,1,IF(5/K1081&gt;10,1,0)),0)+IF(ISNUMBER(L1081),IF(ISNUMBER(K1081),IF(L1081-K1081&lt;=0,1,IF(5/(L1081-K1081)&gt;10,1,0)),IF(L1081&lt;=0,1,IF(10/L1081&gt;10,1,0))),0)+IF(ISNUMBER(M1081),IF(ISNUMBER(L1081),IF(M1081-L1081&lt;=0,1,IF(20/(M1081-L1081)&gt;10,1,0)),IF(ISNUMBER(K1081),IF(M1081-K1081&lt;=0,1,IF(25/(M1081-K1081)&gt;10,1,0)),IF(M1081&lt;=0,1,IF(30/M1081&gt;10,1,0)))),0)&gt;0,1,0))</f>
        <v/>
      </c>
      <c r="O1081" s="22">
        <f>IF(AND(J1081=1,N1081=0),1,0)</f>
        <v/>
      </c>
      <c r="P1081" s="22">
        <f>INDEX(Personendaten!$J$2:$J$32,MATCH(A1081,Personendaten!$A$2:$A$32,0))</f>
        <v/>
      </c>
      <c r="Q1081" s="22">
        <f>IF(O1081=1,"",IF(AND(B1081="post",P1081="nicht angetreten"),"NANG",IF(N1081=1,"AUSL",IFERROR(VLOOKUP(H1081,Vokabular!$A$2:$B$8,2,FALSE),"UNBEKANNT"))))</f>
        <v/>
      </c>
    </row>
    <row r="1082">
      <c r="A1082" s="5" t="inlineStr">
        <is>
          <t>VS-17</t>
        </is>
      </c>
      <c r="B1082" s="5" t="inlineStr">
        <is>
          <t>post</t>
        </is>
      </c>
      <c r="C1082" s="5" t="inlineStr">
        <is>
          <t>Sprint_5m</t>
        </is>
      </c>
      <c r="D1082" s="5" t="inlineStr">
        <is>
          <t>–</t>
        </is>
      </c>
      <c r="E1082" s="5" t="n">
        <v>1</v>
      </c>
      <c r="F1082" s="5" t="n">
        <v>1.35</v>
      </c>
      <c r="G1082" s="5" t="n"/>
      <c r="H1082" s="5" t="n"/>
      <c r="I1082" s="22">
        <f>INDEX(Personendaten!$C$2:$C$32,MATCH(A1082,Personendaten!$A$2:$A$32,0))</f>
        <v/>
      </c>
      <c r="J1082" s="22">
        <f>IF(AND(F1082&lt;&gt;"",G1082=""),1,0)</f>
        <v/>
      </c>
      <c r="K1082" s="22">
        <f>IF(LEFT(C1082,7)&lt;&gt;"Sprint_","",IF(COUNTIFS(Versuchsdaten!$A$2:$A$1117,$A1082,Versuchsdaten!$B$2:$B$1117,$B1082,Versuchsdaten!$C$2:$C$1117,"Sprint_5m",Versuchsdaten!$E$2:$E$1117,$E1082,Versuchsdaten!$J$2:$J$1117,1)=1,SUMIFS(Versuchsdaten!$F$2:$F$1117,Versuchsdaten!$A$2:$A$1117,$A1082,Versuchsdaten!$B$2:$B$1117,$B1082,Versuchsdaten!$C$2:$C$1117,"Sprint_5m",Versuchsdaten!$E$2:$E$1117,$E1082,Versuchsdaten!$J$2:$J$1117,1),""))</f>
        <v/>
      </c>
      <c r="L1082" s="22">
        <f>IF(LEFT(C1082,7)&lt;&gt;"Sprint_","",IF(COUNTIFS(Versuchsdaten!$A$2:$A$1117,$A1082,Versuchsdaten!$B$2:$B$1117,$B1082,Versuchsdaten!$C$2:$C$1117,"Sprint_10m",Versuchsdaten!$E$2:$E$1117,$E1082,Versuchsdaten!$J$2:$J$1117,1)=1,SUMIFS(Versuchsdaten!$F$2:$F$1117,Versuchsdaten!$A$2:$A$1117,$A1082,Versuchsdaten!$B$2:$B$1117,$B1082,Versuchsdaten!$C$2:$C$1117,"Sprint_10m",Versuchsdaten!$E$2:$E$1117,$E1082,Versuchsdaten!$J$2:$J$1117,1),""))</f>
        <v/>
      </c>
      <c r="M1082" s="22">
        <f>IF(LEFT(C1082,7)&lt;&gt;"Sprint_","",IF(COUNTIFS(Versuchsdaten!$A$2:$A$1117,$A1082,Versuchsdaten!$B$2:$B$1117,$B1082,Versuchsdaten!$C$2:$C$1117,"Sprint_30m",Versuchsdaten!$E$2:$E$1117,$E1082,Versuchsdaten!$J$2:$J$1117,1)=1,SUMIFS(Versuchsdaten!$F$2:$F$1117,Versuchsdaten!$A$2:$A$1117,$A1082,Versuchsdaten!$B$2:$B$1117,$B1082,Versuchsdaten!$C$2:$C$1117,"Sprint_30m",Versuchsdaten!$E$2:$E$1117,$E1082,Versuchsdaten!$J$2:$J$1117,1),""))</f>
        <v/>
      </c>
      <c r="N1082" s="22">
        <f>IF(LEFT(C1082,7)&lt;&gt;"Sprint_",0,IF(IF(ISNUMBER(K1082),IF(K1082&lt;=0,1,IF(5/K1082&gt;10,1,0)),0)+IF(ISNUMBER(L1082),IF(ISNUMBER(K1082),IF(L1082-K1082&lt;=0,1,IF(5/(L1082-K1082)&gt;10,1,0)),IF(L1082&lt;=0,1,IF(10/L1082&gt;10,1,0))),0)+IF(ISNUMBER(M1082),IF(ISNUMBER(L1082),IF(M1082-L1082&lt;=0,1,IF(20/(M1082-L1082)&gt;10,1,0)),IF(ISNUMBER(K1082),IF(M1082-K1082&lt;=0,1,IF(25/(M1082-K1082)&gt;10,1,0)),IF(M1082&lt;=0,1,IF(30/M1082&gt;10,1,0)))),0)&gt;0,1,0))</f>
        <v/>
      </c>
      <c r="O1082" s="22">
        <f>IF(AND(J1082=1,N1082=0),1,0)</f>
        <v/>
      </c>
      <c r="P1082" s="22">
        <f>INDEX(Personendaten!$J$2:$J$32,MATCH(A1082,Personendaten!$A$2:$A$32,0))</f>
        <v/>
      </c>
      <c r="Q1082" s="22">
        <f>IF(O1082=1,"",IF(AND(B1082="post",P1082="nicht angetreten"),"NANG",IF(N1082=1,"AUSL",IFERROR(VLOOKUP(H1082,Vokabular!$A$2:$B$8,2,FALSE),"UNBEKANNT"))))</f>
        <v/>
      </c>
    </row>
    <row r="1083">
      <c r="A1083" s="5" t="inlineStr">
        <is>
          <t>VS-17</t>
        </is>
      </c>
      <c r="B1083" s="5" t="inlineStr">
        <is>
          <t>post</t>
        </is>
      </c>
      <c r="C1083" s="5" t="inlineStr">
        <is>
          <t>Sprint_5m</t>
        </is>
      </c>
      <c r="D1083" s="5" t="inlineStr">
        <is>
          <t>–</t>
        </is>
      </c>
      <c r="E1083" s="5" t="n">
        <v>2</v>
      </c>
      <c r="F1083" s="5" t="n">
        <v>1.13</v>
      </c>
      <c r="G1083" s="5" t="n"/>
      <c r="H1083" s="5" t="n"/>
      <c r="I1083" s="22">
        <f>INDEX(Personendaten!$C$2:$C$32,MATCH(A1083,Personendaten!$A$2:$A$32,0))</f>
        <v/>
      </c>
      <c r="J1083" s="22">
        <f>IF(AND(F1083&lt;&gt;"",G1083=""),1,0)</f>
        <v/>
      </c>
      <c r="K1083" s="22">
        <f>IF(LEFT(C1083,7)&lt;&gt;"Sprint_","",IF(COUNTIFS(Versuchsdaten!$A$2:$A$1117,$A1083,Versuchsdaten!$B$2:$B$1117,$B1083,Versuchsdaten!$C$2:$C$1117,"Sprint_5m",Versuchsdaten!$E$2:$E$1117,$E1083,Versuchsdaten!$J$2:$J$1117,1)=1,SUMIFS(Versuchsdaten!$F$2:$F$1117,Versuchsdaten!$A$2:$A$1117,$A1083,Versuchsdaten!$B$2:$B$1117,$B1083,Versuchsdaten!$C$2:$C$1117,"Sprint_5m",Versuchsdaten!$E$2:$E$1117,$E1083,Versuchsdaten!$J$2:$J$1117,1),""))</f>
        <v/>
      </c>
      <c r="L1083" s="22">
        <f>IF(LEFT(C1083,7)&lt;&gt;"Sprint_","",IF(COUNTIFS(Versuchsdaten!$A$2:$A$1117,$A1083,Versuchsdaten!$B$2:$B$1117,$B1083,Versuchsdaten!$C$2:$C$1117,"Sprint_10m",Versuchsdaten!$E$2:$E$1117,$E1083,Versuchsdaten!$J$2:$J$1117,1)=1,SUMIFS(Versuchsdaten!$F$2:$F$1117,Versuchsdaten!$A$2:$A$1117,$A1083,Versuchsdaten!$B$2:$B$1117,$B1083,Versuchsdaten!$C$2:$C$1117,"Sprint_10m",Versuchsdaten!$E$2:$E$1117,$E1083,Versuchsdaten!$J$2:$J$1117,1),""))</f>
        <v/>
      </c>
      <c r="M1083" s="22">
        <f>IF(LEFT(C1083,7)&lt;&gt;"Sprint_","",IF(COUNTIFS(Versuchsdaten!$A$2:$A$1117,$A1083,Versuchsdaten!$B$2:$B$1117,$B1083,Versuchsdaten!$C$2:$C$1117,"Sprint_30m",Versuchsdaten!$E$2:$E$1117,$E1083,Versuchsdaten!$J$2:$J$1117,1)=1,SUMIFS(Versuchsdaten!$F$2:$F$1117,Versuchsdaten!$A$2:$A$1117,$A1083,Versuchsdaten!$B$2:$B$1117,$B1083,Versuchsdaten!$C$2:$C$1117,"Sprint_30m",Versuchsdaten!$E$2:$E$1117,$E1083,Versuchsdaten!$J$2:$J$1117,1),""))</f>
        <v/>
      </c>
      <c r="N1083" s="22">
        <f>IF(LEFT(C1083,7)&lt;&gt;"Sprint_",0,IF(IF(ISNUMBER(K1083),IF(K1083&lt;=0,1,IF(5/K1083&gt;10,1,0)),0)+IF(ISNUMBER(L1083),IF(ISNUMBER(K1083),IF(L1083-K1083&lt;=0,1,IF(5/(L1083-K1083)&gt;10,1,0)),IF(L1083&lt;=0,1,IF(10/L1083&gt;10,1,0))),0)+IF(ISNUMBER(M1083),IF(ISNUMBER(L1083),IF(M1083-L1083&lt;=0,1,IF(20/(M1083-L1083)&gt;10,1,0)),IF(ISNUMBER(K1083),IF(M1083-K1083&lt;=0,1,IF(25/(M1083-K1083)&gt;10,1,0)),IF(M1083&lt;=0,1,IF(30/M1083&gt;10,1,0)))),0)&gt;0,1,0))</f>
        <v/>
      </c>
      <c r="O1083" s="22">
        <f>IF(AND(J1083=1,N1083=0),1,0)</f>
        <v/>
      </c>
      <c r="P1083" s="22">
        <f>INDEX(Personendaten!$J$2:$J$32,MATCH(A1083,Personendaten!$A$2:$A$32,0))</f>
        <v/>
      </c>
      <c r="Q1083" s="22">
        <f>IF(O1083=1,"",IF(AND(B1083="post",P1083="nicht angetreten"),"NANG",IF(N1083=1,"AUSL",IFERROR(VLOOKUP(H1083,Vokabular!$A$2:$B$8,2,FALSE),"UNBEKANNT"))))</f>
        <v/>
      </c>
    </row>
    <row r="1084">
      <c r="A1084" s="5" t="inlineStr">
        <is>
          <t>VS-17</t>
        </is>
      </c>
      <c r="B1084" s="5" t="inlineStr">
        <is>
          <t>post</t>
        </is>
      </c>
      <c r="C1084" s="5" t="inlineStr">
        <is>
          <t>Sprint_5m</t>
        </is>
      </c>
      <c r="D1084" s="5" t="inlineStr">
        <is>
          <t>–</t>
        </is>
      </c>
      <c r="E1084" s="5" t="n">
        <v>3</v>
      </c>
      <c r="F1084" s="5" t="n"/>
      <c r="G1084" s="5" t="n"/>
      <c r="H1084" s="5" t="inlineStr">
        <is>
          <t>Nur 2 Versuche aus Zeitmangel</t>
        </is>
      </c>
      <c r="I1084" s="22">
        <f>INDEX(Personendaten!$C$2:$C$32,MATCH(A1084,Personendaten!$A$2:$A$32,0))</f>
        <v/>
      </c>
      <c r="J1084" s="22">
        <f>IF(AND(F1084&lt;&gt;"",G1084=""),1,0)</f>
        <v/>
      </c>
      <c r="K1084" s="22">
        <f>IF(LEFT(C1084,7)&lt;&gt;"Sprint_","",IF(COUNTIFS(Versuchsdaten!$A$2:$A$1117,$A1084,Versuchsdaten!$B$2:$B$1117,$B1084,Versuchsdaten!$C$2:$C$1117,"Sprint_5m",Versuchsdaten!$E$2:$E$1117,$E1084,Versuchsdaten!$J$2:$J$1117,1)=1,SUMIFS(Versuchsdaten!$F$2:$F$1117,Versuchsdaten!$A$2:$A$1117,$A1084,Versuchsdaten!$B$2:$B$1117,$B1084,Versuchsdaten!$C$2:$C$1117,"Sprint_5m",Versuchsdaten!$E$2:$E$1117,$E1084,Versuchsdaten!$J$2:$J$1117,1),""))</f>
        <v/>
      </c>
      <c r="L1084" s="22">
        <f>IF(LEFT(C1084,7)&lt;&gt;"Sprint_","",IF(COUNTIFS(Versuchsdaten!$A$2:$A$1117,$A1084,Versuchsdaten!$B$2:$B$1117,$B1084,Versuchsdaten!$C$2:$C$1117,"Sprint_10m",Versuchsdaten!$E$2:$E$1117,$E1084,Versuchsdaten!$J$2:$J$1117,1)=1,SUMIFS(Versuchsdaten!$F$2:$F$1117,Versuchsdaten!$A$2:$A$1117,$A1084,Versuchsdaten!$B$2:$B$1117,$B1084,Versuchsdaten!$C$2:$C$1117,"Sprint_10m",Versuchsdaten!$E$2:$E$1117,$E1084,Versuchsdaten!$J$2:$J$1117,1),""))</f>
        <v/>
      </c>
      <c r="M1084" s="22">
        <f>IF(LEFT(C1084,7)&lt;&gt;"Sprint_","",IF(COUNTIFS(Versuchsdaten!$A$2:$A$1117,$A1084,Versuchsdaten!$B$2:$B$1117,$B1084,Versuchsdaten!$C$2:$C$1117,"Sprint_30m",Versuchsdaten!$E$2:$E$1117,$E1084,Versuchsdaten!$J$2:$J$1117,1)=1,SUMIFS(Versuchsdaten!$F$2:$F$1117,Versuchsdaten!$A$2:$A$1117,$A1084,Versuchsdaten!$B$2:$B$1117,$B1084,Versuchsdaten!$C$2:$C$1117,"Sprint_30m",Versuchsdaten!$E$2:$E$1117,$E1084,Versuchsdaten!$J$2:$J$1117,1),""))</f>
        <v/>
      </c>
      <c r="N1084" s="22">
        <f>IF(LEFT(C1084,7)&lt;&gt;"Sprint_",0,IF(IF(ISNUMBER(K1084),IF(K1084&lt;=0,1,IF(5/K1084&gt;10,1,0)),0)+IF(ISNUMBER(L1084),IF(ISNUMBER(K1084),IF(L1084-K1084&lt;=0,1,IF(5/(L1084-K1084)&gt;10,1,0)),IF(L1084&lt;=0,1,IF(10/L1084&gt;10,1,0))),0)+IF(ISNUMBER(M1084),IF(ISNUMBER(L1084),IF(M1084-L1084&lt;=0,1,IF(20/(M1084-L1084)&gt;10,1,0)),IF(ISNUMBER(K1084),IF(M1084-K1084&lt;=0,1,IF(25/(M1084-K1084)&gt;10,1,0)),IF(M1084&lt;=0,1,IF(30/M1084&gt;10,1,0)))),0)&gt;0,1,0))</f>
        <v/>
      </c>
      <c r="O1084" s="22">
        <f>IF(AND(J1084=1,N1084=0),1,0)</f>
        <v/>
      </c>
      <c r="P1084" s="22">
        <f>INDEX(Personendaten!$J$2:$J$32,MATCH(A1084,Personendaten!$A$2:$A$32,0))</f>
        <v/>
      </c>
      <c r="Q1084" s="22">
        <f>IF(O1084=1,"",IF(AND(B1084="post",P1084="nicht angetreten"),"NANG",IF(N1084=1,"AUSL",IFERROR(VLOOKUP(H1084,Vokabular!$A$2:$B$8,2,FALSE),"UNBEKANNT"))))</f>
        <v/>
      </c>
    </row>
    <row r="1085">
      <c r="A1085" s="5" t="inlineStr">
        <is>
          <t>VS-17</t>
        </is>
      </c>
      <c r="B1085" s="5" t="inlineStr">
        <is>
          <t>post</t>
        </is>
      </c>
      <c r="C1085" s="5" t="inlineStr">
        <is>
          <t>Sprint_10m</t>
        </is>
      </c>
      <c r="D1085" s="5" t="inlineStr">
        <is>
          <t>–</t>
        </is>
      </c>
      <c r="E1085" s="5" t="n">
        <v>1</v>
      </c>
      <c r="F1085" s="5" t="n">
        <v>2.09</v>
      </c>
      <c r="G1085" s="5" t="n"/>
      <c r="H1085" s="5" t="n"/>
      <c r="I1085" s="22">
        <f>INDEX(Personendaten!$C$2:$C$32,MATCH(A1085,Personendaten!$A$2:$A$32,0))</f>
        <v/>
      </c>
      <c r="J1085" s="22">
        <f>IF(AND(F1085&lt;&gt;"",G1085=""),1,0)</f>
        <v/>
      </c>
      <c r="K1085" s="22">
        <f>IF(LEFT(C1085,7)&lt;&gt;"Sprint_","",IF(COUNTIFS(Versuchsdaten!$A$2:$A$1117,$A1085,Versuchsdaten!$B$2:$B$1117,$B1085,Versuchsdaten!$C$2:$C$1117,"Sprint_5m",Versuchsdaten!$E$2:$E$1117,$E1085,Versuchsdaten!$J$2:$J$1117,1)=1,SUMIFS(Versuchsdaten!$F$2:$F$1117,Versuchsdaten!$A$2:$A$1117,$A1085,Versuchsdaten!$B$2:$B$1117,$B1085,Versuchsdaten!$C$2:$C$1117,"Sprint_5m",Versuchsdaten!$E$2:$E$1117,$E1085,Versuchsdaten!$J$2:$J$1117,1),""))</f>
        <v/>
      </c>
      <c r="L1085" s="22">
        <f>IF(LEFT(C1085,7)&lt;&gt;"Sprint_","",IF(COUNTIFS(Versuchsdaten!$A$2:$A$1117,$A1085,Versuchsdaten!$B$2:$B$1117,$B1085,Versuchsdaten!$C$2:$C$1117,"Sprint_10m",Versuchsdaten!$E$2:$E$1117,$E1085,Versuchsdaten!$J$2:$J$1117,1)=1,SUMIFS(Versuchsdaten!$F$2:$F$1117,Versuchsdaten!$A$2:$A$1117,$A1085,Versuchsdaten!$B$2:$B$1117,$B1085,Versuchsdaten!$C$2:$C$1117,"Sprint_10m",Versuchsdaten!$E$2:$E$1117,$E1085,Versuchsdaten!$J$2:$J$1117,1),""))</f>
        <v/>
      </c>
      <c r="M1085" s="22">
        <f>IF(LEFT(C1085,7)&lt;&gt;"Sprint_","",IF(COUNTIFS(Versuchsdaten!$A$2:$A$1117,$A1085,Versuchsdaten!$B$2:$B$1117,$B1085,Versuchsdaten!$C$2:$C$1117,"Sprint_30m",Versuchsdaten!$E$2:$E$1117,$E1085,Versuchsdaten!$J$2:$J$1117,1)=1,SUMIFS(Versuchsdaten!$F$2:$F$1117,Versuchsdaten!$A$2:$A$1117,$A1085,Versuchsdaten!$B$2:$B$1117,$B1085,Versuchsdaten!$C$2:$C$1117,"Sprint_30m",Versuchsdaten!$E$2:$E$1117,$E1085,Versuchsdaten!$J$2:$J$1117,1),""))</f>
        <v/>
      </c>
      <c r="N1085" s="22">
        <f>IF(LEFT(C1085,7)&lt;&gt;"Sprint_",0,IF(IF(ISNUMBER(K1085),IF(K1085&lt;=0,1,IF(5/K1085&gt;10,1,0)),0)+IF(ISNUMBER(L1085),IF(ISNUMBER(K1085),IF(L1085-K1085&lt;=0,1,IF(5/(L1085-K1085)&gt;10,1,0)),IF(L1085&lt;=0,1,IF(10/L1085&gt;10,1,0))),0)+IF(ISNUMBER(M1085),IF(ISNUMBER(L1085),IF(M1085-L1085&lt;=0,1,IF(20/(M1085-L1085)&gt;10,1,0)),IF(ISNUMBER(K1085),IF(M1085-K1085&lt;=0,1,IF(25/(M1085-K1085)&gt;10,1,0)),IF(M1085&lt;=0,1,IF(30/M1085&gt;10,1,0)))),0)&gt;0,1,0))</f>
        <v/>
      </c>
      <c r="O1085" s="22">
        <f>IF(AND(J1085=1,N1085=0),1,0)</f>
        <v/>
      </c>
      <c r="P1085" s="22">
        <f>INDEX(Personendaten!$J$2:$J$32,MATCH(A1085,Personendaten!$A$2:$A$32,0))</f>
        <v/>
      </c>
      <c r="Q1085" s="22">
        <f>IF(O1085=1,"",IF(AND(B1085="post",P1085="nicht angetreten"),"NANG",IF(N1085=1,"AUSL",IFERROR(VLOOKUP(H1085,Vokabular!$A$2:$B$8,2,FALSE),"UNBEKANNT"))))</f>
        <v/>
      </c>
    </row>
    <row r="1086">
      <c r="A1086" s="5" t="inlineStr">
        <is>
          <t>VS-17</t>
        </is>
      </c>
      <c r="B1086" s="5" t="inlineStr">
        <is>
          <t>post</t>
        </is>
      </c>
      <c r="C1086" s="5" t="inlineStr">
        <is>
          <t>Sprint_10m</t>
        </is>
      </c>
      <c r="D1086" s="5" t="inlineStr">
        <is>
          <t>–</t>
        </is>
      </c>
      <c r="E1086" s="5" t="n">
        <v>2</v>
      </c>
      <c r="F1086" s="5" t="n">
        <v>1.91</v>
      </c>
      <c r="G1086" s="5" t="n"/>
      <c r="H1086" s="5" t="n"/>
      <c r="I1086" s="22">
        <f>INDEX(Personendaten!$C$2:$C$32,MATCH(A1086,Personendaten!$A$2:$A$32,0))</f>
        <v/>
      </c>
      <c r="J1086" s="22">
        <f>IF(AND(F1086&lt;&gt;"",G1086=""),1,0)</f>
        <v/>
      </c>
      <c r="K1086" s="22">
        <f>IF(LEFT(C1086,7)&lt;&gt;"Sprint_","",IF(COUNTIFS(Versuchsdaten!$A$2:$A$1117,$A1086,Versuchsdaten!$B$2:$B$1117,$B1086,Versuchsdaten!$C$2:$C$1117,"Sprint_5m",Versuchsdaten!$E$2:$E$1117,$E1086,Versuchsdaten!$J$2:$J$1117,1)=1,SUMIFS(Versuchsdaten!$F$2:$F$1117,Versuchsdaten!$A$2:$A$1117,$A1086,Versuchsdaten!$B$2:$B$1117,$B1086,Versuchsdaten!$C$2:$C$1117,"Sprint_5m",Versuchsdaten!$E$2:$E$1117,$E1086,Versuchsdaten!$J$2:$J$1117,1),""))</f>
        <v/>
      </c>
      <c r="L1086" s="22">
        <f>IF(LEFT(C1086,7)&lt;&gt;"Sprint_","",IF(COUNTIFS(Versuchsdaten!$A$2:$A$1117,$A1086,Versuchsdaten!$B$2:$B$1117,$B1086,Versuchsdaten!$C$2:$C$1117,"Sprint_10m",Versuchsdaten!$E$2:$E$1117,$E1086,Versuchsdaten!$J$2:$J$1117,1)=1,SUMIFS(Versuchsdaten!$F$2:$F$1117,Versuchsdaten!$A$2:$A$1117,$A1086,Versuchsdaten!$B$2:$B$1117,$B1086,Versuchsdaten!$C$2:$C$1117,"Sprint_10m",Versuchsdaten!$E$2:$E$1117,$E1086,Versuchsdaten!$J$2:$J$1117,1),""))</f>
        <v/>
      </c>
      <c r="M1086" s="22">
        <f>IF(LEFT(C1086,7)&lt;&gt;"Sprint_","",IF(COUNTIFS(Versuchsdaten!$A$2:$A$1117,$A1086,Versuchsdaten!$B$2:$B$1117,$B1086,Versuchsdaten!$C$2:$C$1117,"Sprint_30m",Versuchsdaten!$E$2:$E$1117,$E1086,Versuchsdaten!$J$2:$J$1117,1)=1,SUMIFS(Versuchsdaten!$F$2:$F$1117,Versuchsdaten!$A$2:$A$1117,$A1086,Versuchsdaten!$B$2:$B$1117,$B1086,Versuchsdaten!$C$2:$C$1117,"Sprint_30m",Versuchsdaten!$E$2:$E$1117,$E1086,Versuchsdaten!$J$2:$J$1117,1),""))</f>
        <v/>
      </c>
      <c r="N1086" s="22">
        <f>IF(LEFT(C1086,7)&lt;&gt;"Sprint_",0,IF(IF(ISNUMBER(K1086),IF(K1086&lt;=0,1,IF(5/K1086&gt;10,1,0)),0)+IF(ISNUMBER(L1086),IF(ISNUMBER(K1086),IF(L1086-K1086&lt;=0,1,IF(5/(L1086-K1086)&gt;10,1,0)),IF(L1086&lt;=0,1,IF(10/L1086&gt;10,1,0))),0)+IF(ISNUMBER(M1086),IF(ISNUMBER(L1086),IF(M1086-L1086&lt;=0,1,IF(20/(M1086-L1086)&gt;10,1,0)),IF(ISNUMBER(K1086),IF(M1086-K1086&lt;=0,1,IF(25/(M1086-K1086)&gt;10,1,0)),IF(M1086&lt;=0,1,IF(30/M1086&gt;10,1,0)))),0)&gt;0,1,0))</f>
        <v/>
      </c>
      <c r="O1086" s="22">
        <f>IF(AND(J1086=1,N1086=0),1,0)</f>
        <v/>
      </c>
      <c r="P1086" s="22">
        <f>INDEX(Personendaten!$J$2:$J$32,MATCH(A1086,Personendaten!$A$2:$A$32,0))</f>
        <v/>
      </c>
      <c r="Q1086" s="22">
        <f>IF(O1086=1,"",IF(AND(B1086="post",P1086="nicht angetreten"),"NANG",IF(N1086=1,"AUSL",IFERROR(VLOOKUP(H1086,Vokabular!$A$2:$B$8,2,FALSE),"UNBEKANNT"))))</f>
        <v/>
      </c>
    </row>
    <row r="1087">
      <c r="A1087" s="5" t="inlineStr">
        <is>
          <t>VS-17</t>
        </is>
      </c>
      <c r="B1087" s="5" t="inlineStr">
        <is>
          <t>post</t>
        </is>
      </c>
      <c r="C1087" s="5" t="inlineStr">
        <is>
          <t>Sprint_10m</t>
        </is>
      </c>
      <c r="D1087" s="5" t="inlineStr">
        <is>
          <t>–</t>
        </is>
      </c>
      <c r="E1087" s="5" t="n">
        <v>3</v>
      </c>
      <c r="F1087" s="5" t="n"/>
      <c r="G1087" s="5" t="n"/>
      <c r="H1087" s="5" t="inlineStr">
        <is>
          <t>Nur 2 Versuche aus Zeitmangel</t>
        </is>
      </c>
      <c r="I1087" s="22">
        <f>INDEX(Personendaten!$C$2:$C$32,MATCH(A1087,Personendaten!$A$2:$A$32,0))</f>
        <v/>
      </c>
      <c r="J1087" s="22">
        <f>IF(AND(F1087&lt;&gt;"",G1087=""),1,0)</f>
        <v/>
      </c>
      <c r="K1087" s="22">
        <f>IF(LEFT(C1087,7)&lt;&gt;"Sprint_","",IF(COUNTIFS(Versuchsdaten!$A$2:$A$1117,$A1087,Versuchsdaten!$B$2:$B$1117,$B1087,Versuchsdaten!$C$2:$C$1117,"Sprint_5m",Versuchsdaten!$E$2:$E$1117,$E1087,Versuchsdaten!$J$2:$J$1117,1)=1,SUMIFS(Versuchsdaten!$F$2:$F$1117,Versuchsdaten!$A$2:$A$1117,$A1087,Versuchsdaten!$B$2:$B$1117,$B1087,Versuchsdaten!$C$2:$C$1117,"Sprint_5m",Versuchsdaten!$E$2:$E$1117,$E1087,Versuchsdaten!$J$2:$J$1117,1),""))</f>
        <v/>
      </c>
      <c r="L1087" s="22">
        <f>IF(LEFT(C1087,7)&lt;&gt;"Sprint_","",IF(COUNTIFS(Versuchsdaten!$A$2:$A$1117,$A1087,Versuchsdaten!$B$2:$B$1117,$B1087,Versuchsdaten!$C$2:$C$1117,"Sprint_10m",Versuchsdaten!$E$2:$E$1117,$E1087,Versuchsdaten!$J$2:$J$1117,1)=1,SUMIFS(Versuchsdaten!$F$2:$F$1117,Versuchsdaten!$A$2:$A$1117,$A1087,Versuchsdaten!$B$2:$B$1117,$B1087,Versuchsdaten!$C$2:$C$1117,"Sprint_10m",Versuchsdaten!$E$2:$E$1117,$E1087,Versuchsdaten!$J$2:$J$1117,1),""))</f>
        <v/>
      </c>
      <c r="M1087" s="22">
        <f>IF(LEFT(C1087,7)&lt;&gt;"Sprint_","",IF(COUNTIFS(Versuchsdaten!$A$2:$A$1117,$A1087,Versuchsdaten!$B$2:$B$1117,$B1087,Versuchsdaten!$C$2:$C$1117,"Sprint_30m",Versuchsdaten!$E$2:$E$1117,$E1087,Versuchsdaten!$J$2:$J$1117,1)=1,SUMIFS(Versuchsdaten!$F$2:$F$1117,Versuchsdaten!$A$2:$A$1117,$A1087,Versuchsdaten!$B$2:$B$1117,$B1087,Versuchsdaten!$C$2:$C$1117,"Sprint_30m",Versuchsdaten!$E$2:$E$1117,$E1087,Versuchsdaten!$J$2:$J$1117,1),""))</f>
        <v/>
      </c>
      <c r="N1087" s="22">
        <f>IF(LEFT(C1087,7)&lt;&gt;"Sprint_",0,IF(IF(ISNUMBER(K1087),IF(K1087&lt;=0,1,IF(5/K1087&gt;10,1,0)),0)+IF(ISNUMBER(L1087),IF(ISNUMBER(K1087),IF(L1087-K1087&lt;=0,1,IF(5/(L1087-K1087)&gt;10,1,0)),IF(L1087&lt;=0,1,IF(10/L1087&gt;10,1,0))),0)+IF(ISNUMBER(M1087),IF(ISNUMBER(L1087),IF(M1087-L1087&lt;=0,1,IF(20/(M1087-L1087)&gt;10,1,0)),IF(ISNUMBER(K1087),IF(M1087-K1087&lt;=0,1,IF(25/(M1087-K1087)&gt;10,1,0)),IF(M1087&lt;=0,1,IF(30/M1087&gt;10,1,0)))),0)&gt;0,1,0))</f>
        <v/>
      </c>
      <c r="O1087" s="22">
        <f>IF(AND(J1087=1,N1087=0),1,0)</f>
        <v/>
      </c>
      <c r="P1087" s="22">
        <f>INDEX(Personendaten!$J$2:$J$32,MATCH(A1087,Personendaten!$A$2:$A$32,0))</f>
        <v/>
      </c>
      <c r="Q1087" s="22">
        <f>IF(O1087=1,"",IF(AND(B1087="post",P1087="nicht angetreten"),"NANG",IF(N1087=1,"AUSL",IFERROR(VLOOKUP(H1087,Vokabular!$A$2:$B$8,2,FALSE),"UNBEKANNT"))))</f>
        <v/>
      </c>
    </row>
    <row r="1088">
      <c r="A1088" s="5" t="inlineStr">
        <is>
          <t>VS-17</t>
        </is>
      </c>
      <c r="B1088" s="5" t="inlineStr">
        <is>
          <t>post</t>
        </is>
      </c>
      <c r="C1088" s="5" t="inlineStr">
        <is>
          <t>Sprint_30m</t>
        </is>
      </c>
      <c r="D1088" s="5" t="inlineStr">
        <is>
          <t>–</t>
        </is>
      </c>
      <c r="E1088" s="5" t="n">
        <v>1</v>
      </c>
      <c r="F1088" s="5" t="n">
        <v>4.86</v>
      </c>
      <c r="G1088" s="5" t="n"/>
      <c r="H1088" s="5" t="n"/>
      <c r="I1088" s="22">
        <f>INDEX(Personendaten!$C$2:$C$32,MATCH(A1088,Personendaten!$A$2:$A$32,0))</f>
        <v/>
      </c>
      <c r="J1088" s="22">
        <f>IF(AND(F1088&lt;&gt;"",G1088=""),1,0)</f>
        <v/>
      </c>
      <c r="K1088" s="22">
        <f>IF(LEFT(C1088,7)&lt;&gt;"Sprint_","",IF(COUNTIFS(Versuchsdaten!$A$2:$A$1117,$A1088,Versuchsdaten!$B$2:$B$1117,$B1088,Versuchsdaten!$C$2:$C$1117,"Sprint_5m",Versuchsdaten!$E$2:$E$1117,$E1088,Versuchsdaten!$J$2:$J$1117,1)=1,SUMIFS(Versuchsdaten!$F$2:$F$1117,Versuchsdaten!$A$2:$A$1117,$A1088,Versuchsdaten!$B$2:$B$1117,$B1088,Versuchsdaten!$C$2:$C$1117,"Sprint_5m",Versuchsdaten!$E$2:$E$1117,$E1088,Versuchsdaten!$J$2:$J$1117,1),""))</f>
        <v/>
      </c>
      <c r="L1088" s="22">
        <f>IF(LEFT(C1088,7)&lt;&gt;"Sprint_","",IF(COUNTIFS(Versuchsdaten!$A$2:$A$1117,$A1088,Versuchsdaten!$B$2:$B$1117,$B1088,Versuchsdaten!$C$2:$C$1117,"Sprint_10m",Versuchsdaten!$E$2:$E$1117,$E1088,Versuchsdaten!$J$2:$J$1117,1)=1,SUMIFS(Versuchsdaten!$F$2:$F$1117,Versuchsdaten!$A$2:$A$1117,$A1088,Versuchsdaten!$B$2:$B$1117,$B1088,Versuchsdaten!$C$2:$C$1117,"Sprint_10m",Versuchsdaten!$E$2:$E$1117,$E1088,Versuchsdaten!$J$2:$J$1117,1),""))</f>
        <v/>
      </c>
      <c r="M1088" s="22">
        <f>IF(LEFT(C1088,7)&lt;&gt;"Sprint_","",IF(COUNTIFS(Versuchsdaten!$A$2:$A$1117,$A1088,Versuchsdaten!$B$2:$B$1117,$B1088,Versuchsdaten!$C$2:$C$1117,"Sprint_30m",Versuchsdaten!$E$2:$E$1117,$E1088,Versuchsdaten!$J$2:$J$1117,1)=1,SUMIFS(Versuchsdaten!$F$2:$F$1117,Versuchsdaten!$A$2:$A$1117,$A1088,Versuchsdaten!$B$2:$B$1117,$B1088,Versuchsdaten!$C$2:$C$1117,"Sprint_30m",Versuchsdaten!$E$2:$E$1117,$E1088,Versuchsdaten!$J$2:$J$1117,1),""))</f>
        <v/>
      </c>
      <c r="N1088" s="22">
        <f>IF(LEFT(C1088,7)&lt;&gt;"Sprint_",0,IF(IF(ISNUMBER(K1088),IF(K1088&lt;=0,1,IF(5/K1088&gt;10,1,0)),0)+IF(ISNUMBER(L1088),IF(ISNUMBER(K1088),IF(L1088-K1088&lt;=0,1,IF(5/(L1088-K1088)&gt;10,1,0)),IF(L1088&lt;=0,1,IF(10/L1088&gt;10,1,0))),0)+IF(ISNUMBER(M1088),IF(ISNUMBER(L1088),IF(M1088-L1088&lt;=0,1,IF(20/(M1088-L1088)&gt;10,1,0)),IF(ISNUMBER(K1088),IF(M1088-K1088&lt;=0,1,IF(25/(M1088-K1088)&gt;10,1,0)),IF(M1088&lt;=0,1,IF(30/M1088&gt;10,1,0)))),0)&gt;0,1,0))</f>
        <v/>
      </c>
      <c r="O1088" s="22">
        <f>IF(AND(J1088=1,N1088=0),1,0)</f>
        <v/>
      </c>
      <c r="P1088" s="22">
        <f>INDEX(Personendaten!$J$2:$J$32,MATCH(A1088,Personendaten!$A$2:$A$32,0))</f>
        <v/>
      </c>
      <c r="Q1088" s="22">
        <f>IF(O1088=1,"",IF(AND(B1088="post",P1088="nicht angetreten"),"NANG",IF(N1088=1,"AUSL",IFERROR(VLOOKUP(H1088,Vokabular!$A$2:$B$8,2,FALSE),"UNBEKANNT"))))</f>
        <v/>
      </c>
    </row>
    <row r="1089">
      <c r="A1089" s="5" t="inlineStr">
        <is>
          <t>VS-17</t>
        </is>
      </c>
      <c r="B1089" s="5" t="inlineStr">
        <is>
          <t>post</t>
        </is>
      </c>
      <c r="C1089" s="5" t="inlineStr">
        <is>
          <t>Sprint_30m</t>
        </is>
      </c>
      <c r="D1089" s="5" t="inlineStr">
        <is>
          <t>–</t>
        </is>
      </c>
      <c r="E1089" s="5" t="n">
        <v>2</v>
      </c>
      <c r="F1089" s="5" t="n">
        <v>4.76</v>
      </c>
      <c r="G1089" s="5" t="n"/>
      <c r="H1089" s="5" t="n"/>
      <c r="I1089" s="22">
        <f>INDEX(Personendaten!$C$2:$C$32,MATCH(A1089,Personendaten!$A$2:$A$32,0))</f>
        <v/>
      </c>
      <c r="J1089" s="22">
        <f>IF(AND(F1089&lt;&gt;"",G1089=""),1,0)</f>
        <v/>
      </c>
      <c r="K1089" s="22">
        <f>IF(LEFT(C1089,7)&lt;&gt;"Sprint_","",IF(COUNTIFS(Versuchsdaten!$A$2:$A$1117,$A1089,Versuchsdaten!$B$2:$B$1117,$B1089,Versuchsdaten!$C$2:$C$1117,"Sprint_5m",Versuchsdaten!$E$2:$E$1117,$E1089,Versuchsdaten!$J$2:$J$1117,1)=1,SUMIFS(Versuchsdaten!$F$2:$F$1117,Versuchsdaten!$A$2:$A$1117,$A1089,Versuchsdaten!$B$2:$B$1117,$B1089,Versuchsdaten!$C$2:$C$1117,"Sprint_5m",Versuchsdaten!$E$2:$E$1117,$E1089,Versuchsdaten!$J$2:$J$1117,1),""))</f>
        <v/>
      </c>
      <c r="L1089" s="22">
        <f>IF(LEFT(C1089,7)&lt;&gt;"Sprint_","",IF(COUNTIFS(Versuchsdaten!$A$2:$A$1117,$A1089,Versuchsdaten!$B$2:$B$1117,$B1089,Versuchsdaten!$C$2:$C$1117,"Sprint_10m",Versuchsdaten!$E$2:$E$1117,$E1089,Versuchsdaten!$J$2:$J$1117,1)=1,SUMIFS(Versuchsdaten!$F$2:$F$1117,Versuchsdaten!$A$2:$A$1117,$A1089,Versuchsdaten!$B$2:$B$1117,$B1089,Versuchsdaten!$C$2:$C$1117,"Sprint_10m",Versuchsdaten!$E$2:$E$1117,$E1089,Versuchsdaten!$J$2:$J$1117,1),""))</f>
        <v/>
      </c>
      <c r="M1089" s="22">
        <f>IF(LEFT(C1089,7)&lt;&gt;"Sprint_","",IF(COUNTIFS(Versuchsdaten!$A$2:$A$1117,$A1089,Versuchsdaten!$B$2:$B$1117,$B1089,Versuchsdaten!$C$2:$C$1117,"Sprint_30m",Versuchsdaten!$E$2:$E$1117,$E1089,Versuchsdaten!$J$2:$J$1117,1)=1,SUMIFS(Versuchsdaten!$F$2:$F$1117,Versuchsdaten!$A$2:$A$1117,$A1089,Versuchsdaten!$B$2:$B$1117,$B1089,Versuchsdaten!$C$2:$C$1117,"Sprint_30m",Versuchsdaten!$E$2:$E$1117,$E1089,Versuchsdaten!$J$2:$J$1117,1),""))</f>
        <v/>
      </c>
      <c r="N1089" s="22">
        <f>IF(LEFT(C1089,7)&lt;&gt;"Sprint_",0,IF(IF(ISNUMBER(K1089),IF(K1089&lt;=0,1,IF(5/K1089&gt;10,1,0)),0)+IF(ISNUMBER(L1089),IF(ISNUMBER(K1089),IF(L1089-K1089&lt;=0,1,IF(5/(L1089-K1089)&gt;10,1,0)),IF(L1089&lt;=0,1,IF(10/L1089&gt;10,1,0))),0)+IF(ISNUMBER(M1089),IF(ISNUMBER(L1089),IF(M1089-L1089&lt;=0,1,IF(20/(M1089-L1089)&gt;10,1,0)),IF(ISNUMBER(K1089),IF(M1089-K1089&lt;=0,1,IF(25/(M1089-K1089)&gt;10,1,0)),IF(M1089&lt;=0,1,IF(30/M1089&gt;10,1,0)))),0)&gt;0,1,0))</f>
        <v/>
      </c>
      <c r="O1089" s="22">
        <f>IF(AND(J1089=1,N1089=0),1,0)</f>
        <v/>
      </c>
      <c r="P1089" s="22">
        <f>INDEX(Personendaten!$J$2:$J$32,MATCH(A1089,Personendaten!$A$2:$A$32,0))</f>
        <v/>
      </c>
      <c r="Q1089" s="22">
        <f>IF(O1089=1,"",IF(AND(B1089="post",P1089="nicht angetreten"),"NANG",IF(N1089=1,"AUSL",IFERROR(VLOOKUP(H1089,Vokabular!$A$2:$B$8,2,FALSE),"UNBEKANNT"))))</f>
        <v/>
      </c>
    </row>
    <row r="1090">
      <c r="A1090" s="5" t="inlineStr">
        <is>
          <t>VS-17</t>
        </is>
      </c>
      <c r="B1090" s="5" t="inlineStr">
        <is>
          <t>post</t>
        </is>
      </c>
      <c r="C1090" s="5" t="inlineStr">
        <is>
          <t>Sprint_30m</t>
        </is>
      </c>
      <c r="D1090" s="5" t="inlineStr">
        <is>
          <t>–</t>
        </is>
      </c>
      <c r="E1090" s="5" t="n">
        <v>3</v>
      </c>
      <c r="F1090" s="5" t="n"/>
      <c r="G1090" s="5" t="n"/>
      <c r="H1090" s="5" t="inlineStr">
        <is>
          <t>Nur 2 Versuche aus Zeitmangel</t>
        </is>
      </c>
      <c r="I1090" s="22">
        <f>INDEX(Personendaten!$C$2:$C$32,MATCH(A1090,Personendaten!$A$2:$A$32,0))</f>
        <v/>
      </c>
      <c r="J1090" s="22">
        <f>IF(AND(F1090&lt;&gt;"",G1090=""),1,0)</f>
        <v/>
      </c>
      <c r="K1090" s="22">
        <f>IF(LEFT(C1090,7)&lt;&gt;"Sprint_","",IF(COUNTIFS(Versuchsdaten!$A$2:$A$1117,$A1090,Versuchsdaten!$B$2:$B$1117,$B1090,Versuchsdaten!$C$2:$C$1117,"Sprint_5m",Versuchsdaten!$E$2:$E$1117,$E1090,Versuchsdaten!$J$2:$J$1117,1)=1,SUMIFS(Versuchsdaten!$F$2:$F$1117,Versuchsdaten!$A$2:$A$1117,$A1090,Versuchsdaten!$B$2:$B$1117,$B1090,Versuchsdaten!$C$2:$C$1117,"Sprint_5m",Versuchsdaten!$E$2:$E$1117,$E1090,Versuchsdaten!$J$2:$J$1117,1),""))</f>
        <v/>
      </c>
      <c r="L1090" s="22">
        <f>IF(LEFT(C1090,7)&lt;&gt;"Sprint_","",IF(COUNTIFS(Versuchsdaten!$A$2:$A$1117,$A1090,Versuchsdaten!$B$2:$B$1117,$B1090,Versuchsdaten!$C$2:$C$1117,"Sprint_10m",Versuchsdaten!$E$2:$E$1117,$E1090,Versuchsdaten!$J$2:$J$1117,1)=1,SUMIFS(Versuchsdaten!$F$2:$F$1117,Versuchsdaten!$A$2:$A$1117,$A1090,Versuchsdaten!$B$2:$B$1117,$B1090,Versuchsdaten!$C$2:$C$1117,"Sprint_10m",Versuchsdaten!$E$2:$E$1117,$E1090,Versuchsdaten!$J$2:$J$1117,1),""))</f>
        <v/>
      </c>
      <c r="M1090" s="22">
        <f>IF(LEFT(C1090,7)&lt;&gt;"Sprint_","",IF(COUNTIFS(Versuchsdaten!$A$2:$A$1117,$A1090,Versuchsdaten!$B$2:$B$1117,$B1090,Versuchsdaten!$C$2:$C$1117,"Sprint_30m",Versuchsdaten!$E$2:$E$1117,$E1090,Versuchsdaten!$J$2:$J$1117,1)=1,SUMIFS(Versuchsdaten!$F$2:$F$1117,Versuchsdaten!$A$2:$A$1117,$A1090,Versuchsdaten!$B$2:$B$1117,$B1090,Versuchsdaten!$C$2:$C$1117,"Sprint_30m",Versuchsdaten!$E$2:$E$1117,$E1090,Versuchsdaten!$J$2:$J$1117,1),""))</f>
        <v/>
      </c>
      <c r="N1090" s="22">
        <f>IF(LEFT(C1090,7)&lt;&gt;"Sprint_",0,IF(IF(ISNUMBER(K1090),IF(K1090&lt;=0,1,IF(5/K1090&gt;10,1,0)),0)+IF(ISNUMBER(L1090),IF(ISNUMBER(K1090),IF(L1090-K1090&lt;=0,1,IF(5/(L1090-K1090)&gt;10,1,0)),IF(L1090&lt;=0,1,IF(10/L1090&gt;10,1,0))),0)+IF(ISNUMBER(M1090),IF(ISNUMBER(L1090),IF(M1090-L1090&lt;=0,1,IF(20/(M1090-L1090)&gt;10,1,0)),IF(ISNUMBER(K1090),IF(M1090-K1090&lt;=0,1,IF(25/(M1090-K1090)&gt;10,1,0)),IF(M1090&lt;=0,1,IF(30/M1090&gt;10,1,0)))),0)&gt;0,1,0))</f>
        <v/>
      </c>
      <c r="O1090" s="22">
        <f>IF(AND(J1090=1,N1090=0),1,0)</f>
        <v/>
      </c>
      <c r="P1090" s="22">
        <f>INDEX(Personendaten!$J$2:$J$32,MATCH(A1090,Personendaten!$A$2:$A$32,0))</f>
        <v/>
      </c>
      <c r="Q1090" s="22">
        <f>IF(O1090=1,"",IF(AND(B1090="post",P1090="nicht angetreten"),"NANG",IF(N1090=1,"AUSL",IFERROR(VLOOKUP(H1090,Vokabular!$A$2:$B$8,2,FALSE),"UNBEKANNT"))))</f>
        <v/>
      </c>
    </row>
    <row r="1091">
      <c r="A1091" s="5" t="inlineStr">
        <is>
          <t>VS-17</t>
        </is>
      </c>
      <c r="B1091" s="5" t="inlineStr">
        <is>
          <t>post</t>
        </is>
      </c>
      <c r="C1091" s="5" t="inlineStr">
        <is>
          <t>Standweitsprung</t>
        </is>
      </c>
      <c r="D1091" s="5" t="inlineStr">
        <is>
          <t>–</t>
        </is>
      </c>
      <c r="E1091" s="5" t="n">
        <v>1</v>
      </c>
      <c r="F1091" s="5" t="n">
        <v>232</v>
      </c>
      <c r="G1091" s="5" t="n"/>
      <c r="H1091" s="5" t="n"/>
      <c r="I1091" s="22">
        <f>INDEX(Personendaten!$C$2:$C$32,MATCH(A1091,Personendaten!$A$2:$A$32,0))</f>
        <v/>
      </c>
      <c r="J1091" s="22">
        <f>IF(AND(F1091&lt;&gt;"",G1091=""),1,0)</f>
        <v/>
      </c>
      <c r="K1091" s="22">
        <f>IF(LEFT(C1091,7)&lt;&gt;"Sprint_","",IF(COUNTIFS(Versuchsdaten!$A$2:$A$1117,$A1091,Versuchsdaten!$B$2:$B$1117,$B1091,Versuchsdaten!$C$2:$C$1117,"Sprint_5m",Versuchsdaten!$E$2:$E$1117,$E1091,Versuchsdaten!$J$2:$J$1117,1)=1,SUMIFS(Versuchsdaten!$F$2:$F$1117,Versuchsdaten!$A$2:$A$1117,$A1091,Versuchsdaten!$B$2:$B$1117,$B1091,Versuchsdaten!$C$2:$C$1117,"Sprint_5m",Versuchsdaten!$E$2:$E$1117,$E1091,Versuchsdaten!$J$2:$J$1117,1),""))</f>
        <v/>
      </c>
      <c r="L1091" s="22">
        <f>IF(LEFT(C1091,7)&lt;&gt;"Sprint_","",IF(COUNTIFS(Versuchsdaten!$A$2:$A$1117,$A1091,Versuchsdaten!$B$2:$B$1117,$B1091,Versuchsdaten!$C$2:$C$1117,"Sprint_10m",Versuchsdaten!$E$2:$E$1117,$E1091,Versuchsdaten!$J$2:$J$1117,1)=1,SUMIFS(Versuchsdaten!$F$2:$F$1117,Versuchsdaten!$A$2:$A$1117,$A1091,Versuchsdaten!$B$2:$B$1117,$B1091,Versuchsdaten!$C$2:$C$1117,"Sprint_10m",Versuchsdaten!$E$2:$E$1117,$E1091,Versuchsdaten!$J$2:$J$1117,1),""))</f>
        <v/>
      </c>
      <c r="M1091" s="22">
        <f>IF(LEFT(C1091,7)&lt;&gt;"Sprint_","",IF(COUNTIFS(Versuchsdaten!$A$2:$A$1117,$A1091,Versuchsdaten!$B$2:$B$1117,$B1091,Versuchsdaten!$C$2:$C$1117,"Sprint_30m",Versuchsdaten!$E$2:$E$1117,$E1091,Versuchsdaten!$J$2:$J$1117,1)=1,SUMIFS(Versuchsdaten!$F$2:$F$1117,Versuchsdaten!$A$2:$A$1117,$A1091,Versuchsdaten!$B$2:$B$1117,$B1091,Versuchsdaten!$C$2:$C$1117,"Sprint_30m",Versuchsdaten!$E$2:$E$1117,$E1091,Versuchsdaten!$J$2:$J$1117,1),""))</f>
        <v/>
      </c>
      <c r="N1091" s="22">
        <f>IF(LEFT(C1091,7)&lt;&gt;"Sprint_",0,IF(IF(ISNUMBER(K1091),IF(K1091&lt;=0,1,IF(5/K1091&gt;10,1,0)),0)+IF(ISNUMBER(L1091),IF(ISNUMBER(K1091),IF(L1091-K1091&lt;=0,1,IF(5/(L1091-K1091)&gt;10,1,0)),IF(L1091&lt;=0,1,IF(10/L1091&gt;10,1,0))),0)+IF(ISNUMBER(M1091),IF(ISNUMBER(L1091),IF(M1091-L1091&lt;=0,1,IF(20/(M1091-L1091)&gt;10,1,0)),IF(ISNUMBER(K1091),IF(M1091-K1091&lt;=0,1,IF(25/(M1091-K1091)&gt;10,1,0)),IF(M1091&lt;=0,1,IF(30/M1091&gt;10,1,0)))),0)&gt;0,1,0))</f>
        <v/>
      </c>
      <c r="O1091" s="22">
        <f>IF(AND(J1091=1,N1091=0),1,0)</f>
        <v/>
      </c>
      <c r="P1091" s="22">
        <f>INDEX(Personendaten!$J$2:$J$32,MATCH(A1091,Personendaten!$A$2:$A$32,0))</f>
        <v/>
      </c>
      <c r="Q1091" s="22">
        <f>IF(O1091=1,"",IF(AND(B1091="post",P1091="nicht angetreten"),"NANG",IF(N1091=1,"AUSL",IFERROR(VLOOKUP(H1091,Vokabular!$A$2:$B$8,2,FALSE),"UNBEKANNT"))))</f>
        <v/>
      </c>
    </row>
    <row r="1092">
      <c r="A1092" s="5" t="inlineStr">
        <is>
          <t>VS-17</t>
        </is>
      </c>
      <c r="B1092" s="5" t="inlineStr">
        <is>
          <t>post</t>
        </is>
      </c>
      <c r="C1092" s="5" t="inlineStr">
        <is>
          <t>Standweitsprung</t>
        </is>
      </c>
      <c r="D1092" s="5" t="inlineStr">
        <is>
          <t>–</t>
        </is>
      </c>
      <c r="E1092" s="5" t="n">
        <v>2</v>
      </c>
      <c r="F1092" s="5" t="n">
        <v>235</v>
      </c>
      <c r="G1092" s="5" t="n"/>
      <c r="H1092" s="5" t="n"/>
      <c r="I1092" s="22">
        <f>INDEX(Personendaten!$C$2:$C$32,MATCH(A1092,Personendaten!$A$2:$A$32,0))</f>
        <v/>
      </c>
      <c r="J1092" s="22">
        <f>IF(AND(F1092&lt;&gt;"",G1092=""),1,0)</f>
        <v/>
      </c>
      <c r="K1092" s="22">
        <f>IF(LEFT(C1092,7)&lt;&gt;"Sprint_","",IF(COUNTIFS(Versuchsdaten!$A$2:$A$1117,$A1092,Versuchsdaten!$B$2:$B$1117,$B1092,Versuchsdaten!$C$2:$C$1117,"Sprint_5m",Versuchsdaten!$E$2:$E$1117,$E1092,Versuchsdaten!$J$2:$J$1117,1)=1,SUMIFS(Versuchsdaten!$F$2:$F$1117,Versuchsdaten!$A$2:$A$1117,$A1092,Versuchsdaten!$B$2:$B$1117,$B1092,Versuchsdaten!$C$2:$C$1117,"Sprint_5m",Versuchsdaten!$E$2:$E$1117,$E1092,Versuchsdaten!$J$2:$J$1117,1),""))</f>
        <v/>
      </c>
      <c r="L1092" s="22">
        <f>IF(LEFT(C1092,7)&lt;&gt;"Sprint_","",IF(COUNTIFS(Versuchsdaten!$A$2:$A$1117,$A1092,Versuchsdaten!$B$2:$B$1117,$B1092,Versuchsdaten!$C$2:$C$1117,"Sprint_10m",Versuchsdaten!$E$2:$E$1117,$E1092,Versuchsdaten!$J$2:$J$1117,1)=1,SUMIFS(Versuchsdaten!$F$2:$F$1117,Versuchsdaten!$A$2:$A$1117,$A1092,Versuchsdaten!$B$2:$B$1117,$B1092,Versuchsdaten!$C$2:$C$1117,"Sprint_10m",Versuchsdaten!$E$2:$E$1117,$E1092,Versuchsdaten!$J$2:$J$1117,1),""))</f>
        <v/>
      </c>
      <c r="M1092" s="22">
        <f>IF(LEFT(C1092,7)&lt;&gt;"Sprint_","",IF(COUNTIFS(Versuchsdaten!$A$2:$A$1117,$A1092,Versuchsdaten!$B$2:$B$1117,$B1092,Versuchsdaten!$C$2:$C$1117,"Sprint_30m",Versuchsdaten!$E$2:$E$1117,$E1092,Versuchsdaten!$J$2:$J$1117,1)=1,SUMIFS(Versuchsdaten!$F$2:$F$1117,Versuchsdaten!$A$2:$A$1117,$A1092,Versuchsdaten!$B$2:$B$1117,$B1092,Versuchsdaten!$C$2:$C$1117,"Sprint_30m",Versuchsdaten!$E$2:$E$1117,$E1092,Versuchsdaten!$J$2:$J$1117,1),""))</f>
        <v/>
      </c>
      <c r="N1092" s="22">
        <f>IF(LEFT(C1092,7)&lt;&gt;"Sprint_",0,IF(IF(ISNUMBER(K1092),IF(K1092&lt;=0,1,IF(5/K1092&gt;10,1,0)),0)+IF(ISNUMBER(L1092),IF(ISNUMBER(K1092),IF(L1092-K1092&lt;=0,1,IF(5/(L1092-K1092)&gt;10,1,0)),IF(L1092&lt;=0,1,IF(10/L1092&gt;10,1,0))),0)+IF(ISNUMBER(M1092),IF(ISNUMBER(L1092),IF(M1092-L1092&lt;=0,1,IF(20/(M1092-L1092)&gt;10,1,0)),IF(ISNUMBER(K1092),IF(M1092-K1092&lt;=0,1,IF(25/(M1092-K1092)&gt;10,1,0)),IF(M1092&lt;=0,1,IF(30/M1092&gt;10,1,0)))),0)&gt;0,1,0))</f>
        <v/>
      </c>
      <c r="O1092" s="22">
        <f>IF(AND(J1092=1,N1092=0),1,0)</f>
        <v/>
      </c>
      <c r="P1092" s="22">
        <f>INDEX(Personendaten!$J$2:$J$32,MATCH(A1092,Personendaten!$A$2:$A$32,0))</f>
        <v/>
      </c>
      <c r="Q1092" s="22">
        <f>IF(O1092=1,"",IF(AND(B1092="post",P1092="nicht angetreten"),"NANG",IF(N1092=1,"AUSL",IFERROR(VLOOKUP(H1092,Vokabular!$A$2:$B$8,2,FALSE),"UNBEKANNT"))))</f>
        <v/>
      </c>
    </row>
    <row r="1093">
      <c r="A1093" s="5" t="inlineStr">
        <is>
          <t>VS-17</t>
        </is>
      </c>
      <c r="B1093" s="5" t="inlineStr">
        <is>
          <t>post</t>
        </is>
      </c>
      <c r="C1093" s="5" t="inlineStr">
        <is>
          <t>Standweitsprung</t>
        </is>
      </c>
      <c r="D1093" s="5" t="inlineStr">
        <is>
          <t>–</t>
        </is>
      </c>
      <c r="E1093" s="5" t="n">
        <v>3</v>
      </c>
      <c r="F1093" s="5" t="n"/>
      <c r="G1093" s="5" t="n"/>
      <c r="H1093" s="5" t="inlineStr">
        <is>
          <t>Nur 2 Versuche aus Zeitmangel</t>
        </is>
      </c>
      <c r="I1093" s="22">
        <f>INDEX(Personendaten!$C$2:$C$32,MATCH(A1093,Personendaten!$A$2:$A$32,0))</f>
        <v/>
      </c>
      <c r="J1093" s="22">
        <f>IF(AND(F1093&lt;&gt;"",G1093=""),1,0)</f>
        <v/>
      </c>
      <c r="K1093" s="22">
        <f>IF(LEFT(C1093,7)&lt;&gt;"Sprint_","",IF(COUNTIFS(Versuchsdaten!$A$2:$A$1117,$A1093,Versuchsdaten!$B$2:$B$1117,$B1093,Versuchsdaten!$C$2:$C$1117,"Sprint_5m",Versuchsdaten!$E$2:$E$1117,$E1093,Versuchsdaten!$J$2:$J$1117,1)=1,SUMIFS(Versuchsdaten!$F$2:$F$1117,Versuchsdaten!$A$2:$A$1117,$A1093,Versuchsdaten!$B$2:$B$1117,$B1093,Versuchsdaten!$C$2:$C$1117,"Sprint_5m",Versuchsdaten!$E$2:$E$1117,$E1093,Versuchsdaten!$J$2:$J$1117,1),""))</f>
        <v/>
      </c>
      <c r="L1093" s="22">
        <f>IF(LEFT(C1093,7)&lt;&gt;"Sprint_","",IF(COUNTIFS(Versuchsdaten!$A$2:$A$1117,$A1093,Versuchsdaten!$B$2:$B$1117,$B1093,Versuchsdaten!$C$2:$C$1117,"Sprint_10m",Versuchsdaten!$E$2:$E$1117,$E1093,Versuchsdaten!$J$2:$J$1117,1)=1,SUMIFS(Versuchsdaten!$F$2:$F$1117,Versuchsdaten!$A$2:$A$1117,$A1093,Versuchsdaten!$B$2:$B$1117,$B1093,Versuchsdaten!$C$2:$C$1117,"Sprint_10m",Versuchsdaten!$E$2:$E$1117,$E1093,Versuchsdaten!$J$2:$J$1117,1),""))</f>
        <v/>
      </c>
      <c r="M1093" s="22">
        <f>IF(LEFT(C1093,7)&lt;&gt;"Sprint_","",IF(COUNTIFS(Versuchsdaten!$A$2:$A$1117,$A1093,Versuchsdaten!$B$2:$B$1117,$B1093,Versuchsdaten!$C$2:$C$1117,"Sprint_30m",Versuchsdaten!$E$2:$E$1117,$E1093,Versuchsdaten!$J$2:$J$1117,1)=1,SUMIFS(Versuchsdaten!$F$2:$F$1117,Versuchsdaten!$A$2:$A$1117,$A1093,Versuchsdaten!$B$2:$B$1117,$B1093,Versuchsdaten!$C$2:$C$1117,"Sprint_30m",Versuchsdaten!$E$2:$E$1117,$E1093,Versuchsdaten!$J$2:$J$1117,1),""))</f>
        <v/>
      </c>
      <c r="N1093" s="22">
        <f>IF(LEFT(C1093,7)&lt;&gt;"Sprint_",0,IF(IF(ISNUMBER(K1093),IF(K1093&lt;=0,1,IF(5/K1093&gt;10,1,0)),0)+IF(ISNUMBER(L1093),IF(ISNUMBER(K1093),IF(L1093-K1093&lt;=0,1,IF(5/(L1093-K1093)&gt;10,1,0)),IF(L1093&lt;=0,1,IF(10/L1093&gt;10,1,0))),0)+IF(ISNUMBER(M1093),IF(ISNUMBER(L1093),IF(M1093-L1093&lt;=0,1,IF(20/(M1093-L1093)&gt;10,1,0)),IF(ISNUMBER(K1093),IF(M1093-K1093&lt;=0,1,IF(25/(M1093-K1093)&gt;10,1,0)),IF(M1093&lt;=0,1,IF(30/M1093&gt;10,1,0)))),0)&gt;0,1,0))</f>
        <v/>
      </c>
      <c r="O1093" s="22">
        <f>IF(AND(J1093=1,N1093=0),1,0)</f>
        <v/>
      </c>
      <c r="P1093" s="22">
        <f>INDEX(Personendaten!$J$2:$J$32,MATCH(A1093,Personendaten!$A$2:$A$32,0))</f>
        <v/>
      </c>
      <c r="Q1093" s="22">
        <f>IF(O1093=1,"",IF(AND(B1093="post",P1093="nicht angetreten"),"NANG",IF(N1093=1,"AUSL",IFERROR(VLOOKUP(H1093,Vokabular!$A$2:$B$8,2,FALSE),"UNBEKANNT"))))</f>
        <v/>
      </c>
    </row>
    <row r="1094">
      <c r="A1094" s="5" t="inlineStr">
        <is>
          <t>VS-17</t>
        </is>
      </c>
      <c r="B1094" s="5" t="inlineStr">
        <is>
          <t>post</t>
        </is>
      </c>
      <c r="C1094" s="5" t="inlineStr">
        <is>
          <t>COD_505</t>
        </is>
      </c>
      <c r="D1094" s="5" t="inlineStr">
        <is>
          <t>L</t>
        </is>
      </c>
      <c r="E1094" s="5" t="n">
        <v>1</v>
      </c>
      <c r="F1094" s="5" t="n">
        <v>2.58</v>
      </c>
      <c r="G1094" s="5" t="n"/>
      <c r="H1094" s="5" t="n"/>
      <c r="I1094" s="22">
        <f>INDEX(Personendaten!$C$2:$C$32,MATCH(A1094,Personendaten!$A$2:$A$32,0))</f>
        <v/>
      </c>
      <c r="J1094" s="22">
        <f>IF(AND(F1094&lt;&gt;"",G1094=""),1,0)</f>
        <v/>
      </c>
      <c r="K1094" s="22">
        <f>IF(LEFT(C1094,7)&lt;&gt;"Sprint_","",IF(COUNTIFS(Versuchsdaten!$A$2:$A$1117,$A1094,Versuchsdaten!$B$2:$B$1117,$B1094,Versuchsdaten!$C$2:$C$1117,"Sprint_5m",Versuchsdaten!$E$2:$E$1117,$E1094,Versuchsdaten!$J$2:$J$1117,1)=1,SUMIFS(Versuchsdaten!$F$2:$F$1117,Versuchsdaten!$A$2:$A$1117,$A1094,Versuchsdaten!$B$2:$B$1117,$B1094,Versuchsdaten!$C$2:$C$1117,"Sprint_5m",Versuchsdaten!$E$2:$E$1117,$E1094,Versuchsdaten!$J$2:$J$1117,1),""))</f>
        <v/>
      </c>
      <c r="L1094" s="22">
        <f>IF(LEFT(C1094,7)&lt;&gt;"Sprint_","",IF(COUNTIFS(Versuchsdaten!$A$2:$A$1117,$A1094,Versuchsdaten!$B$2:$B$1117,$B1094,Versuchsdaten!$C$2:$C$1117,"Sprint_10m",Versuchsdaten!$E$2:$E$1117,$E1094,Versuchsdaten!$J$2:$J$1117,1)=1,SUMIFS(Versuchsdaten!$F$2:$F$1117,Versuchsdaten!$A$2:$A$1117,$A1094,Versuchsdaten!$B$2:$B$1117,$B1094,Versuchsdaten!$C$2:$C$1117,"Sprint_10m",Versuchsdaten!$E$2:$E$1117,$E1094,Versuchsdaten!$J$2:$J$1117,1),""))</f>
        <v/>
      </c>
      <c r="M1094" s="22">
        <f>IF(LEFT(C1094,7)&lt;&gt;"Sprint_","",IF(COUNTIFS(Versuchsdaten!$A$2:$A$1117,$A1094,Versuchsdaten!$B$2:$B$1117,$B1094,Versuchsdaten!$C$2:$C$1117,"Sprint_30m",Versuchsdaten!$E$2:$E$1117,$E1094,Versuchsdaten!$J$2:$J$1117,1)=1,SUMIFS(Versuchsdaten!$F$2:$F$1117,Versuchsdaten!$A$2:$A$1117,$A1094,Versuchsdaten!$B$2:$B$1117,$B1094,Versuchsdaten!$C$2:$C$1117,"Sprint_30m",Versuchsdaten!$E$2:$E$1117,$E1094,Versuchsdaten!$J$2:$J$1117,1),""))</f>
        <v/>
      </c>
      <c r="N1094" s="22">
        <f>IF(LEFT(C1094,7)&lt;&gt;"Sprint_",0,IF(IF(ISNUMBER(K1094),IF(K1094&lt;=0,1,IF(5/K1094&gt;10,1,0)),0)+IF(ISNUMBER(L1094),IF(ISNUMBER(K1094),IF(L1094-K1094&lt;=0,1,IF(5/(L1094-K1094)&gt;10,1,0)),IF(L1094&lt;=0,1,IF(10/L1094&gt;10,1,0))),0)+IF(ISNUMBER(M1094),IF(ISNUMBER(L1094),IF(M1094-L1094&lt;=0,1,IF(20/(M1094-L1094)&gt;10,1,0)),IF(ISNUMBER(K1094),IF(M1094-K1094&lt;=0,1,IF(25/(M1094-K1094)&gt;10,1,0)),IF(M1094&lt;=0,1,IF(30/M1094&gt;10,1,0)))),0)&gt;0,1,0))</f>
        <v/>
      </c>
      <c r="O1094" s="22">
        <f>IF(AND(J1094=1,N1094=0),1,0)</f>
        <v/>
      </c>
      <c r="P1094" s="22">
        <f>INDEX(Personendaten!$J$2:$J$32,MATCH(A1094,Personendaten!$A$2:$A$32,0))</f>
        <v/>
      </c>
      <c r="Q1094" s="22">
        <f>IF(O1094=1,"",IF(AND(B1094="post",P1094="nicht angetreten"),"NANG",IF(N1094=1,"AUSL",IFERROR(VLOOKUP(H1094,Vokabular!$A$2:$B$8,2,FALSE),"UNBEKANNT"))))</f>
        <v/>
      </c>
    </row>
    <row r="1095">
      <c r="A1095" s="5" t="inlineStr">
        <is>
          <t>VS-17</t>
        </is>
      </c>
      <c r="B1095" s="5" t="inlineStr">
        <is>
          <t>post</t>
        </is>
      </c>
      <c r="C1095" s="5" t="inlineStr">
        <is>
          <t>COD_505</t>
        </is>
      </c>
      <c r="D1095" s="5" t="inlineStr">
        <is>
          <t>L</t>
        </is>
      </c>
      <c r="E1095" s="5" t="n">
        <v>2</v>
      </c>
      <c r="F1095" s="5" t="n">
        <v>2.61</v>
      </c>
      <c r="G1095" s="5" t="n"/>
      <c r="H1095" s="5" t="n"/>
      <c r="I1095" s="22">
        <f>INDEX(Personendaten!$C$2:$C$32,MATCH(A1095,Personendaten!$A$2:$A$32,0))</f>
        <v/>
      </c>
      <c r="J1095" s="22">
        <f>IF(AND(F1095&lt;&gt;"",G1095=""),1,0)</f>
        <v/>
      </c>
      <c r="K1095" s="22">
        <f>IF(LEFT(C1095,7)&lt;&gt;"Sprint_","",IF(COUNTIFS(Versuchsdaten!$A$2:$A$1117,$A1095,Versuchsdaten!$B$2:$B$1117,$B1095,Versuchsdaten!$C$2:$C$1117,"Sprint_5m",Versuchsdaten!$E$2:$E$1117,$E1095,Versuchsdaten!$J$2:$J$1117,1)=1,SUMIFS(Versuchsdaten!$F$2:$F$1117,Versuchsdaten!$A$2:$A$1117,$A1095,Versuchsdaten!$B$2:$B$1117,$B1095,Versuchsdaten!$C$2:$C$1117,"Sprint_5m",Versuchsdaten!$E$2:$E$1117,$E1095,Versuchsdaten!$J$2:$J$1117,1),""))</f>
        <v/>
      </c>
      <c r="L1095" s="22">
        <f>IF(LEFT(C1095,7)&lt;&gt;"Sprint_","",IF(COUNTIFS(Versuchsdaten!$A$2:$A$1117,$A1095,Versuchsdaten!$B$2:$B$1117,$B1095,Versuchsdaten!$C$2:$C$1117,"Sprint_10m",Versuchsdaten!$E$2:$E$1117,$E1095,Versuchsdaten!$J$2:$J$1117,1)=1,SUMIFS(Versuchsdaten!$F$2:$F$1117,Versuchsdaten!$A$2:$A$1117,$A1095,Versuchsdaten!$B$2:$B$1117,$B1095,Versuchsdaten!$C$2:$C$1117,"Sprint_10m",Versuchsdaten!$E$2:$E$1117,$E1095,Versuchsdaten!$J$2:$J$1117,1),""))</f>
        <v/>
      </c>
      <c r="M1095" s="22">
        <f>IF(LEFT(C1095,7)&lt;&gt;"Sprint_","",IF(COUNTIFS(Versuchsdaten!$A$2:$A$1117,$A1095,Versuchsdaten!$B$2:$B$1117,$B1095,Versuchsdaten!$C$2:$C$1117,"Sprint_30m",Versuchsdaten!$E$2:$E$1117,$E1095,Versuchsdaten!$J$2:$J$1117,1)=1,SUMIFS(Versuchsdaten!$F$2:$F$1117,Versuchsdaten!$A$2:$A$1117,$A1095,Versuchsdaten!$B$2:$B$1117,$B1095,Versuchsdaten!$C$2:$C$1117,"Sprint_30m",Versuchsdaten!$E$2:$E$1117,$E1095,Versuchsdaten!$J$2:$J$1117,1),""))</f>
        <v/>
      </c>
      <c r="N1095" s="22">
        <f>IF(LEFT(C1095,7)&lt;&gt;"Sprint_",0,IF(IF(ISNUMBER(K1095),IF(K1095&lt;=0,1,IF(5/K1095&gt;10,1,0)),0)+IF(ISNUMBER(L1095),IF(ISNUMBER(K1095),IF(L1095-K1095&lt;=0,1,IF(5/(L1095-K1095)&gt;10,1,0)),IF(L1095&lt;=0,1,IF(10/L1095&gt;10,1,0))),0)+IF(ISNUMBER(M1095),IF(ISNUMBER(L1095),IF(M1095-L1095&lt;=0,1,IF(20/(M1095-L1095)&gt;10,1,0)),IF(ISNUMBER(K1095),IF(M1095-K1095&lt;=0,1,IF(25/(M1095-K1095)&gt;10,1,0)),IF(M1095&lt;=0,1,IF(30/M1095&gt;10,1,0)))),0)&gt;0,1,0))</f>
        <v/>
      </c>
      <c r="O1095" s="22">
        <f>IF(AND(J1095=1,N1095=0),1,0)</f>
        <v/>
      </c>
      <c r="P1095" s="22">
        <f>INDEX(Personendaten!$J$2:$J$32,MATCH(A1095,Personendaten!$A$2:$A$32,0))</f>
        <v/>
      </c>
      <c r="Q1095" s="22">
        <f>IF(O1095=1,"",IF(AND(B1095="post",P1095="nicht angetreten"),"NANG",IF(N1095=1,"AUSL",IFERROR(VLOOKUP(H1095,Vokabular!$A$2:$B$8,2,FALSE),"UNBEKANNT"))))</f>
        <v/>
      </c>
    </row>
    <row r="1096">
      <c r="A1096" s="5" t="inlineStr">
        <is>
          <t>VS-17</t>
        </is>
      </c>
      <c r="B1096" s="5" t="inlineStr">
        <is>
          <t>post</t>
        </is>
      </c>
      <c r="C1096" s="5" t="inlineStr">
        <is>
          <t>COD_505</t>
        </is>
      </c>
      <c r="D1096" s="5" t="inlineStr">
        <is>
          <t>L</t>
        </is>
      </c>
      <c r="E1096" s="5" t="n">
        <v>3</v>
      </c>
      <c r="F1096" s="5" t="n"/>
      <c r="G1096" s="5" t="n"/>
      <c r="H1096" s="5" t="inlineStr">
        <is>
          <t>Nur 2 Versuche aus Zeitmangel</t>
        </is>
      </c>
      <c r="I1096" s="22">
        <f>INDEX(Personendaten!$C$2:$C$32,MATCH(A1096,Personendaten!$A$2:$A$32,0))</f>
        <v/>
      </c>
      <c r="J1096" s="22">
        <f>IF(AND(F1096&lt;&gt;"",G1096=""),1,0)</f>
        <v/>
      </c>
      <c r="K1096" s="22">
        <f>IF(LEFT(C1096,7)&lt;&gt;"Sprint_","",IF(COUNTIFS(Versuchsdaten!$A$2:$A$1117,$A1096,Versuchsdaten!$B$2:$B$1117,$B1096,Versuchsdaten!$C$2:$C$1117,"Sprint_5m",Versuchsdaten!$E$2:$E$1117,$E1096,Versuchsdaten!$J$2:$J$1117,1)=1,SUMIFS(Versuchsdaten!$F$2:$F$1117,Versuchsdaten!$A$2:$A$1117,$A1096,Versuchsdaten!$B$2:$B$1117,$B1096,Versuchsdaten!$C$2:$C$1117,"Sprint_5m",Versuchsdaten!$E$2:$E$1117,$E1096,Versuchsdaten!$J$2:$J$1117,1),""))</f>
        <v/>
      </c>
      <c r="L1096" s="22">
        <f>IF(LEFT(C1096,7)&lt;&gt;"Sprint_","",IF(COUNTIFS(Versuchsdaten!$A$2:$A$1117,$A1096,Versuchsdaten!$B$2:$B$1117,$B1096,Versuchsdaten!$C$2:$C$1117,"Sprint_10m",Versuchsdaten!$E$2:$E$1117,$E1096,Versuchsdaten!$J$2:$J$1117,1)=1,SUMIFS(Versuchsdaten!$F$2:$F$1117,Versuchsdaten!$A$2:$A$1117,$A1096,Versuchsdaten!$B$2:$B$1117,$B1096,Versuchsdaten!$C$2:$C$1117,"Sprint_10m",Versuchsdaten!$E$2:$E$1117,$E1096,Versuchsdaten!$J$2:$J$1117,1),""))</f>
        <v/>
      </c>
      <c r="M1096" s="22">
        <f>IF(LEFT(C1096,7)&lt;&gt;"Sprint_","",IF(COUNTIFS(Versuchsdaten!$A$2:$A$1117,$A1096,Versuchsdaten!$B$2:$B$1117,$B1096,Versuchsdaten!$C$2:$C$1117,"Sprint_30m",Versuchsdaten!$E$2:$E$1117,$E1096,Versuchsdaten!$J$2:$J$1117,1)=1,SUMIFS(Versuchsdaten!$F$2:$F$1117,Versuchsdaten!$A$2:$A$1117,$A1096,Versuchsdaten!$B$2:$B$1117,$B1096,Versuchsdaten!$C$2:$C$1117,"Sprint_30m",Versuchsdaten!$E$2:$E$1117,$E1096,Versuchsdaten!$J$2:$J$1117,1),""))</f>
        <v/>
      </c>
      <c r="N1096" s="22">
        <f>IF(LEFT(C1096,7)&lt;&gt;"Sprint_",0,IF(IF(ISNUMBER(K1096),IF(K1096&lt;=0,1,IF(5/K1096&gt;10,1,0)),0)+IF(ISNUMBER(L1096),IF(ISNUMBER(K1096),IF(L1096-K1096&lt;=0,1,IF(5/(L1096-K1096)&gt;10,1,0)),IF(L1096&lt;=0,1,IF(10/L1096&gt;10,1,0))),0)+IF(ISNUMBER(M1096),IF(ISNUMBER(L1096),IF(M1096-L1096&lt;=0,1,IF(20/(M1096-L1096)&gt;10,1,0)),IF(ISNUMBER(K1096),IF(M1096-K1096&lt;=0,1,IF(25/(M1096-K1096)&gt;10,1,0)),IF(M1096&lt;=0,1,IF(30/M1096&gt;10,1,0)))),0)&gt;0,1,0))</f>
        <v/>
      </c>
      <c r="O1096" s="22">
        <f>IF(AND(J1096=1,N1096=0),1,0)</f>
        <v/>
      </c>
      <c r="P1096" s="22">
        <f>INDEX(Personendaten!$J$2:$J$32,MATCH(A1096,Personendaten!$A$2:$A$32,0))</f>
        <v/>
      </c>
      <c r="Q1096" s="22">
        <f>IF(O1096=1,"",IF(AND(B1096="post",P1096="nicht angetreten"),"NANG",IF(N1096=1,"AUSL",IFERROR(VLOOKUP(H1096,Vokabular!$A$2:$B$8,2,FALSE),"UNBEKANNT"))))</f>
        <v/>
      </c>
    </row>
    <row r="1097">
      <c r="A1097" s="5" t="inlineStr">
        <is>
          <t>VS-17</t>
        </is>
      </c>
      <c r="B1097" s="5" t="inlineStr">
        <is>
          <t>post</t>
        </is>
      </c>
      <c r="C1097" s="5" t="inlineStr">
        <is>
          <t>COD_505</t>
        </is>
      </c>
      <c r="D1097" s="5" t="inlineStr">
        <is>
          <t>R</t>
        </is>
      </c>
      <c r="E1097" s="5" t="n">
        <v>1</v>
      </c>
      <c r="F1097" s="5" t="n">
        <v>2.65</v>
      </c>
      <c r="G1097" s="5" t="n"/>
      <c r="H1097" s="5" t="n"/>
      <c r="I1097" s="22">
        <f>INDEX(Personendaten!$C$2:$C$32,MATCH(A1097,Personendaten!$A$2:$A$32,0))</f>
        <v/>
      </c>
      <c r="J1097" s="22">
        <f>IF(AND(F1097&lt;&gt;"",G1097=""),1,0)</f>
        <v/>
      </c>
      <c r="K1097" s="22">
        <f>IF(LEFT(C1097,7)&lt;&gt;"Sprint_","",IF(COUNTIFS(Versuchsdaten!$A$2:$A$1117,$A1097,Versuchsdaten!$B$2:$B$1117,$B1097,Versuchsdaten!$C$2:$C$1117,"Sprint_5m",Versuchsdaten!$E$2:$E$1117,$E1097,Versuchsdaten!$J$2:$J$1117,1)=1,SUMIFS(Versuchsdaten!$F$2:$F$1117,Versuchsdaten!$A$2:$A$1117,$A1097,Versuchsdaten!$B$2:$B$1117,$B1097,Versuchsdaten!$C$2:$C$1117,"Sprint_5m",Versuchsdaten!$E$2:$E$1117,$E1097,Versuchsdaten!$J$2:$J$1117,1),""))</f>
        <v/>
      </c>
      <c r="L1097" s="22">
        <f>IF(LEFT(C1097,7)&lt;&gt;"Sprint_","",IF(COUNTIFS(Versuchsdaten!$A$2:$A$1117,$A1097,Versuchsdaten!$B$2:$B$1117,$B1097,Versuchsdaten!$C$2:$C$1117,"Sprint_10m",Versuchsdaten!$E$2:$E$1117,$E1097,Versuchsdaten!$J$2:$J$1117,1)=1,SUMIFS(Versuchsdaten!$F$2:$F$1117,Versuchsdaten!$A$2:$A$1117,$A1097,Versuchsdaten!$B$2:$B$1117,$B1097,Versuchsdaten!$C$2:$C$1117,"Sprint_10m",Versuchsdaten!$E$2:$E$1117,$E1097,Versuchsdaten!$J$2:$J$1117,1),""))</f>
        <v/>
      </c>
      <c r="M1097" s="22">
        <f>IF(LEFT(C1097,7)&lt;&gt;"Sprint_","",IF(COUNTIFS(Versuchsdaten!$A$2:$A$1117,$A1097,Versuchsdaten!$B$2:$B$1117,$B1097,Versuchsdaten!$C$2:$C$1117,"Sprint_30m",Versuchsdaten!$E$2:$E$1117,$E1097,Versuchsdaten!$J$2:$J$1117,1)=1,SUMIFS(Versuchsdaten!$F$2:$F$1117,Versuchsdaten!$A$2:$A$1117,$A1097,Versuchsdaten!$B$2:$B$1117,$B1097,Versuchsdaten!$C$2:$C$1117,"Sprint_30m",Versuchsdaten!$E$2:$E$1117,$E1097,Versuchsdaten!$J$2:$J$1117,1),""))</f>
        <v/>
      </c>
      <c r="N1097" s="22">
        <f>IF(LEFT(C1097,7)&lt;&gt;"Sprint_",0,IF(IF(ISNUMBER(K1097),IF(K1097&lt;=0,1,IF(5/K1097&gt;10,1,0)),0)+IF(ISNUMBER(L1097),IF(ISNUMBER(K1097),IF(L1097-K1097&lt;=0,1,IF(5/(L1097-K1097)&gt;10,1,0)),IF(L1097&lt;=0,1,IF(10/L1097&gt;10,1,0))),0)+IF(ISNUMBER(M1097),IF(ISNUMBER(L1097),IF(M1097-L1097&lt;=0,1,IF(20/(M1097-L1097)&gt;10,1,0)),IF(ISNUMBER(K1097),IF(M1097-K1097&lt;=0,1,IF(25/(M1097-K1097)&gt;10,1,0)),IF(M1097&lt;=0,1,IF(30/M1097&gt;10,1,0)))),0)&gt;0,1,0))</f>
        <v/>
      </c>
      <c r="O1097" s="22">
        <f>IF(AND(J1097=1,N1097=0),1,0)</f>
        <v/>
      </c>
      <c r="P1097" s="22">
        <f>INDEX(Personendaten!$J$2:$J$32,MATCH(A1097,Personendaten!$A$2:$A$32,0))</f>
        <v/>
      </c>
      <c r="Q1097" s="22">
        <f>IF(O1097=1,"",IF(AND(B1097="post",P1097="nicht angetreten"),"NANG",IF(N1097=1,"AUSL",IFERROR(VLOOKUP(H1097,Vokabular!$A$2:$B$8,2,FALSE),"UNBEKANNT"))))</f>
        <v/>
      </c>
    </row>
    <row r="1098">
      <c r="A1098" s="5" t="inlineStr">
        <is>
          <t>VS-17</t>
        </is>
      </c>
      <c r="B1098" s="5" t="inlineStr">
        <is>
          <t>post</t>
        </is>
      </c>
      <c r="C1098" s="5" t="inlineStr">
        <is>
          <t>COD_505</t>
        </is>
      </c>
      <c r="D1098" s="5" t="inlineStr">
        <is>
          <t>R</t>
        </is>
      </c>
      <c r="E1098" s="5" t="n">
        <v>2</v>
      </c>
      <c r="F1098" s="5" t="n">
        <v>2.76</v>
      </c>
      <c r="G1098" s="5" t="n"/>
      <c r="H1098" s="5" t="n"/>
      <c r="I1098" s="22">
        <f>INDEX(Personendaten!$C$2:$C$32,MATCH(A1098,Personendaten!$A$2:$A$32,0))</f>
        <v/>
      </c>
      <c r="J1098" s="22">
        <f>IF(AND(F1098&lt;&gt;"",G1098=""),1,0)</f>
        <v/>
      </c>
      <c r="K1098" s="22">
        <f>IF(LEFT(C1098,7)&lt;&gt;"Sprint_","",IF(COUNTIFS(Versuchsdaten!$A$2:$A$1117,$A1098,Versuchsdaten!$B$2:$B$1117,$B1098,Versuchsdaten!$C$2:$C$1117,"Sprint_5m",Versuchsdaten!$E$2:$E$1117,$E1098,Versuchsdaten!$J$2:$J$1117,1)=1,SUMIFS(Versuchsdaten!$F$2:$F$1117,Versuchsdaten!$A$2:$A$1117,$A1098,Versuchsdaten!$B$2:$B$1117,$B1098,Versuchsdaten!$C$2:$C$1117,"Sprint_5m",Versuchsdaten!$E$2:$E$1117,$E1098,Versuchsdaten!$J$2:$J$1117,1),""))</f>
        <v/>
      </c>
      <c r="L1098" s="22">
        <f>IF(LEFT(C1098,7)&lt;&gt;"Sprint_","",IF(COUNTIFS(Versuchsdaten!$A$2:$A$1117,$A1098,Versuchsdaten!$B$2:$B$1117,$B1098,Versuchsdaten!$C$2:$C$1117,"Sprint_10m",Versuchsdaten!$E$2:$E$1117,$E1098,Versuchsdaten!$J$2:$J$1117,1)=1,SUMIFS(Versuchsdaten!$F$2:$F$1117,Versuchsdaten!$A$2:$A$1117,$A1098,Versuchsdaten!$B$2:$B$1117,$B1098,Versuchsdaten!$C$2:$C$1117,"Sprint_10m",Versuchsdaten!$E$2:$E$1117,$E1098,Versuchsdaten!$J$2:$J$1117,1),""))</f>
        <v/>
      </c>
      <c r="M1098" s="22">
        <f>IF(LEFT(C1098,7)&lt;&gt;"Sprint_","",IF(COUNTIFS(Versuchsdaten!$A$2:$A$1117,$A1098,Versuchsdaten!$B$2:$B$1117,$B1098,Versuchsdaten!$C$2:$C$1117,"Sprint_30m",Versuchsdaten!$E$2:$E$1117,$E1098,Versuchsdaten!$J$2:$J$1117,1)=1,SUMIFS(Versuchsdaten!$F$2:$F$1117,Versuchsdaten!$A$2:$A$1117,$A1098,Versuchsdaten!$B$2:$B$1117,$B1098,Versuchsdaten!$C$2:$C$1117,"Sprint_30m",Versuchsdaten!$E$2:$E$1117,$E1098,Versuchsdaten!$J$2:$J$1117,1),""))</f>
        <v/>
      </c>
      <c r="N1098" s="22">
        <f>IF(LEFT(C1098,7)&lt;&gt;"Sprint_",0,IF(IF(ISNUMBER(K1098),IF(K1098&lt;=0,1,IF(5/K1098&gt;10,1,0)),0)+IF(ISNUMBER(L1098),IF(ISNUMBER(K1098),IF(L1098-K1098&lt;=0,1,IF(5/(L1098-K1098)&gt;10,1,0)),IF(L1098&lt;=0,1,IF(10/L1098&gt;10,1,0))),0)+IF(ISNUMBER(M1098),IF(ISNUMBER(L1098),IF(M1098-L1098&lt;=0,1,IF(20/(M1098-L1098)&gt;10,1,0)),IF(ISNUMBER(K1098),IF(M1098-K1098&lt;=0,1,IF(25/(M1098-K1098)&gt;10,1,0)),IF(M1098&lt;=0,1,IF(30/M1098&gt;10,1,0)))),0)&gt;0,1,0))</f>
        <v/>
      </c>
      <c r="O1098" s="22">
        <f>IF(AND(J1098=1,N1098=0),1,0)</f>
        <v/>
      </c>
      <c r="P1098" s="22">
        <f>INDEX(Personendaten!$J$2:$J$32,MATCH(A1098,Personendaten!$A$2:$A$32,0))</f>
        <v/>
      </c>
      <c r="Q1098" s="22">
        <f>IF(O1098=1,"",IF(AND(B1098="post",P1098="nicht angetreten"),"NANG",IF(N1098=1,"AUSL",IFERROR(VLOOKUP(H1098,Vokabular!$A$2:$B$8,2,FALSE),"UNBEKANNT"))))</f>
        <v/>
      </c>
    </row>
    <row r="1099">
      <c r="A1099" s="5" t="inlineStr">
        <is>
          <t>VS-17</t>
        </is>
      </c>
      <c r="B1099" s="5" t="inlineStr">
        <is>
          <t>post</t>
        </is>
      </c>
      <c r="C1099" s="5" t="inlineStr">
        <is>
          <t>COD_505</t>
        </is>
      </c>
      <c r="D1099" s="5" t="inlineStr">
        <is>
          <t>R</t>
        </is>
      </c>
      <c r="E1099" s="5" t="n">
        <v>3</v>
      </c>
      <c r="F1099" s="5" t="n"/>
      <c r="G1099" s="5" t="n"/>
      <c r="H1099" s="5" t="inlineStr">
        <is>
          <t>Nur 2 Versuche aus Zeitmangel</t>
        </is>
      </c>
      <c r="I1099" s="22">
        <f>INDEX(Personendaten!$C$2:$C$32,MATCH(A1099,Personendaten!$A$2:$A$32,0))</f>
        <v/>
      </c>
      <c r="J1099" s="22">
        <f>IF(AND(F1099&lt;&gt;"",G1099=""),1,0)</f>
        <v/>
      </c>
      <c r="K1099" s="22">
        <f>IF(LEFT(C1099,7)&lt;&gt;"Sprint_","",IF(COUNTIFS(Versuchsdaten!$A$2:$A$1117,$A1099,Versuchsdaten!$B$2:$B$1117,$B1099,Versuchsdaten!$C$2:$C$1117,"Sprint_5m",Versuchsdaten!$E$2:$E$1117,$E1099,Versuchsdaten!$J$2:$J$1117,1)=1,SUMIFS(Versuchsdaten!$F$2:$F$1117,Versuchsdaten!$A$2:$A$1117,$A1099,Versuchsdaten!$B$2:$B$1117,$B1099,Versuchsdaten!$C$2:$C$1117,"Sprint_5m",Versuchsdaten!$E$2:$E$1117,$E1099,Versuchsdaten!$J$2:$J$1117,1),""))</f>
        <v/>
      </c>
      <c r="L1099" s="22">
        <f>IF(LEFT(C1099,7)&lt;&gt;"Sprint_","",IF(COUNTIFS(Versuchsdaten!$A$2:$A$1117,$A1099,Versuchsdaten!$B$2:$B$1117,$B1099,Versuchsdaten!$C$2:$C$1117,"Sprint_10m",Versuchsdaten!$E$2:$E$1117,$E1099,Versuchsdaten!$J$2:$J$1117,1)=1,SUMIFS(Versuchsdaten!$F$2:$F$1117,Versuchsdaten!$A$2:$A$1117,$A1099,Versuchsdaten!$B$2:$B$1117,$B1099,Versuchsdaten!$C$2:$C$1117,"Sprint_10m",Versuchsdaten!$E$2:$E$1117,$E1099,Versuchsdaten!$J$2:$J$1117,1),""))</f>
        <v/>
      </c>
      <c r="M1099" s="22">
        <f>IF(LEFT(C1099,7)&lt;&gt;"Sprint_","",IF(COUNTIFS(Versuchsdaten!$A$2:$A$1117,$A1099,Versuchsdaten!$B$2:$B$1117,$B1099,Versuchsdaten!$C$2:$C$1117,"Sprint_30m",Versuchsdaten!$E$2:$E$1117,$E1099,Versuchsdaten!$J$2:$J$1117,1)=1,SUMIFS(Versuchsdaten!$F$2:$F$1117,Versuchsdaten!$A$2:$A$1117,$A1099,Versuchsdaten!$B$2:$B$1117,$B1099,Versuchsdaten!$C$2:$C$1117,"Sprint_30m",Versuchsdaten!$E$2:$E$1117,$E1099,Versuchsdaten!$J$2:$J$1117,1),""))</f>
        <v/>
      </c>
      <c r="N1099" s="22">
        <f>IF(LEFT(C1099,7)&lt;&gt;"Sprint_",0,IF(IF(ISNUMBER(K1099),IF(K1099&lt;=0,1,IF(5/K1099&gt;10,1,0)),0)+IF(ISNUMBER(L1099),IF(ISNUMBER(K1099),IF(L1099-K1099&lt;=0,1,IF(5/(L1099-K1099)&gt;10,1,0)),IF(L1099&lt;=0,1,IF(10/L1099&gt;10,1,0))),0)+IF(ISNUMBER(M1099),IF(ISNUMBER(L1099),IF(M1099-L1099&lt;=0,1,IF(20/(M1099-L1099)&gt;10,1,0)),IF(ISNUMBER(K1099),IF(M1099-K1099&lt;=0,1,IF(25/(M1099-K1099)&gt;10,1,0)),IF(M1099&lt;=0,1,IF(30/M1099&gt;10,1,0)))),0)&gt;0,1,0))</f>
        <v/>
      </c>
      <c r="O1099" s="22">
        <f>IF(AND(J1099=1,N1099=0),1,0)</f>
        <v/>
      </c>
      <c r="P1099" s="22">
        <f>INDEX(Personendaten!$J$2:$J$32,MATCH(A1099,Personendaten!$A$2:$A$32,0))</f>
        <v/>
      </c>
      <c r="Q1099" s="22">
        <f>IF(O1099=1,"",IF(AND(B1099="post",P1099="nicht angetreten"),"NANG",IF(N1099=1,"AUSL",IFERROR(VLOOKUP(H1099,Vokabular!$A$2:$B$8,2,FALSE),"UNBEKANNT"))))</f>
        <v/>
      </c>
    </row>
    <row r="1100">
      <c r="A1100" s="5" t="inlineStr">
        <is>
          <t>VS-18</t>
        </is>
      </c>
      <c r="B1100" s="5" t="inlineStr">
        <is>
          <t>post</t>
        </is>
      </c>
      <c r="C1100" s="5" t="inlineStr">
        <is>
          <t>Sprint_5m</t>
        </is>
      </c>
      <c r="D1100" s="5" t="inlineStr">
        <is>
          <t>–</t>
        </is>
      </c>
      <c r="E1100" s="5" t="n">
        <v>1</v>
      </c>
      <c r="F1100" s="5" t="n">
        <v>1.24</v>
      </c>
      <c r="G1100" s="5" t="n"/>
      <c r="H1100" s="5" t="n"/>
      <c r="I1100" s="22">
        <f>INDEX(Personendaten!$C$2:$C$32,MATCH(A1100,Personendaten!$A$2:$A$32,0))</f>
        <v/>
      </c>
      <c r="J1100" s="22">
        <f>IF(AND(F1100&lt;&gt;"",G1100=""),1,0)</f>
        <v/>
      </c>
      <c r="K1100" s="22">
        <f>IF(LEFT(C1100,7)&lt;&gt;"Sprint_","",IF(COUNTIFS(Versuchsdaten!$A$2:$A$1117,$A1100,Versuchsdaten!$B$2:$B$1117,$B1100,Versuchsdaten!$C$2:$C$1117,"Sprint_5m",Versuchsdaten!$E$2:$E$1117,$E1100,Versuchsdaten!$J$2:$J$1117,1)=1,SUMIFS(Versuchsdaten!$F$2:$F$1117,Versuchsdaten!$A$2:$A$1117,$A1100,Versuchsdaten!$B$2:$B$1117,$B1100,Versuchsdaten!$C$2:$C$1117,"Sprint_5m",Versuchsdaten!$E$2:$E$1117,$E1100,Versuchsdaten!$J$2:$J$1117,1),""))</f>
        <v/>
      </c>
      <c r="L1100" s="22">
        <f>IF(LEFT(C1100,7)&lt;&gt;"Sprint_","",IF(COUNTIFS(Versuchsdaten!$A$2:$A$1117,$A1100,Versuchsdaten!$B$2:$B$1117,$B1100,Versuchsdaten!$C$2:$C$1117,"Sprint_10m",Versuchsdaten!$E$2:$E$1117,$E1100,Versuchsdaten!$J$2:$J$1117,1)=1,SUMIFS(Versuchsdaten!$F$2:$F$1117,Versuchsdaten!$A$2:$A$1117,$A1100,Versuchsdaten!$B$2:$B$1117,$B1100,Versuchsdaten!$C$2:$C$1117,"Sprint_10m",Versuchsdaten!$E$2:$E$1117,$E1100,Versuchsdaten!$J$2:$J$1117,1),""))</f>
        <v/>
      </c>
      <c r="M1100" s="22">
        <f>IF(LEFT(C1100,7)&lt;&gt;"Sprint_","",IF(COUNTIFS(Versuchsdaten!$A$2:$A$1117,$A1100,Versuchsdaten!$B$2:$B$1117,$B1100,Versuchsdaten!$C$2:$C$1117,"Sprint_30m",Versuchsdaten!$E$2:$E$1117,$E1100,Versuchsdaten!$J$2:$J$1117,1)=1,SUMIFS(Versuchsdaten!$F$2:$F$1117,Versuchsdaten!$A$2:$A$1117,$A1100,Versuchsdaten!$B$2:$B$1117,$B1100,Versuchsdaten!$C$2:$C$1117,"Sprint_30m",Versuchsdaten!$E$2:$E$1117,$E1100,Versuchsdaten!$J$2:$J$1117,1),""))</f>
        <v/>
      </c>
      <c r="N1100" s="22">
        <f>IF(LEFT(C1100,7)&lt;&gt;"Sprint_",0,IF(IF(ISNUMBER(K1100),IF(K1100&lt;=0,1,IF(5/K1100&gt;10,1,0)),0)+IF(ISNUMBER(L1100),IF(ISNUMBER(K1100),IF(L1100-K1100&lt;=0,1,IF(5/(L1100-K1100)&gt;10,1,0)),IF(L1100&lt;=0,1,IF(10/L1100&gt;10,1,0))),0)+IF(ISNUMBER(M1100),IF(ISNUMBER(L1100),IF(M1100-L1100&lt;=0,1,IF(20/(M1100-L1100)&gt;10,1,0)),IF(ISNUMBER(K1100),IF(M1100-K1100&lt;=0,1,IF(25/(M1100-K1100)&gt;10,1,0)),IF(M1100&lt;=0,1,IF(30/M1100&gt;10,1,0)))),0)&gt;0,1,0))</f>
        <v/>
      </c>
      <c r="O1100" s="22">
        <f>IF(AND(J1100=1,N1100=0),1,0)</f>
        <v/>
      </c>
      <c r="P1100" s="22">
        <f>INDEX(Personendaten!$J$2:$J$32,MATCH(A1100,Personendaten!$A$2:$A$32,0))</f>
        <v/>
      </c>
      <c r="Q1100" s="22">
        <f>IF(O1100=1,"",IF(AND(B1100="post",P1100="nicht angetreten"),"NANG",IF(N1100=1,"AUSL",IFERROR(VLOOKUP(H1100,Vokabular!$A$2:$B$8,2,FALSE),"UNBEKANNT"))))</f>
        <v/>
      </c>
    </row>
    <row r="1101">
      <c r="A1101" s="5" t="inlineStr">
        <is>
          <t>VS-18</t>
        </is>
      </c>
      <c r="B1101" s="5" t="inlineStr">
        <is>
          <t>post</t>
        </is>
      </c>
      <c r="C1101" s="5" t="inlineStr">
        <is>
          <t>Sprint_5m</t>
        </is>
      </c>
      <c r="D1101" s="5" t="inlineStr">
        <is>
          <t>–</t>
        </is>
      </c>
      <c r="E1101" s="5" t="n">
        <v>2</v>
      </c>
      <c r="F1101" s="5" t="n"/>
      <c r="G1101" s="5" t="n"/>
      <c r="H1101" s="5" t="inlineStr">
        <is>
          <t>System nicht aufgenommen</t>
        </is>
      </c>
      <c r="I1101" s="22">
        <f>INDEX(Personendaten!$C$2:$C$32,MATCH(A1101,Personendaten!$A$2:$A$32,0))</f>
        <v/>
      </c>
      <c r="J1101" s="22">
        <f>IF(AND(F1101&lt;&gt;"",G1101=""),1,0)</f>
        <v/>
      </c>
      <c r="K1101" s="22">
        <f>IF(LEFT(C1101,7)&lt;&gt;"Sprint_","",IF(COUNTIFS(Versuchsdaten!$A$2:$A$1117,$A1101,Versuchsdaten!$B$2:$B$1117,$B1101,Versuchsdaten!$C$2:$C$1117,"Sprint_5m",Versuchsdaten!$E$2:$E$1117,$E1101,Versuchsdaten!$J$2:$J$1117,1)=1,SUMIFS(Versuchsdaten!$F$2:$F$1117,Versuchsdaten!$A$2:$A$1117,$A1101,Versuchsdaten!$B$2:$B$1117,$B1101,Versuchsdaten!$C$2:$C$1117,"Sprint_5m",Versuchsdaten!$E$2:$E$1117,$E1101,Versuchsdaten!$J$2:$J$1117,1),""))</f>
        <v/>
      </c>
      <c r="L1101" s="22">
        <f>IF(LEFT(C1101,7)&lt;&gt;"Sprint_","",IF(COUNTIFS(Versuchsdaten!$A$2:$A$1117,$A1101,Versuchsdaten!$B$2:$B$1117,$B1101,Versuchsdaten!$C$2:$C$1117,"Sprint_10m",Versuchsdaten!$E$2:$E$1117,$E1101,Versuchsdaten!$J$2:$J$1117,1)=1,SUMIFS(Versuchsdaten!$F$2:$F$1117,Versuchsdaten!$A$2:$A$1117,$A1101,Versuchsdaten!$B$2:$B$1117,$B1101,Versuchsdaten!$C$2:$C$1117,"Sprint_10m",Versuchsdaten!$E$2:$E$1117,$E1101,Versuchsdaten!$J$2:$J$1117,1),""))</f>
        <v/>
      </c>
      <c r="M1101" s="22">
        <f>IF(LEFT(C1101,7)&lt;&gt;"Sprint_","",IF(COUNTIFS(Versuchsdaten!$A$2:$A$1117,$A1101,Versuchsdaten!$B$2:$B$1117,$B1101,Versuchsdaten!$C$2:$C$1117,"Sprint_30m",Versuchsdaten!$E$2:$E$1117,$E1101,Versuchsdaten!$J$2:$J$1117,1)=1,SUMIFS(Versuchsdaten!$F$2:$F$1117,Versuchsdaten!$A$2:$A$1117,$A1101,Versuchsdaten!$B$2:$B$1117,$B1101,Versuchsdaten!$C$2:$C$1117,"Sprint_30m",Versuchsdaten!$E$2:$E$1117,$E1101,Versuchsdaten!$J$2:$J$1117,1),""))</f>
        <v/>
      </c>
      <c r="N1101" s="22">
        <f>IF(LEFT(C1101,7)&lt;&gt;"Sprint_",0,IF(IF(ISNUMBER(K1101),IF(K1101&lt;=0,1,IF(5/K1101&gt;10,1,0)),0)+IF(ISNUMBER(L1101),IF(ISNUMBER(K1101),IF(L1101-K1101&lt;=0,1,IF(5/(L1101-K1101)&gt;10,1,0)),IF(L1101&lt;=0,1,IF(10/L1101&gt;10,1,0))),0)+IF(ISNUMBER(M1101),IF(ISNUMBER(L1101),IF(M1101-L1101&lt;=0,1,IF(20/(M1101-L1101)&gt;10,1,0)),IF(ISNUMBER(K1101),IF(M1101-K1101&lt;=0,1,IF(25/(M1101-K1101)&gt;10,1,0)),IF(M1101&lt;=0,1,IF(30/M1101&gt;10,1,0)))),0)&gt;0,1,0))</f>
        <v/>
      </c>
      <c r="O1101" s="22">
        <f>IF(AND(J1101=1,N1101=0),1,0)</f>
        <v/>
      </c>
      <c r="P1101" s="22">
        <f>INDEX(Personendaten!$J$2:$J$32,MATCH(A1101,Personendaten!$A$2:$A$32,0))</f>
        <v/>
      </c>
      <c r="Q1101" s="22">
        <f>IF(O1101=1,"",IF(AND(B1101="post",P1101="nicht angetreten"),"NANG",IF(N1101=1,"AUSL",IFERROR(VLOOKUP(H1101,Vokabular!$A$2:$B$8,2,FALSE),"UNBEKANNT"))))</f>
        <v/>
      </c>
    </row>
    <row r="1102">
      <c r="A1102" s="5" t="inlineStr">
        <is>
          <t>VS-18</t>
        </is>
      </c>
      <c r="B1102" s="5" t="inlineStr">
        <is>
          <t>post</t>
        </is>
      </c>
      <c r="C1102" s="5" t="inlineStr">
        <is>
          <t>Sprint_5m</t>
        </is>
      </c>
      <c r="D1102" s="5" t="inlineStr">
        <is>
          <t>–</t>
        </is>
      </c>
      <c r="E1102" s="5" t="n">
        <v>3</v>
      </c>
      <c r="F1102" s="5" t="n"/>
      <c r="G1102" s="5" t="n"/>
      <c r="H1102" s="5" t="inlineStr">
        <is>
          <t>Nur 2 Versuche aus Zeitmangel</t>
        </is>
      </c>
      <c r="I1102" s="22">
        <f>INDEX(Personendaten!$C$2:$C$32,MATCH(A1102,Personendaten!$A$2:$A$32,0))</f>
        <v/>
      </c>
      <c r="J1102" s="22">
        <f>IF(AND(F1102&lt;&gt;"",G1102=""),1,0)</f>
        <v/>
      </c>
      <c r="K1102" s="22">
        <f>IF(LEFT(C1102,7)&lt;&gt;"Sprint_","",IF(COUNTIFS(Versuchsdaten!$A$2:$A$1117,$A1102,Versuchsdaten!$B$2:$B$1117,$B1102,Versuchsdaten!$C$2:$C$1117,"Sprint_5m",Versuchsdaten!$E$2:$E$1117,$E1102,Versuchsdaten!$J$2:$J$1117,1)=1,SUMIFS(Versuchsdaten!$F$2:$F$1117,Versuchsdaten!$A$2:$A$1117,$A1102,Versuchsdaten!$B$2:$B$1117,$B1102,Versuchsdaten!$C$2:$C$1117,"Sprint_5m",Versuchsdaten!$E$2:$E$1117,$E1102,Versuchsdaten!$J$2:$J$1117,1),""))</f>
        <v/>
      </c>
      <c r="L1102" s="22">
        <f>IF(LEFT(C1102,7)&lt;&gt;"Sprint_","",IF(COUNTIFS(Versuchsdaten!$A$2:$A$1117,$A1102,Versuchsdaten!$B$2:$B$1117,$B1102,Versuchsdaten!$C$2:$C$1117,"Sprint_10m",Versuchsdaten!$E$2:$E$1117,$E1102,Versuchsdaten!$J$2:$J$1117,1)=1,SUMIFS(Versuchsdaten!$F$2:$F$1117,Versuchsdaten!$A$2:$A$1117,$A1102,Versuchsdaten!$B$2:$B$1117,$B1102,Versuchsdaten!$C$2:$C$1117,"Sprint_10m",Versuchsdaten!$E$2:$E$1117,$E1102,Versuchsdaten!$J$2:$J$1117,1),""))</f>
        <v/>
      </c>
      <c r="M1102" s="22">
        <f>IF(LEFT(C1102,7)&lt;&gt;"Sprint_","",IF(COUNTIFS(Versuchsdaten!$A$2:$A$1117,$A1102,Versuchsdaten!$B$2:$B$1117,$B1102,Versuchsdaten!$C$2:$C$1117,"Sprint_30m",Versuchsdaten!$E$2:$E$1117,$E1102,Versuchsdaten!$J$2:$J$1117,1)=1,SUMIFS(Versuchsdaten!$F$2:$F$1117,Versuchsdaten!$A$2:$A$1117,$A1102,Versuchsdaten!$B$2:$B$1117,$B1102,Versuchsdaten!$C$2:$C$1117,"Sprint_30m",Versuchsdaten!$E$2:$E$1117,$E1102,Versuchsdaten!$J$2:$J$1117,1),""))</f>
        <v/>
      </c>
      <c r="N1102" s="22">
        <f>IF(LEFT(C1102,7)&lt;&gt;"Sprint_",0,IF(IF(ISNUMBER(K1102),IF(K1102&lt;=0,1,IF(5/K1102&gt;10,1,0)),0)+IF(ISNUMBER(L1102),IF(ISNUMBER(K1102),IF(L1102-K1102&lt;=0,1,IF(5/(L1102-K1102)&gt;10,1,0)),IF(L1102&lt;=0,1,IF(10/L1102&gt;10,1,0))),0)+IF(ISNUMBER(M1102),IF(ISNUMBER(L1102),IF(M1102-L1102&lt;=0,1,IF(20/(M1102-L1102)&gt;10,1,0)),IF(ISNUMBER(K1102),IF(M1102-K1102&lt;=0,1,IF(25/(M1102-K1102)&gt;10,1,0)),IF(M1102&lt;=0,1,IF(30/M1102&gt;10,1,0)))),0)&gt;0,1,0))</f>
        <v/>
      </c>
      <c r="O1102" s="22">
        <f>IF(AND(J1102=1,N1102=0),1,0)</f>
        <v/>
      </c>
      <c r="P1102" s="22">
        <f>INDEX(Personendaten!$J$2:$J$32,MATCH(A1102,Personendaten!$A$2:$A$32,0))</f>
        <v/>
      </c>
      <c r="Q1102" s="22">
        <f>IF(O1102=1,"",IF(AND(B1102="post",P1102="nicht angetreten"),"NANG",IF(N1102=1,"AUSL",IFERROR(VLOOKUP(H1102,Vokabular!$A$2:$B$8,2,FALSE),"UNBEKANNT"))))</f>
        <v/>
      </c>
    </row>
    <row r="1103">
      <c r="A1103" s="5" t="inlineStr">
        <is>
          <t>VS-18</t>
        </is>
      </c>
      <c r="B1103" s="5" t="inlineStr">
        <is>
          <t>post</t>
        </is>
      </c>
      <c r="C1103" s="5" t="inlineStr">
        <is>
          <t>Sprint_10m</t>
        </is>
      </c>
      <c r="D1103" s="5" t="inlineStr">
        <is>
          <t>–</t>
        </is>
      </c>
      <c r="E1103" s="5" t="n">
        <v>1</v>
      </c>
      <c r="F1103" s="5" t="n">
        <v>2.08</v>
      </c>
      <c r="G1103" s="5" t="n"/>
      <c r="H1103" s="5" t="n"/>
      <c r="I1103" s="22">
        <f>INDEX(Personendaten!$C$2:$C$32,MATCH(A1103,Personendaten!$A$2:$A$32,0))</f>
        <v/>
      </c>
      <c r="J1103" s="22">
        <f>IF(AND(F1103&lt;&gt;"",G1103=""),1,0)</f>
        <v/>
      </c>
      <c r="K1103" s="22">
        <f>IF(LEFT(C1103,7)&lt;&gt;"Sprint_","",IF(COUNTIFS(Versuchsdaten!$A$2:$A$1117,$A1103,Versuchsdaten!$B$2:$B$1117,$B1103,Versuchsdaten!$C$2:$C$1117,"Sprint_5m",Versuchsdaten!$E$2:$E$1117,$E1103,Versuchsdaten!$J$2:$J$1117,1)=1,SUMIFS(Versuchsdaten!$F$2:$F$1117,Versuchsdaten!$A$2:$A$1117,$A1103,Versuchsdaten!$B$2:$B$1117,$B1103,Versuchsdaten!$C$2:$C$1117,"Sprint_5m",Versuchsdaten!$E$2:$E$1117,$E1103,Versuchsdaten!$J$2:$J$1117,1),""))</f>
        <v/>
      </c>
      <c r="L1103" s="22">
        <f>IF(LEFT(C1103,7)&lt;&gt;"Sprint_","",IF(COUNTIFS(Versuchsdaten!$A$2:$A$1117,$A1103,Versuchsdaten!$B$2:$B$1117,$B1103,Versuchsdaten!$C$2:$C$1117,"Sprint_10m",Versuchsdaten!$E$2:$E$1117,$E1103,Versuchsdaten!$J$2:$J$1117,1)=1,SUMIFS(Versuchsdaten!$F$2:$F$1117,Versuchsdaten!$A$2:$A$1117,$A1103,Versuchsdaten!$B$2:$B$1117,$B1103,Versuchsdaten!$C$2:$C$1117,"Sprint_10m",Versuchsdaten!$E$2:$E$1117,$E1103,Versuchsdaten!$J$2:$J$1117,1),""))</f>
        <v/>
      </c>
      <c r="M1103" s="22">
        <f>IF(LEFT(C1103,7)&lt;&gt;"Sprint_","",IF(COUNTIFS(Versuchsdaten!$A$2:$A$1117,$A1103,Versuchsdaten!$B$2:$B$1117,$B1103,Versuchsdaten!$C$2:$C$1117,"Sprint_30m",Versuchsdaten!$E$2:$E$1117,$E1103,Versuchsdaten!$J$2:$J$1117,1)=1,SUMIFS(Versuchsdaten!$F$2:$F$1117,Versuchsdaten!$A$2:$A$1117,$A1103,Versuchsdaten!$B$2:$B$1117,$B1103,Versuchsdaten!$C$2:$C$1117,"Sprint_30m",Versuchsdaten!$E$2:$E$1117,$E1103,Versuchsdaten!$J$2:$J$1117,1),""))</f>
        <v/>
      </c>
      <c r="N1103" s="22">
        <f>IF(LEFT(C1103,7)&lt;&gt;"Sprint_",0,IF(IF(ISNUMBER(K1103),IF(K1103&lt;=0,1,IF(5/K1103&gt;10,1,0)),0)+IF(ISNUMBER(L1103),IF(ISNUMBER(K1103),IF(L1103-K1103&lt;=0,1,IF(5/(L1103-K1103)&gt;10,1,0)),IF(L1103&lt;=0,1,IF(10/L1103&gt;10,1,0))),0)+IF(ISNUMBER(M1103),IF(ISNUMBER(L1103),IF(M1103-L1103&lt;=0,1,IF(20/(M1103-L1103)&gt;10,1,0)),IF(ISNUMBER(K1103),IF(M1103-K1103&lt;=0,1,IF(25/(M1103-K1103)&gt;10,1,0)),IF(M1103&lt;=0,1,IF(30/M1103&gt;10,1,0)))),0)&gt;0,1,0))</f>
        <v/>
      </c>
      <c r="O1103" s="22">
        <f>IF(AND(J1103=1,N1103=0),1,0)</f>
        <v/>
      </c>
      <c r="P1103" s="22">
        <f>INDEX(Personendaten!$J$2:$J$32,MATCH(A1103,Personendaten!$A$2:$A$32,0))</f>
        <v/>
      </c>
      <c r="Q1103" s="22">
        <f>IF(O1103=1,"",IF(AND(B1103="post",P1103="nicht angetreten"),"NANG",IF(N1103=1,"AUSL",IFERROR(VLOOKUP(H1103,Vokabular!$A$2:$B$8,2,FALSE),"UNBEKANNT"))))</f>
        <v/>
      </c>
    </row>
    <row r="1104">
      <c r="A1104" s="5" t="inlineStr">
        <is>
          <t>VS-18</t>
        </is>
      </c>
      <c r="B1104" s="5" t="inlineStr">
        <is>
          <t>post</t>
        </is>
      </c>
      <c r="C1104" s="5" t="inlineStr">
        <is>
          <t>Sprint_10m</t>
        </is>
      </c>
      <c r="D1104" s="5" t="inlineStr">
        <is>
          <t>–</t>
        </is>
      </c>
      <c r="E1104" s="5" t="n">
        <v>2</v>
      </c>
      <c r="F1104" s="5" t="n"/>
      <c r="G1104" s="5" t="n"/>
      <c r="H1104" s="5" t="inlineStr">
        <is>
          <t>System nicht aufgenommen</t>
        </is>
      </c>
      <c r="I1104" s="22">
        <f>INDEX(Personendaten!$C$2:$C$32,MATCH(A1104,Personendaten!$A$2:$A$32,0))</f>
        <v/>
      </c>
      <c r="J1104" s="22">
        <f>IF(AND(F1104&lt;&gt;"",G1104=""),1,0)</f>
        <v/>
      </c>
      <c r="K1104" s="22">
        <f>IF(LEFT(C1104,7)&lt;&gt;"Sprint_","",IF(COUNTIFS(Versuchsdaten!$A$2:$A$1117,$A1104,Versuchsdaten!$B$2:$B$1117,$B1104,Versuchsdaten!$C$2:$C$1117,"Sprint_5m",Versuchsdaten!$E$2:$E$1117,$E1104,Versuchsdaten!$J$2:$J$1117,1)=1,SUMIFS(Versuchsdaten!$F$2:$F$1117,Versuchsdaten!$A$2:$A$1117,$A1104,Versuchsdaten!$B$2:$B$1117,$B1104,Versuchsdaten!$C$2:$C$1117,"Sprint_5m",Versuchsdaten!$E$2:$E$1117,$E1104,Versuchsdaten!$J$2:$J$1117,1),""))</f>
        <v/>
      </c>
      <c r="L1104" s="22">
        <f>IF(LEFT(C1104,7)&lt;&gt;"Sprint_","",IF(COUNTIFS(Versuchsdaten!$A$2:$A$1117,$A1104,Versuchsdaten!$B$2:$B$1117,$B1104,Versuchsdaten!$C$2:$C$1117,"Sprint_10m",Versuchsdaten!$E$2:$E$1117,$E1104,Versuchsdaten!$J$2:$J$1117,1)=1,SUMIFS(Versuchsdaten!$F$2:$F$1117,Versuchsdaten!$A$2:$A$1117,$A1104,Versuchsdaten!$B$2:$B$1117,$B1104,Versuchsdaten!$C$2:$C$1117,"Sprint_10m",Versuchsdaten!$E$2:$E$1117,$E1104,Versuchsdaten!$J$2:$J$1117,1),""))</f>
        <v/>
      </c>
      <c r="M1104" s="22">
        <f>IF(LEFT(C1104,7)&lt;&gt;"Sprint_","",IF(COUNTIFS(Versuchsdaten!$A$2:$A$1117,$A1104,Versuchsdaten!$B$2:$B$1117,$B1104,Versuchsdaten!$C$2:$C$1117,"Sprint_30m",Versuchsdaten!$E$2:$E$1117,$E1104,Versuchsdaten!$J$2:$J$1117,1)=1,SUMIFS(Versuchsdaten!$F$2:$F$1117,Versuchsdaten!$A$2:$A$1117,$A1104,Versuchsdaten!$B$2:$B$1117,$B1104,Versuchsdaten!$C$2:$C$1117,"Sprint_30m",Versuchsdaten!$E$2:$E$1117,$E1104,Versuchsdaten!$J$2:$J$1117,1),""))</f>
        <v/>
      </c>
      <c r="N1104" s="22">
        <f>IF(LEFT(C1104,7)&lt;&gt;"Sprint_",0,IF(IF(ISNUMBER(K1104),IF(K1104&lt;=0,1,IF(5/K1104&gt;10,1,0)),0)+IF(ISNUMBER(L1104),IF(ISNUMBER(K1104),IF(L1104-K1104&lt;=0,1,IF(5/(L1104-K1104)&gt;10,1,0)),IF(L1104&lt;=0,1,IF(10/L1104&gt;10,1,0))),0)+IF(ISNUMBER(M1104),IF(ISNUMBER(L1104),IF(M1104-L1104&lt;=0,1,IF(20/(M1104-L1104)&gt;10,1,0)),IF(ISNUMBER(K1104),IF(M1104-K1104&lt;=0,1,IF(25/(M1104-K1104)&gt;10,1,0)),IF(M1104&lt;=0,1,IF(30/M1104&gt;10,1,0)))),0)&gt;0,1,0))</f>
        <v/>
      </c>
      <c r="O1104" s="22">
        <f>IF(AND(J1104=1,N1104=0),1,0)</f>
        <v/>
      </c>
      <c r="P1104" s="22">
        <f>INDEX(Personendaten!$J$2:$J$32,MATCH(A1104,Personendaten!$A$2:$A$32,0))</f>
        <v/>
      </c>
      <c r="Q1104" s="22">
        <f>IF(O1104=1,"",IF(AND(B1104="post",P1104="nicht angetreten"),"NANG",IF(N1104=1,"AUSL",IFERROR(VLOOKUP(H1104,Vokabular!$A$2:$B$8,2,FALSE),"UNBEKANNT"))))</f>
        <v/>
      </c>
    </row>
    <row r="1105">
      <c r="A1105" s="5" t="inlineStr">
        <is>
          <t>VS-18</t>
        </is>
      </c>
      <c r="B1105" s="5" t="inlineStr">
        <is>
          <t>post</t>
        </is>
      </c>
      <c r="C1105" s="5" t="inlineStr">
        <is>
          <t>Sprint_10m</t>
        </is>
      </c>
      <c r="D1105" s="5" t="inlineStr">
        <is>
          <t>–</t>
        </is>
      </c>
      <c r="E1105" s="5" t="n">
        <v>3</v>
      </c>
      <c r="F1105" s="5" t="n"/>
      <c r="G1105" s="5" t="n"/>
      <c r="H1105" s="5" t="inlineStr">
        <is>
          <t>Nur 2 Versuche aus Zeitmangel</t>
        </is>
      </c>
      <c r="I1105" s="22">
        <f>INDEX(Personendaten!$C$2:$C$32,MATCH(A1105,Personendaten!$A$2:$A$32,0))</f>
        <v/>
      </c>
      <c r="J1105" s="22">
        <f>IF(AND(F1105&lt;&gt;"",G1105=""),1,0)</f>
        <v/>
      </c>
      <c r="K1105" s="22">
        <f>IF(LEFT(C1105,7)&lt;&gt;"Sprint_","",IF(COUNTIFS(Versuchsdaten!$A$2:$A$1117,$A1105,Versuchsdaten!$B$2:$B$1117,$B1105,Versuchsdaten!$C$2:$C$1117,"Sprint_5m",Versuchsdaten!$E$2:$E$1117,$E1105,Versuchsdaten!$J$2:$J$1117,1)=1,SUMIFS(Versuchsdaten!$F$2:$F$1117,Versuchsdaten!$A$2:$A$1117,$A1105,Versuchsdaten!$B$2:$B$1117,$B1105,Versuchsdaten!$C$2:$C$1117,"Sprint_5m",Versuchsdaten!$E$2:$E$1117,$E1105,Versuchsdaten!$J$2:$J$1117,1),""))</f>
        <v/>
      </c>
      <c r="L1105" s="22">
        <f>IF(LEFT(C1105,7)&lt;&gt;"Sprint_","",IF(COUNTIFS(Versuchsdaten!$A$2:$A$1117,$A1105,Versuchsdaten!$B$2:$B$1117,$B1105,Versuchsdaten!$C$2:$C$1117,"Sprint_10m",Versuchsdaten!$E$2:$E$1117,$E1105,Versuchsdaten!$J$2:$J$1117,1)=1,SUMIFS(Versuchsdaten!$F$2:$F$1117,Versuchsdaten!$A$2:$A$1117,$A1105,Versuchsdaten!$B$2:$B$1117,$B1105,Versuchsdaten!$C$2:$C$1117,"Sprint_10m",Versuchsdaten!$E$2:$E$1117,$E1105,Versuchsdaten!$J$2:$J$1117,1),""))</f>
        <v/>
      </c>
      <c r="M1105" s="22">
        <f>IF(LEFT(C1105,7)&lt;&gt;"Sprint_","",IF(COUNTIFS(Versuchsdaten!$A$2:$A$1117,$A1105,Versuchsdaten!$B$2:$B$1117,$B1105,Versuchsdaten!$C$2:$C$1117,"Sprint_30m",Versuchsdaten!$E$2:$E$1117,$E1105,Versuchsdaten!$J$2:$J$1117,1)=1,SUMIFS(Versuchsdaten!$F$2:$F$1117,Versuchsdaten!$A$2:$A$1117,$A1105,Versuchsdaten!$B$2:$B$1117,$B1105,Versuchsdaten!$C$2:$C$1117,"Sprint_30m",Versuchsdaten!$E$2:$E$1117,$E1105,Versuchsdaten!$J$2:$J$1117,1),""))</f>
        <v/>
      </c>
      <c r="N1105" s="22">
        <f>IF(LEFT(C1105,7)&lt;&gt;"Sprint_",0,IF(IF(ISNUMBER(K1105),IF(K1105&lt;=0,1,IF(5/K1105&gt;10,1,0)),0)+IF(ISNUMBER(L1105),IF(ISNUMBER(K1105),IF(L1105-K1105&lt;=0,1,IF(5/(L1105-K1105)&gt;10,1,0)),IF(L1105&lt;=0,1,IF(10/L1105&gt;10,1,0))),0)+IF(ISNUMBER(M1105),IF(ISNUMBER(L1105),IF(M1105-L1105&lt;=0,1,IF(20/(M1105-L1105)&gt;10,1,0)),IF(ISNUMBER(K1105),IF(M1105-K1105&lt;=0,1,IF(25/(M1105-K1105)&gt;10,1,0)),IF(M1105&lt;=0,1,IF(30/M1105&gt;10,1,0)))),0)&gt;0,1,0))</f>
        <v/>
      </c>
      <c r="O1105" s="22">
        <f>IF(AND(J1105=1,N1105=0),1,0)</f>
        <v/>
      </c>
      <c r="P1105" s="22">
        <f>INDEX(Personendaten!$J$2:$J$32,MATCH(A1105,Personendaten!$A$2:$A$32,0))</f>
        <v/>
      </c>
      <c r="Q1105" s="22">
        <f>IF(O1105=1,"",IF(AND(B1105="post",P1105="nicht angetreten"),"NANG",IF(N1105=1,"AUSL",IFERROR(VLOOKUP(H1105,Vokabular!$A$2:$B$8,2,FALSE),"UNBEKANNT"))))</f>
        <v/>
      </c>
    </row>
    <row r="1106">
      <c r="A1106" s="5" t="inlineStr">
        <is>
          <t>VS-18</t>
        </is>
      </c>
      <c r="B1106" s="5" t="inlineStr">
        <is>
          <t>post</t>
        </is>
      </c>
      <c r="C1106" s="5" t="inlineStr">
        <is>
          <t>Sprint_30m</t>
        </is>
      </c>
      <c r="D1106" s="5" t="inlineStr">
        <is>
          <t>–</t>
        </is>
      </c>
      <c r="E1106" s="5" t="n">
        <v>1</v>
      </c>
      <c r="F1106" s="5" t="n">
        <v>5.18</v>
      </c>
      <c r="G1106" s="5" t="n"/>
      <c r="H1106" s="5" t="n"/>
      <c r="I1106" s="22">
        <f>INDEX(Personendaten!$C$2:$C$32,MATCH(A1106,Personendaten!$A$2:$A$32,0))</f>
        <v/>
      </c>
      <c r="J1106" s="22">
        <f>IF(AND(F1106&lt;&gt;"",G1106=""),1,0)</f>
        <v/>
      </c>
      <c r="K1106" s="22">
        <f>IF(LEFT(C1106,7)&lt;&gt;"Sprint_","",IF(COUNTIFS(Versuchsdaten!$A$2:$A$1117,$A1106,Versuchsdaten!$B$2:$B$1117,$B1106,Versuchsdaten!$C$2:$C$1117,"Sprint_5m",Versuchsdaten!$E$2:$E$1117,$E1106,Versuchsdaten!$J$2:$J$1117,1)=1,SUMIFS(Versuchsdaten!$F$2:$F$1117,Versuchsdaten!$A$2:$A$1117,$A1106,Versuchsdaten!$B$2:$B$1117,$B1106,Versuchsdaten!$C$2:$C$1117,"Sprint_5m",Versuchsdaten!$E$2:$E$1117,$E1106,Versuchsdaten!$J$2:$J$1117,1),""))</f>
        <v/>
      </c>
      <c r="L1106" s="22">
        <f>IF(LEFT(C1106,7)&lt;&gt;"Sprint_","",IF(COUNTIFS(Versuchsdaten!$A$2:$A$1117,$A1106,Versuchsdaten!$B$2:$B$1117,$B1106,Versuchsdaten!$C$2:$C$1117,"Sprint_10m",Versuchsdaten!$E$2:$E$1117,$E1106,Versuchsdaten!$J$2:$J$1117,1)=1,SUMIFS(Versuchsdaten!$F$2:$F$1117,Versuchsdaten!$A$2:$A$1117,$A1106,Versuchsdaten!$B$2:$B$1117,$B1106,Versuchsdaten!$C$2:$C$1117,"Sprint_10m",Versuchsdaten!$E$2:$E$1117,$E1106,Versuchsdaten!$J$2:$J$1117,1),""))</f>
        <v/>
      </c>
      <c r="M1106" s="22">
        <f>IF(LEFT(C1106,7)&lt;&gt;"Sprint_","",IF(COUNTIFS(Versuchsdaten!$A$2:$A$1117,$A1106,Versuchsdaten!$B$2:$B$1117,$B1106,Versuchsdaten!$C$2:$C$1117,"Sprint_30m",Versuchsdaten!$E$2:$E$1117,$E1106,Versuchsdaten!$J$2:$J$1117,1)=1,SUMIFS(Versuchsdaten!$F$2:$F$1117,Versuchsdaten!$A$2:$A$1117,$A1106,Versuchsdaten!$B$2:$B$1117,$B1106,Versuchsdaten!$C$2:$C$1117,"Sprint_30m",Versuchsdaten!$E$2:$E$1117,$E1106,Versuchsdaten!$J$2:$J$1117,1),""))</f>
        <v/>
      </c>
      <c r="N1106" s="22">
        <f>IF(LEFT(C1106,7)&lt;&gt;"Sprint_",0,IF(IF(ISNUMBER(K1106),IF(K1106&lt;=0,1,IF(5/K1106&gt;10,1,0)),0)+IF(ISNUMBER(L1106),IF(ISNUMBER(K1106),IF(L1106-K1106&lt;=0,1,IF(5/(L1106-K1106)&gt;10,1,0)),IF(L1106&lt;=0,1,IF(10/L1106&gt;10,1,0))),0)+IF(ISNUMBER(M1106),IF(ISNUMBER(L1106),IF(M1106-L1106&lt;=0,1,IF(20/(M1106-L1106)&gt;10,1,0)),IF(ISNUMBER(K1106),IF(M1106-K1106&lt;=0,1,IF(25/(M1106-K1106)&gt;10,1,0)),IF(M1106&lt;=0,1,IF(30/M1106&gt;10,1,0)))),0)&gt;0,1,0))</f>
        <v/>
      </c>
      <c r="O1106" s="22">
        <f>IF(AND(J1106=1,N1106=0),1,0)</f>
        <v/>
      </c>
      <c r="P1106" s="22">
        <f>INDEX(Personendaten!$J$2:$J$32,MATCH(A1106,Personendaten!$A$2:$A$32,0))</f>
        <v/>
      </c>
      <c r="Q1106" s="22">
        <f>IF(O1106=1,"",IF(AND(B1106="post",P1106="nicht angetreten"),"NANG",IF(N1106=1,"AUSL",IFERROR(VLOOKUP(H1106,Vokabular!$A$2:$B$8,2,FALSE),"UNBEKANNT"))))</f>
        <v/>
      </c>
    </row>
    <row r="1107">
      <c r="A1107" s="5" t="inlineStr">
        <is>
          <t>VS-18</t>
        </is>
      </c>
      <c r="B1107" s="5" t="inlineStr">
        <is>
          <t>post</t>
        </is>
      </c>
      <c r="C1107" s="5" t="inlineStr">
        <is>
          <t>Sprint_30m</t>
        </is>
      </c>
      <c r="D1107" s="5" t="inlineStr">
        <is>
          <t>–</t>
        </is>
      </c>
      <c r="E1107" s="5" t="n">
        <v>2</v>
      </c>
      <c r="F1107" s="5" t="n"/>
      <c r="G1107" s="5" t="n"/>
      <c r="H1107" s="5" t="inlineStr">
        <is>
          <t>System nicht aufgenommen</t>
        </is>
      </c>
      <c r="I1107" s="22">
        <f>INDEX(Personendaten!$C$2:$C$32,MATCH(A1107,Personendaten!$A$2:$A$32,0))</f>
        <v/>
      </c>
      <c r="J1107" s="22">
        <f>IF(AND(F1107&lt;&gt;"",G1107=""),1,0)</f>
        <v/>
      </c>
      <c r="K1107" s="22">
        <f>IF(LEFT(C1107,7)&lt;&gt;"Sprint_","",IF(COUNTIFS(Versuchsdaten!$A$2:$A$1117,$A1107,Versuchsdaten!$B$2:$B$1117,$B1107,Versuchsdaten!$C$2:$C$1117,"Sprint_5m",Versuchsdaten!$E$2:$E$1117,$E1107,Versuchsdaten!$J$2:$J$1117,1)=1,SUMIFS(Versuchsdaten!$F$2:$F$1117,Versuchsdaten!$A$2:$A$1117,$A1107,Versuchsdaten!$B$2:$B$1117,$B1107,Versuchsdaten!$C$2:$C$1117,"Sprint_5m",Versuchsdaten!$E$2:$E$1117,$E1107,Versuchsdaten!$J$2:$J$1117,1),""))</f>
        <v/>
      </c>
      <c r="L1107" s="22">
        <f>IF(LEFT(C1107,7)&lt;&gt;"Sprint_","",IF(COUNTIFS(Versuchsdaten!$A$2:$A$1117,$A1107,Versuchsdaten!$B$2:$B$1117,$B1107,Versuchsdaten!$C$2:$C$1117,"Sprint_10m",Versuchsdaten!$E$2:$E$1117,$E1107,Versuchsdaten!$J$2:$J$1117,1)=1,SUMIFS(Versuchsdaten!$F$2:$F$1117,Versuchsdaten!$A$2:$A$1117,$A1107,Versuchsdaten!$B$2:$B$1117,$B1107,Versuchsdaten!$C$2:$C$1117,"Sprint_10m",Versuchsdaten!$E$2:$E$1117,$E1107,Versuchsdaten!$J$2:$J$1117,1),""))</f>
        <v/>
      </c>
      <c r="M1107" s="22">
        <f>IF(LEFT(C1107,7)&lt;&gt;"Sprint_","",IF(COUNTIFS(Versuchsdaten!$A$2:$A$1117,$A1107,Versuchsdaten!$B$2:$B$1117,$B1107,Versuchsdaten!$C$2:$C$1117,"Sprint_30m",Versuchsdaten!$E$2:$E$1117,$E1107,Versuchsdaten!$J$2:$J$1117,1)=1,SUMIFS(Versuchsdaten!$F$2:$F$1117,Versuchsdaten!$A$2:$A$1117,$A1107,Versuchsdaten!$B$2:$B$1117,$B1107,Versuchsdaten!$C$2:$C$1117,"Sprint_30m",Versuchsdaten!$E$2:$E$1117,$E1107,Versuchsdaten!$J$2:$J$1117,1),""))</f>
        <v/>
      </c>
      <c r="N1107" s="22">
        <f>IF(LEFT(C1107,7)&lt;&gt;"Sprint_",0,IF(IF(ISNUMBER(K1107),IF(K1107&lt;=0,1,IF(5/K1107&gt;10,1,0)),0)+IF(ISNUMBER(L1107),IF(ISNUMBER(K1107),IF(L1107-K1107&lt;=0,1,IF(5/(L1107-K1107)&gt;10,1,0)),IF(L1107&lt;=0,1,IF(10/L1107&gt;10,1,0))),0)+IF(ISNUMBER(M1107),IF(ISNUMBER(L1107),IF(M1107-L1107&lt;=0,1,IF(20/(M1107-L1107)&gt;10,1,0)),IF(ISNUMBER(K1107),IF(M1107-K1107&lt;=0,1,IF(25/(M1107-K1107)&gt;10,1,0)),IF(M1107&lt;=0,1,IF(30/M1107&gt;10,1,0)))),0)&gt;0,1,0))</f>
        <v/>
      </c>
      <c r="O1107" s="22">
        <f>IF(AND(J1107=1,N1107=0),1,0)</f>
        <v/>
      </c>
      <c r="P1107" s="22">
        <f>INDEX(Personendaten!$J$2:$J$32,MATCH(A1107,Personendaten!$A$2:$A$32,0))</f>
        <v/>
      </c>
      <c r="Q1107" s="22">
        <f>IF(O1107=1,"",IF(AND(B1107="post",P1107="nicht angetreten"),"NANG",IF(N1107=1,"AUSL",IFERROR(VLOOKUP(H1107,Vokabular!$A$2:$B$8,2,FALSE),"UNBEKANNT"))))</f>
        <v/>
      </c>
    </row>
    <row r="1108">
      <c r="A1108" s="5" t="inlineStr">
        <is>
          <t>VS-18</t>
        </is>
      </c>
      <c r="B1108" s="5" t="inlineStr">
        <is>
          <t>post</t>
        </is>
      </c>
      <c r="C1108" s="5" t="inlineStr">
        <is>
          <t>Sprint_30m</t>
        </is>
      </c>
      <c r="D1108" s="5" t="inlineStr">
        <is>
          <t>–</t>
        </is>
      </c>
      <c r="E1108" s="5" t="n">
        <v>3</v>
      </c>
      <c r="F1108" s="5" t="n"/>
      <c r="G1108" s="5" t="n"/>
      <c r="H1108" s="5" t="inlineStr">
        <is>
          <t>Nur 2 Versuche aus Zeitmangel</t>
        </is>
      </c>
      <c r="I1108" s="22">
        <f>INDEX(Personendaten!$C$2:$C$32,MATCH(A1108,Personendaten!$A$2:$A$32,0))</f>
        <v/>
      </c>
      <c r="J1108" s="22">
        <f>IF(AND(F1108&lt;&gt;"",G1108=""),1,0)</f>
        <v/>
      </c>
      <c r="K1108" s="22">
        <f>IF(LEFT(C1108,7)&lt;&gt;"Sprint_","",IF(COUNTIFS(Versuchsdaten!$A$2:$A$1117,$A1108,Versuchsdaten!$B$2:$B$1117,$B1108,Versuchsdaten!$C$2:$C$1117,"Sprint_5m",Versuchsdaten!$E$2:$E$1117,$E1108,Versuchsdaten!$J$2:$J$1117,1)=1,SUMIFS(Versuchsdaten!$F$2:$F$1117,Versuchsdaten!$A$2:$A$1117,$A1108,Versuchsdaten!$B$2:$B$1117,$B1108,Versuchsdaten!$C$2:$C$1117,"Sprint_5m",Versuchsdaten!$E$2:$E$1117,$E1108,Versuchsdaten!$J$2:$J$1117,1),""))</f>
        <v/>
      </c>
      <c r="L1108" s="22">
        <f>IF(LEFT(C1108,7)&lt;&gt;"Sprint_","",IF(COUNTIFS(Versuchsdaten!$A$2:$A$1117,$A1108,Versuchsdaten!$B$2:$B$1117,$B1108,Versuchsdaten!$C$2:$C$1117,"Sprint_10m",Versuchsdaten!$E$2:$E$1117,$E1108,Versuchsdaten!$J$2:$J$1117,1)=1,SUMIFS(Versuchsdaten!$F$2:$F$1117,Versuchsdaten!$A$2:$A$1117,$A1108,Versuchsdaten!$B$2:$B$1117,$B1108,Versuchsdaten!$C$2:$C$1117,"Sprint_10m",Versuchsdaten!$E$2:$E$1117,$E1108,Versuchsdaten!$J$2:$J$1117,1),""))</f>
        <v/>
      </c>
      <c r="M1108" s="22">
        <f>IF(LEFT(C1108,7)&lt;&gt;"Sprint_","",IF(COUNTIFS(Versuchsdaten!$A$2:$A$1117,$A1108,Versuchsdaten!$B$2:$B$1117,$B1108,Versuchsdaten!$C$2:$C$1117,"Sprint_30m",Versuchsdaten!$E$2:$E$1117,$E1108,Versuchsdaten!$J$2:$J$1117,1)=1,SUMIFS(Versuchsdaten!$F$2:$F$1117,Versuchsdaten!$A$2:$A$1117,$A1108,Versuchsdaten!$B$2:$B$1117,$B1108,Versuchsdaten!$C$2:$C$1117,"Sprint_30m",Versuchsdaten!$E$2:$E$1117,$E1108,Versuchsdaten!$J$2:$J$1117,1),""))</f>
        <v/>
      </c>
      <c r="N1108" s="22">
        <f>IF(LEFT(C1108,7)&lt;&gt;"Sprint_",0,IF(IF(ISNUMBER(K1108),IF(K1108&lt;=0,1,IF(5/K1108&gt;10,1,0)),0)+IF(ISNUMBER(L1108),IF(ISNUMBER(K1108),IF(L1108-K1108&lt;=0,1,IF(5/(L1108-K1108)&gt;10,1,0)),IF(L1108&lt;=0,1,IF(10/L1108&gt;10,1,0))),0)+IF(ISNUMBER(M1108),IF(ISNUMBER(L1108),IF(M1108-L1108&lt;=0,1,IF(20/(M1108-L1108)&gt;10,1,0)),IF(ISNUMBER(K1108),IF(M1108-K1108&lt;=0,1,IF(25/(M1108-K1108)&gt;10,1,0)),IF(M1108&lt;=0,1,IF(30/M1108&gt;10,1,0)))),0)&gt;0,1,0))</f>
        <v/>
      </c>
      <c r="O1108" s="22">
        <f>IF(AND(J1108=1,N1108=0),1,0)</f>
        <v/>
      </c>
      <c r="P1108" s="22">
        <f>INDEX(Personendaten!$J$2:$J$32,MATCH(A1108,Personendaten!$A$2:$A$32,0))</f>
        <v/>
      </c>
      <c r="Q1108" s="22">
        <f>IF(O1108=1,"",IF(AND(B1108="post",P1108="nicht angetreten"),"NANG",IF(N1108=1,"AUSL",IFERROR(VLOOKUP(H1108,Vokabular!$A$2:$B$8,2,FALSE),"UNBEKANNT"))))</f>
        <v/>
      </c>
    </row>
    <row r="1109">
      <c r="A1109" s="5" t="inlineStr">
        <is>
          <t>VS-18</t>
        </is>
      </c>
      <c r="B1109" s="5" t="inlineStr">
        <is>
          <t>post</t>
        </is>
      </c>
      <c r="C1109" s="5" t="inlineStr">
        <is>
          <t>Standweitsprung</t>
        </is>
      </c>
      <c r="D1109" s="5" t="inlineStr">
        <is>
          <t>–</t>
        </is>
      </c>
      <c r="E1109" s="5" t="n">
        <v>1</v>
      </c>
      <c r="F1109" s="5" t="n">
        <v>227</v>
      </c>
      <c r="G1109" s="5" t="n"/>
      <c r="H1109" s="5" t="n"/>
      <c r="I1109" s="22">
        <f>INDEX(Personendaten!$C$2:$C$32,MATCH(A1109,Personendaten!$A$2:$A$32,0))</f>
        <v/>
      </c>
      <c r="J1109" s="22">
        <f>IF(AND(F1109&lt;&gt;"",G1109=""),1,0)</f>
        <v/>
      </c>
      <c r="K1109" s="22">
        <f>IF(LEFT(C1109,7)&lt;&gt;"Sprint_","",IF(COUNTIFS(Versuchsdaten!$A$2:$A$1117,$A1109,Versuchsdaten!$B$2:$B$1117,$B1109,Versuchsdaten!$C$2:$C$1117,"Sprint_5m",Versuchsdaten!$E$2:$E$1117,$E1109,Versuchsdaten!$J$2:$J$1117,1)=1,SUMIFS(Versuchsdaten!$F$2:$F$1117,Versuchsdaten!$A$2:$A$1117,$A1109,Versuchsdaten!$B$2:$B$1117,$B1109,Versuchsdaten!$C$2:$C$1117,"Sprint_5m",Versuchsdaten!$E$2:$E$1117,$E1109,Versuchsdaten!$J$2:$J$1117,1),""))</f>
        <v/>
      </c>
      <c r="L1109" s="22">
        <f>IF(LEFT(C1109,7)&lt;&gt;"Sprint_","",IF(COUNTIFS(Versuchsdaten!$A$2:$A$1117,$A1109,Versuchsdaten!$B$2:$B$1117,$B1109,Versuchsdaten!$C$2:$C$1117,"Sprint_10m",Versuchsdaten!$E$2:$E$1117,$E1109,Versuchsdaten!$J$2:$J$1117,1)=1,SUMIFS(Versuchsdaten!$F$2:$F$1117,Versuchsdaten!$A$2:$A$1117,$A1109,Versuchsdaten!$B$2:$B$1117,$B1109,Versuchsdaten!$C$2:$C$1117,"Sprint_10m",Versuchsdaten!$E$2:$E$1117,$E1109,Versuchsdaten!$J$2:$J$1117,1),""))</f>
        <v/>
      </c>
      <c r="M1109" s="22">
        <f>IF(LEFT(C1109,7)&lt;&gt;"Sprint_","",IF(COUNTIFS(Versuchsdaten!$A$2:$A$1117,$A1109,Versuchsdaten!$B$2:$B$1117,$B1109,Versuchsdaten!$C$2:$C$1117,"Sprint_30m",Versuchsdaten!$E$2:$E$1117,$E1109,Versuchsdaten!$J$2:$J$1117,1)=1,SUMIFS(Versuchsdaten!$F$2:$F$1117,Versuchsdaten!$A$2:$A$1117,$A1109,Versuchsdaten!$B$2:$B$1117,$B1109,Versuchsdaten!$C$2:$C$1117,"Sprint_30m",Versuchsdaten!$E$2:$E$1117,$E1109,Versuchsdaten!$J$2:$J$1117,1),""))</f>
        <v/>
      </c>
      <c r="N1109" s="22">
        <f>IF(LEFT(C1109,7)&lt;&gt;"Sprint_",0,IF(IF(ISNUMBER(K1109),IF(K1109&lt;=0,1,IF(5/K1109&gt;10,1,0)),0)+IF(ISNUMBER(L1109),IF(ISNUMBER(K1109),IF(L1109-K1109&lt;=0,1,IF(5/(L1109-K1109)&gt;10,1,0)),IF(L1109&lt;=0,1,IF(10/L1109&gt;10,1,0))),0)+IF(ISNUMBER(M1109),IF(ISNUMBER(L1109),IF(M1109-L1109&lt;=0,1,IF(20/(M1109-L1109)&gt;10,1,0)),IF(ISNUMBER(K1109),IF(M1109-K1109&lt;=0,1,IF(25/(M1109-K1109)&gt;10,1,0)),IF(M1109&lt;=0,1,IF(30/M1109&gt;10,1,0)))),0)&gt;0,1,0))</f>
        <v/>
      </c>
      <c r="O1109" s="22">
        <f>IF(AND(J1109=1,N1109=0),1,0)</f>
        <v/>
      </c>
      <c r="P1109" s="22">
        <f>INDEX(Personendaten!$J$2:$J$32,MATCH(A1109,Personendaten!$A$2:$A$32,0))</f>
        <v/>
      </c>
      <c r="Q1109" s="22">
        <f>IF(O1109=1,"",IF(AND(B1109="post",P1109="nicht angetreten"),"NANG",IF(N1109=1,"AUSL",IFERROR(VLOOKUP(H1109,Vokabular!$A$2:$B$8,2,FALSE),"UNBEKANNT"))))</f>
        <v/>
      </c>
    </row>
    <row r="1110">
      <c r="A1110" s="5" t="inlineStr">
        <is>
          <t>VS-18</t>
        </is>
      </c>
      <c r="B1110" s="5" t="inlineStr">
        <is>
          <t>post</t>
        </is>
      </c>
      <c r="C1110" s="5" t="inlineStr">
        <is>
          <t>Standweitsprung</t>
        </is>
      </c>
      <c r="D1110" s="5" t="inlineStr">
        <is>
          <t>–</t>
        </is>
      </c>
      <c r="E1110" s="5" t="n">
        <v>2</v>
      </c>
      <c r="F1110" s="5" t="n">
        <v>218</v>
      </c>
      <c r="G1110" s="5" t="n"/>
      <c r="H1110" s="5" t="n"/>
      <c r="I1110" s="22">
        <f>INDEX(Personendaten!$C$2:$C$32,MATCH(A1110,Personendaten!$A$2:$A$32,0))</f>
        <v/>
      </c>
      <c r="J1110" s="22">
        <f>IF(AND(F1110&lt;&gt;"",G1110=""),1,0)</f>
        <v/>
      </c>
      <c r="K1110" s="22">
        <f>IF(LEFT(C1110,7)&lt;&gt;"Sprint_","",IF(COUNTIFS(Versuchsdaten!$A$2:$A$1117,$A1110,Versuchsdaten!$B$2:$B$1117,$B1110,Versuchsdaten!$C$2:$C$1117,"Sprint_5m",Versuchsdaten!$E$2:$E$1117,$E1110,Versuchsdaten!$J$2:$J$1117,1)=1,SUMIFS(Versuchsdaten!$F$2:$F$1117,Versuchsdaten!$A$2:$A$1117,$A1110,Versuchsdaten!$B$2:$B$1117,$B1110,Versuchsdaten!$C$2:$C$1117,"Sprint_5m",Versuchsdaten!$E$2:$E$1117,$E1110,Versuchsdaten!$J$2:$J$1117,1),""))</f>
        <v/>
      </c>
      <c r="L1110" s="22">
        <f>IF(LEFT(C1110,7)&lt;&gt;"Sprint_","",IF(COUNTIFS(Versuchsdaten!$A$2:$A$1117,$A1110,Versuchsdaten!$B$2:$B$1117,$B1110,Versuchsdaten!$C$2:$C$1117,"Sprint_10m",Versuchsdaten!$E$2:$E$1117,$E1110,Versuchsdaten!$J$2:$J$1117,1)=1,SUMIFS(Versuchsdaten!$F$2:$F$1117,Versuchsdaten!$A$2:$A$1117,$A1110,Versuchsdaten!$B$2:$B$1117,$B1110,Versuchsdaten!$C$2:$C$1117,"Sprint_10m",Versuchsdaten!$E$2:$E$1117,$E1110,Versuchsdaten!$J$2:$J$1117,1),""))</f>
        <v/>
      </c>
      <c r="M1110" s="22">
        <f>IF(LEFT(C1110,7)&lt;&gt;"Sprint_","",IF(COUNTIFS(Versuchsdaten!$A$2:$A$1117,$A1110,Versuchsdaten!$B$2:$B$1117,$B1110,Versuchsdaten!$C$2:$C$1117,"Sprint_30m",Versuchsdaten!$E$2:$E$1117,$E1110,Versuchsdaten!$J$2:$J$1117,1)=1,SUMIFS(Versuchsdaten!$F$2:$F$1117,Versuchsdaten!$A$2:$A$1117,$A1110,Versuchsdaten!$B$2:$B$1117,$B1110,Versuchsdaten!$C$2:$C$1117,"Sprint_30m",Versuchsdaten!$E$2:$E$1117,$E1110,Versuchsdaten!$J$2:$J$1117,1),""))</f>
        <v/>
      </c>
      <c r="N1110" s="22">
        <f>IF(LEFT(C1110,7)&lt;&gt;"Sprint_",0,IF(IF(ISNUMBER(K1110),IF(K1110&lt;=0,1,IF(5/K1110&gt;10,1,0)),0)+IF(ISNUMBER(L1110),IF(ISNUMBER(K1110),IF(L1110-K1110&lt;=0,1,IF(5/(L1110-K1110)&gt;10,1,0)),IF(L1110&lt;=0,1,IF(10/L1110&gt;10,1,0))),0)+IF(ISNUMBER(M1110),IF(ISNUMBER(L1110),IF(M1110-L1110&lt;=0,1,IF(20/(M1110-L1110)&gt;10,1,0)),IF(ISNUMBER(K1110),IF(M1110-K1110&lt;=0,1,IF(25/(M1110-K1110)&gt;10,1,0)),IF(M1110&lt;=0,1,IF(30/M1110&gt;10,1,0)))),0)&gt;0,1,0))</f>
        <v/>
      </c>
      <c r="O1110" s="22">
        <f>IF(AND(J1110=1,N1110=0),1,0)</f>
        <v/>
      </c>
      <c r="P1110" s="22">
        <f>INDEX(Personendaten!$J$2:$J$32,MATCH(A1110,Personendaten!$A$2:$A$32,0))</f>
        <v/>
      </c>
      <c r="Q1110" s="22">
        <f>IF(O1110=1,"",IF(AND(B1110="post",P1110="nicht angetreten"),"NANG",IF(N1110=1,"AUSL",IFERROR(VLOOKUP(H1110,Vokabular!$A$2:$B$8,2,FALSE),"UNBEKANNT"))))</f>
        <v/>
      </c>
    </row>
    <row r="1111">
      <c r="A1111" s="5" t="inlineStr">
        <is>
          <t>VS-18</t>
        </is>
      </c>
      <c r="B1111" s="5" t="inlineStr">
        <is>
          <t>post</t>
        </is>
      </c>
      <c r="C1111" s="5" t="inlineStr">
        <is>
          <t>Standweitsprung</t>
        </is>
      </c>
      <c r="D1111" s="5" t="inlineStr">
        <is>
          <t>–</t>
        </is>
      </c>
      <c r="E1111" s="5" t="n">
        <v>3</v>
      </c>
      <c r="F1111" s="5" t="n"/>
      <c r="G1111" s="5" t="n"/>
      <c r="H1111" s="5" t="inlineStr">
        <is>
          <t>Nur 2 Versuche aus Zeitmangel</t>
        </is>
      </c>
      <c r="I1111" s="22">
        <f>INDEX(Personendaten!$C$2:$C$32,MATCH(A1111,Personendaten!$A$2:$A$32,0))</f>
        <v/>
      </c>
      <c r="J1111" s="22">
        <f>IF(AND(F1111&lt;&gt;"",G1111=""),1,0)</f>
        <v/>
      </c>
      <c r="K1111" s="22">
        <f>IF(LEFT(C1111,7)&lt;&gt;"Sprint_","",IF(COUNTIFS(Versuchsdaten!$A$2:$A$1117,$A1111,Versuchsdaten!$B$2:$B$1117,$B1111,Versuchsdaten!$C$2:$C$1117,"Sprint_5m",Versuchsdaten!$E$2:$E$1117,$E1111,Versuchsdaten!$J$2:$J$1117,1)=1,SUMIFS(Versuchsdaten!$F$2:$F$1117,Versuchsdaten!$A$2:$A$1117,$A1111,Versuchsdaten!$B$2:$B$1117,$B1111,Versuchsdaten!$C$2:$C$1117,"Sprint_5m",Versuchsdaten!$E$2:$E$1117,$E1111,Versuchsdaten!$J$2:$J$1117,1),""))</f>
        <v/>
      </c>
      <c r="L1111" s="22">
        <f>IF(LEFT(C1111,7)&lt;&gt;"Sprint_","",IF(COUNTIFS(Versuchsdaten!$A$2:$A$1117,$A1111,Versuchsdaten!$B$2:$B$1117,$B1111,Versuchsdaten!$C$2:$C$1117,"Sprint_10m",Versuchsdaten!$E$2:$E$1117,$E1111,Versuchsdaten!$J$2:$J$1117,1)=1,SUMIFS(Versuchsdaten!$F$2:$F$1117,Versuchsdaten!$A$2:$A$1117,$A1111,Versuchsdaten!$B$2:$B$1117,$B1111,Versuchsdaten!$C$2:$C$1117,"Sprint_10m",Versuchsdaten!$E$2:$E$1117,$E1111,Versuchsdaten!$J$2:$J$1117,1),""))</f>
        <v/>
      </c>
      <c r="M1111" s="22">
        <f>IF(LEFT(C1111,7)&lt;&gt;"Sprint_","",IF(COUNTIFS(Versuchsdaten!$A$2:$A$1117,$A1111,Versuchsdaten!$B$2:$B$1117,$B1111,Versuchsdaten!$C$2:$C$1117,"Sprint_30m",Versuchsdaten!$E$2:$E$1117,$E1111,Versuchsdaten!$J$2:$J$1117,1)=1,SUMIFS(Versuchsdaten!$F$2:$F$1117,Versuchsdaten!$A$2:$A$1117,$A1111,Versuchsdaten!$B$2:$B$1117,$B1111,Versuchsdaten!$C$2:$C$1117,"Sprint_30m",Versuchsdaten!$E$2:$E$1117,$E1111,Versuchsdaten!$J$2:$J$1117,1),""))</f>
        <v/>
      </c>
      <c r="N1111" s="22">
        <f>IF(LEFT(C1111,7)&lt;&gt;"Sprint_",0,IF(IF(ISNUMBER(K1111),IF(K1111&lt;=0,1,IF(5/K1111&gt;10,1,0)),0)+IF(ISNUMBER(L1111),IF(ISNUMBER(K1111),IF(L1111-K1111&lt;=0,1,IF(5/(L1111-K1111)&gt;10,1,0)),IF(L1111&lt;=0,1,IF(10/L1111&gt;10,1,0))),0)+IF(ISNUMBER(M1111),IF(ISNUMBER(L1111),IF(M1111-L1111&lt;=0,1,IF(20/(M1111-L1111)&gt;10,1,0)),IF(ISNUMBER(K1111),IF(M1111-K1111&lt;=0,1,IF(25/(M1111-K1111)&gt;10,1,0)),IF(M1111&lt;=0,1,IF(30/M1111&gt;10,1,0)))),0)&gt;0,1,0))</f>
        <v/>
      </c>
      <c r="O1111" s="22">
        <f>IF(AND(J1111=1,N1111=0),1,0)</f>
        <v/>
      </c>
      <c r="P1111" s="22">
        <f>INDEX(Personendaten!$J$2:$J$32,MATCH(A1111,Personendaten!$A$2:$A$32,0))</f>
        <v/>
      </c>
      <c r="Q1111" s="22">
        <f>IF(O1111=1,"",IF(AND(B1111="post",P1111="nicht angetreten"),"NANG",IF(N1111=1,"AUSL",IFERROR(VLOOKUP(H1111,Vokabular!$A$2:$B$8,2,FALSE),"UNBEKANNT"))))</f>
        <v/>
      </c>
    </row>
    <row r="1112">
      <c r="A1112" s="5" t="inlineStr">
        <is>
          <t>VS-18</t>
        </is>
      </c>
      <c r="B1112" s="5" t="inlineStr">
        <is>
          <t>post</t>
        </is>
      </c>
      <c r="C1112" s="5" t="inlineStr">
        <is>
          <t>COD_505</t>
        </is>
      </c>
      <c r="D1112" s="5" t="inlineStr">
        <is>
          <t>L</t>
        </is>
      </c>
      <c r="E1112" s="5" t="n">
        <v>1</v>
      </c>
      <c r="F1112" s="5" t="n">
        <v>2.52</v>
      </c>
      <c r="G1112" s="5" t="n"/>
      <c r="H1112" s="5" t="n"/>
      <c r="I1112" s="22">
        <f>INDEX(Personendaten!$C$2:$C$32,MATCH(A1112,Personendaten!$A$2:$A$32,0))</f>
        <v/>
      </c>
      <c r="J1112" s="22">
        <f>IF(AND(F1112&lt;&gt;"",G1112=""),1,0)</f>
        <v/>
      </c>
      <c r="K1112" s="22">
        <f>IF(LEFT(C1112,7)&lt;&gt;"Sprint_","",IF(COUNTIFS(Versuchsdaten!$A$2:$A$1117,$A1112,Versuchsdaten!$B$2:$B$1117,$B1112,Versuchsdaten!$C$2:$C$1117,"Sprint_5m",Versuchsdaten!$E$2:$E$1117,$E1112,Versuchsdaten!$J$2:$J$1117,1)=1,SUMIFS(Versuchsdaten!$F$2:$F$1117,Versuchsdaten!$A$2:$A$1117,$A1112,Versuchsdaten!$B$2:$B$1117,$B1112,Versuchsdaten!$C$2:$C$1117,"Sprint_5m",Versuchsdaten!$E$2:$E$1117,$E1112,Versuchsdaten!$J$2:$J$1117,1),""))</f>
        <v/>
      </c>
      <c r="L1112" s="22">
        <f>IF(LEFT(C1112,7)&lt;&gt;"Sprint_","",IF(COUNTIFS(Versuchsdaten!$A$2:$A$1117,$A1112,Versuchsdaten!$B$2:$B$1117,$B1112,Versuchsdaten!$C$2:$C$1117,"Sprint_10m",Versuchsdaten!$E$2:$E$1117,$E1112,Versuchsdaten!$J$2:$J$1117,1)=1,SUMIFS(Versuchsdaten!$F$2:$F$1117,Versuchsdaten!$A$2:$A$1117,$A1112,Versuchsdaten!$B$2:$B$1117,$B1112,Versuchsdaten!$C$2:$C$1117,"Sprint_10m",Versuchsdaten!$E$2:$E$1117,$E1112,Versuchsdaten!$J$2:$J$1117,1),""))</f>
        <v/>
      </c>
      <c r="M1112" s="22">
        <f>IF(LEFT(C1112,7)&lt;&gt;"Sprint_","",IF(COUNTIFS(Versuchsdaten!$A$2:$A$1117,$A1112,Versuchsdaten!$B$2:$B$1117,$B1112,Versuchsdaten!$C$2:$C$1117,"Sprint_30m",Versuchsdaten!$E$2:$E$1117,$E1112,Versuchsdaten!$J$2:$J$1117,1)=1,SUMIFS(Versuchsdaten!$F$2:$F$1117,Versuchsdaten!$A$2:$A$1117,$A1112,Versuchsdaten!$B$2:$B$1117,$B1112,Versuchsdaten!$C$2:$C$1117,"Sprint_30m",Versuchsdaten!$E$2:$E$1117,$E1112,Versuchsdaten!$J$2:$J$1117,1),""))</f>
        <v/>
      </c>
      <c r="N1112" s="22">
        <f>IF(LEFT(C1112,7)&lt;&gt;"Sprint_",0,IF(IF(ISNUMBER(K1112),IF(K1112&lt;=0,1,IF(5/K1112&gt;10,1,0)),0)+IF(ISNUMBER(L1112),IF(ISNUMBER(K1112),IF(L1112-K1112&lt;=0,1,IF(5/(L1112-K1112)&gt;10,1,0)),IF(L1112&lt;=0,1,IF(10/L1112&gt;10,1,0))),0)+IF(ISNUMBER(M1112),IF(ISNUMBER(L1112),IF(M1112-L1112&lt;=0,1,IF(20/(M1112-L1112)&gt;10,1,0)),IF(ISNUMBER(K1112),IF(M1112-K1112&lt;=0,1,IF(25/(M1112-K1112)&gt;10,1,0)),IF(M1112&lt;=0,1,IF(30/M1112&gt;10,1,0)))),0)&gt;0,1,0))</f>
        <v/>
      </c>
      <c r="O1112" s="22">
        <f>IF(AND(J1112=1,N1112=0),1,0)</f>
        <v/>
      </c>
      <c r="P1112" s="22">
        <f>INDEX(Personendaten!$J$2:$J$32,MATCH(A1112,Personendaten!$A$2:$A$32,0))</f>
        <v/>
      </c>
      <c r="Q1112" s="22">
        <f>IF(O1112=1,"",IF(AND(B1112="post",P1112="nicht angetreten"),"NANG",IF(N1112=1,"AUSL",IFERROR(VLOOKUP(H1112,Vokabular!$A$2:$B$8,2,FALSE),"UNBEKANNT"))))</f>
        <v/>
      </c>
    </row>
    <row r="1113">
      <c r="A1113" s="5" t="inlineStr">
        <is>
          <t>VS-18</t>
        </is>
      </c>
      <c r="B1113" s="5" t="inlineStr">
        <is>
          <t>post</t>
        </is>
      </c>
      <c r="C1113" s="5" t="inlineStr">
        <is>
          <t>COD_505</t>
        </is>
      </c>
      <c r="D1113" s="5" t="inlineStr">
        <is>
          <t>L</t>
        </is>
      </c>
      <c r="E1113" s="5" t="n">
        <v>2</v>
      </c>
      <c r="F1113" s="5" t="n">
        <v>2.52</v>
      </c>
      <c r="G1113" s="5" t="n"/>
      <c r="H1113" s="5" t="n"/>
      <c r="I1113" s="22">
        <f>INDEX(Personendaten!$C$2:$C$32,MATCH(A1113,Personendaten!$A$2:$A$32,0))</f>
        <v/>
      </c>
      <c r="J1113" s="22">
        <f>IF(AND(F1113&lt;&gt;"",G1113=""),1,0)</f>
        <v/>
      </c>
      <c r="K1113" s="22">
        <f>IF(LEFT(C1113,7)&lt;&gt;"Sprint_","",IF(COUNTIFS(Versuchsdaten!$A$2:$A$1117,$A1113,Versuchsdaten!$B$2:$B$1117,$B1113,Versuchsdaten!$C$2:$C$1117,"Sprint_5m",Versuchsdaten!$E$2:$E$1117,$E1113,Versuchsdaten!$J$2:$J$1117,1)=1,SUMIFS(Versuchsdaten!$F$2:$F$1117,Versuchsdaten!$A$2:$A$1117,$A1113,Versuchsdaten!$B$2:$B$1117,$B1113,Versuchsdaten!$C$2:$C$1117,"Sprint_5m",Versuchsdaten!$E$2:$E$1117,$E1113,Versuchsdaten!$J$2:$J$1117,1),""))</f>
        <v/>
      </c>
      <c r="L1113" s="22">
        <f>IF(LEFT(C1113,7)&lt;&gt;"Sprint_","",IF(COUNTIFS(Versuchsdaten!$A$2:$A$1117,$A1113,Versuchsdaten!$B$2:$B$1117,$B1113,Versuchsdaten!$C$2:$C$1117,"Sprint_10m",Versuchsdaten!$E$2:$E$1117,$E1113,Versuchsdaten!$J$2:$J$1117,1)=1,SUMIFS(Versuchsdaten!$F$2:$F$1117,Versuchsdaten!$A$2:$A$1117,$A1113,Versuchsdaten!$B$2:$B$1117,$B1113,Versuchsdaten!$C$2:$C$1117,"Sprint_10m",Versuchsdaten!$E$2:$E$1117,$E1113,Versuchsdaten!$J$2:$J$1117,1),""))</f>
        <v/>
      </c>
      <c r="M1113" s="22">
        <f>IF(LEFT(C1113,7)&lt;&gt;"Sprint_","",IF(COUNTIFS(Versuchsdaten!$A$2:$A$1117,$A1113,Versuchsdaten!$B$2:$B$1117,$B1113,Versuchsdaten!$C$2:$C$1117,"Sprint_30m",Versuchsdaten!$E$2:$E$1117,$E1113,Versuchsdaten!$J$2:$J$1117,1)=1,SUMIFS(Versuchsdaten!$F$2:$F$1117,Versuchsdaten!$A$2:$A$1117,$A1113,Versuchsdaten!$B$2:$B$1117,$B1113,Versuchsdaten!$C$2:$C$1117,"Sprint_30m",Versuchsdaten!$E$2:$E$1117,$E1113,Versuchsdaten!$J$2:$J$1117,1),""))</f>
        <v/>
      </c>
      <c r="N1113" s="22">
        <f>IF(LEFT(C1113,7)&lt;&gt;"Sprint_",0,IF(IF(ISNUMBER(K1113),IF(K1113&lt;=0,1,IF(5/K1113&gt;10,1,0)),0)+IF(ISNUMBER(L1113),IF(ISNUMBER(K1113),IF(L1113-K1113&lt;=0,1,IF(5/(L1113-K1113)&gt;10,1,0)),IF(L1113&lt;=0,1,IF(10/L1113&gt;10,1,0))),0)+IF(ISNUMBER(M1113),IF(ISNUMBER(L1113),IF(M1113-L1113&lt;=0,1,IF(20/(M1113-L1113)&gt;10,1,0)),IF(ISNUMBER(K1113),IF(M1113-K1113&lt;=0,1,IF(25/(M1113-K1113)&gt;10,1,0)),IF(M1113&lt;=0,1,IF(30/M1113&gt;10,1,0)))),0)&gt;0,1,0))</f>
        <v/>
      </c>
      <c r="O1113" s="22">
        <f>IF(AND(J1113=1,N1113=0),1,0)</f>
        <v/>
      </c>
      <c r="P1113" s="22">
        <f>INDEX(Personendaten!$J$2:$J$32,MATCH(A1113,Personendaten!$A$2:$A$32,0))</f>
        <v/>
      </c>
      <c r="Q1113" s="22">
        <f>IF(O1113=1,"",IF(AND(B1113="post",P1113="nicht angetreten"),"NANG",IF(N1113=1,"AUSL",IFERROR(VLOOKUP(H1113,Vokabular!$A$2:$B$8,2,FALSE),"UNBEKANNT"))))</f>
        <v/>
      </c>
    </row>
    <row r="1114">
      <c r="A1114" s="5" t="inlineStr">
        <is>
          <t>VS-18</t>
        </is>
      </c>
      <c r="B1114" s="5" t="inlineStr">
        <is>
          <t>post</t>
        </is>
      </c>
      <c r="C1114" s="5" t="inlineStr">
        <is>
          <t>COD_505</t>
        </is>
      </c>
      <c r="D1114" s="5" t="inlineStr">
        <is>
          <t>L</t>
        </is>
      </c>
      <c r="E1114" s="5" t="n">
        <v>3</v>
      </c>
      <c r="F1114" s="5" t="n"/>
      <c r="G1114" s="5" t="n"/>
      <c r="H1114" s="5" t="inlineStr">
        <is>
          <t>Nur 2 Versuche aus Zeitmangel</t>
        </is>
      </c>
      <c r="I1114" s="22">
        <f>INDEX(Personendaten!$C$2:$C$32,MATCH(A1114,Personendaten!$A$2:$A$32,0))</f>
        <v/>
      </c>
      <c r="J1114" s="22">
        <f>IF(AND(F1114&lt;&gt;"",G1114=""),1,0)</f>
        <v/>
      </c>
      <c r="K1114" s="22">
        <f>IF(LEFT(C1114,7)&lt;&gt;"Sprint_","",IF(COUNTIFS(Versuchsdaten!$A$2:$A$1117,$A1114,Versuchsdaten!$B$2:$B$1117,$B1114,Versuchsdaten!$C$2:$C$1117,"Sprint_5m",Versuchsdaten!$E$2:$E$1117,$E1114,Versuchsdaten!$J$2:$J$1117,1)=1,SUMIFS(Versuchsdaten!$F$2:$F$1117,Versuchsdaten!$A$2:$A$1117,$A1114,Versuchsdaten!$B$2:$B$1117,$B1114,Versuchsdaten!$C$2:$C$1117,"Sprint_5m",Versuchsdaten!$E$2:$E$1117,$E1114,Versuchsdaten!$J$2:$J$1117,1),""))</f>
        <v/>
      </c>
      <c r="L1114" s="22">
        <f>IF(LEFT(C1114,7)&lt;&gt;"Sprint_","",IF(COUNTIFS(Versuchsdaten!$A$2:$A$1117,$A1114,Versuchsdaten!$B$2:$B$1117,$B1114,Versuchsdaten!$C$2:$C$1117,"Sprint_10m",Versuchsdaten!$E$2:$E$1117,$E1114,Versuchsdaten!$J$2:$J$1117,1)=1,SUMIFS(Versuchsdaten!$F$2:$F$1117,Versuchsdaten!$A$2:$A$1117,$A1114,Versuchsdaten!$B$2:$B$1117,$B1114,Versuchsdaten!$C$2:$C$1117,"Sprint_10m",Versuchsdaten!$E$2:$E$1117,$E1114,Versuchsdaten!$J$2:$J$1117,1),""))</f>
        <v/>
      </c>
      <c r="M1114" s="22">
        <f>IF(LEFT(C1114,7)&lt;&gt;"Sprint_","",IF(COUNTIFS(Versuchsdaten!$A$2:$A$1117,$A1114,Versuchsdaten!$B$2:$B$1117,$B1114,Versuchsdaten!$C$2:$C$1117,"Sprint_30m",Versuchsdaten!$E$2:$E$1117,$E1114,Versuchsdaten!$J$2:$J$1117,1)=1,SUMIFS(Versuchsdaten!$F$2:$F$1117,Versuchsdaten!$A$2:$A$1117,$A1114,Versuchsdaten!$B$2:$B$1117,$B1114,Versuchsdaten!$C$2:$C$1117,"Sprint_30m",Versuchsdaten!$E$2:$E$1117,$E1114,Versuchsdaten!$J$2:$J$1117,1),""))</f>
        <v/>
      </c>
      <c r="N1114" s="22">
        <f>IF(LEFT(C1114,7)&lt;&gt;"Sprint_",0,IF(IF(ISNUMBER(K1114),IF(K1114&lt;=0,1,IF(5/K1114&gt;10,1,0)),0)+IF(ISNUMBER(L1114),IF(ISNUMBER(K1114),IF(L1114-K1114&lt;=0,1,IF(5/(L1114-K1114)&gt;10,1,0)),IF(L1114&lt;=0,1,IF(10/L1114&gt;10,1,0))),0)+IF(ISNUMBER(M1114),IF(ISNUMBER(L1114),IF(M1114-L1114&lt;=0,1,IF(20/(M1114-L1114)&gt;10,1,0)),IF(ISNUMBER(K1114),IF(M1114-K1114&lt;=0,1,IF(25/(M1114-K1114)&gt;10,1,0)),IF(M1114&lt;=0,1,IF(30/M1114&gt;10,1,0)))),0)&gt;0,1,0))</f>
        <v/>
      </c>
      <c r="O1114" s="22">
        <f>IF(AND(J1114=1,N1114=0),1,0)</f>
        <v/>
      </c>
      <c r="P1114" s="22">
        <f>INDEX(Personendaten!$J$2:$J$32,MATCH(A1114,Personendaten!$A$2:$A$32,0))</f>
        <v/>
      </c>
      <c r="Q1114" s="22">
        <f>IF(O1114=1,"",IF(AND(B1114="post",P1114="nicht angetreten"),"NANG",IF(N1114=1,"AUSL",IFERROR(VLOOKUP(H1114,Vokabular!$A$2:$B$8,2,FALSE),"UNBEKANNT"))))</f>
        <v/>
      </c>
    </row>
    <row r="1115">
      <c r="A1115" s="5" t="inlineStr">
        <is>
          <t>VS-18</t>
        </is>
      </c>
      <c r="B1115" s="5" t="inlineStr">
        <is>
          <t>post</t>
        </is>
      </c>
      <c r="C1115" s="5" t="inlineStr">
        <is>
          <t>COD_505</t>
        </is>
      </c>
      <c r="D1115" s="5" t="inlineStr">
        <is>
          <t>R</t>
        </is>
      </c>
      <c r="E1115" s="5" t="n">
        <v>1</v>
      </c>
      <c r="F1115" s="5" t="n">
        <v>2.56</v>
      </c>
      <c r="G1115" s="5" t="n"/>
      <c r="H1115" s="5" t="n"/>
      <c r="I1115" s="22">
        <f>INDEX(Personendaten!$C$2:$C$32,MATCH(A1115,Personendaten!$A$2:$A$32,0))</f>
        <v/>
      </c>
      <c r="J1115" s="22">
        <f>IF(AND(F1115&lt;&gt;"",G1115=""),1,0)</f>
        <v/>
      </c>
      <c r="K1115" s="22">
        <f>IF(LEFT(C1115,7)&lt;&gt;"Sprint_","",IF(COUNTIFS(Versuchsdaten!$A$2:$A$1117,$A1115,Versuchsdaten!$B$2:$B$1117,$B1115,Versuchsdaten!$C$2:$C$1117,"Sprint_5m",Versuchsdaten!$E$2:$E$1117,$E1115,Versuchsdaten!$J$2:$J$1117,1)=1,SUMIFS(Versuchsdaten!$F$2:$F$1117,Versuchsdaten!$A$2:$A$1117,$A1115,Versuchsdaten!$B$2:$B$1117,$B1115,Versuchsdaten!$C$2:$C$1117,"Sprint_5m",Versuchsdaten!$E$2:$E$1117,$E1115,Versuchsdaten!$J$2:$J$1117,1),""))</f>
        <v/>
      </c>
      <c r="L1115" s="22">
        <f>IF(LEFT(C1115,7)&lt;&gt;"Sprint_","",IF(COUNTIFS(Versuchsdaten!$A$2:$A$1117,$A1115,Versuchsdaten!$B$2:$B$1117,$B1115,Versuchsdaten!$C$2:$C$1117,"Sprint_10m",Versuchsdaten!$E$2:$E$1117,$E1115,Versuchsdaten!$J$2:$J$1117,1)=1,SUMIFS(Versuchsdaten!$F$2:$F$1117,Versuchsdaten!$A$2:$A$1117,$A1115,Versuchsdaten!$B$2:$B$1117,$B1115,Versuchsdaten!$C$2:$C$1117,"Sprint_10m",Versuchsdaten!$E$2:$E$1117,$E1115,Versuchsdaten!$J$2:$J$1117,1),""))</f>
        <v/>
      </c>
      <c r="M1115" s="22">
        <f>IF(LEFT(C1115,7)&lt;&gt;"Sprint_","",IF(COUNTIFS(Versuchsdaten!$A$2:$A$1117,$A1115,Versuchsdaten!$B$2:$B$1117,$B1115,Versuchsdaten!$C$2:$C$1117,"Sprint_30m",Versuchsdaten!$E$2:$E$1117,$E1115,Versuchsdaten!$J$2:$J$1117,1)=1,SUMIFS(Versuchsdaten!$F$2:$F$1117,Versuchsdaten!$A$2:$A$1117,$A1115,Versuchsdaten!$B$2:$B$1117,$B1115,Versuchsdaten!$C$2:$C$1117,"Sprint_30m",Versuchsdaten!$E$2:$E$1117,$E1115,Versuchsdaten!$J$2:$J$1117,1),""))</f>
        <v/>
      </c>
      <c r="N1115" s="22">
        <f>IF(LEFT(C1115,7)&lt;&gt;"Sprint_",0,IF(IF(ISNUMBER(K1115),IF(K1115&lt;=0,1,IF(5/K1115&gt;10,1,0)),0)+IF(ISNUMBER(L1115),IF(ISNUMBER(K1115),IF(L1115-K1115&lt;=0,1,IF(5/(L1115-K1115)&gt;10,1,0)),IF(L1115&lt;=0,1,IF(10/L1115&gt;10,1,0))),0)+IF(ISNUMBER(M1115),IF(ISNUMBER(L1115),IF(M1115-L1115&lt;=0,1,IF(20/(M1115-L1115)&gt;10,1,0)),IF(ISNUMBER(K1115),IF(M1115-K1115&lt;=0,1,IF(25/(M1115-K1115)&gt;10,1,0)),IF(M1115&lt;=0,1,IF(30/M1115&gt;10,1,0)))),0)&gt;0,1,0))</f>
        <v/>
      </c>
      <c r="O1115" s="22">
        <f>IF(AND(J1115=1,N1115=0),1,0)</f>
        <v/>
      </c>
      <c r="P1115" s="22">
        <f>INDEX(Personendaten!$J$2:$J$32,MATCH(A1115,Personendaten!$A$2:$A$32,0))</f>
        <v/>
      </c>
      <c r="Q1115" s="22">
        <f>IF(O1115=1,"",IF(AND(B1115="post",P1115="nicht angetreten"),"NANG",IF(N1115=1,"AUSL",IFERROR(VLOOKUP(H1115,Vokabular!$A$2:$B$8,2,FALSE),"UNBEKANNT"))))</f>
        <v/>
      </c>
    </row>
    <row r="1116">
      <c r="A1116" s="5" t="inlineStr">
        <is>
          <t>VS-18</t>
        </is>
      </c>
      <c r="B1116" s="5" t="inlineStr">
        <is>
          <t>post</t>
        </is>
      </c>
      <c r="C1116" s="5" t="inlineStr">
        <is>
          <t>COD_505</t>
        </is>
      </c>
      <c r="D1116" s="5" t="inlineStr">
        <is>
          <t>R</t>
        </is>
      </c>
      <c r="E1116" s="5" t="n">
        <v>2</v>
      </c>
      <c r="F1116" s="5" t="n"/>
      <c r="G1116" s="5" t="inlineStr">
        <is>
          <t>x</t>
        </is>
      </c>
      <c r="H1116" s="5" t="inlineStr">
        <is>
          <t>Fehlversuch</t>
        </is>
      </c>
      <c r="I1116" s="22">
        <f>INDEX(Personendaten!$C$2:$C$32,MATCH(A1116,Personendaten!$A$2:$A$32,0))</f>
        <v/>
      </c>
      <c r="J1116" s="22">
        <f>IF(AND(F1116&lt;&gt;"",G1116=""),1,0)</f>
        <v/>
      </c>
      <c r="K1116" s="22">
        <f>IF(LEFT(C1116,7)&lt;&gt;"Sprint_","",IF(COUNTIFS(Versuchsdaten!$A$2:$A$1117,$A1116,Versuchsdaten!$B$2:$B$1117,$B1116,Versuchsdaten!$C$2:$C$1117,"Sprint_5m",Versuchsdaten!$E$2:$E$1117,$E1116,Versuchsdaten!$J$2:$J$1117,1)=1,SUMIFS(Versuchsdaten!$F$2:$F$1117,Versuchsdaten!$A$2:$A$1117,$A1116,Versuchsdaten!$B$2:$B$1117,$B1116,Versuchsdaten!$C$2:$C$1117,"Sprint_5m",Versuchsdaten!$E$2:$E$1117,$E1116,Versuchsdaten!$J$2:$J$1117,1),""))</f>
        <v/>
      </c>
      <c r="L1116" s="22">
        <f>IF(LEFT(C1116,7)&lt;&gt;"Sprint_","",IF(COUNTIFS(Versuchsdaten!$A$2:$A$1117,$A1116,Versuchsdaten!$B$2:$B$1117,$B1116,Versuchsdaten!$C$2:$C$1117,"Sprint_10m",Versuchsdaten!$E$2:$E$1117,$E1116,Versuchsdaten!$J$2:$J$1117,1)=1,SUMIFS(Versuchsdaten!$F$2:$F$1117,Versuchsdaten!$A$2:$A$1117,$A1116,Versuchsdaten!$B$2:$B$1117,$B1116,Versuchsdaten!$C$2:$C$1117,"Sprint_10m",Versuchsdaten!$E$2:$E$1117,$E1116,Versuchsdaten!$J$2:$J$1117,1),""))</f>
        <v/>
      </c>
      <c r="M1116" s="22">
        <f>IF(LEFT(C1116,7)&lt;&gt;"Sprint_","",IF(COUNTIFS(Versuchsdaten!$A$2:$A$1117,$A1116,Versuchsdaten!$B$2:$B$1117,$B1116,Versuchsdaten!$C$2:$C$1117,"Sprint_30m",Versuchsdaten!$E$2:$E$1117,$E1116,Versuchsdaten!$J$2:$J$1117,1)=1,SUMIFS(Versuchsdaten!$F$2:$F$1117,Versuchsdaten!$A$2:$A$1117,$A1116,Versuchsdaten!$B$2:$B$1117,$B1116,Versuchsdaten!$C$2:$C$1117,"Sprint_30m",Versuchsdaten!$E$2:$E$1117,$E1116,Versuchsdaten!$J$2:$J$1117,1),""))</f>
        <v/>
      </c>
      <c r="N1116" s="22">
        <f>IF(LEFT(C1116,7)&lt;&gt;"Sprint_",0,IF(IF(ISNUMBER(K1116),IF(K1116&lt;=0,1,IF(5/K1116&gt;10,1,0)),0)+IF(ISNUMBER(L1116),IF(ISNUMBER(K1116),IF(L1116-K1116&lt;=0,1,IF(5/(L1116-K1116)&gt;10,1,0)),IF(L1116&lt;=0,1,IF(10/L1116&gt;10,1,0))),0)+IF(ISNUMBER(M1116),IF(ISNUMBER(L1116),IF(M1116-L1116&lt;=0,1,IF(20/(M1116-L1116)&gt;10,1,0)),IF(ISNUMBER(K1116),IF(M1116-K1116&lt;=0,1,IF(25/(M1116-K1116)&gt;10,1,0)),IF(M1116&lt;=0,1,IF(30/M1116&gt;10,1,0)))),0)&gt;0,1,0))</f>
        <v/>
      </c>
      <c r="O1116" s="22">
        <f>IF(AND(J1116=1,N1116=0),1,0)</f>
        <v/>
      </c>
      <c r="P1116" s="22">
        <f>INDEX(Personendaten!$J$2:$J$32,MATCH(A1116,Personendaten!$A$2:$A$32,0))</f>
        <v/>
      </c>
      <c r="Q1116" s="22">
        <f>IF(O1116=1,"",IF(AND(B1116="post",P1116="nicht angetreten"),"NANG",IF(N1116=1,"AUSL",IFERROR(VLOOKUP(H1116,Vokabular!$A$2:$B$8,2,FALSE),"UNBEKANNT"))))</f>
        <v/>
      </c>
    </row>
    <row r="1117">
      <c r="A1117" s="5" t="inlineStr">
        <is>
          <t>VS-18</t>
        </is>
      </c>
      <c r="B1117" s="5" t="inlineStr">
        <is>
          <t>post</t>
        </is>
      </c>
      <c r="C1117" s="5" t="inlineStr">
        <is>
          <t>COD_505</t>
        </is>
      </c>
      <c r="D1117" s="5" t="inlineStr">
        <is>
          <t>R</t>
        </is>
      </c>
      <c r="E1117" s="5" t="n">
        <v>3</v>
      </c>
      <c r="F1117" s="5" t="n"/>
      <c r="G1117" s="5" t="n"/>
      <c r="H1117" s="5" t="inlineStr">
        <is>
          <t>Nur 2 Versuche aus Zeitmangel</t>
        </is>
      </c>
      <c r="I1117" s="22">
        <f>INDEX(Personendaten!$C$2:$C$32,MATCH(A1117,Personendaten!$A$2:$A$32,0))</f>
        <v/>
      </c>
      <c r="J1117" s="22">
        <f>IF(AND(F1117&lt;&gt;"",G1117=""),1,0)</f>
        <v/>
      </c>
      <c r="K1117" s="22">
        <f>IF(LEFT(C1117,7)&lt;&gt;"Sprint_","",IF(COUNTIFS(Versuchsdaten!$A$2:$A$1117,$A1117,Versuchsdaten!$B$2:$B$1117,$B1117,Versuchsdaten!$C$2:$C$1117,"Sprint_5m",Versuchsdaten!$E$2:$E$1117,$E1117,Versuchsdaten!$J$2:$J$1117,1)=1,SUMIFS(Versuchsdaten!$F$2:$F$1117,Versuchsdaten!$A$2:$A$1117,$A1117,Versuchsdaten!$B$2:$B$1117,$B1117,Versuchsdaten!$C$2:$C$1117,"Sprint_5m",Versuchsdaten!$E$2:$E$1117,$E1117,Versuchsdaten!$J$2:$J$1117,1),""))</f>
        <v/>
      </c>
      <c r="L1117" s="22">
        <f>IF(LEFT(C1117,7)&lt;&gt;"Sprint_","",IF(COUNTIFS(Versuchsdaten!$A$2:$A$1117,$A1117,Versuchsdaten!$B$2:$B$1117,$B1117,Versuchsdaten!$C$2:$C$1117,"Sprint_10m",Versuchsdaten!$E$2:$E$1117,$E1117,Versuchsdaten!$J$2:$J$1117,1)=1,SUMIFS(Versuchsdaten!$F$2:$F$1117,Versuchsdaten!$A$2:$A$1117,$A1117,Versuchsdaten!$B$2:$B$1117,$B1117,Versuchsdaten!$C$2:$C$1117,"Sprint_10m",Versuchsdaten!$E$2:$E$1117,$E1117,Versuchsdaten!$J$2:$J$1117,1),""))</f>
        <v/>
      </c>
      <c r="M1117" s="22">
        <f>IF(LEFT(C1117,7)&lt;&gt;"Sprint_","",IF(COUNTIFS(Versuchsdaten!$A$2:$A$1117,$A1117,Versuchsdaten!$B$2:$B$1117,$B1117,Versuchsdaten!$C$2:$C$1117,"Sprint_30m",Versuchsdaten!$E$2:$E$1117,$E1117,Versuchsdaten!$J$2:$J$1117,1)=1,SUMIFS(Versuchsdaten!$F$2:$F$1117,Versuchsdaten!$A$2:$A$1117,$A1117,Versuchsdaten!$B$2:$B$1117,$B1117,Versuchsdaten!$C$2:$C$1117,"Sprint_30m",Versuchsdaten!$E$2:$E$1117,$E1117,Versuchsdaten!$J$2:$J$1117,1),""))</f>
        <v/>
      </c>
      <c r="N1117" s="22">
        <f>IF(LEFT(C1117,7)&lt;&gt;"Sprint_",0,IF(IF(ISNUMBER(K1117),IF(K1117&lt;=0,1,IF(5/K1117&gt;10,1,0)),0)+IF(ISNUMBER(L1117),IF(ISNUMBER(K1117),IF(L1117-K1117&lt;=0,1,IF(5/(L1117-K1117)&gt;10,1,0)),IF(L1117&lt;=0,1,IF(10/L1117&gt;10,1,0))),0)+IF(ISNUMBER(M1117),IF(ISNUMBER(L1117),IF(M1117-L1117&lt;=0,1,IF(20/(M1117-L1117)&gt;10,1,0)),IF(ISNUMBER(K1117),IF(M1117-K1117&lt;=0,1,IF(25/(M1117-K1117)&gt;10,1,0)),IF(M1117&lt;=0,1,IF(30/M1117&gt;10,1,0)))),0)&gt;0,1,0))</f>
        <v/>
      </c>
      <c r="O1117" s="22">
        <f>IF(AND(J1117=1,N1117=0),1,0)</f>
        <v/>
      </c>
      <c r="P1117" s="22">
        <f>INDEX(Personendaten!$J$2:$J$32,MATCH(A1117,Personendaten!$A$2:$A$32,0))</f>
        <v/>
      </c>
      <c r="Q1117" s="22">
        <f>IF(O1117=1,"",IF(AND(B1117="post",P1117="nicht angetreten"),"NANG",IF(N1117=1,"AUSL",IFERROR(VLOOKUP(H1117,Vokabular!$A$2:$B$8,2,FALSE),"UNBEKANNT"))))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>
      <c r="A1" s="20" t="inlineStr">
        <is>
          <t>Code</t>
        </is>
      </c>
      <c r="B1" s="20" t="inlineStr">
        <is>
          <t>Verein</t>
        </is>
      </c>
      <c r="C1" s="20" t="inlineStr">
        <is>
          <t>Gruppe</t>
        </is>
      </c>
      <c r="D1" s="20" t="inlineStr">
        <is>
          <t>Alter_prae</t>
        </is>
      </c>
      <c r="E1" s="20" t="inlineStr">
        <is>
          <t>Koerperhoehe_prae</t>
        </is>
      </c>
      <c r="F1" s="20" t="inlineStr">
        <is>
          <t>Koerpermasse_prae</t>
        </is>
      </c>
      <c r="G1" s="20" t="inlineStr">
        <is>
          <t>Groesse_Mutter</t>
        </is>
      </c>
      <c r="H1" s="20" t="inlineStr">
        <is>
          <t>Groesse_Vater</t>
        </is>
      </c>
      <c r="I1" s="20" t="inlineStr">
        <is>
          <t>Familiarisierung</t>
        </is>
      </c>
      <c r="J1" s="20" t="inlineStr">
        <is>
          <t>Status</t>
        </is>
      </c>
    </row>
    <row r="2">
      <c r="A2" s="5" t="inlineStr">
        <is>
          <t>BW-01</t>
        </is>
      </c>
      <c r="B2" s="5" t="inlineStr">
        <is>
          <t>B</t>
        </is>
      </c>
      <c r="C2" s="5" t="inlineStr">
        <is>
          <t>IG</t>
        </is>
      </c>
      <c r="D2" s="5" t="n">
        <v>14.60369609856263</v>
      </c>
      <c r="E2" s="5" t="n">
        <v>174</v>
      </c>
      <c r="F2" s="5" t="n">
        <v>53.3</v>
      </c>
      <c r="G2" s="5" t="n">
        <v>178</v>
      </c>
      <c r="H2" s="5" t="n">
        <v>184</v>
      </c>
      <c r="I2" s="5" t="n">
        <v>1</v>
      </c>
      <c r="J2" s="5" t="inlineStr">
        <is>
          <t>ausgewertet</t>
        </is>
      </c>
    </row>
    <row r="3">
      <c r="A3" s="5" t="inlineStr">
        <is>
          <t>BW-02</t>
        </is>
      </c>
      <c r="B3" s="5" t="inlineStr">
        <is>
          <t>B</t>
        </is>
      </c>
      <c r="C3" s="5" t="inlineStr">
        <is>
          <t>IG</t>
        </is>
      </c>
      <c r="D3" s="5" t="n">
        <v>15.48528405201916</v>
      </c>
      <c r="E3" s="5" t="n">
        <v>168</v>
      </c>
      <c r="F3" s="5" t="n">
        <v>55.1</v>
      </c>
      <c r="G3" s="5" t="n">
        <v>157</v>
      </c>
      <c r="H3" s="5" t="n">
        <v>168</v>
      </c>
      <c r="I3" s="5" t="n">
        <v>1</v>
      </c>
      <c r="J3" s="5" t="inlineStr">
        <is>
          <t>ausgewertet</t>
        </is>
      </c>
    </row>
    <row r="4">
      <c r="A4" s="5" t="inlineStr">
        <is>
          <t>BW-04</t>
        </is>
      </c>
      <c r="B4" s="5" t="inlineStr">
        <is>
          <t>B</t>
        </is>
      </c>
      <c r="C4" s="5" t="inlineStr">
        <is>
          <t>IG</t>
        </is>
      </c>
      <c r="D4" s="5" t="n">
        <v>15.08555783709788</v>
      </c>
      <c r="E4" s="5" t="n">
        <v>179</v>
      </c>
      <c r="F4" s="5" t="n">
        <v>63.5</v>
      </c>
      <c r="G4" s="5" t="n">
        <v>175</v>
      </c>
      <c r="H4" s="5" t="n">
        <v>180</v>
      </c>
      <c r="I4" s="5" t="n">
        <v>2</v>
      </c>
      <c r="J4" s="5" t="inlineStr">
        <is>
          <t>ausgewertet</t>
        </is>
      </c>
    </row>
    <row r="5">
      <c r="A5" s="5" t="inlineStr">
        <is>
          <t>BW-05</t>
        </is>
      </c>
      <c r="B5" s="5" t="inlineStr">
        <is>
          <t>B</t>
        </is>
      </c>
      <c r="C5" s="5" t="inlineStr">
        <is>
          <t>IG</t>
        </is>
      </c>
      <c r="D5" s="5" t="n">
        <v>15.10746064339494</v>
      </c>
      <c r="E5" s="5" t="n">
        <v>171</v>
      </c>
      <c r="F5" s="5" t="n">
        <v>57.3</v>
      </c>
      <c r="G5" s="5" t="n">
        <v>164</v>
      </c>
      <c r="H5" s="5" t="n">
        <v>184</v>
      </c>
      <c r="I5" s="5" t="n">
        <v>2</v>
      </c>
      <c r="J5" s="5" t="inlineStr">
        <is>
          <t>ausgewertet</t>
        </is>
      </c>
    </row>
    <row r="6">
      <c r="A6" s="5" t="inlineStr">
        <is>
          <t>BW-06</t>
        </is>
      </c>
      <c r="B6" s="5" t="inlineStr">
        <is>
          <t>B</t>
        </is>
      </c>
      <c r="C6" s="5" t="inlineStr">
        <is>
          <t>IG</t>
        </is>
      </c>
      <c r="D6" s="5" t="n">
        <v>15.1129363449692</v>
      </c>
      <c r="E6" s="5" t="n">
        <v>148</v>
      </c>
      <c r="F6" s="5" t="n">
        <v>44</v>
      </c>
      <c r="G6" s="5" t="n">
        <v>173</v>
      </c>
      <c r="H6" s="5" t="n">
        <v>189</v>
      </c>
      <c r="I6" s="5" t="n">
        <v>2</v>
      </c>
      <c r="J6" s="5" t="inlineStr">
        <is>
          <t>ausgewertet</t>
        </is>
      </c>
    </row>
    <row r="7">
      <c r="A7" s="5" t="inlineStr">
        <is>
          <t>BW-07</t>
        </is>
      </c>
      <c r="B7" s="5" t="inlineStr">
        <is>
          <t>B</t>
        </is>
      </c>
      <c r="C7" s="5" t="inlineStr">
        <is>
          <t>IG</t>
        </is>
      </c>
      <c r="D7" s="5" t="n">
        <v>14.63928815879535</v>
      </c>
      <c r="E7" s="5" t="n">
        <v>174</v>
      </c>
      <c r="F7" s="5" t="n">
        <v>62.1</v>
      </c>
      <c r="G7" s="5" t="n">
        <v>174</v>
      </c>
      <c r="H7" s="5" t="n">
        <v>184</v>
      </c>
      <c r="I7" s="5" t="n">
        <v>2</v>
      </c>
      <c r="J7" s="5" t="inlineStr">
        <is>
          <t>nicht angetreten</t>
        </is>
      </c>
    </row>
    <row r="8">
      <c r="A8" s="5" t="inlineStr">
        <is>
          <t>BW-08</t>
        </is>
      </c>
      <c r="B8" s="5" t="inlineStr">
        <is>
          <t>B</t>
        </is>
      </c>
      <c r="C8" s="5" t="inlineStr">
        <is>
          <t>IG</t>
        </is>
      </c>
      <c r="D8" s="5" t="n">
        <v>15.01711156741958</v>
      </c>
      <c r="E8" s="5" t="n">
        <v>189</v>
      </c>
      <c r="F8" s="5" t="n">
        <v>63.7</v>
      </c>
      <c r="G8" s="5" t="n">
        <v>166</v>
      </c>
      <c r="H8" s="5" t="n">
        <v>190</v>
      </c>
      <c r="I8" s="5" t="n">
        <v>2</v>
      </c>
      <c r="J8" s="5" t="inlineStr">
        <is>
          <t>ausgewertet</t>
        </is>
      </c>
    </row>
    <row r="9">
      <c r="A9" s="5" t="inlineStr">
        <is>
          <t>BW-09</t>
        </is>
      </c>
      <c r="B9" s="5" t="inlineStr">
        <is>
          <t>B</t>
        </is>
      </c>
      <c r="C9" s="5" t="inlineStr">
        <is>
          <t>IG</t>
        </is>
      </c>
      <c r="D9" s="5" t="n">
        <v>15.09377138945927</v>
      </c>
      <c r="E9" s="5" t="n">
        <v>163</v>
      </c>
      <c r="F9" s="5" t="n">
        <v>44.3</v>
      </c>
      <c r="G9" s="5" t="n">
        <v>165</v>
      </c>
      <c r="H9" s="5" t="n">
        <v>184</v>
      </c>
      <c r="I9" s="5" t="n">
        <v>2</v>
      </c>
      <c r="J9" s="5" t="inlineStr">
        <is>
          <t>ausgewertet</t>
        </is>
      </c>
    </row>
    <row r="10">
      <c r="A10" s="5" t="inlineStr">
        <is>
          <t>BW-10</t>
        </is>
      </c>
      <c r="B10" s="5" t="inlineStr">
        <is>
          <t>B</t>
        </is>
      </c>
      <c r="C10" s="5" t="inlineStr">
        <is>
          <t>IG</t>
        </is>
      </c>
      <c r="D10" s="5" t="n">
        <v>15.19233401779603</v>
      </c>
      <c r="E10" s="5" t="n">
        <v>165</v>
      </c>
      <c r="F10" s="5" t="n">
        <v>52.1</v>
      </c>
      <c r="G10" s="5" t="n">
        <v>160</v>
      </c>
      <c r="H10" s="5" t="n">
        <v>180</v>
      </c>
      <c r="I10" s="5" t="n">
        <v>2</v>
      </c>
      <c r="J10" s="5" t="inlineStr">
        <is>
          <t>ausgewertet</t>
        </is>
      </c>
    </row>
    <row r="11">
      <c r="A11" s="5" t="inlineStr">
        <is>
          <t>BW-11</t>
        </is>
      </c>
      <c r="B11" s="5" t="inlineStr">
        <is>
          <t>B</t>
        </is>
      </c>
      <c r="C11" s="5" t="inlineStr">
        <is>
          <t>IG</t>
        </is>
      </c>
      <c r="D11" s="5" t="n">
        <v>14.8145106091718</v>
      </c>
      <c r="E11" s="5" t="n">
        <v>172</v>
      </c>
      <c r="F11" s="5" t="n">
        <v>66.90000000000001</v>
      </c>
      <c r="G11" s="5" t="n">
        <v>171</v>
      </c>
      <c r="H11" s="5" t="n">
        <v>185</v>
      </c>
      <c r="I11" s="5" t="n">
        <v>2</v>
      </c>
      <c r="J11" s="5" t="inlineStr">
        <is>
          <t>ausgewertet</t>
        </is>
      </c>
    </row>
    <row r="12">
      <c r="A12" s="5" t="inlineStr">
        <is>
          <t>BW-21</t>
        </is>
      </c>
      <c r="B12" s="5" t="inlineStr">
        <is>
          <t>B</t>
        </is>
      </c>
      <c r="C12" s="5" t="inlineStr">
        <is>
          <t>IG</t>
        </is>
      </c>
      <c r="D12" s="5" t="n">
        <v>14.88569472963724</v>
      </c>
      <c r="E12" s="5" t="n">
        <v>166</v>
      </c>
      <c r="F12" s="5" t="n">
        <v>45.5</v>
      </c>
      <c r="G12" s="5" t="n">
        <v>164</v>
      </c>
      <c r="H12" s="5" t="n">
        <v>198</v>
      </c>
      <c r="I12" s="5" t="n">
        <v>1</v>
      </c>
      <c r="J12" s="5" t="inlineStr">
        <is>
          <t>nicht angetreten</t>
        </is>
      </c>
    </row>
    <row r="13">
      <c r="A13" s="5" t="inlineStr">
        <is>
          <t>HL-01</t>
        </is>
      </c>
      <c r="B13" s="5" t="inlineStr">
        <is>
          <t>A</t>
        </is>
      </c>
      <c r="C13" s="5" t="inlineStr">
        <is>
          <t>IG</t>
        </is>
      </c>
      <c r="D13" s="5" t="n">
        <v>15.06365503080082</v>
      </c>
      <c r="E13" s="5" t="n">
        <v>195</v>
      </c>
      <c r="F13" s="5" t="n">
        <v>85.09999999999999</v>
      </c>
      <c r="G13" s="5" t="n">
        <v>169</v>
      </c>
      <c r="H13" s="5" t="n">
        <v>185</v>
      </c>
      <c r="I13" s="5" t="n">
        <v>1</v>
      </c>
      <c r="J13" s="5" t="inlineStr">
        <is>
          <t>ausgewertet</t>
        </is>
      </c>
    </row>
    <row r="14">
      <c r="A14" s="5" t="inlineStr">
        <is>
          <t>HL-02</t>
        </is>
      </c>
      <c r="B14" s="5" t="inlineStr">
        <is>
          <t>A</t>
        </is>
      </c>
      <c r="C14" s="5" t="inlineStr">
        <is>
          <t>IG</t>
        </is>
      </c>
      <c r="D14" s="5" t="n">
        <v>15.27173169062286</v>
      </c>
      <c r="E14" s="5" t="n">
        <v>177</v>
      </c>
      <c r="F14" s="5" t="n">
        <v>68.59999999999999</v>
      </c>
      <c r="G14" s="5" t="n">
        <v>167</v>
      </c>
      <c r="H14" s="5" t="n">
        <v>171</v>
      </c>
      <c r="I14" s="5" t="n">
        <v>1</v>
      </c>
      <c r="J14" s="5" t="inlineStr">
        <is>
          <t>ausgewertet</t>
        </is>
      </c>
    </row>
    <row r="15">
      <c r="A15" s="5" t="inlineStr">
        <is>
          <t>HL-03</t>
        </is>
      </c>
      <c r="B15" s="5" t="inlineStr">
        <is>
          <t>A</t>
        </is>
      </c>
      <c r="C15" s="5" t="inlineStr">
        <is>
          <t>IG</t>
        </is>
      </c>
      <c r="D15" s="5" t="n">
        <v>15.34017796030116</v>
      </c>
      <c r="E15" s="5" t="n">
        <v>176</v>
      </c>
      <c r="F15" s="5" t="n">
        <v>61.5</v>
      </c>
      <c r="G15" s="5" t="n">
        <v>160</v>
      </c>
      <c r="H15" s="5" t="n">
        <v>179</v>
      </c>
      <c r="I15" s="5" t="n">
        <v>1</v>
      </c>
      <c r="J15" s="5" t="inlineStr">
        <is>
          <t>ausgewertet</t>
        </is>
      </c>
    </row>
    <row r="16">
      <c r="A16" s="5" t="inlineStr">
        <is>
          <t>HL-05</t>
        </is>
      </c>
      <c r="B16" s="5" t="inlineStr">
        <is>
          <t>A</t>
        </is>
      </c>
      <c r="C16" s="5" t="inlineStr">
        <is>
          <t>IG</t>
        </is>
      </c>
      <c r="D16" s="5" t="n">
        <v>14.56810403832991</v>
      </c>
      <c r="E16" s="5" t="n">
        <v>178</v>
      </c>
      <c r="F16" s="5" t="n">
        <v>66.40000000000001</v>
      </c>
      <c r="G16" s="5" t="n">
        <v>160</v>
      </c>
      <c r="H16" s="5" t="n">
        <v>183</v>
      </c>
      <c r="I16" s="5" t="n">
        <v>1</v>
      </c>
      <c r="J16" s="5" t="inlineStr">
        <is>
          <t>ausgewertet</t>
        </is>
      </c>
    </row>
    <row r="17">
      <c r="A17" s="5" t="inlineStr">
        <is>
          <t>HL-06</t>
        </is>
      </c>
      <c r="B17" s="5" t="inlineStr">
        <is>
          <t>A</t>
        </is>
      </c>
      <c r="C17" s="5" t="inlineStr">
        <is>
          <t>IG</t>
        </is>
      </c>
      <c r="D17" s="5" t="n">
        <v>15.48254620123203</v>
      </c>
      <c r="E17" s="5" t="n">
        <v>170</v>
      </c>
      <c r="F17" s="5" t="n">
        <v>67.8</v>
      </c>
      <c r="G17" s="5" t="n">
        <v>157</v>
      </c>
      <c r="H17" s="5" t="n">
        <v>180</v>
      </c>
      <c r="I17" s="5" t="n">
        <v>1</v>
      </c>
      <c r="J17" s="5" t="inlineStr">
        <is>
          <t>ausgewertet</t>
        </is>
      </c>
    </row>
    <row r="18">
      <c r="A18" s="5" t="inlineStr">
        <is>
          <t>HL-07</t>
        </is>
      </c>
      <c r="B18" s="5" t="inlineStr">
        <is>
          <t>A</t>
        </is>
      </c>
      <c r="C18" s="5" t="inlineStr">
        <is>
          <t>IG</t>
        </is>
      </c>
      <c r="D18" s="5" t="n">
        <v>15.11019849418207</v>
      </c>
      <c r="E18" s="5" t="n">
        <v>177</v>
      </c>
      <c r="F18" s="5" t="n">
        <v>61.1</v>
      </c>
      <c r="G18" s="5" t="n">
        <v>166</v>
      </c>
      <c r="H18" s="5" t="n">
        <v>174</v>
      </c>
      <c r="I18" s="5" t="n">
        <v>1</v>
      </c>
      <c r="J18" s="5" t="inlineStr">
        <is>
          <t>ausgewertet</t>
        </is>
      </c>
    </row>
    <row r="19">
      <c r="A19" s="5" t="inlineStr">
        <is>
          <t>HL-08</t>
        </is>
      </c>
      <c r="B19" s="5" t="inlineStr">
        <is>
          <t>A</t>
        </is>
      </c>
      <c r="C19" s="5" t="inlineStr">
        <is>
          <t>IG</t>
        </is>
      </c>
      <c r="D19" s="5" t="n">
        <v>15.21149897330596</v>
      </c>
      <c r="E19" s="5" t="n">
        <v>180</v>
      </c>
      <c r="F19" s="5" t="n">
        <v>61.8</v>
      </c>
      <c r="G19" s="5" t="n">
        <v>169</v>
      </c>
      <c r="H19" s="5" t="n">
        <v>191</v>
      </c>
      <c r="I19" s="5" t="n">
        <v>1</v>
      </c>
      <c r="J19" s="5" t="inlineStr">
        <is>
          <t>ausgewertet</t>
        </is>
      </c>
    </row>
    <row r="20">
      <c r="A20" s="5" t="inlineStr">
        <is>
          <t>VS-01</t>
        </is>
      </c>
      <c r="B20" s="5" t="inlineStr">
        <is>
          <t>C</t>
        </is>
      </c>
      <c r="C20" s="5" t="inlineStr">
        <is>
          <t>KG</t>
        </is>
      </c>
      <c r="D20" s="5" t="n">
        <v>14.00958247775496</v>
      </c>
      <c r="E20" s="5" t="n">
        <v>166</v>
      </c>
      <c r="F20" s="5" t="n">
        <v>50.7</v>
      </c>
      <c r="G20" s="5" t="n">
        <v>170</v>
      </c>
      <c r="H20" s="5" t="n">
        <v>180</v>
      </c>
      <c r="I20" s="5" t="n">
        <v>2</v>
      </c>
      <c r="J20" s="5" t="inlineStr">
        <is>
          <t>ausgewertet</t>
        </is>
      </c>
    </row>
    <row r="21">
      <c r="A21" s="5" t="inlineStr">
        <is>
          <t>VS-02</t>
        </is>
      </c>
      <c r="B21" s="5" t="inlineStr">
        <is>
          <t>C</t>
        </is>
      </c>
      <c r="C21" s="5" t="inlineStr">
        <is>
          <t>KG</t>
        </is>
      </c>
      <c r="D21" s="5" t="n">
        <v>13.70841889117043</v>
      </c>
      <c r="E21" s="5" t="n">
        <v>158</v>
      </c>
      <c r="F21" s="5" t="n">
        <v>45.9</v>
      </c>
      <c r="G21" s="5" t="n">
        <v>169</v>
      </c>
      <c r="H21" s="5" t="n">
        <v>186</v>
      </c>
      <c r="I21" s="5" t="n">
        <v>2</v>
      </c>
      <c r="J21" s="5" t="inlineStr">
        <is>
          <t>ausgewertet</t>
        </is>
      </c>
    </row>
    <row r="22">
      <c r="A22" s="5" t="inlineStr">
        <is>
          <t>VS-03</t>
        </is>
      </c>
      <c r="B22" s="5" t="inlineStr">
        <is>
          <t>C</t>
        </is>
      </c>
      <c r="C22" s="5" t="inlineStr">
        <is>
          <t>KG</t>
        </is>
      </c>
      <c r="D22" s="5" t="n">
        <v>14.23682409308693</v>
      </c>
      <c r="E22" s="5" t="n">
        <v>165</v>
      </c>
      <c r="F22" s="5" t="n">
        <v>43.9</v>
      </c>
      <c r="G22" s="5" t="n">
        <v>170</v>
      </c>
      <c r="H22" s="5" t="n">
        <v>181</v>
      </c>
      <c r="I22" s="5" t="n">
        <v>2</v>
      </c>
      <c r="J22" s="5" t="inlineStr">
        <is>
          <t>ausgewertet</t>
        </is>
      </c>
    </row>
    <row r="23">
      <c r="A23" s="5" t="inlineStr">
        <is>
          <t>VS-04</t>
        </is>
      </c>
      <c r="B23" s="5" t="inlineStr">
        <is>
          <t>C</t>
        </is>
      </c>
      <c r="C23" s="5" t="inlineStr">
        <is>
          <t>KG</t>
        </is>
      </c>
      <c r="D23" s="5" t="n">
        <v>13.7056810403833</v>
      </c>
      <c r="E23" s="5" t="n">
        <v>163</v>
      </c>
      <c r="F23" s="5" t="n">
        <v>43.6</v>
      </c>
      <c r="G23" s="5" t="n">
        <v>172</v>
      </c>
      <c r="H23" s="5" t="n">
        <v>181</v>
      </c>
      <c r="I23" s="5" t="n">
        <v>2</v>
      </c>
      <c r="J23" s="5" t="inlineStr">
        <is>
          <t>ausgewertet</t>
        </is>
      </c>
    </row>
    <row r="24">
      <c r="A24" s="5" t="inlineStr">
        <is>
          <t>VS-05</t>
        </is>
      </c>
      <c r="B24" s="5" t="inlineStr">
        <is>
          <t>C</t>
        </is>
      </c>
      <c r="C24" s="5" t="inlineStr">
        <is>
          <t>KG</t>
        </is>
      </c>
      <c r="D24" s="5" t="n">
        <v>13.85626283367557</v>
      </c>
      <c r="E24" s="5" t="n">
        <v>168</v>
      </c>
      <c r="F24" s="5" t="n">
        <v>52.7</v>
      </c>
      <c r="G24" s="5" t="n">
        <v>167</v>
      </c>
      <c r="H24" s="5" t="n">
        <v>204</v>
      </c>
      <c r="I24" s="5" t="n">
        <v>2</v>
      </c>
      <c r="J24" s="5" t="inlineStr">
        <is>
          <t>ausgewertet</t>
        </is>
      </c>
    </row>
    <row r="25">
      <c r="A25" s="5" t="inlineStr">
        <is>
          <t>VS-06</t>
        </is>
      </c>
      <c r="B25" s="5" t="inlineStr">
        <is>
          <t>C</t>
        </is>
      </c>
      <c r="C25" s="5" t="inlineStr">
        <is>
          <t>KG</t>
        </is>
      </c>
      <c r="D25" s="5" t="n">
        <v>14.48596851471595</v>
      </c>
      <c r="E25" s="5" t="n">
        <v>172</v>
      </c>
      <c r="F25" s="5" t="n">
        <v>59</v>
      </c>
      <c r="G25" s="5" t="n">
        <v>171</v>
      </c>
      <c r="H25" s="5" t="n">
        <v>177</v>
      </c>
      <c r="I25" s="5" t="n">
        <v>2</v>
      </c>
      <c r="J25" s="5" t="inlineStr">
        <is>
          <t>ausgewertet</t>
        </is>
      </c>
    </row>
    <row r="26">
      <c r="A26" s="5" t="inlineStr">
        <is>
          <t>VS-07</t>
        </is>
      </c>
      <c r="B26" s="5" t="inlineStr">
        <is>
          <t>C</t>
        </is>
      </c>
      <c r="C26" s="5" t="inlineStr">
        <is>
          <t>KG</t>
        </is>
      </c>
      <c r="D26" s="5" t="n">
        <v>13.78781656399726</v>
      </c>
      <c r="E26" s="5" t="n">
        <v>163</v>
      </c>
      <c r="F26" s="5" t="n">
        <v>50.9</v>
      </c>
      <c r="G26" s="5" t="n">
        <v>170</v>
      </c>
      <c r="H26" s="5" t="n">
        <v>184</v>
      </c>
      <c r="I26" s="5" t="n">
        <v>2</v>
      </c>
      <c r="J26" s="5" t="inlineStr">
        <is>
          <t>nicht angetreten</t>
        </is>
      </c>
    </row>
    <row r="27">
      <c r="A27" s="5" t="inlineStr">
        <is>
          <t>VS-08</t>
        </is>
      </c>
      <c r="B27" s="5" t="inlineStr">
        <is>
          <t>C</t>
        </is>
      </c>
      <c r="C27" s="5" t="inlineStr">
        <is>
          <t>KG</t>
        </is>
      </c>
      <c r="D27" s="5" t="n">
        <v>14.43394934976044</v>
      </c>
      <c r="E27" s="5" t="n">
        <v>171</v>
      </c>
      <c r="F27" s="5" t="n">
        <v>55.2</v>
      </c>
      <c r="G27" s="5" t="n">
        <v>175</v>
      </c>
      <c r="H27" s="5" t="n">
        <v>180</v>
      </c>
      <c r="I27" s="5" t="n">
        <v>2</v>
      </c>
      <c r="J27" s="5" t="inlineStr">
        <is>
          <t>ausgewertet</t>
        </is>
      </c>
    </row>
    <row r="28">
      <c r="A28" s="5" t="inlineStr">
        <is>
          <t>VS-10</t>
        </is>
      </c>
      <c r="B28" s="5" t="inlineStr">
        <is>
          <t>C</t>
        </is>
      </c>
      <c r="C28" s="5" t="inlineStr">
        <is>
          <t>KG</t>
        </is>
      </c>
      <c r="D28" s="5" t="n">
        <v>13.80698151950719</v>
      </c>
      <c r="E28" s="5" t="n">
        <v>170</v>
      </c>
      <c r="F28" s="5" t="n">
        <v>54.5</v>
      </c>
      <c r="G28" s="5" t="n">
        <v>162</v>
      </c>
      <c r="H28" s="5" t="n">
        <v>189</v>
      </c>
      <c r="I28" s="5" t="n">
        <v>2</v>
      </c>
      <c r="J28" s="5" t="inlineStr">
        <is>
          <t>ausgewertet</t>
        </is>
      </c>
    </row>
    <row r="29">
      <c r="A29" s="5" t="inlineStr">
        <is>
          <t>VS-16</t>
        </is>
      </c>
      <c r="B29" s="5" t="inlineStr">
        <is>
          <t>C</t>
        </is>
      </c>
      <c r="C29" s="5" t="inlineStr">
        <is>
          <t>KG</t>
        </is>
      </c>
      <c r="D29" s="5" t="n">
        <v>13.74948665297741</v>
      </c>
      <c r="E29" s="5" t="n">
        <v>166</v>
      </c>
      <c r="F29" s="5" t="n">
        <v>49.6</v>
      </c>
      <c r="G29" s="5" t="n">
        <v>171</v>
      </c>
      <c r="H29" s="5" t="n">
        <v>192</v>
      </c>
      <c r="I29" s="5" t="n">
        <v>2</v>
      </c>
      <c r="J29" s="5" t="inlineStr">
        <is>
          <t>nicht angetreten</t>
        </is>
      </c>
    </row>
    <row r="30">
      <c r="A30" s="5" t="inlineStr">
        <is>
          <t>VS-17</t>
        </is>
      </c>
      <c r="B30" s="5" t="inlineStr">
        <is>
          <t>C</t>
        </is>
      </c>
      <c r="C30" s="5" t="inlineStr">
        <is>
          <t>KG</t>
        </is>
      </c>
      <c r="D30" s="5" t="n">
        <v>14.46406570841889</v>
      </c>
      <c r="E30" s="5" t="n">
        <v>183</v>
      </c>
      <c r="F30" s="5" t="n">
        <v>65</v>
      </c>
      <c r="G30" s="5" t="n">
        <v>171</v>
      </c>
      <c r="H30" s="5" t="n">
        <v>181</v>
      </c>
      <c r="I30" s="5" t="n">
        <v>2</v>
      </c>
      <c r="J30" s="5" t="inlineStr">
        <is>
          <t>ausgewertet</t>
        </is>
      </c>
    </row>
    <row r="31">
      <c r="A31" s="5" t="inlineStr">
        <is>
          <t>VS-18</t>
        </is>
      </c>
      <c r="B31" s="5" t="inlineStr">
        <is>
          <t>C</t>
        </is>
      </c>
      <c r="C31" s="5" t="inlineStr">
        <is>
          <t>KG</t>
        </is>
      </c>
      <c r="D31" s="5" t="n">
        <v>13.80971937029432</v>
      </c>
      <c r="E31" s="5" t="n"/>
      <c r="F31" s="5" t="n"/>
      <c r="G31" s="5" t="n">
        <v>168</v>
      </c>
      <c r="H31" s="5" t="n">
        <v>180</v>
      </c>
      <c r="I31" s="5" t="n">
        <v>2</v>
      </c>
      <c r="J31" s="5" t="inlineStr">
        <is>
          <t>ausgewertet</t>
        </is>
      </c>
    </row>
    <row r="32">
      <c r="A32" s="5" t="inlineStr">
        <is>
          <t>VS-11</t>
        </is>
      </c>
      <c r="B32" s="5" t="inlineStr">
        <is>
          <t>C</t>
        </is>
      </c>
      <c r="C32" s="5" t="inlineStr">
        <is>
          <t>KG</t>
        </is>
      </c>
      <c r="D32" s="5" t="n">
        <v>14.11909650924025</v>
      </c>
      <c r="E32" s="5" t="n">
        <v>171</v>
      </c>
      <c r="F32" s="5" t="n">
        <v>62.9</v>
      </c>
      <c r="G32" s="5" t="n">
        <v>164</v>
      </c>
      <c r="H32" s="5" t="n">
        <v>176</v>
      </c>
      <c r="I32" s="5" t="n">
        <v>2</v>
      </c>
      <c r="J32" s="5" t="inlineStr">
        <is>
          <t>ausgewertet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" customWidth="1" min="12" max="12"/>
    <col width="20" customWidth="1" min="13" max="13"/>
  </cols>
  <sheetData>
    <row r="1">
      <c r="A1" s="20" t="inlineStr">
        <is>
          <t>CASE</t>
        </is>
      </c>
      <c r="B1" s="20" t="inlineStr">
        <is>
          <t>STARTED</t>
        </is>
      </c>
      <c r="C1" s="20" t="inlineStr">
        <is>
          <t>H010</t>
        </is>
      </c>
      <c r="D1" s="20" t="inlineStr">
        <is>
          <t>H002</t>
        </is>
      </c>
      <c r="E1" s="20" t="inlineStr">
        <is>
          <t>H003</t>
        </is>
      </c>
      <c r="F1" s="20" t="inlineStr">
        <is>
          <t>H004</t>
        </is>
      </c>
      <c r="G1" s="20" t="inlineStr">
        <is>
          <t>H005</t>
        </is>
      </c>
      <c r="H1" s="20" t="inlineStr">
        <is>
          <t>H006</t>
        </is>
      </c>
      <c r="I1" s="20" t="inlineStr">
        <is>
          <t>H007</t>
        </is>
      </c>
      <c r="J1" s="20" t="inlineStr">
        <is>
          <t>H008</t>
        </is>
      </c>
      <c r="K1" s="20" t="inlineStr">
        <is>
          <t>H009</t>
        </is>
      </c>
      <c r="L1" s="21" t="inlineStr">
        <is>
          <t>Listenlabel (S06 R1, R2)</t>
        </is>
      </c>
      <c r="M1" s="21" t="inlineStr">
        <is>
          <t>Analysecode (S06 R3)</t>
        </is>
      </c>
    </row>
    <row r="2">
      <c r="A2" s="5" t="n">
        <v>18</v>
      </c>
      <c r="B2" s="5" t="inlineStr">
        <is>
          <t>2026-07-20 18:05:21</t>
        </is>
      </c>
      <c r="C2" s="5" t="n">
        <v>1</v>
      </c>
      <c r="D2" s="5" t="n">
        <v>1</v>
      </c>
      <c r="E2" s="5" t="n">
        <v>1</v>
      </c>
      <c r="F2" s="5" t="n">
        <v>2</v>
      </c>
      <c r="G2" s="5" t="n">
        <v>10</v>
      </c>
      <c r="H2" s="5" t="n">
        <v>1</v>
      </c>
      <c r="I2" s="5" t="n">
        <v>2</v>
      </c>
      <c r="J2" s="5" t="n">
        <v>1</v>
      </c>
      <c r="K2" s="5" t="n">
        <v>2</v>
      </c>
      <c r="L2" s="22">
        <f>IF(OR(A2=59,A2=70),"BW-06",IF(OR(A2=140,A2=158,A2=165,A2=190,A2=206),"BW-04",IF(C2&lt;=8,"HL-0"&amp;C2,"BW-"&amp;IF(C2-8&lt;10,"0"&amp;(C2-8),C2-8))))</f>
        <v/>
      </c>
      <c r="M2" s="22">
        <f>IFERROR(VLOOKUP(L2,Zuordnung!$A$2:$B$23,2,FALSE)&amp;"","?")</f>
        <v/>
      </c>
    </row>
    <row r="3">
      <c r="A3" s="5" t="n">
        <v>26</v>
      </c>
      <c r="B3" s="5" t="inlineStr">
        <is>
          <t>2026-07-21 19:42:03</t>
        </is>
      </c>
      <c r="C3" s="5" t="n">
        <v>3</v>
      </c>
      <c r="D3" s="5" t="n">
        <v>1</v>
      </c>
      <c r="E3" s="5" t="n">
        <v>1</v>
      </c>
      <c r="F3" s="5" t="n">
        <v>1</v>
      </c>
      <c r="G3" s="5" t="n">
        <v>5</v>
      </c>
      <c r="H3" s="5" t="n">
        <v>4</v>
      </c>
      <c r="I3" s="5" t="n">
        <v>1</v>
      </c>
      <c r="J3" s="5" t="n">
        <v>2</v>
      </c>
      <c r="K3" s="5" t="n">
        <v>2</v>
      </c>
      <c r="L3" s="22">
        <f>IF(OR(A3=59,A3=70),"BW-06",IF(OR(A3=140,A3=158,A3=165,A3=190,A3=206),"BW-04",IF(C3&lt;=8,"HL-0"&amp;C3,"BW-"&amp;IF(C3-8&lt;10,"0"&amp;(C3-8),C3-8))))</f>
        <v/>
      </c>
      <c r="M3" s="22">
        <f>IFERROR(VLOOKUP(L3,Zuordnung!$A$2:$B$23,2,FALSE)&amp;"","?")</f>
        <v/>
      </c>
    </row>
    <row r="4">
      <c r="A4" s="5" t="n">
        <v>36</v>
      </c>
      <c r="B4" s="5" t="inlineStr">
        <is>
          <t>2026-07-23 20:13:19</t>
        </is>
      </c>
      <c r="C4" s="5" t="n">
        <v>2</v>
      </c>
      <c r="D4" s="5" t="n">
        <v>1</v>
      </c>
      <c r="E4" s="5" t="n">
        <v>1</v>
      </c>
      <c r="F4" s="5" t="n">
        <v>3</v>
      </c>
      <c r="G4" s="5" t="n">
        <v>1</v>
      </c>
      <c r="H4" s="5" t="n">
        <v>5</v>
      </c>
      <c r="I4" s="5" t="n">
        <v>2</v>
      </c>
      <c r="J4" s="5" t="n">
        <v>2</v>
      </c>
      <c r="K4" s="5" t="n">
        <v>1</v>
      </c>
      <c r="L4" s="22">
        <f>IF(OR(A4=59,A4=70),"BW-06",IF(OR(A4=140,A4=158,A4=165,A4=190,A4=206),"BW-04",IF(C4&lt;=8,"HL-0"&amp;C4,"BW-"&amp;IF(C4-8&lt;10,"0"&amp;(C4-8),C4-8))))</f>
        <v/>
      </c>
      <c r="M4" s="22">
        <f>IFERROR(VLOOKUP(L4,Zuordnung!$A$2:$B$23,2,FALSE)&amp;"","?")</f>
        <v/>
      </c>
    </row>
    <row r="5">
      <c r="A5" s="5" t="n">
        <v>37</v>
      </c>
      <c r="B5" s="5" t="inlineStr">
        <is>
          <t>2026-07-23 20:18:32</t>
        </is>
      </c>
      <c r="C5" s="5" t="n">
        <v>7</v>
      </c>
      <c r="D5" s="5" t="n">
        <v>1</v>
      </c>
      <c r="E5" s="5" t="n">
        <v>1</v>
      </c>
      <c r="F5" s="5" t="n">
        <v>1</v>
      </c>
      <c r="G5" s="5" t="n">
        <v>3</v>
      </c>
      <c r="H5" s="5" t="n">
        <v>4</v>
      </c>
      <c r="I5" s="5" t="n">
        <v>2</v>
      </c>
      <c r="J5" s="5" t="n">
        <v>2</v>
      </c>
      <c r="K5" s="5" t="n">
        <v>1</v>
      </c>
      <c r="L5" s="22">
        <f>IF(OR(A5=59,A5=70),"BW-06",IF(OR(A5=140,A5=158,A5=165,A5=190,A5=206),"BW-04",IF(C5&lt;=8,"HL-0"&amp;C5,"BW-"&amp;IF(C5-8&lt;10,"0"&amp;(C5-8),C5-8))))</f>
        <v/>
      </c>
      <c r="M5" s="22">
        <f>IFERROR(VLOOKUP(L5,Zuordnung!$A$2:$B$23,2,FALSE)&amp;"","?")</f>
        <v/>
      </c>
    </row>
    <row r="6">
      <c r="A6" s="5" t="n">
        <v>38</v>
      </c>
      <c r="B6" s="5" t="inlineStr">
        <is>
          <t>2026-07-23 20:18:52</t>
        </is>
      </c>
      <c r="C6" s="5" t="n">
        <v>6</v>
      </c>
      <c r="D6" s="5" t="n">
        <v>1</v>
      </c>
      <c r="E6" s="5" t="n">
        <v>1</v>
      </c>
      <c r="F6" s="5" t="n">
        <v>3</v>
      </c>
      <c r="G6" s="5" t="n">
        <v>1</v>
      </c>
      <c r="H6" s="5" t="n">
        <v>5</v>
      </c>
      <c r="I6" s="5" t="n">
        <v>2</v>
      </c>
      <c r="J6" s="5" t="n">
        <v>2</v>
      </c>
      <c r="K6" s="5" t="n">
        <v>1</v>
      </c>
      <c r="L6" s="22">
        <f>IF(OR(A6=59,A6=70),"BW-06",IF(OR(A6=140,A6=158,A6=165,A6=190,A6=206),"BW-04",IF(C6&lt;=8,"HL-0"&amp;C6,"BW-"&amp;IF(C6-8&lt;10,"0"&amp;(C6-8),C6-8))))</f>
        <v/>
      </c>
      <c r="M6" s="22">
        <f>IFERROR(VLOOKUP(L6,Zuordnung!$A$2:$B$23,2,FALSE)&amp;"","?")</f>
        <v/>
      </c>
    </row>
    <row r="7">
      <c r="A7" s="5" t="n">
        <v>39</v>
      </c>
      <c r="B7" s="5" t="inlineStr">
        <is>
          <t>2026-07-23 21:02:28</t>
        </is>
      </c>
      <c r="C7" s="5" t="n">
        <v>15</v>
      </c>
      <c r="D7" s="5" t="n">
        <v>1</v>
      </c>
      <c r="E7" s="5" t="n">
        <v>1</v>
      </c>
      <c r="F7" s="5" t="n">
        <v>1</v>
      </c>
      <c r="G7" s="5" t="n">
        <v>3</v>
      </c>
      <c r="H7" s="5" t="n">
        <v>4</v>
      </c>
      <c r="I7" s="5" t="n">
        <v>2</v>
      </c>
      <c r="J7" s="5" t="n">
        <v>1</v>
      </c>
      <c r="K7" s="5" t="n">
        <v>2</v>
      </c>
      <c r="L7" s="22">
        <f>IF(OR(A7=59,A7=70),"BW-06",IF(OR(A7=140,A7=158,A7=165,A7=190,A7=206),"BW-04",IF(C7&lt;=8,"HL-0"&amp;C7,"BW-"&amp;IF(C7-8&lt;10,"0"&amp;(C7-8),C7-8))))</f>
        <v/>
      </c>
      <c r="M7" s="22">
        <f>IFERROR(VLOOKUP(L7,Zuordnung!$A$2:$B$23,2,FALSE)&amp;"","?")</f>
        <v/>
      </c>
    </row>
    <row r="8">
      <c r="A8" s="5" t="n">
        <v>40</v>
      </c>
      <c r="B8" s="5" t="inlineStr">
        <is>
          <t>2026-07-23 21:06:29</t>
        </is>
      </c>
      <c r="C8" s="5" t="n">
        <v>13</v>
      </c>
      <c r="D8" s="5" t="n">
        <v>1</v>
      </c>
      <c r="E8" s="5" t="n">
        <v>2</v>
      </c>
      <c r="F8" s="5" t="n">
        <v>1</v>
      </c>
      <c r="G8" s="5" t="n">
        <v>3</v>
      </c>
      <c r="H8" s="5" t="n">
        <v>4</v>
      </c>
      <c r="I8" s="5" t="n">
        <v>2</v>
      </c>
      <c r="J8" s="5" t="n">
        <v>2</v>
      </c>
      <c r="K8" s="5" t="n">
        <v>2</v>
      </c>
      <c r="L8" s="22">
        <f>IF(OR(A8=59,A8=70),"BW-06",IF(OR(A8=140,A8=158,A8=165,A8=190,A8=206),"BW-04",IF(C8&lt;=8,"HL-0"&amp;C8,"BW-"&amp;IF(C8-8&lt;10,"0"&amp;(C8-8),C8-8))))</f>
        <v/>
      </c>
      <c r="M8" s="22">
        <f>IFERROR(VLOOKUP(L8,Zuordnung!$A$2:$B$23,2,FALSE)&amp;"","?")</f>
        <v/>
      </c>
    </row>
    <row r="9">
      <c r="A9" s="5" t="n">
        <v>41</v>
      </c>
      <c r="B9" s="5" t="inlineStr">
        <is>
          <t>2026-07-24 09:49:03</t>
        </is>
      </c>
      <c r="C9" s="5" t="n">
        <v>1</v>
      </c>
      <c r="D9" s="5" t="n">
        <v>1</v>
      </c>
      <c r="E9" s="5" t="n">
        <v>1</v>
      </c>
      <c r="F9" s="5" t="n">
        <v>3</v>
      </c>
      <c r="G9" s="5" t="n">
        <v>1</v>
      </c>
      <c r="H9" s="5" t="n">
        <v>4</v>
      </c>
      <c r="I9" s="5" t="n">
        <v>1</v>
      </c>
      <c r="J9" s="5" t="n">
        <v>2</v>
      </c>
      <c r="K9" s="5" t="n">
        <v>1</v>
      </c>
      <c r="L9" s="22">
        <f>IF(OR(A9=59,A9=70),"BW-06",IF(OR(A9=140,A9=158,A9=165,A9=190,A9=206),"BW-04",IF(C9&lt;=8,"HL-0"&amp;C9,"BW-"&amp;IF(C9-8&lt;10,"0"&amp;(C9-8),C9-8))))</f>
        <v/>
      </c>
      <c r="M9" s="22">
        <f>IFERROR(VLOOKUP(L9,Zuordnung!$A$2:$B$23,2,FALSE)&amp;"","?")</f>
        <v/>
      </c>
    </row>
    <row r="10">
      <c r="A10" s="5" t="n">
        <v>44</v>
      </c>
      <c r="B10" s="5" t="inlineStr">
        <is>
          <t>2026-07-24 17:14:01</t>
        </is>
      </c>
      <c r="C10" s="5" t="n">
        <v>10</v>
      </c>
      <c r="D10" s="5" t="n">
        <v>1</v>
      </c>
      <c r="E10" s="5" t="n">
        <v>1</v>
      </c>
      <c r="F10" s="5" t="n">
        <v>1</v>
      </c>
      <c r="G10" s="5" t="n">
        <v>5</v>
      </c>
      <c r="H10" s="5" t="n">
        <v>2</v>
      </c>
      <c r="I10" s="5" t="n">
        <v>1</v>
      </c>
      <c r="J10" s="5" t="n">
        <v>1</v>
      </c>
      <c r="K10" s="5" t="n">
        <v>1</v>
      </c>
      <c r="L10" s="22">
        <f>IF(OR(A10=59,A10=70),"BW-06",IF(OR(A10=140,A10=158,A10=165,A10=190,A10=206),"BW-04",IF(C10&lt;=8,"HL-0"&amp;C10,"BW-"&amp;IF(C10-8&lt;10,"0"&amp;(C10-8),C10-8))))</f>
        <v/>
      </c>
      <c r="M10" s="22">
        <f>IFERROR(VLOOKUP(L10,Zuordnung!$A$2:$B$23,2,FALSE)&amp;"","?")</f>
        <v/>
      </c>
    </row>
    <row r="11">
      <c r="A11" s="5" t="n">
        <v>46</v>
      </c>
      <c r="B11" s="5" t="inlineStr">
        <is>
          <t>2026-07-24 17:26:54</t>
        </is>
      </c>
      <c r="C11" s="5" t="n">
        <v>16</v>
      </c>
      <c r="D11" s="5" t="n">
        <v>1</v>
      </c>
      <c r="E11" s="5" t="n">
        <v>1</v>
      </c>
      <c r="F11" s="5" t="n">
        <v>1</v>
      </c>
      <c r="G11" s="5" t="n">
        <v>4</v>
      </c>
      <c r="H11" s="5" t="n">
        <v>4</v>
      </c>
      <c r="I11" s="5" t="n">
        <v>2</v>
      </c>
      <c r="J11" s="5" t="n">
        <v>2</v>
      </c>
      <c r="K11" s="5" t="n">
        <v>2</v>
      </c>
      <c r="L11" s="22">
        <f>IF(OR(A11=59,A11=70),"BW-06",IF(OR(A11=140,A11=158,A11=165,A11=190,A11=206),"BW-04",IF(C11&lt;=8,"HL-0"&amp;C11,"BW-"&amp;IF(C11-8&lt;10,"0"&amp;(C11-8),C11-8))))</f>
        <v/>
      </c>
      <c r="M11" s="22">
        <f>IFERROR(VLOOKUP(L11,Zuordnung!$A$2:$B$23,2,FALSE)&amp;"","?")</f>
        <v/>
      </c>
    </row>
    <row r="12">
      <c r="A12" s="5" t="n">
        <v>48</v>
      </c>
      <c r="B12" s="5" t="inlineStr">
        <is>
          <t>2026-07-24 18:14:52</t>
        </is>
      </c>
      <c r="C12" s="5" t="n">
        <v>15</v>
      </c>
      <c r="D12" s="5" t="n">
        <v>1</v>
      </c>
      <c r="E12" s="5" t="n">
        <v>2</v>
      </c>
      <c r="F12" s="5" t="n">
        <v>1</v>
      </c>
      <c r="G12" s="5" t="n">
        <v>4</v>
      </c>
      <c r="H12" s="5" t="n">
        <v>4</v>
      </c>
      <c r="I12" s="5" t="n">
        <v>2</v>
      </c>
      <c r="J12" s="5" t="n">
        <v>2</v>
      </c>
      <c r="K12" s="5" t="n">
        <v>1</v>
      </c>
      <c r="L12" s="22">
        <f>IF(OR(A12=59,A12=70),"BW-06",IF(OR(A12=140,A12=158,A12=165,A12=190,A12=206),"BW-04",IF(C12&lt;=8,"HL-0"&amp;C12,"BW-"&amp;IF(C12-8&lt;10,"0"&amp;(C12-8),C12-8))))</f>
        <v/>
      </c>
      <c r="M12" s="22">
        <f>IFERROR(VLOOKUP(L12,Zuordnung!$A$2:$B$23,2,FALSE)&amp;"","?")</f>
        <v/>
      </c>
    </row>
    <row r="13">
      <c r="A13" s="5" t="n">
        <v>49</v>
      </c>
      <c r="B13" s="5" t="inlineStr">
        <is>
          <t>2026-07-24 18:14:59</t>
        </is>
      </c>
      <c r="C13" s="5" t="n">
        <v>17</v>
      </c>
      <c r="D13" s="5" t="n">
        <v>1</v>
      </c>
      <c r="E13" s="5" t="n">
        <v>1</v>
      </c>
      <c r="F13" s="5" t="n">
        <v>1</v>
      </c>
      <c r="G13" s="5" t="n">
        <v>3</v>
      </c>
      <c r="H13" s="5" t="n">
        <v>4</v>
      </c>
      <c r="I13" s="5" t="n">
        <v>1</v>
      </c>
      <c r="J13" s="5" t="n">
        <v>2</v>
      </c>
      <c r="K13" s="5" t="n">
        <v>1</v>
      </c>
      <c r="L13" s="22">
        <f>IF(OR(A13=59,A13=70),"BW-06",IF(OR(A13=140,A13=158,A13=165,A13=190,A13=206),"BW-04",IF(C13&lt;=8,"HL-0"&amp;C13,"BW-"&amp;IF(C13-8&lt;10,"0"&amp;(C13-8),C13-8))))</f>
        <v/>
      </c>
      <c r="M13" s="22">
        <f>IFERROR(VLOOKUP(L13,Zuordnung!$A$2:$B$23,2,FALSE)&amp;"","?")</f>
        <v/>
      </c>
    </row>
    <row r="14">
      <c r="A14" s="5" t="n">
        <v>50</v>
      </c>
      <c r="B14" s="5" t="inlineStr">
        <is>
          <t>2026-07-25 09:13:04</t>
        </is>
      </c>
      <c r="C14" s="5" t="n">
        <v>7</v>
      </c>
      <c r="D14" s="5" t="n">
        <v>1</v>
      </c>
      <c r="E14" s="5" t="n">
        <v>2</v>
      </c>
      <c r="F14" s="5" t="n">
        <v>2</v>
      </c>
      <c r="G14" s="5" t="n">
        <v>5</v>
      </c>
      <c r="H14" s="5" t="n">
        <v>4</v>
      </c>
      <c r="I14" s="5" t="n">
        <v>2</v>
      </c>
      <c r="J14" s="5" t="n">
        <v>1</v>
      </c>
      <c r="K14" s="5" t="n">
        <v>2</v>
      </c>
      <c r="L14" s="22">
        <f>IF(OR(A14=59,A14=70),"BW-06",IF(OR(A14=140,A14=158,A14=165,A14=190,A14=206),"BW-04",IF(C14&lt;=8,"HL-0"&amp;C14,"BW-"&amp;IF(C14-8&lt;10,"0"&amp;(C14-8),C14-8))))</f>
        <v/>
      </c>
      <c r="M14" s="22">
        <f>IFERROR(VLOOKUP(L14,Zuordnung!$A$2:$B$23,2,FALSE)&amp;"","?")</f>
        <v/>
      </c>
    </row>
    <row r="15">
      <c r="A15" s="5" t="n">
        <v>51</v>
      </c>
      <c r="B15" s="5" t="inlineStr">
        <is>
          <t>2026-07-25 15:12:10</t>
        </is>
      </c>
      <c r="C15" s="5" t="n">
        <v>19</v>
      </c>
      <c r="D15" s="5" t="n">
        <v>1</v>
      </c>
      <c r="E15" s="5" t="n">
        <v>1</v>
      </c>
      <c r="F15" s="5" t="n">
        <v>1</v>
      </c>
      <c r="G15" s="5" t="n">
        <v>4</v>
      </c>
      <c r="H15" s="5" t="n">
        <v>1</v>
      </c>
      <c r="I15" s="5" t="n">
        <v>1</v>
      </c>
      <c r="J15" s="5" t="n">
        <v>2</v>
      </c>
      <c r="K15" s="5" t="n">
        <v>1</v>
      </c>
      <c r="L15" s="22">
        <f>IF(OR(A15=59,A15=70),"BW-06",IF(OR(A15=140,A15=158,A15=165,A15=190,A15=206),"BW-04",IF(C15&lt;=8,"HL-0"&amp;C15,"BW-"&amp;IF(C15-8&lt;10,"0"&amp;(C15-8),C15-8))))</f>
        <v/>
      </c>
      <c r="M15" s="22">
        <f>IFERROR(VLOOKUP(L15,Zuordnung!$A$2:$B$23,2,FALSE)&amp;"","?")</f>
        <v/>
      </c>
    </row>
    <row r="16">
      <c r="A16" s="5" t="n">
        <v>53</v>
      </c>
      <c r="B16" s="5" t="inlineStr">
        <is>
          <t>2026-07-25 15:16:39</t>
        </is>
      </c>
      <c r="C16" s="5" t="n">
        <v>18</v>
      </c>
      <c r="D16" s="5" t="n">
        <v>1</v>
      </c>
      <c r="E16" s="5" t="n">
        <v>1</v>
      </c>
      <c r="F16" s="5" t="n">
        <v>1</v>
      </c>
      <c r="G16" s="5" t="n">
        <v>4</v>
      </c>
      <c r="H16" s="5" t="n">
        <v>2</v>
      </c>
      <c r="I16" s="5" t="n">
        <v>2</v>
      </c>
      <c r="J16" s="5" t="n">
        <v>1</v>
      </c>
      <c r="K16" s="5" t="n">
        <v>1</v>
      </c>
      <c r="L16" s="22">
        <f>IF(OR(A16=59,A16=70),"BW-06",IF(OR(A16=140,A16=158,A16=165,A16=190,A16=206),"BW-04",IF(C16&lt;=8,"HL-0"&amp;C16,"BW-"&amp;IF(C16-8&lt;10,"0"&amp;(C16-8),C16-8))))</f>
        <v/>
      </c>
      <c r="M16" s="22">
        <f>IFERROR(VLOOKUP(L16,Zuordnung!$A$2:$B$23,2,FALSE)&amp;"","?")</f>
        <v/>
      </c>
    </row>
    <row r="17">
      <c r="A17" s="5" t="n">
        <v>56</v>
      </c>
      <c r="B17" s="5" t="inlineStr">
        <is>
          <t>2026-07-25 16:21:47</t>
        </is>
      </c>
      <c r="C17" s="5" t="n">
        <v>2</v>
      </c>
      <c r="D17" s="5" t="n">
        <v>1</v>
      </c>
      <c r="E17" s="5" t="n">
        <v>2</v>
      </c>
      <c r="F17" s="5" t="n">
        <v>1</v>
      </c>
      <c r="G17" s="5" t="n">
        <v>4</v>
      </c>
      <c r="H17" s="5" t="n">
        <v>1</v>
      </c>
      <c r="I17" s="5" t="n">
        <v>2</v>
      </c>
      <c r="J17" s="5" t="n">
        <v>2</v>
      </c>
      <c r="K17" s="5" t="n">
        <v>1</v>
      </c>
      <c r="L17" s="22">
        <f>IF(OR(A17=59,A17=70),"BW-06",IF(OR(A17=140,A17=158,A17=165,A17=190,A17=206),"BW-04",IF(C17&lt;=8,"HL-0"&amp;C17,"BW-"&amp;IF(C17-8&lt;10,"0"&amp;(C17-8),C17-8))))</f>
        <v/>
      </c>
      <c r="M17" s="22">
        <f>IFERROR(VLOOKUP(L17,Zuordnung!$A$2:$B$23,2,FALSE)&amp;"","?")</f>
        <v/>
      </c>
    </row>
    <row r="18">
      <c r="A18" s="5" t="n">
        <v>57</v>
      </c>
      <c r="B18" s="5" t="inlineStr">
        <is>
          <t>2026-07-25 16:23:35</t>
        </is>
      </c>
      <c r="C18" s="5" t="n">
        <v>8</v>
      </c>
      <c r="D18" s="5" t="n">
        <v>1</v>
      </c>
      <c r="E18" s="5" t="n">
        <v>1</v>
      </c>
      <c r="F18" s="5" t="n">
        <v>1</v>
      </c>
      <c r="G18" s="5" t="n">
        <v>4</v>
      </c>
      <c r="H18" s="5" t="n">
        <v>4</v>
      </c>
      <c r="I18" s="5" t="n">
        <v>2</v>
      </c>
      <c r="J18" s="5" t="n">
        <v>1</v>
      </c>
      <c r="K18" s="5" t="n">
        <v>2</v>
      </c>
      <c r="L18" s="22">
        <f>IF(OR(A18=59,A18=70),"BW-06",IF(OR(A18=140,A18=158,A18=165,A18=190,A18=206),"BW-04",IF(C18&lt;=8,"HL-0"&amp;C18,"BW-"&amp;IF(C18-8&lt;10,"0"&amp;(C18-8),C18-8))))</f>
        <v/>
      </c>
      <c r="M18" s="22">
        <f>IFERROR(VLOOKUP(L18,Zuordnung!$A$2:$B$23,2,FALSE)&amp;"","?")</f>
        <v/>
      </c>
    </row>
    <row r="19">
      <c r="A19" s="5" t="n">
        <v>59</v>
      </c>
      <c r="B19" s="5" t="inlineStr">
        <is>
          <t>2026-07-25 17:33:42</t>
        </is>
      </c>
      <c r="C19" s="5" t="n">
        <v>6</v>
      </c>
      <c r="D19" s="5" t="n">
        <v>1</v>
      </c>
      <c r="E19" s="5" t="n">
        <v>1</v>
      </c>
      <c r="F19" s="5" t="n">
        <v>1</v>
      </c>
      <c r="G19" s="5" t="n">
        <v>4</v>
      </c>
      <c r="H19" s="5" t="n">
        <v>4</v>
      </c>
      <c r="I19" s="5" t="n">
        <v>2</v>
      </c>
      <c r="J19" s="5" t="n">
        <v>2</v>
      </c>
      <c r="K19" s="5" t="n">
        <v>2</v>
      </c>
      <c r="L19" s="22">
        <f>IF(OR(A19=59,A19=70),"BW-06",IF(OR(A19=140,A19=158,A19=165,A19=190,A19=206),"BW-04",IF(C19&lt;=8,"HL-0"&amp;C19,"BW-"&amp;IF(C19-8&lt;10,"0"&amp;(C19-8),C19-8))))</f>
        <v/>
      </c>
      <c r="M19" s="22">
        <f>IFERROR(VLOOKUP(L19,Zuordnung!$A$2:$B$23,2,FALSE)&amp;"","?")</f>
        <v/>
      </c>
    </row>
    <row r="20">
      <c r="A20" s="5" t="n">
        <v>61</v>
      </c>
      <c r="B20" s="5" t="inlineStr">
        <is>
          <t>2026-07-26 15:48:58</t>
        </is>
      </c>
      <c r="C20" s="5" t="n">
        <v>13</v>
      </c>
      <c r="D20" s="5" t="n">
        <v>1</v>
      </c>
      <c r="E20" s="5" t="n">
        <v>1</v>
      </c>
      <c r="F20" s="5" t="n">
        <v>3</v>
      </c>
      <c r="G20" s="5" t="n">
        <v>1</v>
      </c>
      <c r="H20" s="5" t="n">
        <v>4</v>
      </c>
      <c r="I20" s="5" t="n">
        <v>2</v>
      </c>
      <c r="J20" s="5" t="n">
        <v>2</v>
      </c>
      <c r="K20" s="5" t="n">
        <v>2</v>
      </c>
      <c r="L20" s="22">
        <f>IF(OR(A20=59,A20=70),"BW-06",IF(OR(A20=140,A20=158,A20=165,A20=190,A20=206),"BW-04",IF(C20&lt;=8,"HL-0"&amp;C20,"BW-"&amp;IF(C20-8&lt;10,"0"&amp;(C20-8),C20-8))))</f>
        <v/>
      </c>
      <c r="M20" s="22">
        <f>IFERROR(VLOOKUP(L20,Zuordnung!$A$2:$B$23,2,FALSE)&amp;"","?")</f>
        <v/>
      </c>
    </row>
    <row r="21">
      <c r="A21" s="5" t="n">
        <v>62</v>
      </c>
      <c r="B21" s="5" t="inlineStr">
        <is>
          <t>2026-07-26 17:05:23</t>
        </is>
      </c>
      <c r="C21" s="5" t="n">
        <v>1</v>
      </c>
      <c r="D21" s="5" t="n">
        <v>1</v>
      </c>
      <c r="E21" s="5" t="n">
        <v>2</v>
      </c>
      <c r="F21" s="5" t="n">
        <v>1</v>
      </c>
      <c r="G21" s="5" t="n">
        <v>3</v>
      </c>
      <c r="H21" s="5" t="n">
        <v>4</v>
      </c>
      <c r="I21" s="5" t="n">
        <v>2</v>
      </c>
      <c r="J21" s="5" t="n">
        <v>2</v>
      </c>
      <c r="K21" s="5" t="n">
        <v>1</v>
      </c>
      <c r="L21" s="22">
        <f>IF(OR(A21=59,A21=70),"BW-06",IF(OR(A21=140,A21=158,A21=165,A21=190,A21=206),"BW-04",IF(C21&lt;=8,"HL-0"&amp;C21,"BW-"&amp;IF(C21-8&lt;10,"0"&amp;(C21-8),C21-8))))</f>
        <v/>
      </c>
      <c r="M21" s="22">
        <f>IFERROR(VLOOKUP(L21,Zuordnung!$A$2:$B$23,2,FALSE)&amp;"","?")</f>
        <v/>
      </c>
    </row>
    <row r="22">
      <c r="A22" s="5" t="n">
        <v>63</v>
      </c>
      <c r="B22" s="5" t="inlineStr">
        <is>
          <t>2026-07-26 17:41:19</t>
        </is>
      </c>
      <c r="C22" s="5" t="n">
        <v>3</v>
      </c>
      <c r="D22" s="5" t="n">
        <v>1</v>
      </c>
      <c r="E22" s="5" t="n">
        <v>1</v>
      </c>
      <c r="F22" s="5" t="n">
        <v>1</v>
      </c>
      <c r="G22" s="5" t="n">
        <v>4</v>
      </c>
      <c r="H22" s="5" t="n">
        <v>4</v>
      </c>
      <c r="I22" s="5" t="n">
        <v>2</v>
      </c>
      <c r="J22" s="5" t="n">
        <v>2</v>
      </c>
      <c r="K22" s="5" t="n">
        <v>1</v>
      </c>
      <c r="L22" s="22">
        <f>IF(OR(A22=59,A22=70),"BW-06",IF(OR(A22=140,A22=158,A22=165,A22=190,A22=206),"BW-04",IF(C22&lt;=8,"HL-0"&amp;C22,"BW-"&amp;IF(C22-8&lt;10,"0"&amp;(C22-8),C22-8))))</f>
        <v/>
      </c>
      <c r="M22" s="22">
        <f>IFERROR(VLOOKUP(L22,Zuordnung!$A$2:$B$23,2,FALSE)&amp;"","?")</f>
        <v/>
      </c>
    </row>
    <row r="23">
      <c r="A23" s="5" t="n">
        <v>66</v>
      </c>
      <c r="B23" s="5" t="inlineStr">
        <is>
          <t>2026-07-26 18:11:13</t>
        </is>
      </c>
      <c r="C23" s="5" t="n">
        <v>10</v>
      </c>
      <c r="D23" s="5" t="n">
        <v>1</v>
      </c>
      <c r="E23" s="5" t="n">
        <v>2</v>
      </c>
      <c r="F23" s="5" t="n">
        <v>1</v>
      </c>
      <c r="G23" s="5" t="n">
        <v>4</v>
      </c>
      <c r="H23" s="5" t="n">
        <v>5</v>
      </c>
      <c r="I23" s="5" t="n">
        <v>2</v>
      </c>
      <c r="J23" s="5" t="n">
        <v>2</v>
      </c>
      <c r="K23" s="5" t="n">
        <v>1</v>
      </c>
      <c r="L23" s="22">
        <f>IF(OR(A23=59,A23=70),"BW-06",IF(OR(A23=140,A23=158,A23=165,A23=190,A23=206),"BW-04",IF(C23&lt;=8,"HL-0"&amp;C23,"BW-"&amp;IF(C23-8&lt;10,"0"&amp;(C23-8),C23-8))))</f>
        <v/>
      </c>
      <c r="M23" s="22">
        <f>IFERROR(VLOOKUP(L23,Zuordnung!$A$2:$B$23,2,FALSE)&amp;"","?")</f>
        <v/>
      </c>
    </row>
    <row r="24">
      <c r="A24" s="5" t="n">
        <v>70</v>
      </c>
      <c r="B24" s="5" t="inlineStr">
        <is>
          <t>2026-07-26 20:21:43</t>
        </is>
      </c>
      <c r="C24" s="5" t="n">
        <v>6</v>
      </c>
      <c r="D24" s="5" t="n">
        <v>1</v>
      </c>
      <c r="E24" s="5" t="n">
        <v>2</v>
      </c>
      <c r="F24" s="5" t="n">
        <v>2</v>
      </c>
      <c r="G24" s="5" t="n">
        <v>8</v>
      </c>
      <c r="H24" s="5" t="n">
        <v>4</v>
      </c>
      <c r="I24" s="5" t="n">
        <v>1</v>
      </c>
      <c r="J24" s="5" t="n">
        <v>2</v>
      </c>
      <c r="K24" s="5" t="n">
        <v>2</v>
      </c>
      <c r="L24" s="22">
        <f>IF(OR(A24=59,A24=70),"BW-06",IF(OR(A24=140,A24=158,A24=165,A24=190,A24=206),"BW-04",IF(C24&lt;=8,"HL-0"&amp;C24,"BW-"&amp;IF(C24-8&lt;10,"0"&amp;(C24-8),C24-8))))</f>
        <v/>
      </c>
      <c r="M24" s="22">
        <f>IFERROR(VLOOKUP(L24,Zuordnung!$A$2:$B$23,2,FALSE)&amp;"","?")</f>
        <v/>
      </c>
    </row>
    <row r="25">
      <c r="A25" s="5" t="n">
        <v>71</v>
      </c>
      <c r="B25" s="5" t="inlineStr">
        <is>
          <t>2026-07-26 22:04:01</t>
        </is>
      </c>
      <c r="C25" s="5" t="n">
        <v>8</v>
      </c>
      <c r="D25" s="5" t="n">
        <v>1</v>
      </c>
      <c r="E25" s="5" t="n">
        <v>2</v>
      </c>
      <c r="F25" s="5" t="n">
        <v>2</v>
      </c>
      <c r="G25" s="5" t="n">
        <v>5</v>
      </c>
      <c r="H25" s="5" t="n">
        <v>4</v>
      </c>
      <c r="I25" s="5" t="n">
        <v>2</v>
      </c>
      <c r="J25" s="5" t="n">
        <v>2</v>
      </c>
      <c r="K25" s="5" t="n">
        <v>2</v>
      </c>
      <c r="L25" s="22">
        <f>IF(OR(A25=59,A25=70),"BW-06",IF(OR(A25=140,A25=158,A25=165,A25=190,A25=206),"BW-04",IF(C25&lt;=8,"HL-0"&amp;C25,"BW-"&amp;IF(C25-8&lt;10,"0"&amp;(C25-8),C25-8))))</f>
        <v/>
      </c>
      <c r="M25" s="22">
        <f>IFERROR(VLOOKUP(L25,Zuordnung!$A$2:$B$23,2,FALSE)&amp;"","?")</f>
        <v/>
      </c>
    </row>
    <row r="26">
      <c r="A26" s="5" t="n">
        <v>74</v>
      </c>
      <c r="B26" s="5" t="inlineStr">
        <is>
          <t>2026-07-27 09:22:18</t>
        </is>
      </c>
      <c r="C26" s="5" t="n">
        <v>16</v>
      </c>
      <c r="D26" s="5" t="n">
        <v>1</v>
      </c>
      <c r="E26" s="5" t="n">
        <v>2</v>
      </c>
      <c r="F26" s="5" t="n">
        <v>1</v>
      </c>
      <c r="G26" s="5" t="n">
        <v>4</v>
      </c>
      <c r="H26" s="5" t="n">
        <v>4</v>
      </c>
      <c r="I26" s="5" t="n">
        <v>1</v>
      </c>
      <c r="J26" s="5" t="n">
        <v>2</v>
      </c>
      <c r="K26" s="5" t="n">
        <v>2</v>
      </c>
      <c r="L26" s="22">
        <f>IF(OR(A26=59,A26=70),"BW-06",IF(OR(A26=140,A26=158,A26=165,A26=190,A26=206),"BW-04",IF(C26&lt;=8,"HL-0"&amp;C26,"BW-"&amp;IF(C26-8&lt;10,"0"&amp;(C26-8),C26-8))))</f>
        <v/>
      </c>
      <c r="M26" s="22">
        <f>IFERROR(VLOOKUP(L26,Zuordnung!$A$2:$B$23,2,FALSE)&amp;"","?")</f>
        <v/>
      </c>
    </row>
    <row r="27">
      <c r="A27" s="5" t="n">
        <v>76</v>
      </c>
      <c r="B27" s="5" t="inlineStr">
        <is>
          <t>2026-07-27 11:10:20</t>
        </is>
      </c>
      <c r="C27" s="5" t="n">
        <v>17</v>
      </c>
      <c r="D27" s="5" t="n">
        <v>1</v>
      </c>
      <c r="E27" s="5" t="n">
        <v>2</v>
      </c>
      <c r="F27" s="5" t="n">
        <v>1</v>
      </c>
      <c r="G27" s="5" t="n">
        <v>3</v>
      </c>
      <c r="H27" s="5" t="n">
        <v>4</v>
      </c>
      <c r="I27" s="5" t="n">
        <v>2</v>
      </c>
      <c r="J27" s="5" t="n">
        <v>2</v>
      </c>
      <c r="K27" s="5" t="n">
        <v>1</v>
      </c>
      <c r="L27" s="22">
        <f>IF(OR(A27=59,A27=70),"BW-06",IF(OR(A27=140,A27=158,A27=165,A27=190,A27=206),"BW-04",IF(C27&lt;=8,"HL-0"&amp;C27,"BW-"&amp;IF(C27-8&lt;10,"0"&amp;(C27-8),C27-8))))</f>
        <v/>
      </c>
      <c r="M27" s="22">
        <f>IFERROR(VLOOKUP(L27,Zuordnung!$A$2:$B$23,2,FALSE)&amp;"","?")</f>
        <v/>
      </c>
    </row>
    <row r="28">
      <c r="A28" s="5" t="n">
        <v>78</v>
      </c>
      <c r="B28" s="5" t="inlineStr">
        <is>
          <t>2026-07-28 18:17:15</t>
        </is>
      </c>
      <c r="C28" s="5" t="n">
        <v>10</v>
      </c>
      <c r="D28" s="5" t="n">
        <v>1</v>
      </c>
      <c r="E28" s="5" t="n">
        <v>3</v>
      </c>
      <c r="F28" s="5" t="n">
        <v>1</v>
      </c>
      <c r="G28" s="5" t="n">
        <v>3</v>
      </c>
      <c r="H28" s="5" t="n">
        <v>2</v>
      </c>
      <c r="I28" s="5" t="n">
        <v>2</v>
      </c>
      <c r="J28" s="5" t="n">
        <v>2</v>
      </c>
      <c r="K28" s="5" t="n">
        <v>1</v>
      </c>
      <c r="L28" s="22">
        <f>IF(OR(A28=59,A28=70),"BW-06",IF(OR(A28=140,A28=158,A28=165,A28=190,A28=206),"BW-04",IF(C28&lt;=8,"HL-0"&amp;C28,"BW-"&amp;IF(C28-8&lt;10,"0"&amp;(C28-8),C28-8))))</f>
        <v/>
      </c>
      <c r="M28" s="22">
        <f>IFERROR(VLOOKUP(L28,Zuordnung!$A$2:$B$23,2,FALSE)&amp;"","?")</f>
        <v/>
      </c>
    </row>
    <row r="29">
      <c r="A29" s="5" t="n">
        <v>79</v>
      </c>
      <c r="B29" s="5" t="inlineStr">
        <is>
          <t>2026-07-28 19:51:32</t>
        </is>
      </c>
      <c r="C29" s="5" t="n">
        <v>3</v>
      </c>
      <c r="D29" s="5" t="n">
        <v>1</v>
      </c>
      <c r="E29" s="5" t="n">
        <v>3</v>
      </c>
      <c r="F29" s="5" t="n">
        <v>1</v>
      </c>
      <c r="G29" s="5" t="n">
        <v>5</v>
      </c>
      <c r="H29" s="5" t="n">
        <v>4</v>
      </c>
      <c r="I29" s="5" t="n">
        <v>2</v>
      </c>
      <c r="J29" s="5" t="n">
        <v>1</v>
      </c>
      <c r="K29" s="5" t="n">
        <v>1</v>
      </c>
      <c r="L29" s="22">
        <f>IF(OR(A29=59,A29=70),"BW-06",IF(OR(A29=140,A29=158,A29=165,A29=190,A29=206),"BW-04",IF(C29&lt;=8,"HL-0"&amp;C29,"BW-"&amp;IF(C29-8&lt;10,"0"&amp;(C29-8),C29-8))))</f>
        <v/>
      </c>
      <c r="M29" s="22">
        <f>IFERROR(VLOOKUP(L29,Zuordnung!$A$2:$B$23,2,FALSE)&amp;"","?")</f>
        <v/>
      </c>
    </row>
    <row r="30">
      <c r="A30" s="5" t="n">
        <v>87</v>
      </c>
      <c r="B30" s="5" t="inlineStr">
        <is>
          <t>2026-07-30 12:00:14</t>
        </is>
      </c>
      <c r="C30" s="5" t="n">
        <v>1</v>
      </c>
      <c r="D30" s="5" t="n">
        <v>1</v>
      </c>
      <c r="E30" s="5" t="n">
        <v>3</v>
      </c>
      <c r="F30" s="5" t="n">
        <v>1</v>
      </c>
      <c r="G30" s="5" t="n">
        <v>4</v>
      </c>
      <c r="H30" s="5" t="n">
        <v>4</v>
      </c>
      <c r="I30" s="5" t="n">
        <v>2</v>
      </c>
      <c r="J30" s="5" t="n">
        <v>2</v>
      </c>
      <c r="K30" s="5" t="n">
        <v>1</v>
      </c>
      <c r="L30" s="22">
        <f>IF(OR(A30=59,A30=70),"BW-06",IF(OR(A30=140,A30=158,A30=165,A30=190,A30=206),"BW-04",IF(C30&lt;=8,"HL-0"&amp;C30,"BW-"&amp;IF(C30-8&lt;10,"0"&amp;(C30-8),C30-8))))</f>
        <v/>
      </c>
      <c r="M30" s="22">
        <f>IFERROR(VLOOKUP(L30,Zuordnung!$A$2:$B$23,2,FALSE)&amp;"","?")</f>
        <v/>
      </c>
    </row>
    <row r="31">
      <c r="A31" s="5" t="n">
        <v>88</v>
      </c>
      <c r="B31" s="5" t="inlineStr">
        <is>
          <t>2026-07-30 18:23:39</t>
        </is>
      </c>
      <c r="C31" s="5" t="n">
        <v>16</v>
      </c>
      <c r="D31" s="5" t="n">
        <v>1</v>
      </c>
      <c r="E31" s="5" t="n">
        <v>3</v>
      </c>
      <c r="F31" s="5" t="n">
        <v>1</v>
      </c>
      <c r="G31" s="5" t="n">
        <v>4</v>
      </c>
      <c r="H31" s="5" t="n">
        <v>3</v>
      </c>
      <c r="I31" s="5" t="n">
        <v>1</v>
      </c>
      <c r="J31" s="5" t="n">
        <v>2</v>
      </c>
      <c r="K31" s="5" t="n">
        <v>2</v>
      </c>
      <c r="L31" s="22">
        <f>IF(OR(A31=59,A31=70),"BW-06",IF(OR(A31=140,A31=158,A31=165,A31=190,A31=206),"BW-04",IF(C31&lt;=8,"HL-0"&amp;C31,"BW-"&amp;IF(C31-8&lt;10,"0"&amp;(C31-8),C31-8))))</f>
        <v/>
      </c>
      <c r="M31" s="22">
        <f>IFERROR(VLOOKUP(L31,Zuordnung!$A$2:$B$23,2,FALSE)&amp;"","?")</f>
        <v/>
      </c>
    </row>
    <row r="32">
      <c r="A32" s="5" t="n">
        <v>90</v>
      </c>
      <c r="B32" s="5" t="inlineStr">
        <is>
          <t>2026-07-31 08:32:33</t>
        </is>
      </c>
      <c r="C32" s="5" t="n">
        <v>10</v>
      </c>
      <c r="D32" s="5" t="n">
        <v>1</v>
      </c>
      <c r="E32" s="5" t="n">
        <v>4</v>
      </c>
      <c r="F32" s="5" t="n">
        <v>1</v>
      </c>
      <c r="G32" s="5" t="n">
        <v>4</v>
      </c>
      <c r="H32" s="5" t="n">
        <v>2</v>
      </c>
      <c r="I32" s="5" t="n">
        <v>2</v>
      </c>
      <c r="J32" s="5" t="n">
        <v>2</v>
      </c>
      <c r="K32" s="5" t="n">
        <v>1</v>
      </c>
      <c r="L32" s="22">
        <f>IF(OR(A32=59,A32=70),"BW-06",IF(OR(A32=140,A32=158,A32=165,A32=190,A32=206),"BW-04",IF(C32&lt;=8,"HL-0"&amp;C32,"BW-"&amp;IF(C32-8&lt;10,"0"&amp;(C32-8),C32-8))))</f>
        <v/>
      </c>
      <c r="M32" s="22">
        <f>IFERROR(VLOOKUP(L32,Zuordnung!$A$2:$B$23,2,FALSE)&amp;"","?")</f>
        <v/>
      </c>
    </row>
    <row r="33">
      <c r="A33" s="5" t="n">
        <v>91</v>
      </c>
      <c r="B33" s="5" t="inlineStr">
        <is>
          <t>2026-07-31 14:41:35</t>
        </is>
      </c>
      <c r="C33" s="5" t="n">
        <v>13</v>
      </c>
      <c r="D33" s="5" t="n">
        <v>1</v>
      </c>
      <c r="E33" s="5" t="n">
        <v>3</v>
      </c>
      <c r="F33" s="5" t="n">
        <v>1</v>
      </c>
      <c r="G33" s="5" t="n">
        <v>4</v>
      </c>
      <c r="H33" s="5" t="n">
        <v>4</v>
      </c>
      <c r="I33" s="5" t="n">
        <v>2</v>
      </c>
      <c r="J33" s="5" t="n">
        <v>2</v>
      </c>
      <c r="K33" s="5" t="n">
        <v>2</v>
      </c>
      <c r="L33" s="22">
        <f>IF(OR(A33=59,A33=70),"BW-06",IF(OR(A33=140,A33=158,A33=165,A33=190,A33=206),"BW-04",IF(C33&lt;=8,"HL-0"&amp;C33,"BW-"&amp;IF(C33-8&lt;10,"0"&amp;(C33-8),C33-8))))</f>
        <v/>
      </c>
      <c r="M33" s="22">
        <f>IFERROR(VLOOKUP(L33,Zuordnung!$A$2:$B$23,2,FALSE)&amp;"","?")</f>
        <v/>
      </c>
    </row>
    <row r="34">
      <c r="A34" s="5" t="n">
        <v>94</v>
      </c>
      <c r="B34" s="5" t="inlineStr">
        <is>
          <t>2026-08-01 18:15:26</t>
        </is>
      </c>
      <c r="C34" s="5" t="n">
        <v>2</v>
      </c>
      <c r="D34" s="5" t="n">
        <v>1</v>
      </c>
      <c r="E34" s="5" t="n">
        <v>3</v>
      </c>
      <c r="F34" s="5" t="n">
        <v>1</v>
      </c>
      <c r="G34" s="5" t="n">
        <v>4</v>
      </c>
      <c r="H34" s="5" t="n">
        <v>1</v>
      </c>
      <c r="I34" s="5" t="n">
        <v>2</v>
      </c>
      <c r="J34" s="5" t="n">
        <v>2</v>
      </c>
      <c r="K34" s="5" t="n">
        <v>1</v>
      </c>
      <c r="L34" s="22">
        <f>IF(OR(A34=59,A34=70),"BW-06",IF(OR(A34=140,A34=158,A34=165,A34=190,A34=206),"BW-04",IF(C34&lt;=8,"HL-0"&amp;C34,"BW-"&amp;IF(C34-8&lt;10,"0"&amp;(C34-8),C34-8))))</f>
        <v/>
      </c>
      <c r="M34" s="22">
        <f>IFERROR(VLOOKUP(L34,Zuordnung!$A$2:$B$23,2,FALSE)&amp;"","?")</f>
        <v/>
      </c>
    </row>
    <row r="35">
      <c r="A35" s="5" t="n">
        <v>95</v>
      </c>
      <c r="B35" s="5" t="inlineStr">
        <is>
          <t>2026-08-01 19:28:29</t>
        </is>
      </c>
      <c r="C35" s="5" t="n">
        <v>7</v>
      </c>
      <c r="D35" s="5" t="n">
        <v>1</v>
      </c>
      <c r="E35" s="5" t="n">
        <v>4</v>
      </c>
      <c r="F35" s="5" t="n">
        <v>1</v>
      </c>
      <c r="G35" s="5" t="n">
        <v>4</v>
      </c>
      <c r="H35" s="5" t="n">
        <v>3</v>
      </c>
      <c r="I35" s="5" t="n">
        <v>2</v>
      </c>
      <c r="J35" s="5" t="n">
        <v>1</v>
      </c>
      <c r="K35" s="5" t="n">
        <v>2</v>
      </c>
      <c r="L35" s="22">
        <f>IF(OR(A35=59,A35=70),"BW-06",IF(OR(A35=140,A35=158,A35=165,A35=190,A35=206),"BW-04",IF(C35&lt;=8,"HL-0"&amp;C35,"BW-"&amp;IF(C35-8&lt;10,"0"&amp;(C35-8),C35-8))))</f>
        <v/>
      </c>
      <c r="M35" s="22">
        <f>IFERROR(VLOOKUP(L35,Zuordnung!$A$2:$B$23,2,FALSE)&amp;"","?")</f>
        <v/>
      </c>
    </row>
    <row r="36">
      <c r="A36" s="5" t="n">
        <v>99</v>
      </c>
      <c r="B36" s="5" t="inlineStr">
        <is>
          <t>2026-08-01 20:17:49</t>
        </is>
      </c>
      <c r="C36" s="5" t="n">
        <v>12</v>
      </c>
      <c r="D36" s="5" t="n">
        <v>1</v>
      </c>
      <c r="E36" s="5" t="n">
        <v>3</v>
      </c>
      <c r="F36" s="5" t="n">
        <v>2</v>
      </c>
      <c r="G36" s="5" t="n">
        <v>10</v>
      </c>
      <c r="H36" s="5" t="n">
        <v>4</v>
      </c>
      <c r="I36" s="5" t="n">
        <v>1</v>
      </c>
      <c r="J36" s="5" t="n">
        <v>2</v>
      </c>
      <c r="K36" s="5" t="n">
        <v>2</v>
      </c>
      <c r="L36" s="22">
        <f>IF(OR(A36=59,A36=70),"BW-06",IF(OR(A36=140,A36=158,A36=165,A36=190,A36=206),"BW-04",IF(C36&lt;=8,"HL-0"&amp;C36,"BW-"&amp;IF(C36-8&lt;10,"0"&amp;(C36-8),C36-8))))</f>
        <v/>
      </c>
      <c r="M36" s="22">
        <f>IFERROR(VLOOKUP(L36,Zuordnung!$A$2:$B$23,2,FALSE)&amp;"","?")</f>
        <v/>
      </c>
    </row>
    <row r="37">
      <c r="A37" s="5" t="n">
        <v>101</v>
      </c>
      <c r="B37" s="5" t="inlineStr">
        <is>
          <t>2026-08-01 22:29:00</t>
        </is>
      </c>
      <c r="C37" s="5" t="n">
        <v>14</v>
      </c>
      <c r="D37" s="5" t="n">
        <v>1</v>
      </c>
      <c r="E37" s="5" t="n">
        <v>3</v>
      </c>
      <c r="F37" s="5" t="n">
        <v>2</v>
      </c>
      <c r="G37" s="5" t="n">
        <v>5</v>
      </c>
      <c r="H37" s="5" t="n">
        <v>1</v>
      </c>
      <c r="I37" s="5" t="n">
        <v>2</v>
      </c>
      <c r="J37" s="5" t="n">
        <v>2</v>
      </c>
      <c r="K37" s="5" t="n">
        <v>1</v>
      </c>
      <c r="L37" s="22">
        <f>IF(OR(A37=59,A37=70),"BW-06",IF(OR(A37=140,A37=158,A37=165,A37=190,A37=206),"BW-04",IF(C37&lt;=8,"HL-0"&amp;C37,"BW-"&amp;IF(C37-8&lt;10,"0"&amp;(C37-8),C37-8))))</f>
        <v/>
      </c>
      <c r="M37" s="22">
        <f>IFERROR(VLOOKUP(L37,Zuordnung!$A$2:$B$23,2,FALSE)&amp;"","?")</f>
        <v/>
      </c>
    </row>
    <row r="38">
      <c r="A38" s="5" t="n">
        <v>102</v>
      </c>
      <c r="B38" s="5" t="inlineStr">
        <is>
          <t>2026-08-02 03:07:24</t>
        </is>
      </c>
      <c r="C38" s="5" t="n">
        <v>18</v>
      </c>
      <c r="D38" s="5" t="n">
        <v>1</v>
      </c>
      <c r="E38" s="5" t="n">
        <v>3</v>
      </c>
      <c r="F38" s="5" t="n">
        <v>1</v>
      </c>
      <c r="G38" s="5" t="n">
        <v>4</v>
      </c>
      <c r="H38" s="5" t="n">
        <v>2</v>
      </c>
      <c r="I38" s="5" t="n">
        <v>2</v>
      </c>
      <c r="J38" s="5" t="n">
        <v>1</v>
      </c>
      <c r="K38" s="5" t="n">
        <v>1</v>
      </c>
      <c r="L38" s="22">
        <f>IF(OR(A38=59,A38=70),"BW-06",IF(OR(A38=140,A38=158,A38=165,A38=190,A38=206),"BW-04",IF(C38&lt;=8,"HL-0"&amp;C38,"BW-"&amp;IF(C38-8&lt;10,"0"&amp;(C38-8),C38-8))))</f>
        <v/>
      </c>
      <c r="M38" s="22">
        <f>IFERROR(VLOOKUP(L38,Zuordnung!$A$2:$B$23,2,FALSE)&amp;"","?")</f>
        <v/>
      </c>
    </row>
    <row r="39">
      <c r="A39" s="5" t="n">
        <v>103</v>
      </c>
      <c r="B39" s="5" t="inlineStr">
        <is>
          <t>2026-08-02 12:04:03</t>
        </is>
      </c>
      <c r="C39" s="5" t="n">
        <v>16</v>
      </c>
      <c r="D39" s="5" t="n">
        <v>1</v>
      </c>
      <c r="E39" s="5" t="n">
        <v>4</v>
      </c>
      <c r="F39" s="5" t="n">
        <v>1</v>
      </c>
      <c r="G39" s="5" t="n">
        <v>4</v>
      </c>
      <c r="H39" s="5" t="n">
        <v>4</v>
      </c>
      <c r="I39" s="5" t="n">
        <v>2</v>
      </c>
      <c r="J39" s="5" t="n">
        <v>2</v>
      </c>
      <c r="K39" s="5" t="n">
        <v>2</v>
      </c>
      <c r="L39" s="22">
        <f>IF(OR(A39=59,A39=70),"BW-06",IF(OR(A39=140,A39=158,A39=165,A39=190,A39=206),"BW-04",IF(C39&lt;=8,"HL-0"&amp;C39,"BW-"&amp;IF(C39-8&lt;10,"0"&amp;(C39-8),C39-8))))</f>
        <v/>
      </c>
      <c r="M39" s="22">
        <f>IFERROR(VLOOKUP(L39,Zuordnung!$A$2:$B$23,2,FALSE)&amp;"","?")</f>
        <v/>
      </c>
    </row>
    <row r="40">
      <c r="A40" s="5" t="n">
        <v>107</v>
      </c>
      <c r="B40" s="5" t="inlineStr">
        <is>
          <t>2026-08-02 14:22:32</t>
        </is>
      </c>
      <c r="C40" s="5" t="n">
        <v>3</v>
      </c>
      <c r="D40" s="5" t="n">
        <v>1</v>
      </c>
      <c r="E40" s="5" t="n">
        <v>3</v>
      </c>
      <c r="F40" s="5" t="n">
        <v>1</v>
      </c>
      <c r="G40" s="5" t="n">
        <v>3</v>
      </c>
      <c r="H40" s="5" t="n">
        <v>4</v>
      </c>
      <c r="I40" s="5" t="n">
        <v>2</v>
      </c>
      <c r="J40" s="5" t="n">
        <v>1</v>
      </c>
      <c r="K40" s="5" t="n">
        <v>2</v>
      </c>
      <c r="L40" s="22">
        <f>IF(OR(A40=59,A40=70),"BW-06",IF(OR(A40=140,A40=158,A40=165,A40=190,A40=206),"BW-04",IF(C40&lt;=8,"HL-0"&amp;C40,"BW-"&amp;IF(C40-8&lt;10,"0"&amp;(C40-8),C40-8))))</f>
        <v/>
      </c>
      <c r="M40" s="22">
        <f>IFERROR(VLOOKUP(L40,Zuordnung!$A$2:$B$23,2,FALSE)&amp;"","?")</f>
        <v/>
      </c>
    </row>
    <row r="41">
      <c r="A41" s="5" t="n">
        <v>108</v>
      </c>
      <c r="B41" s="5" t="inlineStr">
        <is>
          <t>2026-08-02 15:28:45</t>
        </is>
      </c>
      <c r="C41" s="5" t="n">
        <v>18</v>
      </c>
      <c r="D41" s="5" t="n">
        <v>1</v>
      </c>
      <c r="E41" s="5" t="n">
        <v>4</v>
      </c>
      <c r="F41" s="5" t="n">
        <v>1</v>
      </c>
      <c r="G41" s="5" t="n">
        <v>5</v>
      </c>
      <c r="H41" s="5" t="n">
        <v>2</v>
      </c>
      <c r="I41" s="5" t="n">
        <v>2</v>
      </c>
      <c r="J41" s="5" t="n">
        <v>1</v>
      </c>
      <c r="K41" s="5" t="n">
        <v>1</v>
      </c>
      <c r="L41" s="22">
        <f>IF(OR(A41=59,A41=70),"BW-06",IF(OR(A41=140,A41=158,A41=165,A41=190,A41=206),"BW-04",IF(C41&lt;=8,"HL-0"&amp;C41,"BW-"&amp;IF(C41-8&lt;10,"0"&amp;(C41-8),C41-8))))</f>
        <v/>
      </c>
      <c r="M41" s="22">
        <f>IFERROR(VLOOKUP(L41,Zuordnung!$A$2:$B$23,2,FALSE)&amp;"","?")</f>
        <v/>
      </c>
    </row>
    <row r="42">
      <c r="A42" s="5" t="n">
        <v>110</v>
      </c>
      <c r="B42" s="5" t="inlineStr">
        <is>
          <t>2026-08-02 16:16:56</t>
        </is>
      </c>
      <c r="C42" s="5" t="n">
        <v>19</v>
      </c>
      <c r="D42" s="5" t="n">
        <v>1</v>
      </c>
      <c r="E42" s="5" t="n">
        <v>4</v>
      </c>
      <c r="F42" s="5" t="n">
        <v>1</v>
      </c>
      <c r="G42" s="5" t="n">
        <v>5</v>
      </c>
      <c r="H42" s="5" t="n">
        <v>1</v>
      </c>
      <c r="I42" s="5" t="n">
        <v>2</v>
      </c>
      <c r="J42" s="5" t="n">
        <v>2</v>
      </c>
      <c r="K42" s="5" t="n">
        <v>1</v>
      </c>
      <c r="L42" s="22">
        <f>IF(OR(A42=59,A42=70),"BW-06",IF(OR(A42=140,A42=158,A42=165,A42=190,A42=206),"BW-04",IF(C42&lt;=8,"HL-0"&amp;C42,"BW-"&amp;IF(C42-8&lt;10,"0"&amp;(C42-8),C42-8))))</f>
        <v/>
      </c>
      <c r="M42" s="22">
        <f>IFERROR(VLOOKUP(L42,Zuordnung!$A$2:$B$23,2,FALSE)&amp;"","?")</f>
        <v/>
      </c>
    </row>
    <row r="43">
      <c r="A43" s="5" t="n">
        <v>114</v>
      </c>
      <c r="B43" s="5" t="inlineStr">
        <is>
          <t>2026-08-02 18:12:58</t>
        </is>
      </c>
      <c r="C43" s="5" t="n">
        <v>2</v>
      </c>
      <c r="D43" s="5" t="n">
        <v>1</v>
      </c>
      <c r="E43" s="5" t="n">
        <v>4</v>
      </c>
      <c r="F43" s="5" t="n">
        <v>1</v>
      </c>
      <c r="G43" s="5" t="n">
        <v>4</v>
      </c>
      <c r="H43" s="5" t="n">
        <v>3</v>
      </c>
      <c r="I43" s="5" t="n">
        <v>2</v>
      </c>
      <c r="J43" s="5" t="n">
        <v>2</v>
      </c>
      <c r="K43" s="5" t="n">
        <v>2</v>
      </c>
      <c r="L43" s="22">
        <f>IF(OR(A43=59,A43=70),"BW-06",IF(OR(A43=140,A43=158,A43=165,A43=190,A43=206),"BW-04",IF(C43&lt;=8,"HL-0"&amp;C43,"BW-"&amp;IF(C43-8&lt;10,"0"&amp;(C43-8),C43-8))))</f>
        <v/>
      </c>
      <c r="M43" s="22">
        <f>IFERROR(VLOOKUP(L43,Zuordnung!$A$2:$B$23,2,FALSE)&amp;"","?")</f>
        <v/>
      </c>
    </row>
    <row r="44">
      <c r="A44" s="5" t="n">
        <v>115</v>
      </c>
      <c r="B44" s="5" t="inlineStr">
        <is>
          <t>2026-08-02 19:55:48</t>
        </is>
      </c>
      <c r="C44" s="5" t="n">
        <v>1</v>
      </c>
      <c r="D44" s="5" t="n">
        <v>1</v>
      </c>
      <c r="E44" s="5" t="n">
        <v>4</v>
      </c>
      <c r="F44" s="5" t="n">
        <v>1</v>
      </c>
      <c r="G44" s="5" t="n">
        <v>4</v>
      </c>
      <c r="H44" s="5" t="n">
        <v>4</v>
      </c>
      <c r="I44" s="5" t="n">
        <v>2</v>
      </c>
      <c r="J44" s="5" t="n">
        <v>2</v>
      </c>
      <c r="K44" s="5" t="n">
        <v>1</v>
      </c>
      <c r="L44" s="22">
        <f>IF(OR(A44=59,A44=70),"BW-06",IF(OR(A44=140,A44=158,A44=165,A44=190,A44=206),"BW-04",IF(C44&lt;=8,"HL-0"&amp;C44,"BW-"&amp;IF(C44-8&lt;10,"0"&amp;(C44-8),C44-8))))</f>
        <v/>
      </c>
      <c r="M44" s="22">
        <f>IFERROR(VLOOKUP(L44,Zuordnung!$A$2:$B$23,2,FALSE)&amp;"","?")</f>
        <v/>
      </c>
    </row>
    <row r="45">
      <c r="A45" s="5" t="n">
        <v>116</v>
      </c>
      <c r="B45" s="5" t="inlineStr">
        <is>
          <t>2026-08-02 21:05:56</t>
        </is>
      </c>
      <c r="C45" s="5" t="n">
        <v>14</v>
      </c>
      <c r="D45" s="5" t="n">
        <v>1</v>
      </c>
      <c r="E45" s="5" t="n">
        <v>4</v>
      </c>
      <c r="F45" s="5" t="n">
        <v>3</v>
      </c>
      <c r="G45" s="5" t="n">
        <v>1</v>
      </c>
      <c r="H45" s="5" t="n">
        <v>5</v>
      </c>
      <c r="I45" s="5" t="n">
        <v>1</v>
      </c>
      <c r="J45" s="5" t="n">
        <v>2</v>
      </c>
      <c r="K45" s="5" t="n">
        <v>1</v>
      </c>
      <c r="L45" s="22">
        <f>IF(OR(A45=59,A45=70),"BW-06",IF(OR(A45=140,A45=158,A45=165,A45=190,A45=206),"BW-04",IF(C45&lt;=8,"HL-0"&amp;C45,"BW-"&amp;IF(C45-8&lt;10,"0"&amp;(C45-8),C45-8))))</f>
        <v/>
      </c>
      <c r="M45" s="22">
        <f>IFERROR(VLOOKUP(L45,Zuordnung!$A$2:$B$23,2,FALSE)&amp;"","?")</f>
        <v/>
      </c>
    </row>
    <row r="46">
      <c r="A46" s="5" t="n">
        <v>117</v>
      </c>
      <c r="B46" s="5" t="inlineStr">
        <is>
          <t>2026-08-02 21:46:23</t>
        </is>
      </c>
      <c r="C46" s="5" t="n">
        <v>13</v>
      </c>
      <c r="D46" s="5" t="n">
        <v>1</v>
      </c>
      <c r="E46" s="5" t="n">
        <v>4</v>
      </c>
      <c r="F46" s="5" t="n">
        <v>1</v>
      </c>
      <c r="G46" s="5" t="n">
        <v>4</v>
      </c>
      <c r="H46" s="5" t="n">
        <v>4</v>
      </c>
      <c r="I46" s="5" t="n">
        <v>2</v>
      </c>
      <c r="J46" s="5" t="n">
        <v>2</v>
      </c>
      <c r="K46" s="5" t="n">
        <v>2</v>
      </c>
      <c r="L46" s="22">
        <f>IF(OR(A46=59,A46=70),"BW-06",IF(OR(A46=140,A46=158,A46=165,A46=190,A46=206),"BW-04",IF(C46&lt;=8,"HL-0"&amp;C46,"BW-"&amp;IF(C46-8&lt;10,"0"&amp;(C46-8),C46-8))))</f>
        <v/>
      </c>
      <c r="M46" s="22">
        <f>IFERROR(VLOOKUP(L46,Zuordnung!$A$2:$B$23,2,FALSE)&amp;"","?")</f>
        <v/>
      </c>
    </row>
    <row r="47">
      <c r="A47" s="5" t="n">
        <v>118</v>
      </c>
      <c r="B47" s="5" t="inlineStr">
        <is>
          <t>2026-08-02 22:15:31</t>
        </is>
      </c>
      <c r="C47" s="5" t="n">
        <v>8</v>
      </c>
      <c r="D47" s="5" t="n">
        <v>1</v>
      </c>
      <c r="E47" s="5" t="n">
        <v>3</v>
      </c>
      <c r="F47" s="5" t="n">
        <v>1</v>
      </c>
      <c r="G47" s="5" t="n">
        <v>5</v>
      </c>
      <c r="H47" s="5" t="n">
        <v>4</v>
      </c>
      <c r="I47" s="5" t="n">
        <v>2</v>
      </c>
      <c r="J47" s="5" t="n">
        <v>1</v>
      </c>
      <c r="K47" s="5" t="n">
        <v>2</v>
      </c>
      <c r="L47" s="22">
        <f>IF(OR(A47=59,A47=70),"BW-06",IF(OR(A47=140,A47=158,A47=165,A47=190,A47=206),"BW-04",IF(C47&lt;=8,"HL-0"&amp;C47,"BW-"&amp;IF(C47-8&lt;10,"0"&amp;(C47-8),C47-8))))</f>
        <v/>
      </c>
      <c r="M47" s="22">
        <f>IFERROR(VLOOKUP(L47,Zuordnung!$A$2:$B$23,2,FALSE)&amp;"","?")</f>
        <v/>
      </c>
    </row>
    <row r="48">
      <c r="A48" s="5" t="n">
        <v>119</v>
      </c>
      <c r="B48" s="5" t="inlineStr">
        <is>
          <t>2026-08-02 22:16:15</t>
        </is>
      </c>
      <c r="C48" s="5" t="n">
        <v>8</v>
      </c>
      <c r="D48" s="5" t="n">
        <v>1</v>
      </c>
      <c r="E48" s="5" t="n">
        <v>4</v>
      </c>
      <c r="F48" s="5" t="n">
        <v>3</v>
      </c>
      <c r="G48" s="5" t="n">
        <v>1</v>
      </c>
      <c r="H48" s="5" t="n">
        <v>4</v>
      </c>
      <c r="I48" s="5" t="n">
        <v>2</v>
      </c>
      <c r="J48" s="5" t="n">
        <v>2</v>
      </c>
      <c r="K48" s="5" t="n">
        <v>2</v>
      </c>
      <c r="L48" s="22">
        <f>IF(OR(A48=59,A48=70),"BW-06",IF(OR(A48=140,A48=158,A48=165,A48=190,A48=206),"BW-04",IF(C48&lt;=8,"HL-0"&amp;C48,"BW-"&amp;IF(C48-8&lt;10,"0"&amp;(C48-8),C48-8))))</f>
        <v/>
      </c>
      <c r="M48" s="22">
        <f>IFERROR(VLOOKUP(L48,Zuordnung!$A$2:$B$23,2,FALSE)&amp;"","?")</f>
        <v/>
      </c>
    </row>
    <row r="49">
      <c r="A49" s="5" t="n">
        <v>120</v>
      </c>
      <c r="B49" s="5" t="inlineStr">
        <is>
          <t>2026-08-02 22:54:42</t>
        </is>
      </c>
      <c r="C49" s="5" t="n">
        <v>17</v>
      </c>
      <c r="D49" s="5" t="n">
        <v>1</v>
      </c>
      <c r="E49" s="5" t="n">
        <v>3</v>
      </c>
      <c r="F49" s="5" t="n">
        <v>1</v>
      </c>
      <c r="G49" s="5" t="n">
        <v>3</v>
      </c>
      <c r="H49" s="5" t="n">
        <v>4</v>
      </c>
      <c r="I49" s="5" t="n">
        <v>2</v>
      </c>
      <c r="J49" s="5" t="n">
        <v>2</v>
      </c>
      <c r="K49" s="5" t="n">
        <v>1</v>
      </c>
      <c r="L49" s="22">
        <f>IF(OR(A49=59,A49=70),"BW-06",IF(OR(A49=140,A49=158,A49=165,A49=190,A49=206),"BW-04",IF(C49&lt;=8,"HL-0"&amp;C49,"BW-"&amp;IF(C49-8&lt;10,"0"&amp;(C49-8),C49-8))))</f>
        <v/>
      </c>
      <c r="M49" s="22">
        <f>IFERROR(VLOOKUP(L49,Zuordnung!$A$2:$B$23,2,FALSE)&amp;"","?")</f>
        <v/>
      </c>
    </row>
    <row r="50">
      <c r="A50" s="5" t="n">
        <v>122</v>
      </c>
      <c r="B50" s="5" t="inlineStr">
        <is>
          <t>2026-08-04 04:52:53</t>
        </is>
      </c>
      <c r="C50" s="5" t="n">
        <v>17</v>
      </c>
      <c r="D50" s="5" t="n">
        <v>1</v>
      </c>
      <c r="E50" s="5" t="n">
        <v>4</v>
      </c>
      <c r="F50" s="5" t="n">
        <v>1</v>
      </c>
      <c r="G50" s="5" t="n">
        <v>4</v>
      </c>
      <c r="H50" s="5" t="n">
        <v>4</v>
      </c>
      <c r="I50" s="5" t="n">
        <v>2</v>
      </c>
      <c r="J50" s="5" t="n">
        <v>2</v>
      </c>
      <c r="K50" s="5" t="n">
        <v>1</v>
      </c>
      <c r="L50" s="22">
        <f>IF(OR(A50=59,A50=70),"BW-06",IF(OR(A50=140,A50=158,A50=165,A50=190,A50=206),"BW-04",IF(C50&lt;=8,"HL-0"&amp;C50,"BW-"&amp;IF(C50-8&lt;10,"0"&amp;(C50-8),C50-8))))</f>
        <v/>
      </c>
      <c r="M50" s="22">
        <f>IFERROR(VLOOKUP(L50,Zuordnung!$A$2:$B$23,2,FALSE)&amp;"","?")</f>
        <v/>
      </c>
    </row>
    <row r="51">
      <c r="A51" s="5" t="n">
        <v>126</v>
      </c>
      <c r="B51" s="5" t="inlineStr">
        <is>
          <t>2026-08-04 19:15:30</t>
        </is>
      </c>
      <c r="C51" s="5" t="n">
        <v>10</v>
      </c>
      <c r="D51" s="5" t="n">
        <v>1</v>
      </c>
      <c r="E51" s="5" t="n">
        <v>5</v>
      </c>
      <c r="F51" s="5" t="n">
        <v>1</v>
      </c>
      <c r="G51" s="5" t="n">
        <v>4</v>
      </c>
      <c r="H51" s="5" t="n">
        <v>1</v>
      </c>
      <c r="I51" s="5" t="n">
        <v>2</v>
      </c>
      <c r="J51" s="5" t="n">
        <v>2</v>
      </c>
      <c r="K51" s="5" t="n">
        <v>1</v>
      </c>
      <c r="L51" s="22">
        <f>IF(OR(A51=59,A51=70),"BW-06",IF(OR(A51=140,A51=158,A51=165,A51=190,A51=206),"BW-04",IF(C51&lt;=8,"HL-0"&amp;C51,"BW-"&amp;IF(C51-8&lt;10,"0"&amp;(C51-8),C51-8))))</f>
        <v/>
      </c>
      <c r="M51" s="22">
        <f>IFERROR(VLOOKUP(L51,Zuordnung!$A$2:$B$23,2,FALSE)&amp;"","?")</f>
        <v/>
      </c>
    </row>
    <row r="52">
      <c r="A52" s="5" t="n">
        <v>128</v>
      </c>
      <c r="B52" s="5" t="inlineStr">
        <is>
          <t>2026-08-05 09:21:32</t>
        </is>
      </c>
      <c r="C52" s="5" t="n">
        <v>7</v>
      </c>
      <c r="D52" s="5" t="n">
        <v>1</v>
      </c>
      <c r="E52" s="5" t="n">
        <v>5</v>
      </c>
      <c r="F52" s="5" t="n">
        <v>1</v>
      </c>
      <c r="G52" s="5" t="n">
        <v>3</v>
      </c>
      <c r="H52" s="5" t="n">
        <v>3</v>
      </c>
      <c r="I52" s="5" t="n">
        <v>2</v>
      </c>
      <c r="J52" s="5" t="n">
        <v>1</v>
      </c>
      <c r="K52" s="5" t="n">
        <v>2</v>
      </c>
      <c r="L52" s="22">
        <f>IF(OR(A52=59,A52=70),"BW-06",IF(OR(A52=140,A52=158,A52=165,A52=190,A52=206),"BW-04",IF(C52&lt;=8,"HL-0"&amp;C52,"BW-"&amp;IF(C52-8&lt;10,"0"&amp;(C52-8),C52-8))))</f>
        <v/>
      </c>
      <c r="M52" s="22">
        <f>IFERROR(VLOOKUP(L52,Zuordnung!$A$2:$B$23,2,FALSE)&amp;"","?")</f>
        <v/>
      </c>
    </row>
    <row r="53">
      <c r="A53" s="5" t="n">
        <v>133</v>
      </c>
      <c r="B53" s="5" t="inlineStr">
        <is>
          <t>2026-08-06 22:12:08</t>
        </is>
      </c>
      <c r="C53" s="5" t="n">
        <v>10</v>
      </c>
      <c r="D53" s="5" t="n">
        <v>1</v>
      </c>
      <c r="E53" s="5" t="n">
        <v>6</v>
      </c>
      <c r="F53" s="5" t="n">
        <v>1</v>
      </c>
      <c r="G53" s="5" t="n">
        <v>4</v>
      </c>
      <c r="H53" s="5" t="n">
        <v>2</v>
      </c>
      <c r="I53" s="5" t="n">
        <v>2</v>
      </c>
      <c r="J53" s="5" t="n">
        <v>2</v>
      </c>
      <c r="K53" s="5" t="n">
        <v>1</v>
      </c>
      <c r="L53" s="22">
        <f>IF(OR(A53=59,A53=70),"BW-06",IF(OR(A53=140,A53=158,A53=165,A53=190,A53=206),"BW-04",IF(C53&lt;=8,"HL-0"&amp;C53,"BW-"&amp;IF(C53-8&lt;10,"0"&amp;(C53-8),C53-8))))</f>
        <v/>
      </c>
      <c r="M53" s="22">
        <f>IFERROR(VLOOKUP(L53,Zuordnung!$A$2:$B$23,2,FALSE)&amp;"","?")</f>
        <v/>
      </c>
    </row>
    <row r="54">
      <c r="A54" s="5" t="n">
        <v>134</v>
      </c>
      <c r="B54" s="5" t="inlineStr">
        <is>
          <t>2026-08-07 09:50:34</t>
        </is>
      </c>
      <c r="C54" s="5" t="n">
        <v>7</v>
      </c>
      <c r="D54" s="5" t="n">
        <v>1</v>
      </c>
      <c r="E54" s="5" t="n">
        <v>6</v>
      </c>
      <c r="F54" s="5" t="n">
        <v>1</v>
      </c>
      <c r="G54" s="5" t="n">
        <v>3</v>
      </c>
      <c r="H54" s="5" t="n">
        <v>3</v>
      </c>
      <c r="I54" s="5" t="n">
        <v>2</v>
      </c>
      <c r="J54" s="5" t="n">
        <v>1</v>
      </c>
      <c r="K54" s="5" t="n">
        <v>2</v>
      </c>
      <c r="L54" s="22">
        <f>IF(OR(A54=59,A54=70),"BW-06",IF(OR(A54=140,A54=158,A54=165,A54=190,A54=206),"BW-04",IF(C54&lt;=8,"HL-0"&amp;C54,"BW-"&amp;IF(C54-8&lt;10,"0"&amp;(C54-8),C54-8))))</f>
        <v/>
      </c>
      <c r="M54" s="22">
        <f>IFERROR(VLOOKUP(L54,Zuordnung!$A$2:$B$23,2,FALSE)&amp;"","?")</f>
        <v/>
      </c>
    </row>
    <row r="55">
      <c r="A55" s="5" t="n">
        <v>136</v>
      </c>
      <c r="B55" s="5" t="inlineStr">
        <is>
          <t>2026-08-07 11:00:16</t>
        </is>
      </c>
      <c r="C55" s="5" t="n">
        <v>16</v>
      </c>
      <c r="D55" s="5" t="n">
        <v>1</v>
      </c>
      <c r="E55" s="5" t="n">
        <v>5</v>
      </c>
      <c r="F55" s="5" t="n">
        <v>1</v>
      </c>
      <c r="G55" s="5" t="n">
        <v>4</v>
      </c>
      <c r="H55" s="5" t="n">
        <v>4</v>
      </c>
      <c r="I55" s="5" t="n">
        <v>2</v>
      </c>
      <c r="J55" s="5" t="n">
        <v>2</v>
      </c>
      <c r="K55" s="5" t="n">
        <v>1</v>
      </c>
      <c r="L55" s="22">
        <f>IF(OR(A55=59,A55=70),"BW-06",IF(OR(A55=140,A55=158,A55=165,A55=190,A55=206),"BW-04",IF(C55&lt;=8,"HL-0"&amp;C55,"BW-"&amp;IF(C55-8&lt;10,"0"&amp;(C55-8),C55-8))))</f>
        <v/>
      </c>
      <c r="M55" s="22">
        <f>IFERROR(VLOOKUP(L55,Zuordnung!$A$2:$B$23,2,FALSE)&amp;"","?")</f>
        <v/>
      </c>
    </row>
    <row r="56">
      <c r="A56" s="5" t="n">
        <v>137</v>
      </c>
      <c r="B56" s="5" t="inlineStr">
        <is>
          <t>2026-08-07 16:20:39</t>
        </is>
      </c>
      <c r="C56" s="5" t="n">
        <v>8</v>
      </c>
      <c r="D56" s="5" t="n">
        <v>1</v>
      </c>
      <c r="E56" s="5" t="n">
        <v>5</v>
      </c>
      <c r="F56" s="5" t="n">
        <v>1</v>
      </c>
      <c r="G56" s="5" t="n">
        <v>3</v>
      </c>
      <c r="H56" s="5" t="n">
        <v>4</v>
      </c>
      <c r="I56" s="5" t="n">
        <v>1</v>
      </c>
      <c r="J56" s="5" t="n">
        <v>2</v>
      </c>
      <c r="K56" s="5" t="n">
        <v>2</v>
      </c>
      <c r="L56" s="22">
        <f>IF(OR(A56=59,A56=70),"BW-06",IF(OR(A56=140,A56=158,A56=165,A56=190,A56=206),"BW-04",IF(C56&lt;=8,"HL-0"&amp;C56,"BW-"&amp;IF(C56-8&lt;10,"0"&amp;(C56-8),C56-8))))</f>
        <v/>
      </c>
      <c r="M56" s="22">
        <f>IFERROR(VLOOKUP(L56,Zuordnung!$A$2:$B$23,2,FALSE)&amp;"","?")</f>
        <v/>
      </c>
    </row>
    <row r="57">
      <c r="A57" s="5" t="n">
        <v>138</v>
      </c>
      <c r="B57" s="5" t="inlineStr">
        <is>
          <t>2026-08-07 17:10:56</t>
        </is>
      </c>
      <c r="C57" s="5" t="n">
        <v>1</v>
      </c>
      <c r="D57" s="5" t="n">
        <v>1</v>
      </c>
      <c r="E57" s="5" t="n">
        <v>5</v>
      </c>
      <c r="F57" s="5" t="n">
        <v>1</v>
      </c>
      <c r="G57" s="5" t="n">
        <v>4</v>
      </c>
      <c r="H57" s="5" t="n">
        <v>4</v>
      </c>
      <c r="I57" s="5" t="n">
        <v>2</v>
      </c>
      <c r="J57" s="5" t="n">
        <v>2</v>
      </c>
      <c r="K57" s="5" t="n">
        <v>1</v>
      </c>
      <c r="L57" s="22">
        <f>IF(OR(A57=59,A57=70),"BW-06",IF(OR(A57=140,A57=158,A57=165,A57=190,A57=206),"BW-04",IF(C57&lt;=8,"HL-0"&amp;C57,"BW-"&amp;IF(C57-8&lt;10,"0"&amp;(C57-8),C57-8))))</f>
        <v/>
      </c>
      <c r="M57" s="22">
        <f>IFERROR(VLOOKUP(L57,Zuordnung!$A$2:$B$23,2,FALSE)&amp;"","?")</f>
        <v/>
      </c>
    </row>
    <row r="58">
      <c r="A58" s="5" t="n">
        <v>140</v>
      </c>
      <c r="B58" s="5" t="inlineStr">
        <is>
          <t>2026-08-07 17:25:33</t>
        </is>
      </c>
      <c r="C58" s="5" t="n">
        <v>4</v>
      </c>
      <c r="D58" s="5" t="n">
        <v>1</v>
      </c>
      <c r="E58" s="5" t="n">
        <v>3</v>
      </c>
      <c r="F58" s="5" t="n">
        <v>1</v>
      </c>
      <c r="G58" s="5" t="n">
        <v>3</v>
      </c>
      <c r="H58" s="5" t="n">
        <v>4</v>
      </c>
      <c r="I58" s="5" t="n">
        <v>2</v>
      </c>
      <c r="J58" s="5" t="n">
        <v>2</v>
      </c>
      <c r="K58" s="5" t="n">
        <v>1</v>
      </c>
      <c r="L58" s="22">
        <f>IF(OR(A58=59,A58=70),"BW-06",IF(OR(A58=140,A58=158,A58=165,A58=190,A58=206),"BW-04",IF(C58&lt;=8,"HL-0"&amp;C58,"BW-"&amp;IF(C58-8&lt;10,"0"&amp;(C58-8),C58-8))))</f>
        <v/>
      </c>
      <c r="M58" s="22">
        <f>IFERROR(VLOOKUP(L58,Zuordnung!$A$2:$B$23,2,FALSE)&amp;"","?")</f>
        <v/>
      </c>
    </row>
    <row r="59">
      <c r="A59" s="5" t="n">
        <v>144</v>
      </c>
      <c r="B59" s="5" t="inlineStr">
        <is>
          <t>2026-08-08 20:08:58</t>
        </is>
      </c>
      <c r="C59" s="5" t="n">
        <v>13</v>
      </c>
      <c r="D59" s="5" t="n">
        <v>1</v>
      </c>
      <c r="E59" s="5" t="n">
        <v>5</v>
      </c>
      <c r="F59" s="5" t="n">
        <v>1</v>
      </c>
      <c r="G59" s="5" t="n">
        <v>4</v>
      </c>
      <c r="H59" s="5" t="n">
        <v>4</v>
      </c>
      <c r="I59" s="5" t="n">
        <v>2</v>
      </c>
      <c r="J59" s="5" t="n">
        <v>2</v>
      </c>
      <c r="K59" s="5" t="n">
        <v>2</v>
      </c>
      <c r="L59" s="22">
        <f>IF(OR(A59=59,A59=70),"BW-06",IF(OR(A59=140,A59=158,A59=165,A59=190,A59=206),"BW-04",IF(C59&lt;=8,"HL-0"&amp;C59,"BW-"&amp;IF(C59-8&lt;10,"0"&amp;(C59-8),C59-8))))</f>
        <v/>
      </c>
      <c r="M59" s="22">
        <f>IFERROR(VLOOKUP(L59,Zuordnung!$A$2:$B$23,2,FALSE)&amp;"","?")</f>
        <v/>
      </c>
    </row>
    <row r="60">
      <c r="A60" s="5" t="n">
        <v>147</v>
      </c>
      <c r="B60" s="5" t="inlineStr">
        <is>
          <t>2026-08-09 17:53:13</t>
        </is>
      </c>
      <c r="C60" s="5" t="n">
        <v>13</v>
      </c>
      <c r="D60" s="5" t="n">
        <v>1</v>
      </c>
      <c r="E60" s="5" t="n">
        <v>6</v>
      </c>
      <c r="F60" s="5" t="n">
        <v>1</v>
      </c>
      <c r="G60" s="5" t="n">
        <v>3</v>
      </c>
      <c r="H60" s="5" t="n">
        <v>4</v>
      </c>
      <c r="I60" s="5" t="n">
        <v>2</v>
      </c>
      <c r="J60" s="5" t="n">
        <v>2</v>
      </c>
      <c r="K60" s="5" t="n">
        <v>2</v>
      </c>
      <c r="L60" s="22">
        <f>IF(OR(A60=59,A60=70),"BW-06",IF(OR(A60=140,A60=158,A60=165,A60=190,A60=206),"BW-04",IF(C60&lt;=8,"HL-0"&amp;C60,"BW-"&amp;IF(C60-8&lt;10,"0"&amp;(C60-8),C60-8))))</f>
        <v/>
      </c>
      <c r="M60" s="22">
        <f>IFERROR(VLOOKUP(L60,Zuordnung!$A$2:$B$23,2,FALSE)&amp;"","?")</f>
        <v/>
      </c>
    </row>
    <row r="61">
      <c r="A61" s="5" t="n">
        <v>149</v>
      </c>
      <c r="B61" s="5" t="inlineStr">
        <is>
          <t>2026-08-09 18:31:07</t>
        </is>
      </c>
      <c r="C61" s="5" t="n">
        <v>1</v>
      </c>
      <c r="D61" s="5" t="n">
        <v>1</v>
      </c>
      <c r="E61" s="5" t="n">
        <v>6</v>
      </c>
      <c r="F61" s="5" t="n">
        <v>1</v>
      </c>
      <c r="G61" s="5" t="n">
        <v>4</v>
      </c>
      <c r="H61" s="5" t="n">
        <v>4</v>
      </c>
      <c r="I61" s="5" t="n">
        <v>2</v>
      </c>
      <c r="J61" s="5" t="n">
        <v>2</v>
      </c>
      <c r="K61" s="5" t="n">
        <v>1</v>
      </c>
      <c r="L61" s="22">
        <f>IF(OR(A61=59,A61=70),"BW-06",IF(OR(A61=140,A61=158,A61=165,A61=190,A61=206),"BW-04",IF(C61&lt;=8,"HL-0"&amp;C61,"BW-"&amp;IF(C61-8&lt;10,"0"&amp;(C61-8),C61-8))))</f>
        <v/>
      </c>
      <c r="M61" s="22">
        <f>IFERROR(VLOOKUP(L61,Zuordnung!$A$2:$B$23,2,FALSE)&amp;"","?")</f>
        <v/>
      </c>
    </row>
    <row r="62">
      <c r="A62" s="5" t="n">
        <v>150</v>
      </c>
      <c r="B62" s="5" t="inlineStr">
        <is>
          <t>2026-08-09 18:34:00</t>
        </is>
      </c>
      <c r="C62" s="5" t="n">
        <v>16</v>
      </c>
      <c r="D62" s="5" t="n">
        <v>1</v>
      </c>
      <c r="E62" s="5" t="n">
        <v>6</v>
      </c>
      <c r="F62" s="5" t="n">
        <v>1</v>
      </c>
      <c r="G62" s="5" t="n">
        <v>4</v>
      </c>
      <c r="H62" s="5" t="n">
        <v>3</v>
      </c>
      <c r="I62" s="5" t="n">
        <v>2</v>
      </c>
      <c r="J62" s="5" t="n">
        <v>2</v>
      </c>
      <c r="K62" s="5" t="n">
        <v>2</v>
      </c>
      <c r="L62" s="22">
        <f>IF(OR(A62=59,A62=70),"BW-06",IF(OR(A62=140,A62=158,A62=165,A62=190,A62=206),"BW-04",IF(C62&lt;=8,"HL-0"&amp;C62,"BW-"&amp;IF(C62-8&lt;10,"0"&amp;(C62-8),C62-8))))</f>
        <v/>
      </c>
      <c r="M62" s="22">
        <f>IFERROR(VLOOKUP(L62,Zuordnung!$A$2:$B$23,2,FALSE)&amp;"","?")</f>
        <v/>
      </c>
    </row>
    <row r="63">
      <c r="A63" s="5" t="n">
        <v>151</v>
      </c>
      <c r="B63" s="5" t="inlineStr">
        <is>
          <t>2026-08-09 18:36:44</t>
        </is>
      </c>
      <c r="C63" s="5" t="n">
        <v>2</v>
      </c>
      <c r="D63" s="5" t="n">
        <v>1</v>
      </c>
      <c r="E63" s="5" t="n">
        <v>5</v>
      </c>
      <c r="F63" s="5" t="n">
        <v>1</v>
      </c>
      <c r="G63" s="5" t="n">
        <v>4</v>
      </c>
      <c r="H63" s="5" t="n">
        <v>1</v>
      </c>
      <c r="I63" s="5" t="n">
        <v>2</v>
      </c>
      <c r="J63" s="5" t="n">
        <v>2</v>
      </c>
      <c r="K63" s="5" t="n">
        <v>2</v>
      </c>
      <c r="L63" s="22">
        <f>IF(OR(A63=59,A63=70),"BW-06",IF(OR(A63=140,A63=158,A63=165,A63=190,A63=206),"BW-04",IF(C63&lt;=8,"HL-0"&amp;C63,"BW-"&amp;IF(C63-8&lt;10,"0"&amp;(C63-8),C63-8))))</f>
        <v/>
      </c>
      <c r="M63" s="22">
        <f>IFERROR(VLOOKUP(L63,Zuordnung!$A$2:$B$23,2,FALSE)&amp;"","?")</f>
        <v/>
      </c>
    </row>
    <row r="64">
      <c r="A64" s="5" t="n">
        <v>152</v>
      </c>
      <c r="B64" s="5" t="inlineStr">
        <is>
          <t>2026-08-09 18:38:04</t>
        </is>
      </c>
      <c r="C64" s="5" t="n">
        <v>8</v>
      </c>
      <c r="D64" s="5" t="n">
        <v>1</v>
      </c>
      <c r="E64" s="5" t="n">
        <v>6</v>
      </c>
      <c r="F64" s="5" t="n">
        <v>1</v>
      </c>
      <c r="G64" s="5" t="n">
        <v>3</v>
      </c>
      <c r="H64" s="5" t="n">
        <v>4</v>
      </c>
      <c r="I64" s="5" t="n">
        <v>2</v>
      </c>
      <c r="J64" s="5" t="n">
        <v>2</v>
      </c>
      <c r="K64" s="5" t="n">
        <v>1</v>
      </c>
      <c r="L64" s="22">
        <f>IF(OR(A64=59,A64=70),"BW-06",IF(OR(A64=140,A64=158,A64=165,A64=190,A64=206),"BW-04",IF(C64&lt;=8,"HL-0"&amp;C64,"BW-"&amp;IF(C64-8&lt;10,"0"&amp;(C64-8),C64-8))))</f>
        <v/>
      </c>
      <c r="M64" s="22">
        <f>IFERROR(VLOOKUP(L64,Zuordnung!$A$2:$B$23,2,FALSE)&amp;"","?")</f>
        <v/>
      </c>
    </row>
    <row r="65">
      <c r="A65" s="5" t="n">
        <v>153</v>
      </c>
      <c r="B65" s="5" t="inlineStr">
        <is>
          <t>2026-08-09 20:40:07</t>
        </is>
      </c>
      <c r="C65" s="5" t="n">
        <v>3</v>
      </c>
      <c r="D65" s="5" t="n">
        <v>1</v>
      </c>
      <c r="E65" s="5" t="n">
        <v>5</v>
      </c>
      <c r="F65" s="5" t="n">
        <v>1</v>
      </c>
      <c r="G65" s="5" t="n">
        <v>4</v>
      </c>
      <c r="H65" s="5" t="n">
        <v>1</v>
      </c>
      <c r="I65" s="5" t="n">
        <v>2</v>
      </c>
      <c r="J65" s="5" t="n">
        <v>2</v>
      </c>
      <c r="K65" s="5" t="n">
        <v>2</v>
      </c>
      <c r="L65" s="22">
        <f>IF(OR(A65=59,A65=70),"BW-06",IF(OR(A65=140,A65=158,A65=165,A65=190,A65=206),"BW-04",IF(C65&lt;=8,"HL-0"&amp;C65,"BW-"&amp;IF(C65-8&lt;10,"0"&amp;(C65-8),C65-8))))</f>
        <v/>
      </c>
      <c r="M65" s="22">
        <f>IFERROR(VLOOKUP(L65,Zuordnung!$A$2:$B$23,2,FALSE)&amp;"","?")</f>
        <v/>
      </c>
    </row>
    <row r="66">
      <c r="A66" s="5" t="n">
        <v>154</v>
      </c>
      <c r="B66" s="5" t="inlineStr">
        <is>
          <t>2026-08-09 20:41:09</t>
        </is>
      </c>
      <c r="C66" s="5" t="n">
        <v>3</v>
      </c>
      <c r="D66" s="5" t="n">
        <v>1</v>
      </c>
      <c r="E66" s="5" t="n">
        <v>5</v>
      </c>
      <c r="F66" s="5" t="n">
        <v>3</v>
      </c>
      <c r="G66" s="5" t="n">
        <v>1</v>
      </c>
      <c r="H66" s="5" t="n">
        <v>5</v>
      </c>
      <c r="I66" s="5" t="n">
        <v>2</v>
      </c>
      <c r="J66" s="5" t="n">
        <v>2</v>
      </c>
      <c r="K66" s="5" t="n">
        <v>2</v>
      </c>
      <c r="L66" s="22">
        <f>IF(OR(A66=59,A66=70),"BW-06",IF(OR(A66=140,A66=158,A66=165,A66=190,A66=206),"BW-04",IF(C66&lt;=8,"HL-0"&amp;C66,"BW-"&amp;IF(C66-8&lt;10,"0"&amp;(C66-8),C66-8))))</f>
        <v/>
      </c>
      <c r="M66" s="22">
        <f>IFERROR(VLOOKUP(L66,Zuordnung!$A$2:$B$23,2,FALSE)&amp;"","?")</f>
        <v/>
      </c>
    </row>
    <row r="67">
      <c r="A67" s="5" t="n">
        <v>158</v>
      </c>
      <c r="B67" s="5" t="inlineStr">
        <is>
          <t>2026-08-10 08:09:07</t>
        </is>
      </c>
      <c r="C67" s="5" t="n">
        <v>4</v>
      </c>
      <c r="D67" s="5" t="n">
        <v>1</v>
      </c>
      <c r="E67" s="5" t="n">
        <v>1</v>
      </c>
      <c r="F67" s="5" t="n">
        <v>1</v>
      </c>
      <c r="G67" s="5" t="n">
        <v>3</v>
      </c>
      <c r="H67" s="5" t="n">
        <v>4</v>
      </c>
      <c r="I67" s="5" t="n">
        <v>2</v>
      </c>
      <c r="J67" s="5" t="n">
        <v>2</v>
      </c>
      <c r="K67" s="5" t="n">
        <v>1</v>
      </c>
      <c r="L67" s="22">
        <f>IF(OR(A67=59,A67=70),"BW-06",IF(OR(A67=140,A67=158,A67=165,A67=190,A67=206),"BW-04",IF(C67&lt;=8,"HL-0"&amp;C67,"BW-"&amp;IF(C67-8&lt;10,"0"&amp;(C67-8),C67-8))))</f>
        <v/>
      </c>
      <c r="M67" s="22">
        <f>IFERROR(VLOOKUP(L67,Zuordnung!$A$2:$B$23,2,FALSE)&amp;"","?")</f>
        <v/>
      </c>
    </row>
    <row r="68">
      <c r="A68" s="5" t="n">
        <v>159</v>
      </c>
      <c r="B68" s="5" t="inlineStr">
        <is>
          <t>2026-08-10 14:37:14</t>
        </is>
      </c>
      <c r="C68" s="5" t="n">
        <v>18</v>
      </c>
      <c r="D68" s="5" t="n">
        <v>1</v>
      </c>
      <c r="E68" s="5" t="n">
        <v>8</v>
      </c>
      <c r="F68" s="5" t="n">
        <v>1</v>
      </c>
      <c r="G68" s="5" t="n">
        <v>6</v>
      </c>
      <c r="H68" s="5" t="n">
        <v>3</v>
      </c>
      <c r="I68" s="5" t="n">
        <v>2</v>
      </c>
      <c r="J68" s="5" t="n">
        <v>2</v>
      </c>
      <c r="K68" s="5" t="n">
        <v>1</v>
      </c>
      <c r="L68" s="22">
        <f>IF(OR(A68=59,A68=70),"BW-06",IF(OR(A68=140,A68=158,A68=165,A68=190,A68=206),"BW-04",IF(C68&lt;=8,"HL-0"&amp;C68,"BW-"&amp;IF(C68-8&lt;10,"0"&amp;(C68-8),C68-8))))</f>
        <v/>
      </c>
      <c r="M68" s="22">
        <f>IFERROR(VLOOKUP(L68,Zuordnung!$A$2:$B$23,2,FALSE)&amp;"","?")</f>
        <v/>
      </c>
    </row>
    <row r="69">
      <c r="A69" s="5" t="n">
        <v>165</v>
      </c>
      <c r="B69" s="5" t="inlineStr">
        <is>
          <t>2026-08-11 18:03:09</t>
        </is>
      </c>
      <c r="C69" s="5" t="n">
        <v>4</v>
      </c>
      <c r="D69" s="5" t="n">
        <v>1</v>
      </c>
      <c r="E69" s="5" t="n">
        <v>7</v>
      </c>
      <c r="F69" s="5" t="n">
        <v>1</v>
      </c>
      <c r="G69" s="5" t="n">
        <v>1</v>
      </c>
      <c r="H69" s="5" t="n">
        <v>1</v>
      </c>
      <c r="I69" s="5" t="n">
        <v>2</v>
      </c>
      <c r="J69" s="5" t="n">
        <v>2</v>
      </c>
      <c r="K69" s="5" t="n">
        <v>2</v>
      </c>
      <c r="L69" s="22">
        <f>IF(OR(A69=59,A69=70),"BW-06",IF(OR(A69=140,A69=158,A69=165,A69=190,A69=206),"BW-04",IF(C69&lt;=8,"HL-0"&amp;C69,"BW-"&amp;IF(C69-8&lt;10,"0"&amp;(C69-8),C69-8))))</f>
        <v/>
      </c>
      <c r="M69" s="22">
        <f>IFERROR(VLOOKUP(L69,Zuordnung!$A$2:$B$23,2,FALSE)&amp;"","?")</f>
        <v/>
      </c>
    </row>
    <row r="70">
      <c r="A70" s="5" t="n">
        <v>167</v>
      </c>
      <c r="B70" s="5" t="inlineStr">
        <is>
          <t>2026-08-11 20:35:14</t>
        </is>
      </c>
      <c r="C70" s="5" t="n">
        <v>10</v>
      </c>
      <c r="D70" s="5" t="n">
        <v>1</v>
      </c>
      <c r="E70" s="5" t="n">
        <v>7</v>
      </c>
      <c r="F70" s="5" t="n">
        <v>1</v>
      </c>
      <c r="G70" s="5" t="n">
        <v>3</v>
      </c>
      <c r="H70" s="5" t="n">
        <v>2</v>
      </c>
      <c r="I70" s="5" t="n">
        <v>2</v>
      </c>
      <c r="J70" s="5" t="n">
        <v>2</v>
      </c>
      <c r="K70" s="5" t="n">
        <v>1</v>
      </c>
      <c r="L70" s="22">
        <f>IF(OR(A70=59,A70=70),"BW-06",IF(OR(A70=140,A70=158,A70=165,A70=190,A70=206),"BW-04",IF(C70&lt;=8,"HL-0"&amp;C70,"BW-"&amp;IF(C70-8&lt;10,"0"&amp;(C70-8),C70-8))))</f>
        <v/>
      </c>
      <c r="M70" s="22">
        <f>IFERROR(VLOOKUP(L70,Zuordnung!$A$2:$B$23,2,FALSE)&amp;"","?")</f>
        <v/>
      </c>
    </row>
    <row r="71">
      <c r="A71" s="5" t="n">
        <v>171</v>
      </c>
      <c r="B71" s="5" t="inlineStr">
        <is>
          <t>2026-08-14 07:50:06</t>
        </is>
      </c>
      <c r="C71" s="5" t="n">
        <v>7</v>
      </c>
      <c r="D71" s="5" t="n">
        <v>1</v>
      </c>
      <c r="E71" s="5" t="n">
        <v>7</v>
      </c>
      <c r="F71" s="5" t="n">
        <v>1</v>
      </c>
      <c r="G71" s="5" t="n">
        <v>3</v>
      </c>
      <c r="H71" s="5" t="n">
        <v>4</v>
      </c>
      <c r="I71" s="5" t="n">
        <v>2</v>
      </c>
      <c r="J71" s="5" t="n">
        <v>1</v>
      </c>
      <c r="K71" s="5" t="n">
        <v>1</v>
      </c>
      <c r="L71" s="22">
        <f>IF(OR(A71=59,A71=70),"BW-06",IF(OR(A71=140,A71=158,A71=165,A71=190,A71=206),"BW-04",IF(C71&lt;=8,"HL-0"&amp;C71,"BW-"&amp;IF(C71-8&lt;10,"0"&amp;(C71-8),C71-8))))</f>
        <v/>
      </c>
      <c r="M71" s="22">
        <f>IFERROR(VLOOKUP(L71,Zuordnung!$A$2:$B$23,2,FALSE)&amp;"","?")</f>
        <v/>
      </c>
    </row>
    <row r="72">
      <c r="A72" s="5" t="n">
        <v>172</v>
      </c>
      <c r="B72" s="5" t="inlineStr">
        <is>
          <t>2026-08-14 07:51:14</t>
        </is>
      </c>
      <c r="C72" s="5" t="n">
        <v>7</v>
      </c>
      <c r="D72" s="5" t="n">
        <v>1</v>
      </c>
      <c r="E72" s="5" t="n">
        <v>10</v>
      </c>
      <c r="F72" s="5" t="n">
        <v>1</v>
      </c>
      <c r="G72" s="5" t="n">
        <v>4</v>
      </c>
      <c r="H72" s="5" t="n">
        <v>4</v>
      </c>
      <c r="I72" s="5" t="n">
        <v>2</v>
      </c>
      <c r="J72" s="5" t="n">
        <v>1</v>
      </c>
      <c r="K72" s="5" t="n">
        <v>2</v>
      </c>
      <c r="L72" s="22">
        <f>IF(OR(A72=59,A72=70),"BW-06",IF(OR(A72=140,A72=158,A72=165,A72=190,A72=206),"BW-04",IF(C72&lt;=8,"HL-0"&amp;C72,"BW-"&amp;IF(C72-8&lt;10,"0"&amp;(C72-8),C72-8))))</f>
        <v/>
      </c>
      <c r="M72" s="22">
        <f>IFERROR(VLOOKUP(L72,Zuordnung!$A$2:$B$23,2,FALSE)&amp;"","?")</f>
        <v/>
      </c>
    </row>
    <row r="73">
      <c r="A73" s="5" t="n">
        <v>181</v>
      </c>
      <c r="B73" s="5" t="inlineStr">
        <is>
          <t>2026-08-15 17:09:07</t>
        </is>
      </c>
      <c r="C73" s="5" t="n">
        <v>13</v>
      </c>
      <c r="D73" s="5" t="n">
        <v>1</v>
      </c>
      <c r="E73" s="5" t="n">
        <v>7</v>
      </c>
      <c r="F73" s="5" t="n">
        <v>1</v>
      </c>
      <c r="G73" s="5" t="n">
        <v>3</v>
      </c>
      <c r="H73" s="5" t="n">
        <v>4</v>
      </c>
      <c r="I73" s="5" t="n">
        <v>2</v>
      </c>
      <c r="J73" s="5" t="n">
        <v>2</v>
      </c>
      <c r="K73" s="5" t="n">
        <v>2</v>
      </c>
      <c r="L73" s="22">
        <f>IF(OR(A73=59,A73=70),"BW-06",IF(OR(A73=140,A73=158,A73=165,A73=190,A73=206),"BW-04",IF(C73&lt;=8,"HL-0"&amp;C73,"BW-"&amp;IF(C73-8&lt;10,"0"&amp;(C73-8),C73-8))))</f>
        <v/>
      </c>
      <c r="M73" s="22">
        <f>IFERROR(VLOOKUP(L73,Zuordnung!$A$2:$B$23,2,FALSE)&amp;"","?")</f>
        <v/>
      </c>
    </row>
    <row r="74">
      <c r="A74" s="5" t="n">
        <v>182</v>
      </c>
      <c r="B74" s="5" t="inlineStr">
        <is>
          <t>2026-08-15 22:09:01</t>
        </is>
      </c>
      <c r="C74" s="5" t="n">
        <v>3</v>
      </c>
      <c r="D74" s="5" t="n">
        <v>1</v>
      </c>
      <c r="E74" s="5" t="n">
        <v>5</v>
      </c>
      <c r="F74" s="5" t="n">
        <v>1</v>
      </c>
      <c r="G74" s="5" t="n">
        <v>5</v>
      </c>
      <c r="H74" s="5" t="n">
        <v>1</v>
      </c>
      <c r="I74" s="5" t="n">
        <v>2</v>
      </c>
      <c r="J74" s="5" t="n">
        <v>1</v>
      </c>
      <c r="K74" s="5" t="n">
        <v>1</v>
      </c>
      <c r="L74" s="22">
        <f>IF(OR(A74=59,A74=70),"BW-06",IF(OR(A74=140,A74=158,A74=165,A74=190,A74=206),"BW-04",IF(C74&lt;=8,"HL-0"&amp;C74,"BW-"&amp;IF(C74-8&lt;10,"0"&amp;(C74-8),C74-8))))</f>
        <v/>
      </c>
      <c r="M74" s="22">
        <f>IFERROR(VLOOKUP(L74,Zuordnung!$A$2:$B$23,2,FALSE)&amp;"","?")</f>
        <v/>
      </c>
    </row>
    <row r="75">
      <c r="A75" s="5" t="n">
        <v>185</v>
      </c>
      <c r="B75" s="5" t="inlineStr">
        <is>
          <t>2026-08-16 13:33:12</t>
        </is>
      </c>
      <c r="C75" s="5" t="n">
        <v>1</v>
      </c>
      <c r="D75" s="5" t="n">
        <v>1</v>
      </c>
      <c r="E75" s="5" t="n">
        <v>8</v>
      </c>
      <c r="F75" s="5" t="n">
        <v>1</v>
      </c>
      <c r="G75" s="5" t="n">
        <v>5</v>
      </c>
      <c r="H75" s="5" t="n">
        <v>4</v>
      </c>
      <c r="I75" s="5" t="n">
        <v>2</v>
      </c>
      <c r="J75" s="5" t="n">
        <v>2</v>
      </c>
      <c r="K75" s="5" t="n">
        <v>2</v>
      </c>
      <c r="L75" s="22">
        <f>IF(OR(A75=59,A75=70),"BW-06",IF(OR(A75=140,A75=158,A75=165,A75=190,A75=206),"BW-04",IF(C75&lt;=8,"HL-0"&amp;C75,"BW-"&amp;IF(C75-8&lt;10,"0"&amp;(C75-8),C75-8))))</f>
        <v/>
      </c>
      <c r="M75" s="22">
        <f>IFERROR(VLOOKUP(L75,Zuordnung!$A$2:$B$23,2,FALSE)&amp;"","?")</f>
        <v/>
      </c>
    </row>
    <row r="76">
      <c r="A76" s="5" t="n">
        <v>187</v>
      </c>
      <c r="B76" s="5" t="inlineStr">
        <is>
          <t>2026-08-16 13:34:04</t>
        </is>
      </c>
      <c r="C76" s="5" t="n">
        <v>14</v>
      </c>
      <c r="D76" s="5" t="n">
        <v>1</v>
      </c>
      <c r="E76" s="5" t="n">
        <v>7</v>
      </c>
      <c r="F76" s="5" t="n">
        <v>1</v>
      </c>
      <c r="G76" s="5" t="n">
        <v>5</v>
      </c>
      <c r="H76" s="5" t="n">
        <v>4</v>
      </c>
      <c r="I76" s="5" t="n">
        <v>2</v>
      </c>
      <c r="J76" s="5" t="n">
        <v>1</v>
      </c>
      <c r="K76" s="5" t="n">
        <v>1</v>
      </c>
      <c r="L76" s="22">
        <f>IF(OR(A76=59,A76=70),"BW-06",IF(OR(A76=140,A76=158,A76=165,A76=190,A76=206),"BW-04",IF(C76&lt;=8,"HL-0"&amp;C76,"BW-"&amp;IF(C76-8&lt;10,"0"&amp;(C76-8),C76-8))))</f>
        <v/>
      </c>
      <c r="M76" s="22">
        <f>IFERROR(VLOOKUP(L76,Zuordnung!$A$2:$B$23,2,FALSE)&amp;"","?")</f>
        <v/>
      </c>
    </row>
    <row r="77">
      <c r="A77" s="5" t="n">
        <v>188</v>
      </c>
      <c r="B77" s="5" t="inlineStr">
        <is>
          <t>2026-08-16 13:36:24</t>
        </is>
      </c>
      <c r="C77" s="5" t="n">
        <v>15</v>
      </c>
      <c r="D77" s="5" t="n">
        <v>1</v>
      </c>
      <c r="E77" s="5" t="n">
        <v>7</v>
      </c>
      <c r="F77" s="5" t="n">
        <v>1</v>
      </c>
      <c r="G77" s="5" t="n">
        <v>4</v>
      </c>
      <c r="H77" s="5" t="n">
        <v>4</v>
      </c>
      <c r="I77" s="5" t="n">
        <v>2</v>
      </c>
      <c r="J77" s="5" t="n">
        <v>1</v>
      </c>
      <c r="K77" s="5" t="n">
        <v>1</v>
      </c>
      <c r="L77" s="22">
        <f>IF(OR(A77=59,A77=70),"BW-06",IF(OR(A77=140,A77=158,A77=165,A77=190,A77=206),"BW-04",IF(C77&lt;=8,"HL-0"&amp;C77,"BW-"&amp;IF(C77-8&lt;10,"0"&amp;(C77-8),C77-8))))</f>
        <v/>
      </c>
      <c r="M77" s="22">
        <f>IFERROR(VLOOKUP(L77,Zuordnung!$A$2:$B$23,2,FALSE)&amp;"","?")</f>
        <v/>
      </c>
    </row>
    <row r="78">
      <c r="A78" s="5" t="n">
        <v>189</v>
      </c>
      <c r="B78" s="5" t="inlineStr">
        <is>
          <t>2026-08-16 13:40:20</t>
        </is>
      </c>
      <c r="C78" s="5" t="n">
        <v>15</v>
      </c>
      <c r="D78" s="5" t="n">
        <v>1</v>
      </c>
      <c r="E78" s="5" t="n">
        <v>8</v>
      </c>
      <c r="F78" s="5" t="n">
        <v>1</v>
      </c>
      <c r="G78" s="5" t="n">
        <v>5</v>
      </c>
      <c r="H78" s="5" t="n">
        <v>4</v>
      </c>
      <c r="I78" s="5" t="n">
        <v>2</v>
      </c>
      <c r="J78" s="5" t="n">
        <v>1</v>
      </c>
      <c r="K78" s="5" t="n">
        <v>1</v>
      </c>
      <c r="L78" s="22">
        <f>IF(OR(A78=59,A78=70),"BW-06",IF(OR(A78=140,A78=158,A78=165,A78=190,A78=206),"BW-04",IF(C78&lt;=8,"HL-0"&amp;C78,"BW-"&amp;IF(C78-8&lt;10,"0"&amp;(C78-8),C78-8))))</f>
        <v/>
      </c>
      <c r="M78" s="22">
        <f>IFERROR(VLOOKUP(L78,Zuordnung!$A$2:$B$23,2,FALSE)&amp;"","?")</f>
        <v/>
      </c>
    </row>
    <row r="79">
      <c r="A79" s="5" t="n">
        <v>190</v>
      </c>
      <c r="B79" s="5" t="inlineStr">
        <is>
          <t>2026-08-16 15:12:03</t>
        </is>
      </c>
      <c r="C79" s="5" t="n">
        <v>4</v>
      </c>
      <c r="D79" s="5" t="n">
        <v>1</v>
      </c>
      <c r="E79" s="5" t="n">
        <v>8</v>
      </c>
      <c r="F79" s="5" t="n">
        <v>1</v>
      </c>
      <c r="G79" s="5" t="n">
        <v>3</v>
      </c>
      <c r="H79" s="5" t="n">
        <v>1</v>
      </c>
      <c r="I79" s="5" t="n">
        <v>2</v>
      </c>
      <c r="J79" s="5" t="n">
        <v>2</v>
      </c>
      <c r="K79" s="5" t="n">
        <v>1</v>
      </c>
      <c r="L79" s="22">
        <f>IF(OR(A79=59,A79=70),"BW-06",IF(OR(A79=140,A79=158,A79=165,A79=190,A79=206),"BW-04",IF(C79&lt;=8,"HL-0"&amp;C79,"BW-"&amp;IF(C79-8&lt;10,"0"&amp;(C79-8),C79-8))))</f>
        <v/>
      </c>
      <c r="M79" s="22">
        <f>IFERROR(VLOOKUP(L79,Zuordnung!$A$2:$B$23,2,FALSE)&amp;"","?")</f>
        <v/>
      </c>
    </row>
    <row r="80">
      <c r="A80" s="5" t="n">
        <v>191</v>
      </c>
      <c r="B80" s="5" t="inlineStr">
        <is>
          <t>2026-08-16 18:28:53</t>
        </is>
      </c>
      <c r="C80" s="5" t="n">
        <v>16</v>
      </c>
      <c r="D80" s="5" t="n">
        <v>1</v>
      </c>
      <c r="E80" s="5" t="n">
        <v>5</v>
      </c>
      <c r="F80" s="5" t="n">
        <v>1</v>
      </c>
      <c r="G80" s="5" t="n">
        <v>4</v>
      </c>
      <c r="H80" s="5" t="n">
        <v>4</v>
      </c>
      <c r="I80" s="5" t="n">
        <v>2</v>
      </c>
      <c r="J80" s="5" t="n">
        <v>2</v>
      </c>
      <c r="K80" s="5" t="n">
        <v>2</v>
      </c>
      <c r="L80" s="22">
        <f>IF(OR(A80=59,A80=70),"BW-06",IF(OR(A80=140,A80=158,A80=165,A80=190,A80=206),"BW-04",IF(C80&lt;=8,"HL-0"&amp;C80,"BW-"&amp;IF(C80-8&lt;10,"0"&amp;(C80-8),C80-8))))</f>
        <v/>
      </c>
      <c r="M80" s="22">
        <f>IFERROR(VLOOKUP(L80,Zuordnung!$A$2:$B$23,2,FALSE)&amp;"","?")</f>
        <v/>
      </c>
    </row>
    <row r="81">
      <c r="A81" s="5" t="n">
        <v>194</v>
      </c>
      <c r="B81" s="5" t="inlineStr">
        <is>
          <t>2026-08-16 19:28:53</t>
        </is>
      </c>
      <c r="C81" s="5" t="n">
        <v>2</v>
      </c>
      <c r="D81" s="5" t="n">
        <v>1</v>
      </c>
      <c r="E81" s="5" t="n">
        <v>9</v>
      </c>
      <c r="F81" s="5" t="n">
        <v>1</v>
      </c>
      <c r="G81" s="5" t="n">
        <v>5</v>
      </c>
      <c r="H81" s="5" t="n">
        <v>2</v>
      </c>
      <c r="I81" s="5" t="n">
        <v>2</v>
      </c>
      <c r="J81" s="5" t="n">
        <v>2</v>
      </c>
      <c r="K81" s="5" t="n">
        <v>2</v>
      </c>
      <c r="L81" s="22">
        <f>IF(OR(A81=59,A81=70),"BW-06",IF(OR(A81=140,A81=158,A81=165,A81=190,A81=206),"BW-04",IF(C81&lt;=8,"HL-0"&amp;C81,"BW-"&amp;IF(C81-8&lt;10,"0"&amp;(C81-8),C81-8))))</f>
        <v/>
      </c>
      <c r="M81" s="22">
        <f>IFERROR(VLOOKUP(L81,Zuordnung!$A$2:$B$23,2,FALSE)&amp;"","?")</f>
        <v/>
      </c>
    </row>
    <row r="82">
      <c r="A82" s="5" t="n">
        <v>195</v>
      </c>
      <c r="B82" s="5" t="inlineStr">
        <is>
          <t>2026-08-16 19:45:42</t>
        </is>
      </c>
      <c r="C82" s="5" t="n">
        <v>3</v>
      </c>
      <c r="D82" s="5" t="n">
        <v>1</v>
      </c>
      <c r="E82" s="5" t="n">
        <v>7</v>
      </c>
      <c r="F82" s="5" t="n">
        <v>1</v>
      </c>
      <c r="G82" s="5" t="n">
        <v>4</v>
      </c>
      <c r="H82" s="5" t="n">
        <v>1</v>
      </c>
      <c r="I82" s="5" t="n">
        <v>2</v>
      </c>
      <c r="J82" s="5" t="n">
        <v>1</v>
      </c>
      <c r="K82" s="5" t="n">
        <v>2</v>
      </c>
      <c r="L82" s="22">
        <f>IF(OR(A82=59,A82=70),"BW-06",IF(OR(A82=140,A82=158,A82=165,A82=190,A82=206),"BW-04",IF(C82&lt;=8,"HL-0"&amp;C82,"BW-"&amp;IF(C82-8&lt;10,"0"&amp;(C82-8),C82-8))))</f>
        <v/>
      </c>
      <c r="M82" s="22">
        <f>IFERROR(VLOOKUP(L82,Zuordnung!$A$2:$B$23,2,FALSE)&amp;"","?")</f>
        <v/>
      </c>
    </row>
    <row r="83">
      <c r="A83" s="5" t="n">
        <v>197</v>
      </c>
      <c r="B83" s="5" t="inlineStr">
        <is>
          <t>2026-08-16 19:53:33</t>
        </is>
      </c>
      <c r="C83" s="5" t="n">
        <v>10</v>
      </c>
      <c r="D83" s="5" t="n">
        <v>1</v>
      </c>
      <c r="E83" s="5" t="n">
        <v>8</v>
      </c>
      <c r="F83" s="5" t="n">
        <v>1</v>
      </c>
      <c r="G83" s="5" t="n">
        <v>2</v>
      </c>
      <c r="H83" s="5" t="n">
        <v>1</v>
      </c>
      <c r="I83" s="5" t="n">
        <v>2</v>
      </c>
      <c r="J83" s="5" t="n">
        <v>2</v>
      </c>
      <c r="K83" s="5" t="n">
        <v>1</v>
      </c>
      <c r="L83" s="22">
        <f>IF(OR(A83=59,A83=70),"BW-06",IF(OR(A83=140,A83=158,A83=165,A83=190,A83=206),"BW-04",IF(C83&lt;=8,"HL-0"&amp;C83,"BW-"&amp;IF(C83-8&lt;10,"0"&amp;(C83-8),C83-8))))</f>
        <v/>
      </c>
      <c r="M83" s="22">
        <f>IFERROR(VLOOKUP(L83,Zuordnung!$A$2:$B$23,2,FALSE)&amp;"","?")</f>
        <v/>
      </c>
    </row>
    <row r="84">
      <c r="A84" s="5" t="n">
        <v>198</v>
      </c>
      <c r="B84" s="5" t="inlineStr">
        <is>
          <t>2026-08-16 20:13:44</t>
        </is>
      </c>
      <c r="C84" s="5" t="n">
        <v>13</v>
      </c>
      <c r="D84" s="5" t="n">
        <v>1</v>
      </c>
      <c r="E84" s="5" t="n">
        <v>8</v>
      </c>
      <c r="F84" s="5" t="n">
        <v>1</v>
      </c>
      <c r="G84" s="5" t="n">
        <v>4</v>
      </c>
      <c r="H84" s="5" t="n">
        <v>4</v>
      </c>
      <c r="I84" s="5" t="n">
        <v>2</v>
      </c>
      <c r="J84" s="5" t="n">
        <v>2</v>
      </c>
      <c r="K84" s="5" t="n">
        <v>2</v>
      </c>
      <c r="L84" s="22">
        <f>IF(OR(A84=59,A84=70),"BW-06",IF(OR(A84=140,A84=158,A84=165,A84=190,A84=206),"BW-04",IF(C84&lt;=8,"HL-0"&amp;C84,"BW-"&amp;IF(C84-8&lt;10,"0"&amp;(C84-8),C84-8))))</f>
        <v/>
      </c>
      <c r="M84" s="22">
        <f>IFERROR(VLOOKUP(L84,Zuordnung!$A$2:$B$23,2,FALSE)&amp;"","?")</f>
        <v/>
      </c>
    </row>
    <row r="85">
      <c r="A85" s="5" t="n">
        <v>201</v>
      </c>
      <c r="B85" s="5" t="inlineStr">
        <is>
          <t>2026-08-17 19:23:43</t>
        </is>
      </c>
      <c r="C85" s="5" t="n">
        <v>2</v>
      </c>
      <c r="D85" s="5" t="n">
        <v>1</v>
      </c>
      <c r="E85" s="5" t="n">
        <v>9</v>
      </c>
      <c r="F85" s="5" t="n">
        <v>1</v>
      </c>
      <c r="G85" s="5" t="n">
        <v>5</v>
      </c>
      <c r="H85" s="5" t="n">
        <v>1</v>
      </c>
      <c r="I85" s="5" t="n">
        <v>2</v>
      </c>
      <c r="J85" s="5" t="n">
        <v>2</v>
      </c>
      <c r="K85" s="5" t="n">
        <v>2</v>
      </c>
      <c r="L85" s="22">
        <f>IF(OR(A85=59,A85=70),"BW-06",IF(OR(A85=140,A85=158,A85=165,A85=190,A85=206),"BW-04",IF(C85&lt;=8,"HL-0"&amp;C85,"BW-"&amp;IF(C85-8&lt;10,"0"&amp;(C85-8),C85-8))))</f>
        <v/>
      </c>
      <c r="M85" s="22">
        <f>IFERROR(VLOOKUP(L85,Zuordnung!$A$2:$B$23,2,FALSE)&amp;"","?")</f>
        <v/>
      </c>
    </row>
    <row r="86">
      <c r="A86" s="5" t="n">
        <v>204</v>
      </c>
      <c r="B86" s="5" t="inlineStr">
        <is>
          <t>2026-08-18 08:13:02</t>
        </is>
      </c>
      <c r="C86" s="5" t="n">
        <v>3</v>
      </c>
      <c r="D86" s="5" t="n">
        <v>1</v>
      </c>
      <c r="E86" s="5" t="n">
        <v>9</v>
      </c>
      <c r="F86" s="5" t="n">
        <v>1</v>
      </c>
      <c r="G86" s="5" t="n">
        <v>5</v>
      </c>
      <c r="H86" s="5" t="n">
        <v>1</v>
      </c>
      <c r="I86" s="5" t="n">
        <v>2</v>
      </c>
      <c r="J86" s="5" t="n">
        <v>1</v>
      </c>
      <c r="K86" s="5" t="n">
        <v>1</v>
      </c>
      <c r="L86" s="22">
        <f>IF(OR(A86=59,A86=70),"BW-06",IF(OR(A86=140,A86=158,A86=165,A86=190,A86=206),"BW-04",IF(C86&lt;=8,"HL-0"&amp;C86,"BW-"&amp;IF(C86-8&lt;10,"0"&amp;(C86-8),C86-8))))</f>
        <v/>
      </c>
      <c r="M86" s="22">
        <f>IFERROR(VLOOKUP(L86,Zuordnung!$A$2:$B$23,2,FALSE)&amp;"","?")</f>
        <v/>
      </c>
    </row>
    <row r="87">
      <c r="A87" s="5" t="n">
        <v>205</v>
      </c>
      <c r="B87" s="5" t="inlineStr">
        <is>
          <t>2026-08-18 08:24:07</t>
        </is>
      </c>
      <c r="C87" s="5" t="n">
        <v>7</v>
      </c>
      <c r="D87" s="5" t="n">
        <v>1</v>
      </c>
      <c r="E87" s="5" t="n">
        <v>9</v>
      </c>
      <c r="F87" s="5" t="n">
        <v>1</v>
      </c>
      <c r="G87" s="5" t="n">
        <v>5</v>
      </c>
      <c r="H87" s="5" t="n">
        <v>4</v>
      </c>
      <c r="I87" s="5" t="n">
        <v>2</v>
      </c>
      <c r="J87" s="5" t="n">
        <v>2</v>
      </c>
      <c r="K87" s="5" t="n">
        <v>1</v>
      </c>
      <c r="L87" s="22">
        <f>IF(OR(A87=59,A87=70),"BW-06",IF(OR(A87=140,A87=158,A87=165,A87=190,A87=206),"BW-04",IF(C87&lt;=8,"HL-0"&amp;C87,"BW-"&amp;IF(C87-8&lt;10,"0"&amp;(C87-8),C87-8))))</f>
        <v/>
      </c>
      <c r="M87" s="22">
        <f>IFERROR(VLOOKUP(L87,Zuordnung!$A$2:$B$23,2,FALSE)&amp;"","?")</f>
        <v/>
      </c>
    </row>
    <row r="88">
      <c r="A88" s="5" t="n">
        <v>206</v>
      </c>
      <c r="B88" s="5" t="inlineStr">
        <is>
          <t>2026-08-18 14:20:11</t>
        </is>
      </c>
      <c r="C88" s="5" t="n">
        <v>4</v>
      </c>
      <c r="D88" s="5" t="n">
        <v>1</v>
      </c>
      <c r="E88" s="5" t="n">
        <v>9</v>
      </c>
      <c r="F88" s="5" t="n">
        <v>1</v>
      </c>
      <c r="G88" s="5" t="n">
        <v>2</v>
      </c>
      <c r="H88" s="5" t="n">
        <v>1</v>
      </c>
      <c r="I88" s="5" t="n">
        <v>2</v>
      </c>
      <c r="J88" s="5" t="n">
        <v>1</v>
      </c>
      <c r="K88" s="5" t="n">
        <v>2</v>
      </c>
      <c r="L88" s="22">
        <f>IF(OR(A88=59,A88=70),"BW-06",IF(OR(A88=140,A88=158,A88=165,A88=190,A88=206),"BW-04",IF(C88&lt;=8,"HL-0"&amp;C88,"BW-"&amp;IF(C88-8&lt;10,"0"&amp;(C88-8),C88-8))))</f>
        <v/>
      </c>
      <c r="M88" s="22">
        <f>IFERROR(VLOOKUP(L88,Zuordnung!$A$2:$B$23,2,FALSE)&amp;"","?")</f>
        <v/>
      </c>
    </row>
    <row r="89">
      <c r="A89" s="5" t="n">
        <v>209</v>
      </c>
      <c r="B89" s="5" t="inlineStr">
        <is>
          <t>2026-08-19 11:35:14</t>
        </is>
      </c>
      <c r="C89" s="5" t="n">
        <v>10</v>
      </c>
      <c r="D89" s="5" t="n">
        <v>1</v>
      </c>
      <c r="E89" s="5" t="n">
        <v>9</v>
      </c>
      <c r="F89" s="5" t="n">
        <v>1</v>
      </c>
      <c r="G89" s="5" t="n">
        <v>2</v>
      </c>
      <c r="H89" s="5" t="n">
        <v>2</v>
      </c>
      <c r="I89" s="5" t="n">
        <v>2</v>
      </c>
      <c r="J89" s="5" t="n">
        <v>2</v>
      </c>
      <c r="K89" s="5" t="n">
        <v>1</v>
      </c>
      <c r="L89" s="22">
        <f>IF(OR(A89=59,A89=70),"BW-06",IF(OR(A89=140,A89=158,A89=165,A89=190,A89=206),"BW-04",IF(C89&lt;=8,"HL-0"&amp;C89,"BW-"&amp;IF(C89-8&lt;10,"0"&amp;(C89-8),C89-8))))</f>
        <v/>
      </c>
      <c r="M89" s="22">
        <f>IFERROR(VLOOKUP(L89,Zuordnung!$A$2:$B$23,2,FALSE)&amp;"","?")</f>
        <v/>
      </c>
    </row>
    <row r="90">
      <c r="A90" s="5" t="n">
        <v>214</v>
      </c>
      <c r="B90" s="5" t="inlineStr">
        <is>
          <t>2026-08-21 15:15:28</t>
        </is>
      </c>
      <c r="C90" s="5" t="n">
        <v>2</v>
      </c>
      <c r="D90" s="5" t="n">
        <v>1</v>
      </c>
      <c r="E90" s="5" t="n">
        <v>10</v>
      </c>
      <c r="F90" s="5" t="n">
        <v>1</v>
      </c>
      <c r="G90" s="5" t="n">
        <v>5</v>
      </c>
      <c r="H90" s="5" t="n">
        <v>4</v>
      </c>
      <c r="I90" s="5" t="n">
        <v>2</v>
      </c>
      <c r="J90" s="5" t="n">
        <v>2</v>
      </c>
      <c r="K90" s="5" t="n">
        <v>2</v>
      </c>
      <c r="L90" s="22">
        <f>IF(OR(A90=59,A90=70),"BW-06",IF(OR(A90=140,A90=158,A90=165,A90=190,A90=206),"BW-04",IF(C90&lt;=8,"HL-0"&amp;C90,"BW-"&amp;IF(C90-8&lt;10,"0"&amp;(C90-8),C90-8))))</f>
        <v/>
      </c>
      <c r="M90" s="22">
        <f>IFERROR(VLOOKUP(L90,Zuordnung!$A$2:$B$23,2,FALSE)&amp;"","?")</f>
        <v/>
      </c>
    </row>
    <row r="91">
      <c r="A91" s="5" t="n">
        <v>216</v>
      </c>
      <c r="B91" s="5" t="inlineStr">
        <is>
          <t>2026-08-21 20:27:22</t>
        </is>
      </c>
      <c r="C91" s="5" t="n">
        <v>17</v>
      </c>
      <c r="D91" s="5" t="n">
        <v>1</v>
      </c>
      <c r="E91" s="5" t="n">
        <v>9</v>
      </c>
      <c r="F91" s="5" t="n">
        <v>1</v>
      </c>
      <c r="G91" s="5" t="n">
        <v>4</v>
      </c>
      <c r="H91" s="5" t="n">
        <v>4</v>
      </c>
      <c r="I91" s="5" t="n">
        <v>2</v>
      </c>
      <c r="J91" s="5" t="n">
        <v>2</v>
      </c>
      <c r="K91" s="5" t="n">
        <v>1</v>
      </c>
      <c r="L91" s="22">
        <f>IF(OR(A91=59,A91=70),"BW-06",IF(OR(A91=140,A91=158,A91=165,A91=190,A91=206),"BW-04",IF(C91&lt;=8,"HL-0"&amp;C91,"BW-"&amp;IF(C91-8&lt;10,"0"&amp;(C91-8),C91-8))))</f>
        <v/>
      </c>
      <c r="M91" s="22">
        <f>IFERROR(VLOOKUP(L91,Zuordnung!$A$2:$B$23,2,FALSE)&amp;"","?")</f>
        <v/>
      </c>
    </row>
    <row r="92">
      <c r="A92" s="5" t="n">
        <v>217</v>
      </c>
      <c r="B92" s="5" t="inlineStr">
        <is>
          <t>2026-08-21 20:30:24</t>
        </is>
      </c>
      <c r="C92" s="5" t="n">
        <v>15</v>
      </c>
      <c r="D92" s="5" t="n">
        <v>1</v>
      </c>
      <c r="E92" s="5" t="n">
        <v>9</v>
      </c>
      <c r="F92" s="5" t="n">
        <v>1</v>
      </c>
      <c r="G92" s="5" t="n">
        <v>5</v>
      </c>
      <c r="H92" s="5" t="n">
        <v>4</v>
      </c>
      <c r="I92" s="5" t="n">
        <v>2</v>
      </c>
      <c r="J92" s="5" t="n">
        <v>1</v>
      </c>
      <c r="K92" s="5" t="n">
        <v>1</v>
      </c>
      <c r="L92" s="22">
        <f>IF(OR(A92=59,A92=70),"BW-06",IF(OR(A92=140,A92=158,A92=165,A92=190,A92=206),"BW-04",IF(C92&lt;=8,"HL-0"&amp;C92,"BW-"&amp;IF(C92-8&lt;10,"0"&amp;(C92-8),C92-8))))</f>
        <v/>
      </c>
      <c r="M92" s="22">
        <f>IFERROR(VLOOKUP(L92,Zuordnung!$A$2:$B$23,2,FALSE)&amp;"","?")</f>
        <v/>
      </c>
    </row>
    <row r="93">
      <c r="A93" s="5" t="n">
        <v>219</v>
      </c>
      <c r="B93" s="5" t="inlineStr">
        <is>
          <t>2026-08-22 18:34:03</t>
        </is>
      </c>
      <c r="C93" s="5" t="n">
        <v>7</v>
      </c>
      <c r="D93" s="5" t="n">
        <v>1</v>
      </c>
      <c r="E93" s="5" t="n">
        <v>10</v>
      </c>
      <c r="F93" s="5" t="n">
        <v>3</v>
      </c>
      <c r="G93" s="5" t="n">
        <v>1</v>
      </c>
      <c r="H93" s="5" t="n">
        <v>5</v>
      </c>
      <c r="I93" s="5" t="n">
        <v>2</v>
      </c>
      <c r="J93" s="5" t="n">
        <v>2</v>
      </c>
      <c r="K93" s="5" t="n">
        <v>2</v>
      </c>
      <c r="L93" s="22">
        <f>IF(OR(A93=59,A93=70),"BW-06",IF(OR(A93=140,A93=158,A93=165,A93=190,A93=206),"BW-04",IF(C93&lt;=8,"HL-0"&amp;C93,"BW-"&amp;IF(C93-8&lt;10,"0"&amp;(C93-8),C93-8))))</f>
        <v/>
      </c>
      <c r="M93" s="22">
        <f>IFERROR(VLOOKUP(L93,Zuordnung!$A$2:$B$23,2,FALSE)&amp;"","?")</f>
        <v/>
      </c>
    </row>
    <row r="94">
      <c r="A94" s="5" t="n">
        <v>222</v>
      </c>
      <c r="B94" s="5" t="inlineStr">
        <is>
          <t>2026-08-23 10:52:57</t>
        </is>
      </c>
      <c r="C94" s="5" t="n">
        <v>16</v>
      </c>
      <c r="D94" s="5" t="n">
        <v>1</v>
      </c>
      <c r="E94" s="5" t="n">
        <v>9</v>
      </c>
      <c r="F94" s="5" t="n">
        <v>1</v>
      </c>
      <c r="G94" s="5" t="n">
        <v>4</v>
      </c>
      <c r="H94" s="5" t="n">
        <v>2</v>
      </c>
      <c r="I94" s="5" t="n">
        <v>2</v>
      </c>
      <c r="J94" s="5" t="n">
        <v>2</v>
      </c>
      <c r="K94" s="5" t="n">
        <v>2</v>
      </c>
      <c r="L94" s="22">
        <f>IF(OR(A94=59,A94=70),"BW-06",IF(OR(A94=140,A94=158,A94=165,A94=190,A94=206),"BW-04",IF(C94&lt;=8,"HL-0"&amp;C94,"BW-"&amp;IF(C94-8&lt;10,"0"&amp;(C94-8),C94-8))))</f>
        <v/>
      </c>
      <c r="M94" s="22">
        <f>IFERROR(VLOOKUP(L94,Zuordnung!$A$2:$B$23,2,FALSE)&amp;"","?")</f>
        <v/>
      </c>
    </row>
    <row r="95">
      <c r="A95" s="5" t="n">
        <v>223</v>
      </c>
      <c r="B95" s="5" t="inlineStr">
        <is>
          <t>2026-08-23 10:53:34</t>
        </is>
      </c>
      <c r="C95" s="5" t="n">
        <v>16</v>
      </c>
      <c r="D95" s="5" t="n">
        <v>1</v>
      </c>
      <c r="E95" s="5" t="n">
        <v>10</v>
      </c>
      <c r="F95" s="5" t="n">
        <v>1</v>
      </c>
      <c r="G95" s="5" t="n">
        <v>4</v>
      </c>
      <c r="H95" s="5" t="n">
        <v>4</v>
      </c>
      <c r="I95" s="5" t="n">
        <v>2</v>
      </c>
      <c r="J95" s="5" t="n">
        <v>2</v>
      </c>
      <c r="K95" s="5" t="n">
        <v>2</v>
      </c>
      <c r="L95" s="22">
        <f>IF(OR(A95=59,A95=70),"BW-06",IF(OR(A95=140,A95=158,A95=165,A95=190,A95=206),"BW-04",IF(C95&lt;=8,"HL-0"&amp;C95,"BW-"&amp;IF(C95-8&lt;10,"0"&amp;(C95-8),C95-8))))</f>
        <v/>
      </c>
      <c r="M95" s="22">
        <f>IFERROR(VLOOKUP(L95,Zuordnung!$A$2:$B$23,2,FALSE)&amp;"","?")</f>
        <v/>
      </c>
    </row>
    <row r="96">
      <c r="A96" s="5" t="n">
        <v>224</v>
      </c>
      <c r="B96" s="5" t="inlineStr">
        <is>
          <t>2026-08-23 11:24:30</t>
        </is>
      </c>
      <c r="C96" s="5" t="n">
        <v>18</v>
      </c>
      <c r="D96" s="5" t="n">
        <v>1</v>
      </c>
      <c r="E96" s="5" t="n">
        <v>10</v>
      </c>
      <c r="F96" s="5" t="n">
        <v>1</v>
      </c>
      <c r="G96" s="5" t="n">
        <v>6</v>
      </c>
      <c r="H96" s="5" t="n">
        <v>4</v>
      </c>
      <c r="I96" s="5" t="n">
        <v>2</v>
      </c>
      <c r="J96" s="5" t="n">
        <v>2</v>
      </c>
      <c r="K96" s="5" t="n">
        <v>2</v>
      </c>
      <c r="L96" s="22">
        <f>IF(OR(A96=59,A96=70),"BW-06",IF(OR(A96=140,A96=158,A96=165,A96=190,A96=206),"BW-04",IF(C96&lt;=8,"HL-0"&amp;C96,"BW-"&amp;IF(C96-8&lt;10,"0"&amp;(C96-8),C96-8))))</f>
        <v/>
      </c>
      <c r="M96" s="22">
        <f>IFERROR(VLOOKUP(L96,Zuordnung!$A$2:$B$23,2,FALSE)&amp;"","?")</f>
        <v/>
      </c>
    </row>
    <row r="97">
      <c r="A97" s="5" t="n">
        <v>228</v>
      </c>
      <c r="B97" s="5" t="inlineStr">
        <is>
          <t>2026-08-23 21:04:01</t>
        </is>
      </c>
      <c r="C97" s="5" t="n">
        <v>3</v>
      </c>
      <c r="D97" s="5" t="n">
        <v>1</v>
      </c>
      <c r="E97" s="5" t="n">
        <v>9</v>
      </c>
      <c r="F97" s="5" t="n">
        <v>1</v>
      </c>
      <c r="G97" s="5" t="n">
        <v>5</v>
      </c>
      <c r="H97" s="5" t="n">
        <v>4</v>
      </c>
      <c r="I97" s="5" t="n">
        <v>2</v>
      </c>
      <c r="J97" s="5" t="n">
        <v>2</v>
      </c>
      <c r="K97" s="5" t="n">
        <v>1</v>
      </c>
      <c r="L97" s="22">
        <f>IF(OR(A97=59,A97=70),"BW-06",IF(OR(A97=140,A97=158,A97=165,A97=190,A97=206),"BW-04",IF(C97&lt;=8,"HL-0"&amp;C97,"BW-"&amp;IF(C97-8&lt;10,"0"&amp;(C97-8),C97-8))))</f>
        <v/>
      </c>
      <c r="M97" s="22">
        <f>IFERROR(VLOOKUP(L97,Zuordnung!$A$2:$B$23,2,FALSE)&amp;"","?")</f>
        <v/>
      </c>
    </row>
    <row r="98">
      <c r="A98" s="5" t="n">
        <v>229</v>
      </c>
      <c r="B98" s="5" t="inlineStr">
        <is>
          <t>2026-08-23 21:07:19</t>
        </is>
      </c>
      <c r="C98" s="5" t="n">
        <v>17</v>
      </c>
      <c r="D98" s="5" t="n">
        <v>1</v>
      </c>
      <c r="E98" s="5" t="n">
        <v>10</v>
      </c>
      <c r="F98" s="5" t="n">
        <v>1</v>
      </c>
      <c r="G98" s="5" t="n">
        <v>5</v>
      </c>
      <c r="H98" s="5" t="n">
        <v>4</v>
      </c>
      <c r="I98" s="5" t="n">
        <v>1</v>
      </c>
      <c r="J98" s="5" t="n">
        <v>2</v>
      </c>
      <c r="K98" s="5" t="n">
        <v>1</v>
      </c>
      <c r="L98" s="22">
        <f>IF(OR(A98=59,A98=70),"BW-06",IF(OR(A98=140,A98=158,A98=165,A98=190,A98=206),"BW-04",IF(C98&lt;=8,"HL-0"&amp;C98,"BW-"&amp;IF(C98-8&lt;10,"0"&amp;(C98-8),C98-8))))</f>
        <v/>
      </c>
      <c r="M98" s="22">
        <f>IFERROR(VLOOKUP(L98,Zuordnung!$A$2:$B$23,2,FALSE)&amp;"","?")</f>
        <v/>
      </c>
    </row>
    <row r="99">
      <c r="A99" s="5" t="n">
        <v>230</v>
      </c>
      <c r="B99" s="5" t="inlineStr">
        <is>
          <t>2026-08-23 21:14:46</t>
        </is>
      </c>
      <c r="C99" s="5" t="n">
        <v>10</v>
      </c>
      <c r="D99" s="5" t="n">
        <v>1</v>
      </c>
      <c r="E99" s="5" t="n">
        <v>10</v>
      </c>
      <c r="F99" s="5" t="n">
        <v>1</v>
      </c>
      <c r="G99" s="5" t="n">
        <v>3</v>
      </c>
      <c r="H99" s="5" t="n">
        <v>1</v>
      </c>
      <c r="I99" s="5" t="n">
        <v>2</v>
      </c>
      <c r="J99" s="5" t="n">
        <v>2</v>
      </c>
      <c r="K99" s="5" t="n">
        <v>1</v>
      </c>
      <c r="L99" s="22">
        <f>IF(OR(A99=59,A99=70),"BW-06",IF(OR(A99=140,A99=158,A99=165,A99=190,A99=206),"BW-04",IF(C99&lt;=8,"HL-0"&amp;C99,"BW-"&amp;IF(C99-8&lt;10,"0"&amp;(C99-8),C99-8))))</f>
        <v/>
      </c>
      <c r="M99" s="22">
        <f>IFERROR(VLOOKUP(L99,Zuordnung!$A$2:$B$23,2,FALSE)&amp;"","?")</f>
        <v/>
      </c>
    </row>
    <row r="100">
      <c r="A100" s="5" t="n">
        <v>232</v>
      </c>
      <c r="B100" s="5" t="inlineStr">
        <is>
          <t>2026-08-23 21:16:45</t>
        </is>
      </c>
      <c r="C100" s="5" t="n">
        <v>1</v>
      </c>
      <c r="D100" s="5" t="n">
        <v>1</v>
      </c>
      <c r="E100" s="5" t="n">
        <v>10</v>
      </c>
      <c r="F100" s="5" t="n">
        <v>1</v>
      </c>
      <c r="G100" s="5" t="n">
        <v>4</v>
      </c>
      <c r="H100" s="5" t="n">
        <v>4</v>
      </c>
      <c r="I100" s="5" t="n">
        <v>2</v>
      </c>
      <c r="J100" s="5" t="n">
        <v>2</v>
      </c>
      <c r="K100" s="5" t="n">
        <v>1</v>
      </c>
      <c r="L100" s="22">
        <f>IF(OR(A100=59,A100=70),"BW-06",IF(OR(A100=140,A100=158,A100=165,A100=190,A100=206),"BW-04",IF(C100&lt;=8,"HL-0"&amp;C100,"BW-"&amp;IF(C100-8&lt;10,"0"&amp;(C100-8),C100-8))))</f>
        <v/>
      </c>
      <c r="M100" s="22">
        <f>IFERROR(VLOOKUP(L100,Zuordnung!$A$2:$B$23,2,FALSE)&amp;"","?")</f>
        <v/>
      </c>
    </row>
    <row r="101">
      <c r="A101" s="5" t="n">
        <v>246</v>
      </c>
      <c r="B101" s="5" t="inlineStr">
        <is>
          <t>2026-08-28 13:21:33</t>
        </is>
      </c>
      <c r="C101" s="5" t="n">
        <v>15</v>
      </c>
      <c r="D101" s="5" t="n">
        <v>1</v>
      </c>
      <c r="E101" s="5" t="n">
        <v>11</v>
      </c>
      <c r="F101" s="5" t="n">
        <v>1</v>
      </c>
      <c r="G101" s="5" t="n">
        <v>5</v>
      </c>
      <c r="H101" s="5" t="n">
        <v>4</v>
      </c>
      <c r="I101" s="5" t="n">
        <v>2</v>
      </c>
      <c r="J101" s="5" t="n">
        <v>1</v>
      </c>
      <c r="K101" s="5" t="n">
        <v>1</v>
      </c>
      <c r="L101" s="22">
        <f>IF(OR(A101=59,A101=70),"BW-06",IF(OR(A101=140,A101=158,A101=165,A101=190,A101=206),"BW-04",IF(C101&lt;=8,"HL-0"&amp;C101,"BW-"&amp;IF(C101-8&lt;10,"0"&amp;(C101-8),C101-8))))</f>
        <v/>
      </c>
      <c r="M101" s="22">
        <f>IFERROR(VLOOKUP(L101,Zuordnung!$A$2:$B$23,2,FALSE)&amp;"","?")</f>
        <v/>
      </c>
    </row>
    <row r="102">
      <c r="A102" s="5" t="n">
        <v>250</v>
      </c>
      <c r="B102" s="5" t="inlineStr">
        <is>
          <t>2026-08-29 19:17:14</t>
        </is>
      </c>
      <c r="C102" s="5" t="n">
        <v>7</v>
      </c>
      <c r="D102" s="5" t="n">
        <v>1</v>
      </c>
      <c r="E102" s="5" t="n">
        <v>11</v>
      </c>
      <c r="F102" s="5" t="n">
        <v>3</v>
      </c>
      <c r="G102" s="5" t="n">
        <v>1</v>
      </c>
      <c r="H102" s="5" t="n">
        <v>5</v>
      </c>
      <c r="I102" s="5" t="n">
        <v>2</v>
      </c>
      <c r="J102" s="5" t="n">
        <v>2</v>
      </c>
      <c r="K102" s="5" t="n">
        <v>2</v>
      </c>
      <c r="L102" s="22">
        <f>IF(OR(A102=59,A102=70),"BW-06",IF(OR(A102=140,A102=158,A102=165,A102=190,A102=206),"BW-04",IF(C102&lt;=8,"HL-0"&amp;C102,"BW-"&amp;IF(C102-8&lt;10,"0"&amp;(C102-8),C102-8))))</f>
        <v/>
      </c>
      <c r="M102" s="22">
        <f>IFERROR(VLOOKUP(L102,Zuordnung!$A$2:$B$23,2,FALSE)&amp;"","?")</f>
        <v/>
      </c>
    </row>
    <row r="103">
      <c r="A103" s="5" t="n">
        <v>251</v>
      </c>
      <c r="B103" s="5" t="inlineStr">
        <is>
          <t>2026-08-29 19:17:54</t>
        </is>
      </c>
      <c r="C103" s="5" t="n">
        <v>7</v>
      </c>
      <c r="D103" s="5" t="n">
        <v>1</v>
      </c>
      <c r="E103" s="5" t="n">
        <v>12</v>
      </c>
      <c r="F103" s="5" t="n">
        <v>3</v>
      </c>
      <c r="G103" s="5" t="n">
        <v>1</v>
      </c>
      <c r="H103" s="5" t="n">
        <v>1</v>
      </c>
      <c r="I103" s="5" t="n">
        <v>2</v>
      </c>
      <c r="J103" s="5" t="n">
        <v>2</v>
      </c>
      <c r="K103" s="5" t="n">
        <v>2</v>
      </c>
      <c r="L103" s="22">
        <f>IF(OR(A103=59,A103=70),"BW-06",IF(OR(A103=140,A103=158,A103=165,A103=190,A103=206),"BW-04",IF(C103&lt;=8,"HL-0"&amp;C103,"BW-"&amp;IF(C103-8&lt;10,"0"&amp;(C103-8),C103-8))))</f>
        <v/>
      </c>
      <c r="M103" s="22">
        <f>IFERROR(VLOOKUP(L103,Zuordnung!$A$2:$B$23,2,FALSE)&amp;"","?")</f>
        <v/>
      </c>
    </row>
    <row r="104">
      <c r="A104" s="5" t="n">
        <v>252</v>
      </c>
      <c r="B104" s="5" t="inlineStr">
        <is>
          <t>2026-08-30 11:39:43</t>
        </is>
      </c>
      <c r="C104" s="5" t="n">
        <v>1</v>
      </c>
      <c r="D104" s="5" t="n">
        <v>1</v>
      </c>
      <c r="E104" s="5" t="n">
        <v>12</v>
      </c>
      <c r="F104" s="5" t="n">
        <v>1</v>
      </c>
      <c r="G104" s="5" t="n">
        <v>5</v>
      </c>
      <c r="H104" s="5" t="n">
        <v>4</v>
      </c>
      <c r="I104" s="5" t="n">
        <v>2</v>
      </c>
      <c r="J104" s="5" t="n">
        <v>2</v>
      </c>
      <c r="K104" s="5" t="n">
        <v>1</v>
      </c>
      <c r="L104" s="22">
        <f>IF(OR(A104=59,A104=70),"BW-06",IF(OR(A104=140,A104=158,A104=165,A104=190,A104=206),"BW-04",IF(C104&lt;=8,"HL-0"&amp;C104,"BW-"&amp;IF(C104-8&lt;10,"0"&amp;(C104-8),C104-8))))</f>
        <v/>
      </c>
      <c r="M104" s="22">
        <f>IFERROR(VLOOKUP(L104,Zuordnung!$A$2:$B$23,2,FALSE)&amp;"","?")</f>
        <v/>
      </c>
    </row>
    <row r="105">
      <c r="A105" s="5" t="n">
        <v>253</v>
      </c>
      <c r="B105" s="5" t="inlineStr">
        <is>
          <t>2026-08-30 11:39:57</t>
        </is>
      </c>
      <c r="C105" s="5" t="n">
        <v>3</v>
      </c>
      <c r="D105" s="5" t="n">
        <v>1</v>
      </c>
      <c r="E105" s="5" t="n">
        <v>11</v>
      </c>
      <c r="F105" s="5" t="n">
        <v>3</v>
      </c>
      <c r="G105" s="5" t="n">
        <v>1</v>
      </c>
      <c r="H105" s="5" t="n">
        <v>5</v>
      </c>
      <c r="I105" s="5" t="n">
        <v>2</v>
      </c>
      <c r="J105" s="5" t="n">
        <v>2</v>
      </c>
      <c r="K105" s="5" t="n">
        <v>1</v>
      </c>
      <c r="L105" s="22">
        <f>IF(OR(A105=59,A105=70),"BW-06",IF(OR(A105=140,A105=158,A105=165,A105=190,A105=206),"BW-04",IF(C105&lt;=8,"HL-0"&amp;C105,"BW-"&amp;IF(C105-8&lt;10,"0"&amp;(C105-8),C105-8))))</f>
        <v/>
      </c>
      <c r="M105" s="22">
        <f>IFERROR(VLOOKUP(L105,Zuordnung!$A$2:$B$23,2,FALSE)&amp;"","?")</f>
        <v/>
      </c>
    </row>
    <row r="106">
      <c r="A106" s="5" t="n">
        <v>254</v>
      </c>
      <c r="B106" s="5" t="inlineStr">
        <is>
          <t>2026-08-30 11:40:46</t>
        </is>
      </c>
      <c r="C106" s="5" t="n">
        <v>3</v>
      </c>
      <c r="D106" s="5" t="n">
        <v>1</v>
      </c>
      <c r="E106" s="5" t="n">
        <v>11</v>
      </c>
      <c r="F106" s="5" t="n">
        <v>3</v>
      </c>
      <c r="G106" s="5" t="n">
        <v>1</v>
      </c>
      <c r="H106" s="5" t="n">
        <v>5</v>
      </c>
      <c r="I106" s="5" t="n">
        <v>2</v>
      </c>
      <c r="J106" s="5" t="n">
        <v>2</v>
      </c>
      <c r="K106" s="5" t="n">
        <v>1</v>
      </c>
      <c r="L106" s="22">
        <f>IF(OR(A106=59,A106=70),"BW-06",IF(OR(A106=140,A106=158,A106=165,A106=190,A106=206),"BW-04",IF(C106&lt;=8,"HL-0"&amp;C106,"BW-"&amp;IF(C106-8&lt;10,"0"&amp;(C106-8),C106-8))))</f>
        <v/>
      </c>
      <c r="M106" s="22">
        <f>IFERROR(VLOOKUP(L106,Zuordnung!$A$2:$B$23,2,FALSE)&amp;"","?")</f>
        <v/>
      </c>
    </row>
    <row r="107">
      <c r="A107" s="5" t="n">
        <v>255</v>
      </c>
      <c r="B107" s="5" t="inlineStr">
        <is>
          <t>2026-08-30 12:09:09</t>
        </is>
      </c>
      <c r="C107" s="5" t="n">
        <v>2</v>
      </c>
      <c r="D107" s="5" t="n">
        <v>1</v>
      </c>
      <c r="E107" s="5" t="n">
        <v>11</v>
      </c>
      <c r="F107" s="5" t="n">
        <v>1</v>
      </c>
      <c r="G107" s="5" t="n">
        <v>5</v>
      </c>
      <c r="H107" s="5" t="n">
        <v>2</v>
      </c>
      <c r="I107" s="5" t="n">
        <v>2</v>
      </c>
      <c r="J107" s="5" t="n">
        <v>2</v>
      </c>
      <c r="K107" s="5" t="n">
        <v>2</v>
      </c>
      <c r="L107" s="22">
        <f>IF(OR(A107=59,A107=70),"BW-06",IF(OR(A107=140,A107=158,A107=165,A107=190,A107=206),"BW-04",IF(C107&lt;=8,"HL-0"&amp;C107,"BW-"&amp;IF(C107-8&lt;10,"0"&amp;(C107-8),C107-8))))</f>
        <v/>
      </c>
      <c r="M107" s="22">
        <f>IFERROR(VLOOKUP(L107,Zuordnung!$A$2:$B$23,2,FALSE)&amp;"","?")</f>
        <v/>
      </c>
    </row>
    <row r="108">
      <c r="A108" s="5" t="n">
        <v>256</v>
      </c>
      <c r="B108" s="5" t="inlineStr">
        <is>
          <t>2026-08-30 12:11:35</t>
        </is>
      </c>
      <c r="C108" s="5" t="n">
        <v>12</v>
      </c>
      <c r="D108" s="5" t="n">
        <v>1</v>
      </c>
      <c r="E108" s="5" t="n">
        <v>11</v>
      </c>
      <c r="F108" s="5" t="n">
        <v>1</v>
      </c>
      <c r="G108" s="5" t="n">
        <v>2</v>
      </c>
      <c r="H108" s="5" t="n">
        <v>1</v>
      </c>
      <c r="I108" s="5" t="n">
        <v>2</v>
      </c>
      <c r="J108" s="5" t="n">
        <v>2</v>
      </c>
      <c r="K108" s="5" t="n">
        <v>1</v>
      </c>
      <c r="L108" s="22">
        <f>IF(OR(A108=59,A108=70),"BW-06",IF(OR(A108=140,A108=158,A108=165,A108=190,A108=206),"BW-04",IF(C108&lt;=8,"HL-0"&amp;C108,"BW-"&amp;IF(C108-8&lt;10,"0"&amp;(C108-8),C108-8))))</f>
        <v/>
      </c>
      <c r="M108" s="22">
        <f>IFERROR(VLOOKUP(L108,Zuordnung!$A$2:$B$23,2,FALSE)&amp;"","?")</f>
        <v/>
      </c>
    </row>
    <row r="109">
      <c r="A109" s="5" t="n">
        <v>257</v>
      </c>
      <c r="B109" s="5" t="inlineStr">
        <is>
          <t>2026-08-30 14:30:20</t>
        </is>
      </c>
      <c r="C109" s="5" t="n">
        <v>10</v>
      </c>
      <c r="D109" s="5" t="n">
        <v>1</v>
      </c>
      <c r="E109" s="5" t="n">
        <v>11</v>
      </c>
      <c r="F109" s="5" t="n">
        <v>1</v>
      </c>
      <c r="G109" s="5" t="n">
        <v>3</v>
      </c>
      <c r="H109" s="5" t="n">
        <v>4</v>
      </c>
      <c r="I109" s="5" t="n">
        <v>2</v>
      </c>
      <c r="J109" s="5" t="n">
        <v>2</v>
      </c>
      <c r="K109" s="5" t="n">
        <v>2</v>
      </c>
      <c r="L109" s="22">
        <f>IF(OR(A109=59,A109=70),"BW-06",IF(OR(A109=140,A109=158,A109=165,A109=190,A109=206),"BW-04",IF(C109&lt;=8,"HL-0"&amp;C109,"BW-"&amp;IF(C109-8&lt;10,"0"&amp;(C109-8),C109-8))))</f>
        <v/>
      </c>
      <c r="M109" s="22">
        <f>IFERROR(VLOOKUP(L109,Zuordnung!$A$2:$B$23,2,FALSE)&amp;"","?")</f>
        <v/>
      </c>
    </row>
    <row r="110">
      <c r="A110" s="5" t="n">
        <v>258</v>
      </c>
      <c r="B110" s="5" t="inlineStr">
        <is>
          <t>2026-08-30 16:54:40</t>
        </is>
      </c>
      <c r="C110" s="5" t="n">
        <v>10</v>
      </c>
      <c r="D110" s="5" t="n">
        <v>1</v>
      </c>
      <c r="E110" s="5" t="n">
        <v>12</v>
      </c>
      <c r="F110" s="5" t="n">
        <v>1</v>
      </c>
      <c r="G110" s="5" t="n">
        <v>3</v>
      </c>
      <c r="H110" s="5" t="n">
        <v>5</v>
      </c>
      <c r="I110" s="5" t="n">
        <v>2</v>
      </c>
      <c r="J110" s="5" t="n">
        <v>2</v>
      </c>
      <c r="K110" s="5" t="n">
        <v>1</v>
      </c>
      <c r="L110" s="22">
        <f>IF(OR(A110=59,A110=70),"BW-06",IF(OR(A110=140,A110=158,A110=165,A110=190,A110=206),"BW-04",IF(C110&lt;=8,"HL-0"&amp;C110,"BW-"&amp;IF(C110-8&lt;10,"0"&amp;(C110-8),C110-8))))</f>
        <v/>
      </c>
      <c r="M110" s="22">
        <f>IFERROR(VLOOKUP(L110,Zuordnung!$A$2:$B$23,2,FALSE)&amp;"","?")</f>
        <v/>
      </c>
    </row>
    <row r="111">
      <c r="A111" s="5" t="n">
        <v>260</v>
      </c>
      <c r="B111" s="5" t="inlineStr">
        <is>
          <t>2026-08-30 21:51:58</t>
        </is>
      </c>
      <c r="C111" s="5" t="n">
        <v>17</v>
      </c>
      <c r="D111" s="5" t="n">
        <v>1</v>
      </c>
      <c r="E111" s="5" t="n">
        <v>11</v>
      </c>
      <c r="F111" s="5" t="n">
        <v>1</v>
      </c>
      <c r="G111" s="5" t="n">
        <v>4</v>
      </c>
      <c r="H111" s="5" t="n">
        <v>4</v>
      </c>
      <c r="I111" s="5" t="n">
        <v>2</v>
      </c>
      <c r="J111" s="5" t="n">
        <v>2</v>
      </c>
      <c r="K111" s="5" t="n">
        <v>1</v>
      </c>
      <c r="L111" s="22">
        <f>IF(OR(A111=59,A111=70),"BW-06",IF(OR(A111=140,A111=158,A111=165,A111=190,A111=206),"BW-04",IF(C111&lt;=8,"HL-0"&amp;C111,"BW-"&amp;IF(C111-8&lt;10,"0"&amp;(C111-8),C111-8))))</f>
        <v/>
      </c>
      <c r="M111" s="22">
        <f>IFERROR(VLOOKUP(L111,Zuordnung!$A$2:$B$23,2,FALSE)&amp;"","?")</f>
        <v/>
      </c>
    </row>
    <row r="112">
      <c r="A112" s="5" t="n">
        <v>261</v>
      </c>
      <c r="B112" s="5" t="inlineStr">
        <is>
          <t>2026-08-30 21:53:04</t>
        </is>
      </c>
      <c r="C112" s="5" t="n">
        <v>17</v>
      </c>
      <c r="D112" s="5" t="n">
        <v>1</v>
      </c>
      <c r="E112" s="5" t="n">
        <v>12</v>
      </c>
      <c r="F112" s="5" t="n">
        <v>3</v>
      </c>
      <c r="G112" s="5" t="n">
        <v>1</v>
      </c>
      <c r="H112" s="5" t="n">
        <v>5</v>
      </c>
      <c r="I112" s="5" t="n">
        <v>2</v>
      </c>
      <c r="J112" s="5" t="n">
        <v>2</v>
      </c>
      <c r="K112" s="5" t="n">
        <v>2</v>
      </c>
      <c r="L112" s="22">
        <f>IF(OR(A112=59,A112=70),"BW-06",IF(OR(A112=140,A112=158,A112=165,A112=190,A112=206),"BW-04",IF(C112&lt;=8,"HL-0"&amp;C112,"BW-"&amp;IF(C112-8&lt;10,"0"&amp;(C112-8),C112-8))))</f>
        <v/>
      </c>
      <c r="M112" s="22">
        <f>IFERROR(VLOOKUP(L112,Zuordnung!$A$2:$B$23,2,FALSE)&amp;"","?")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0" t="inlineStr">
        <is>
          <t>alter_jahre</t>
        </is>
      </c>
      <c r="B1" s="20" t="inlineStr">
        <is>
          <t>beta0</t>
        </is>
      </c>
      <c r="C1" s="20" t="inlineStr">
        <is>
          <t>stature_in</t>
        </is>
      </c>
      <c r="D1" s="20" t="inlineStr">
        <is>
          <t>weight_lb</t>
        </is>
      </c>
      <c r="E1" s="20" t="inlineStr">
        <is>
          <t>midparent_in</t>
        </is>
      </c>
    </row>
    <row r="2">
      <c r="A2" s="5" t="n">
        <v>4</v>
      </c>
      <c r="B2" s="5" t="n">
        <v>-10.2567</v>
      </c>
      <c r="C2" s="5" t="n">
        <v>1.23812</v>
      </c>
      <c r="D2" s="5" t="n">
        <v>-0.0087235</v>
      </c>
      <c r="E2" s="5" t="n">
        <v>0.50286</v>
      </c>
    </row>
    <row r="3">
      <c r="A3" s="5" t="n">
        <v>4.5</v>
      </c>
      <c r="B3" s="5" t="n">
        <v>-10.719</v>
      </c>
      <c r="C3" s="5" t="n">
        <v>1.15964</v>
      </c>
      <c r="D3" s="5" t="n">
        <v>-0.0074454</v>
      </c>
      <c r="E3" s="5" t="n">
        <v>0.52887</v>
      </c>
    </row>
    <row r="4">
      <c r="A4" s="5" t="n">
        <v>5</v>
      </c>
      <c r="B4" s="5" t="n">
        <v>-11.0213</v>
      </c>
      <c r="C4" s="5" t="n">
        <v>1.10674</v>
      </c>
      <c r="D4" s="5" t="n">
        <v>-0.0064778</v>
      </c>
      <c r="E4" s="5" t="n">
        <v>0.5391899999999999</v>
      </c>
    </row>
    <row r="5">
      <c r="A5" s="5" t="n">
        <v>5.5</v>
      </c>
      <c r="B5" s="5" t="n">
        <v>-11.1556</v>
      </c>
      <c r="C5" s="5" t="n">
        <v>1.0748</v>
      </c>
      <c r="D5" s="5" t="n">
        <v>-0.005776</v>
      </c>
      <c r="E5" s="5" t="n">
        <v>0.53691</v>
      </c>
    </row>
    <row r="6">
      <c r="A6" s="5" t="n">
        <v>6</v>
      </c>
      <c r="B6" s="5" t="n">
        <v>-11.1138</v>
      </c>
      <c r="C6" s="5" t="n">
        <v>1.05923</v>
      </c>
      <c r="D6" s="5" t="n">
        <v>-0.0052947</v>
      </c>
      <c r="E6" s="5" t="n">
        <v>0.52513</v>
      </c>
    </row>
    <row r="7">
      <c r="A7" s="5" t="n">
        <v>6.5</v>
      </c>
      <c r="B7" s="5" t="n">
        <v>-11.0221</v>
      </c>
      <c r="C7" s="5" t="n">
        <v>1.05542</v>
      </c>
      <c r="D7" s="5" t="n">
        <v>-0.0049892</v>
      </c>
      <c r="E7" s="5" t="n">
        <v>0.50692</v>
      </c>
    </row>
    <row r="8">
      <c r="A8" s="5" t="n">
        <v>7</v>
      </c>
      <c r="B8" s="5" t="n">
        <v>-10.9984</v>
      </c>
      <c r="C8" s="5" t="n">
        <v>1.05877</v>
      </c>
      <c r="D8" s="5" t="n">
        <v>-0.0048144</v>
      </c>
      <c r="E8" s="5" t="n">
        <v>0.48538</v>
      </c>
    </row>
    <row r="9">
      <c r="A9" s="5" t="n">
        <v>7.5</v>
      </c>
      <c r="B9" s="5" t="n">
        <v>-11.0214</v>
      </c>
      <c r="C9" s="5" t="n">
        <v>1.06467</v>
      </c>
      <c r="D9" s="5" t="n">
        <v>-0.0047256</v>
      </c>
      <c r="E9" s="5" t="n">
        <v>0.46361</v>
      </c>
    </row>
    <row r="10">
      <c r="A10" s="5" t="n">
        <v>8</v>
      </c>
      <c r="B10" s="5" t="n">
        <v>-11.0696</v>
      </c>
      <c r="C10" s="5" t="n">
        <v>1.06853</v>
      </c>
      <c r="D10" s="5" t="n">
        <v>-0.0046778</v>
      </c>
      <c r="E10" s="5" t="n">
        <v>0.44469</v>
      </c>
    </row>
    <row r="11">
      <c r="A11" s="5" t="n">
        <v>8.5</v>
      </c>
      <c r="B11" s="5" t="n">
        <v>-11.122</v>
      </c>
      <c r="C11" s="5" t="n">
        <v>1.06572</v>
      </c>
      <c r="D11" s="5" t="n">
        <v>-0.0046261</v>
      </c>
      <c r="E11" s="5" t="n">
        <v>0.43171</v>
      </c>
    </row>
    <row r="12">
      <c r="A12" s="5" t="n">
        <v>9</v>
      </c>
      <c r="B12" s="5" t="n">
        <v>-11.1571</v>
      </c>
      <c r="C12" s="5" t="n">
        <v>1.05166</v>
      </c>
      <c r="D12" s="5" t="n">
        <v>-0.0045254</v>
      </c>
      <c r="E12" s="5" t="n">
        <v>0.42776</v>
      </c>
    </row>
    <row r="13">
      <c r="A13" s="5" t="n">
        <v>9.5</v>
      </c>
      <c r="B13" s="5" t="n">
        <v>-11.1405</v>
      </c>
      <c r="C13" s="5" t="n">
        <v>1.02174</v>
      </c>
      <c r="D13" s="5" t="n">
        <v>-0.0043311</v>
      </c>
      <c r="E13" s="5" t="n">
        <v>0.43593</v>
      </c>
    </row>
    <row r="14">
      <c r="A14" s="5" t="n">
        <v>10</v>
      </c>
      <c r="B14" s="5" t="n">
        <v>-11.038</v>
      </c>
      <c r="C14" s="5" t="n">
        <v>0.97135</v>
      </c>
      <c r="D14" s="5" t="n">
        <v>-0.0039981</v>
      </c>
      <c r="E14" s="5" t="n">
        <v>0.45932</v>
      </c>
    </row>
    <row r="15">
      <c r="A15" s="5" t="n">
        <v>10.5</v>
      </c>
      <c r="B15" s="5" t="n">
        <v>-10.8286</v>
      </c>
      <c r="C15" s="5" t="n">
        <v>0.89589</v>
      </c>
      <c r="D15" s="5" t="n">
        <v>-0.0034814</v>
      </c>
      <c r="E15" s="5" t="n">
        <v>0.50101</v>
      </c>
    </row>
    <row r="16">
      <c r="A16" s="5" t="n">
        <v>11</v>
      </c>
      <c r="B16" s="5" t="n">
        <v>-10.4917</v>
      </c>
      <c r="C16" s="5" t="n">
        <v>0.8123899999999999</v>
      </c>
      <c r="D16" s="5" t="n">
        <v>-0.002905</v>
      </c>
      <c r="E16" s="5" t="n">
        <v>0.54781</v>
      </c>
    </row>
    <row r="17">
      <c r="A17" s="5" t="n">
        <v>11.5</v>
      </c>
      <c r="B17" s="5" t="n">
        <v>-10.0065</v>
      </c>
      <c r="C17" s="5" t="n">
        <v>0.74134</v>
      </c>
      <c r="D17" s="5" t="n">
        <v>-0.0024167</v>
      </c>
      <c r="E17" s="5" t="n">
        <v>0.58409</v>
      </c>
    </row>
    <row r="18">
      <c r="A18" s="5" t="n">
        <v>12</v>
      </c>
      <c r="B18" s="5" t="n">
        <v>-9.3522</v>
      </c>
      <c r="C18" s="5" t="n">
        <v>0.68325</v>
      </c>
      <c r="D18" s="5" t="n">
        <v>-0.0020076</v>
      </c>
      <c r="E18" s="5" t="n">
        <v>0.60927</v>
      </c>
    </row>
    <row r="19">
      <c r="A19" s="5" t="n">
        <v>12.5</v>
      </c>
      <c r="B19" s="5" t="n">
        <v>-8.605499999999999</v>
      </c>
      <c r="C19" s="5" t="n">
        <v>0.63869</v>
      </c>
      <c r="D19" s="5" t="n">
        <v>-0.0016681</v>
      </c>
      <c r="E19" s="5" t="n">
        <v>0.62279</v>
      </c>
    </row>
    <row r="20">
      <c r="A20" s="5" t="n">
        <v>13</v>
      </c>
      <c r="B20" s="5" t="n">
        <v>-7.8632</v>
      </c>
      <c r="C20" s="5" t="n">
        <v>0.6081800000000001</v>
      </c>
      <c r="D20" s="5" t="n">
        <v>-0.0013895</v>
      </c>
      <c r="E20" s="5" t="n">
        <v>0.62407</v>
      </c>
    </row>
    <row r="21">
      <c r="A21" s="5" t="n">
        <v>13.5</v>
      </c>
      <c r="B21" s="5" t="n">
        <v>-7.1348</v>
      </c>
      <c r="C21" s="5" t="n">
        <v>0.59228</v>
      </c>
      <c r="D21" s="5" t="n">
        <v>-0.0011624</v>
      </c>
      <c r="E21" s="5" t="n">
        <v>0.61253</v>
      </c>
    </row>
    <row r="22">
      <c r="A22" s="5" t="n">
        <v>14</v>
      </c>
      <c r="B22" s="5" t="n">
        <v>-6.4299</v>
      </c>
      <c r="C22" s="5" t="n">
        <v>0.59151</v>
      </c>
      <c r="D22" s="5" t="n">
        <v>-0.0009775999999999999</v>
      </c>
      <c r="E22" s="5" t="n">
        <v>0.58762</v>
      </c>
    </row>
    <row r="23">
      <c r="A23" s="5" t="n">
        <v>14.5</v>
      </c>
      <c r="B23" s="5" t="n">
        <v>-5.7578</v>
      </c>
      <c r="C23" s="5" t="n">
        <v>0.60643</v>
      </c>
      <c r="D23" s="5" t="n">
        <v>-0.0008261</v>
      </c>
      <c r="E23" s="5" t="n">
        <v>0.54875</v>
      </c>
    </row>
    <row r="24">
      <c r="A24" s="5" t="n">
        <v>15</v>
      </c>
      <c r="B24" s="5" t="n">
        <v>-5.1282</v>
      </c>
      <c r="C24" s="5" t="n">
        <v>0.63757</v>
      </c>
      <c r="D24" s="5" t="n">
        <v>-0.0006988</v>
      </c>
      <c r="E24" s="5" t="n">
        <v>0.49536</v>
      </c>
    </row>
    <row r="25">
      <c r="A25" s="5" t="n">
        <v>15.5</v>
      </c>
      <c r="B25" s="5" t="n">
        <v>-4.5092</v>
      </c>
      <c r="C25" s="5" t="n">
        <v>0.68548</v>
      </c>
      <c r="D25" s="5" t="n">
        <v>-0.0005863</v>
      </c>
      <c r="E25" s="5" t="n">
        <v>0.42687</v>
      </c>
    </row>
    <row r="26">
      <c r="A26" s="5" t="n">
        <v>16</v>
      </c>
      <c r="B26" s="5" t="n">
        <v>-3.9292</v>
      </c>
      <c r="C26" s="5" t="n">
        <v>0.75069</v>
      </c>
      <c r="D26" s="5" t="n">
        <v>-0.0004795</v>
      </c>
      <c r="E26" s="5" t="n">
        <v>0.34271</v>
      </c>
    </row>
    <row r="27">
      <c r="A27" s="5" t="n">
        <v>16.5</v>
      </c>
      <c r="B27" s="5" t="n">
        <v>-3.4873</v>
      </c>
      <c r="C27" s="5" t="n">
        <v>0.83375</v>
      </c>
      <c r="D27" s="5" t="n">
        <v>-0.0003695</v>
      </c>
      <c r="E27" s="5" t="n">
        <v>0.24231</v>
      </c>
    </row>
    <row r="28">
      <c r="A28" s="5" t="n">
        <v>17</v>
      </c>
      <c r="B28" s="5" t="n">
        <v>-3.283</v>
      </c>
      <c r="C28" s="5" t="n">
        <v>0.9352</v>
      </c>
      <c r="D28" s="5" t="n">
        <v>-0.000247</v>
      </c>
      <c r="E28" s="5" t="n">
        <v>0.1251</v>
      </c>
    </row>
    <row r="29">
      <c r="A29" s="5" t="n">
        <v>17.5</v>
      </c>
      <c r="B29" s="5" t="n">
        <v>-3.4156</v>
      </c>
      <c r="C29" s="5" t="n">
        <v>1.05558</v>
      </c>
      <c r="D29" s="5" t="n">
        <v>-0.0001027</v>
      </c>
      <c r="E29" s="5" t="n">
        <v>-0.0095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0" customWidth="1" min="3" max="3"/>
    <col width="44" customWidth="1" min="4" max="4"/>
  </cols>
  <sheetData>
    <row r="1">
      <c r="A1" s="20" t="inlineStr">
        <is>
          <t>bemerkung_exakt</t>
        </is>
      </c>
      <c r="B1" s="20" t="inlineStr">
        <is>
          <t>kategorie</t>
        </is>
      </c>
      <c r="C1" s="20" t="inlineStr">
        <is>
          <t>bedeutung</t>
        </is>
      </c>
      <c r="D1" s="20" t="inlineStr">
        <is>
          <t>quelle</t>
        </is>
      </c>
    </row>
    <row r="2">
      <c r="A2" s="5" t="inlineStr">
        <is>
          <t>System nicht aufgenommen</t>
        </is>
      </c>
      <c r="B2" s="5" t="inlineStr">
        <is>
          <t>TECH</t>
        </is>
      </c>
      <c r="C2" s="5" t="inlineStr">
        <is>
          <t>technischer Ausfall der Lichtschranke</t>
        </is>
      </c>
      <c r="D2" s="5" t="inlineStr">
        <is>
          <t>PA § 3.1, Versuchszahl-Protokollbefund § 3</t>
        </is>
      </c>
    </row>
    <row r="3">
      <c r="A3" s="5" t="inlineStr">
        <is>
          <t>Nur 2 Versuche aus Zeitmangel</t>
        </is>
      </c>
      <c r="B3" s="5" t="inlineStr">
        <is>
          <t>ZEIT</t>
        </is>
      </c>
      <c r="C3" s="5" t="inlineStr">
        <is>
          <t>dritter Versuch aus Zeitmangel nicht durchgeführt</t>
        </is>
      </c>
      <c r="D3" s="5" t="inlineStr">
        <is>
          <t>PA § 3.1, Versuchszahl-Protokollbefund § 3</t>
        </is>
      </c>
    </row>
    <row r="4">
      <c r="A4" s="5" t="inlineStr">
        <is>
          <t>Linie nicht getroffen</t>
        </is>
      </c>
      <c r="B4" s="5" t="inlineStr">
        <is>
          <t>FEHL</t>
        </is>
      </c>
      <c r="C4" s="5" t="inlineStr">
        <is>
          <t>nicht wiederholbarer Fehlversuch</t>
        </is>
      </c>
      <c r="D4" s="5" t="inlineStr">
        <is>
          <t>PA § 3.1, Versuchszahl-Protokollbefund § 3</t>
        </is>
      </c>
    </row>
    <row r="5">
      <c r="A5" s="5" t="inlineStr">
        <is>
          <t>Kein fester Stand</t>
        </is>
      </c>
      <c r="B5" s="5" t="inlineStr">
        <is>
          <t>FEHL</t>
        </is>
      </c>
      <c r="C5" s="5" t="inlineStr">
        <is>
          <t>nicht wiederholbarer Fehlversuch</t>
        </is>
      </c>
      <c r="D5" s="5" t="inlineStr">
        <is>
          <t>PA § 3.1, Versuchszahl-Protokollbefund § 3</t>
        </is>
      </c>
    </row>
    <row r="6">
      <c r="A6" s="5" t="inlineStr">
        <is>
          <t>Fehlversuch</t>
        </is>
      </c>
      <c r="B6" s="5" t="inlineStr">
        <is>
          <t>FEHL</t>
        </is>
      </c>
      <c r="C6" s="5" t="inlineStr">
        <is>
          <t>nicht wiederholbarer Fehlversuch</t>
        </is>
      </c>
      <c r="D6" s="5" t="inlineStr">
        <is>
          <t>PA § 3.1, Versuchszahl-Protokollbefund § 3</t>
        </is>
      </c>
    </row>
    <row r="7">
      <c r="A7" s="5" t="inlineStr">
        <is>
          <t>Fehversuch</t>
        </is>
      </c>
      <c r="B7" s="5" t="inlineStr">
        <is>
          <t>FEHL</t>
        </is>
      </c>
      <c r="C7" s="5" t="inlineStr">
        <is>
          <t>Schreibvariante von Fehlversuch</t>
        </is>
      </c>
      <c r="D7" s="5" t="inlineStr">
        <is>
          <t>Auswertungsplan § 2 B0.4</t>
        </is>
      </c>
    </row>
    <row r="8">
      <c r="A8" s="5" t="inlineStr">
        <is>
          <t>System falsch aufgenommen</t>
        </is>
      </c>
      <c r="B8" s="5" t="inlineStr">
        <is>
          <t>FALSCH</t>
        </is>
      </c>
      <c r="C8" s="5" t="inlineStr">
        <is>
          <t>Lichtschranke falsch aufgenommen</t>
        </is>
      </c>
      <c r="D8" s="5" t="inlineStr">
        <is>
          <t>PA § 3.1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20" t="inlineStr">
        <is>
          <t>Listenlabel</t>
        </is>
      </c>
      <c r="B1" s="20" t="inlineStr">
        <is>
          <t>Analysecode</t>
        </is>
      </c>
    </row>
    <row r="2">
      <c r="A2" s="5" t="inlineStr">
        <is>
          <t>HL-01</t>
        </is>
      </c>
      <c r="B2" s="5" t="inlineStr">
        <is>
          <t>HL-01</t>
        </is>
      </c>
    </row>
    <row r="3">
      <c r="A3" s="5" t="inlineStr">
        <is>
          <t>HL-02</t>
        </is>
      </c>
      <c r="B3" s="5" t="inlineStr">
        <is>
          <t>HL-02</t>
        </is>
      </c>
    </row>
    <row r="4">
      <c r="A4" s="5" t="inlineStr">
        <is>
          <t>HL-03</t>
        </is>
      </c>
      <c r="B4" s="5" t="inlineStr">
        <is>
          <t>HL-03</t>
        </is>
      </c>
    </row>
    <row r="5">
      <c r="A5" s="5" t="inlineStr">
        <is>
          <t>HL-04</t>
        </is>
      </c>
      <c r="B5" s="5" t="inlineStr">
        <is>
          <t>HL-05</t>
        </is>
      </c>
    </row>
    <row r="6">
      <c r="A6" s="5" t="inlineStr">
        <is>
          <t>HL-05</t>
        </is>
      </c>
      <c r="B6" s="5" t="n"/>
    </row>
    <row r="7">
      <c r="A7" s="5" t="inlineStr">
        <is>
          <t>HL-06</t>
        </is>
      </c>
      <c r="B7" s="5" t="inlineStr">
        <is>
          <t>HL-06</t>
        </is>
      </c>
    </row>
    <row r="8">
      <c r="A8" s="5" t="inlineStr">
        <is>
          <t>HL-07</t>
        </is>
      </c>
      <c r="B8" s="5" t="inlineStr">
        <is>
          <t>HL-07</t>
        </is>
      </c>
    </row>
    <row r="9">
      <c r="A9" s="5" t="inlineStr">
        <is>
          <t>HL-08</t>
        </is>
      </c>
      <c r="B9" s="5" t="inlineStr">
        <is>
          <t>HL-08</t>
        </is>
      </c>
    </row>
    <row r="10">
      <c r="A10" s="5" t="inlineStr">
        <is>
          <t>BW-01</t>
        </is>
      </c>
      <c r="B10" s="5" t="inlineStr">
        <is>
          <t>BW-01</t>
        </is>
      </c>
    </row>
    <row r="11">
      <c r="A11" s="5" t="inlineStr">
        <is>
          <t>BW-02</t>
        </is>
      </c>
      <c r="B11" s="5" t="inlineStr">
        <is>
          <t>BW-02</t>
        </is>
      </c>
    </row>
    <row r="12">
      <c r="A12" s="5" t="inlineStr">
        <is>
          <t>BW-03</t>
        </is>
      </c>
      <c r="B12" s="5" t="n"/>
    </row>
    <row r="13">
      <c r="A13" s="5" t="inlineStr">
        <is>
          <t>BW-04</t>
        </is>
      </c>
      <c r="B13" s="5" t="inlineStr">
        <is>
          <t>BW-04</t>
        </is>
      </c>
    </row>
    <row r="14">
      <c r="A14" s="5" t="inlineStr">
        <is>
          <t>BW-05</t>
        </is>
      </c>
      <c r="B14" s="5" t="inlineStr">
        <is>
          <t>BW-05</t>
        </is>
      </c>
    </row>
    <row r="15">
      <c r="A15" s="5" t="inlineStr">
        <is>
          <t>BW-06</t>
        </is>
      </c>
      <c r="B15" s="5" t="inlineStr">
        <is>
          <t>BW-06</t>
        </is>
      </c>
    </row>
    <row r="16">
      <c r="A16" s="5" t="inlineStr">
        <is>
          <t>BW-07</t>
        </is>
      </c>
      <c r="B16" s="5" t="inlineStr">
        <is>
          <t>BW-07</t>
        </is>
      </c>
    </row>
    <row r="17">
      <c r="A17" s="5" t="inlineStr">
        <is>
          <t>BW-08</t>
        </is>
      </c>
      <c r="B17" s="5" t="inlineStr">
        <is>
          <t>BW-08</t>
        </is>
      </c>
    </row>
    <row r="18">
      <c r="A18" s="5" t="inlineStr">
        <is>
          <t>BW-09</t>
        </is>
      </c>
      <c r="B18" s="5" t="inlineStr">
        <is>
          <t>BW-09</t>
        </is>
      </c>
    </row>
    <row r="19">
      <c r="A19" s="5" t="inlineStr">
        <is>
          <t>BW-10</t>
        </is>
      </c>
      <c r="B19" s="5" t="inlineStr">
        <is>
          <t>BW-10</t>
        </is>
      </c>
    </row>
    <row r="20">
      <c r="A20" s="5" t="inlineStr">
        <is>
          <t>BW-11</t>
        </is>
      </c>
      <c r="B20" s="5" t="inlineStr">
        <is>
          <t>BW-11</t>
        </is>
      </c>
    </row>
    <row r="21">
      <c r="A21" s="5" t="inlineStr">
        <is>
          <t>BW-12</t>
        </is>
      </c>
      <c r="B21" s="5" t="n"/>
    </row>
    <row r="22">
      <c r="A22" s="5" t="inlineStr">
        <is>
          <t>BW-13</t>
        </is>
      </c>
      <c r="B22" s="5" t="n"/>
    </row>
    <row r="23">
      <c r="A23" s="5" t="inlineStr">
        <is>
          <t>BW-14</t>
        </is>
      </c>
      <c r="B23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Zwischengrößen je Spieler aus der berichteten Rechnung (Ergebnisse_R_2026-09-25.csv), nur zum Vergleich. Zeile 2 nennt das Kennungsmuster der Spalte. Leer = fehlend mit Grund in der Ergebnisdatei. Die Formeln der Handprobe lesen dieses Blatt nicht.</t>
        </is>
      </c>
    </row>
    <row r="2">
      <c r="A2" s="23" t="inlineStr"/>
      <c r="B2" s="23" t="inlineStr"/>
      <c r="C2" s="23" t="inlineStr"/>
      <c r="D2" s="23" t="inlineStr"/>
      <c r="E2" s="23" t="inlineStr">
        <is>
          <t>S05.PAH.PAH.PRE.P{c}.X</t>
        </is>
      </c>
      <c r="F2" s="23" t="inlineStr">
        <is>
          <t>S04.BEST.Z30.PRE.P{c}.X</t>
        </is>
      </c>
      <c r="G2" s="23" t="inlineStr">
        <is>
          <t>S04.BEST.Z30.POST.P{c}.X</t>
        </is>
      </c>
      <c r="H2" s="23" t="inlineStr">
        <is>
          <t>S04.BEST.CM.PRE.P{c}.X</t>
        </is>
      </c>
      <c r="I2" s="23" t="inlineStr">
        <is>
          <t>S04.BEST.CM.POST.P{c}.X</t>
        </is>
      </c>
      <c r="J2" s="23" t="inlineStr">
        <is>
          <t>S04.BEST.SBJ.PRE.P{c}.X</t>
        </is>
      </c>
      <c r="K2" s="23" t="inlineStr">
        <is>
          <t>S04.BEST.SBJ.POST.P{c}.X</t>
        </is>
      </c>
      <c r="L2" s="23" t="inlineStr">
        <is>
          <t>S08.MITGL.Z30.X.P{c}.ITT</t>
        </is>
      </c>
      <c r="M2" s="23" t="inlineStr">
        <is>
          <t>S08.MITGL.CM.X.P{c}.ITT</t>
        </is>
      </c>
      <c r="N2" s="23" t="inlineStr">
        <is>
          <t>S08.MITGL.SBJ.X.P{c}.ITT</t>
        </is>
      </c>
      <c r="O2" s="23" t="inlineStr">
        <is>
          <t>S07.ADH.ADH.X.P{c}.GANZ</t>
        </is>
      </c>
    </row>
    <row r="3">
      <c r="A3" s="20" t="inlineStr">
        <is>
          <t>Code</t>
        </is>
      </c>
      <c r="B3" s="20" t="inlineStr">
        <is>
          <t>Gruppe</t>
        </is>
      </c>
      <c r="C3" s="20" t="inlineStr">
        <is>
          <t>Verein</t>
        </is>
      </c>
      <c r="D3" s="20" t="inlineStr">
        <is>
          <t>G (IG = 1)</t>
        </is>
      </c>
      <c r="E3" s="20" t="inlineStr">
        <is>
          <t>%PAH</t>
        </is>
      </c>
      <c r="F3" s="20" t="inlineStr">
        <is>
          <t>BEST Z30 prä</t>
        </is>
      </c>
      <c r="G3" s="20" t="inlineStr">
        <is>
          <t>BEST Z30 post</t>
        </is>
      </c>
      <c r="H3" s="20" t="inlineStr">
        <is>
          <t>BEST CM prä</t>
        </is>
      </c>
      <c r="I3" s="20" t="inlineStr">
        <is>
          <t>BEST CM post</t>
        </is>
      </c>
      <c r="J3" s="20" t="inlineStr">
        <is>
          <t>BEST SBJ prä</t>
        </is>
      </c>
      <c r="K3" s="20" t="inlineStr">
        <is>
          <t>BEST SBJ post</t>
        </is>
      </c>
      <c r="L3" s="20" t="inlineStr">
        <is>
          <t>ITT Z30</t>
        </is>
      </c>
      <c r="M3" s="20" t="inlineStr">
        <is>
          <t>ITT CM</t>
        </is>
      </c>
      <c r="N3" s="20" t="inlineStr">
        <is>
          <t>ITT SBJ</t>
        </is>
      </c>
      <c r="O3" s="20" t="inlineStr">
        <is>
          <t>GANZ (Adhärenz)</t>
        </is>
      </c>
    </row>
    <row r="4">
      <c r="A4" s="5" t="inlineStr">
        <is>
          <t>BW-01</t>
        </is>
      </c>
      <c r="B4" s="5" t="inlineStr">
        <is>
          <t>IG</t>
        </is>
      </c>
      <c r="C4" s="5" t="inlineStr">
        <is>
          <t>B</t>
        </is>
      </c>
      <c r="D4" s="5" t="n">
        <v>1</v>
      </c>
      <c r="E4" s="12" t="n">
        <v>91.8543627273126</v>
      </c>
      <c r="F4" s="12" t="n">
        <v>4.53</v>
      </c>
      <c r="G4" s="12" t="n">
        <v>4.54</v>
      </c>
      <c r="H4" s="12" t="n">
        <v>2.555</v>
      </c>
      <c r="I4" s="12" t="n">
        <v>2.545</v>
      </c>
      <c r="J4" s="12" t="n">
        <v>222</v>
      </c>
      <c r="K4" s="12" t="n">
        <v>218</v>
      </c>
      <c r="L4" s="12" t="n">
        <v>1</v>
      </c>
      <c r="M4" s="12" t="n">
        <v>1</v>
      </c>
      <c r="N4" s="12" t="n">
        <v>1</v>
      </c>
      <c r="O4" s="12" t="n">
        <v>0</v>
      </c>
    </row>
    <row r="5">
      <c r="A5" s="5" t="inlineStr">
        <is>
          <t>BW-02</t>
        </is>
      </c>
      <c r="B5" s="5" t="inlineStr">
        <is>
          <t>IG</t>
        </is>
      </c>
      <c r="C5" s="5" t="inlineStr">
        <is>
          <t>B</t>
        </is>
      </c>
      <c r="D5" s="5" t="n">
        <v>1</v>
      </c>
      <c r="E5" s="12" t="n">
        <v>97.14569605122698</v>
      </c>
      <c r="F5" s="12" t="n">
        <v>4.69</v>
      </c>
      <c r="G5" s="12" t="n">
        <v>4.7</v>
      </c>
      <c r="H5" s="12" t="n">
        <v>2.47</v>
      </c>
      <c r="I5" s="12" t="n">
        <v>2.42</v>
      </c>
      <c r="J5" s="12" t="n">
        <v>228</v>
      </c>
      <c r="K5" s="12" t="n">
        <v>235</v>
      </c>
      <c r="L5" s="12" t="n">
        <v>1</v>
      </c>
      <c r="M5" s="12" t="n">
        <v>1</v>
      </c>
      <c r="N5" s="12" t="n">
        <v>1</v>
      </c>
      <c r="O5" s="12" t="n">
        <v>12</v>
      </c>
    </row>
    <row r="6">
      <c r="A6" s="5" t="inlineStr">
        <is>
          <t>BW-04</t>
        </is>
      </c>
      <c r="B6" s="5" t="inlineStr">
        <is>
          <t>IG</t>
        </is>
      </c>
      <c r="C6" s="5" t="inlineStr">
        <is>
          <t>B</t>
        </is>
      </c>
      <c r="D6" s="5" t="n">
        <v>1</v>
      </c>
      <c r="E6" s="12" t="n">
        <v>94.99023419784633</v>
      </c>
      <c r="F6" s="12" t="n">
        <v>4.63</v>
      </c>
      <c r="G6" s="12" t="n">
        <v>4.68</v>
      </c>
      <c r="H6" s="12" t="n">
        <v>2.425</v>
      </c>
      <c r="I6" s="12" t="n">
        <v>2.455</v>
      </c>
      <c r="J6" s="12" t="n">
        <v>251</v>
      </c>
      <c r="K6" s="12" t="n">
        <v>250</v>
      </c>
      <c r="L6" s="12" t="n">
        <v>1</v>
      </c>
      <c r="M6" s="12" t="n">
        <v>1</v>
      </c>
      <c r="N6" s="12" t="n">
        <v>1</v>
      </c>
      <c r="O6" s="12" t="n">
        <v>6</v>
      </c>
    </row>
    <row r="7">
      <c r="A7" s="5" t="inlineStr">
        <is>
          <t>BW-05</t>
        </is>
      </c>
      <c r="B7" s="5" t="inlineStr">
        <is>
          <t>IG</t>
        </is>
      </c>
      <c r="C7" s="5" t="inlineStr">
        <is>
          <t>B</t>
        </is>
      </c>
      <c r="D7" s="5" t="n">
        <v>1</v>
      </c>
      <c r="E7" s="12" t="n">
        <v>94.20842674468372</v>
      </c>
      <c r="F7" s="12" t="n">
        <v>4.42</v>
      </c>
      <c r="G7" s="12" t="n">
        <v>4.54</v>
      </c>
      <c r="H7" s="12" t="n">
        <v>2.475</v>
      </c>
      <c r="I7" s="12" t="n"/>
      <c r="J7" s="12" t="n">
        <v>238</v>
      </c>
      <c r="K7" s="12" t="n">
        <v>237</v>
      </c>
      <c r="L7" s="12" t="n">
        <v>1</v>
      </c>
      <c r="M7" s="12" t="n">
        <v>0</v>
      </c>
      <c r="N7" s="12" t="n">
        <v>1</v>
      </c>
      <c r="O7" s="12" t="n">
        <v>7</v>
      </c>
    </row>
    <row r="8">
      <c r="A8" s="5" t="inlineStr">
        <is>
          <t>BW-06</t>
        </is>
      </c>
      <c r="B8" s="5" t="inlineStr">
        <is>
          <t>IG</t>
        </is>
      </c>
      <c r="C8" s="5" t="inlineStr">
        <is>
          <t>B</t>
        </is>
      </c>
      <c r="D8" s="5" t="n">
        <v>1</v>
      </c>
      <c r="E8" s="12" t="n">
        <v>87.06618606364894</v>
      </c>
      <c r="F8" s="12" t="n">
        <v>4.5</v>
      </c>
      <c r="G8" s="12" t="n">
        <v>4.51</v>
      </c>
      <c r="H8" s="12" t="n">
        <v>2.575</v>
      </c>
      <c r="I8" s="12" t="n">
        <v>2.59</v>
      </c>
      <c r="J8" s="12" t="n">
        <v>243</v>
      </c>
      <c r="K8" s="12" t="n">
        <v>244</v>
      </c>
      <c r="L8" s="12" t="n">
        <v>1</v>
      </c>
      <c r="M8" s="12" t="n">
        <v>1</v>
      </c>
      <c r="N8" s="12" t="n">
        <v>1</v>
      </c>
      <c r="O8" s="12" t="n">
        <v>2</v>
      </c>
    </row>
    <row r="9">
      <c r="A9" s="5" t="inlineStr">
        <is>
          <t>BW-07</t>
        </is>
      </c>
      <c r="B9" s="5" t="inlineStr">
        <is>
          <t>IG</t>
        </is>
      </c>
      <c r="C9" s="5" t="inlineStr">
        <is>
          <t>B</t>
        </is>
      </c>
      <c r="D9" s="5" t="n">
        <v>1</v>
      </c>
      <c r="E9" s="12" t="n">
        <v>92.48533317159369</v>
      </c>
      <c r="F9" s="12" t="n">
        <v>4.29</v>
      </c>
      <c r="G9" s="12" t="n"/>
      <c r="H9" s="12" t="n">
        <v>2.455</v>
      </c>
      <c r="I9" s="12" t="n"/>
      <c r="J9" s="12" t="n">
        <v>247</v>
      </c>
      <c r="K9" s="12" t="n"/>
      <c r="L9" s="12" t="n">
        <v>0</v>
      </c>
      <c r="M9" s="12" t="n">
        <v>0</v>
      </c>
      <c r="N9" s="12" t="n">
        <v>0</v>
      </c>
      <c r="O9" s="12" t="n">
        <v>6</v>
      </c>
    </row>
    <row r="10">
      <c r="A10" s="5" t="inlineStr">
        <is>
          <t>BW-08</t>
        </is>
      </c>
      <c r="B10" s="5" t="inlineStr">
        <is>
          <t>IG</t>
        </is>
      </c>
      <c r="C10" s="5" t="inlineStr">
        <is>
          <t>B</t>
        </is>
      </c>
      <c r="D10" s="5" t="n">
        <v>1</v>
      </c>
      <c r="E10" s="12" t="n">
        <v>96.75053006219977</v>
      </c>
      <c r="F10" s="12" t="n">
        <v>4.45</v>
      </c>
      <c r="G10" s="12" t="n">
        <v>4.44</v>
      </c>
      <c r="H10" s="12" t="n">
        <v>2.415</v>
      </c>
      <c r="I10" s="12" t="n">
        <v>2.48</v>
      </c>
      <c r="J10" s="12" t="n">
        <v>246</v>
      </c>
      <c r="K10" s="12" t="n">
        <v>239</v>
      </c>
      <c r="L10" s="12" t="n">
        <v>1</v>
      </c>
      <c r="M10" s="12" t="n">
        <v>1</v>
      </c>
      <c r="N10" s="12" t="n">
        <v>1</v>
      </c>
      <c r="O10" s="12" t="n">
        <v>9</v>
      </c>
    </row>
    <row r="11">
      <c r="A11" s="5" t="inlineStr">
        <is>
          <t>BW-09</t>
        </is>
      </c>
      <c r="B11" s="5" t="inlineStr">
        <is>
          <t>IG</t>
        </is>
      </c>
      <c r="C11" s="5" t="inlineStr">
        <is>
          <t>B</t>
        </is>
      </c>
      <c r="D11" s="5" t="n">
        <v>1</v>
      </c>
      <c r="E11" s="12" t="n">
        <v>92.25274123470838</v>
      </c>
      <c r="F11" s="12" t="n">
        <v>4.82</v>
      </c>
      <c r="G11" s="12" t="n">
        <v>4.78</v>
      </c>
      <c r="H11" s="12" t="n">
        <v>2.53</v>
      </c>
      <c r="I11" s="12" t="n">
        <v>2.55</v>
      </c>
      <c r="J11" s="12" t="n">
        <v>237</v>
      </c>
      <c r="K11" s="12" t="n">
        <v>236</v>
      </c>
      <c r="L11" s="12" t="n">
        <v>1</v>
      </c>
      <c r="M11" s="12" t="n">
        <v>1</v>
      </c>
      <c r="N11" s="12" t="n">
        <v>1</v>
      </c>
      <c r="O11" s="12" t="n">
        <v>7</v>
      </c>
    </row>
    <row r="12">
      <c r="A12" s="5" t="inlineStr">
        <is>
          <t>BW-10</t>
        </is>
      </c>
      <c r="B12" s="5" t="inlineStr">
        <is>
          <t>IG</t>
        </is>
      </c>
      <c r="C12" s="5" t="inlineStr">
        <is>
          <t>B</t>
        </is>
      </c>
      <c r="D12" s="5" t="n">
        <v>1</v>
      </c>
      <c r="E12" s="12" t="n">
        <v>94.0920318872686</v>
      </c>
      <c r="F12" s="12" t="n">
        <v>4.55</v>
      </c>
      <c r="G12" s="12" t="n">
        <v>4.51</v>
      </c>
      <c r="H12" s="12" t="n">
        <v>2.505</v>
      </c>
      <c r="I12" s="12" t="n">
        <v>2.425</v>
      </c>
      <c r="J12" s="12" t="n">
        <v>207</v>
      </c>
      <c r="K12" s="12" t="n">
        <v>202</v>
      </c>
      <c r="L12" s="12" t="n">
        <v>1</v>
      </c>
      <c r="M12" s="12" t="n">
        <v>1</v>
      </c>
      <c r="N12" s="12" t="n">
        <v>1</v>
      </c>
      <c r="O12" s="12" t="n">
        <v>5</v>
      </c>
    </row>
    <row r="13">
      <c r="A13" s="5" t="inlineStr">
        <is>
          <t>BW-11</t>
        </is>
      </c>
      <c r="B13" s="5" t="inlineStr">
        <is>
          <t>IG</t>
        </is>
      </c>
      <c r="C13" s="5" t="inlineStr">
        <is>
          <t>B</t>
        </is>
      </c>
      <c r="D13" s="5" t="n">
        <v>1</v>
      </c>
      <c r="E13" s="12" t="n">
        <v>92.73420711134577</v>
      </c>
      <c r="F13" s="12" t="n">
        <v>4.89</v>
      </c>
      <c r="G13" s="12" t="n">
        <v>4.89</v>
      </c>
      <c r="H13" s="12" t="n"/>
      <c r="I13" s="12" t="n">
        <v>2.53</v>
      </c>
      <c r="J13" s="12" t="n">
        <v>222</v>
      </c>
      <c r="K13" s="12" t="n">
        <v>210</v>
      </c>
      <c r="L13" s="12" t="n">
        <v>1</v>
      </c>
      <c r="M13" s="12" t="n">
        <v>0</v>
      </c>
      <c r="N13" s="12" t="n">
        <v>1</v>
      </c>
      <c r="O13" s="12" t="n">
        <v>2</v>
      </c>
    </row>
    <row r="14">
      <c r="A14" s="5" t="inlineStr">
        <is>
          <t>BW-21</t>
        </is>
      </c>
      <c r="B14" s="5" t="inlineStr">
        <is>
          <t>IG</t>
        </is>
      </c>
      <c r="C14" s="5" t="inlineStr">
        <is>
          <t>B</t>
        </is>
      </c>
      <c r="D14" s="5" t="n">
        <v>1</v>
      </c>
      <c r="E14" s="12" t="n">
        <v>90.73638539651215</v>
      </c>
      <c r="F14" s="12" t="n">
        <v>5</v>
      </c>
      <c r="G14" s="12" t="n"/>
      <c r="H14" s="12" t="n">
        <v>2.61</v>
      </c>
      <c r="I14" s="12" t="n"/>
      <c r="J14" s="12" t="n">
        <v>223</v>
      </c>
      <c r="K14" s="12" t="n"/>
      <c r="L14" s="12" t="n">
        <v>0</v>
      </c>
      <c r="M14" s="12" t="n">
        <v>0</v>
      </c>
      <c r="N14" s="12" t="n">
        <v>0</v>
      </c>
      <c r="O14" s="12" t="n"/>
    </row>
    <row r="15">
      <c r="A15" s="5" t="inlineStr">
        <is>
          <t>HL-01</t>
        </is>
      </c>
      <c r="B15" s="5" t="inlineStr">
        <is>
          <t>IG</t>
        </is>
      </c>
      <c r="C15" s="5" t="inlineStr">
        <is>
          <t>A</t>
        </is>
      </c>
      <c r="D15" s="5" t="n">
        <v>1</v>
      </c>
      <c r="E15" s="12" t="n">
        <v>98.23713743748375</v>
      </c>
      <c r="F15" s="12" t="n">
        <v>4.66</v>
      </c>
      <c r="G15" s="12" t="n">
        <v>4.72</v>
      </c>
      <c r="H15" s="12" t="n">
        <v>2.485</v>
      </c>
      <c r="I15" s="12" t="n">
        <v>2.55</v>
      </c>
      <c r="J15" s="12" t="n">
        <v>236</v>
      </c>
      <c r="K15" s="12" t="n">
        <v>237</v>
      </c>
      <c r="L15" s="12" t="n">
        <v>1</v>
      </c>
      <c r="M15" s="12" t="n">
        <v>1</v>
      </c>
      <c r="N15" s="12" t="n">
        <v>1</v>
      </c>
      <c r="O15" s="12" t="n">
        <v>8</v>
      </c>
    </row>
    <row r="16">
      <c r="A16" s="5" t="inlineStr">
        <is>
          <t>HL-02</t>
        </is>
      </c>
      <c r="B16" s="5" t="inlineStr">
        <is>
          <t>IG</t>
        </is>
      </c>
      <c r="C16" s="5" t="inlineStr">
        <is>
          <t>A</t>
        </is>
      </c>
      <c r="D16" s="5" t="n">
        <v>1</v>
      </c>
      <c r="E16" s="12" t="n">
        <v>97.00344968051948</v>
      </c>
      <c r="F16" s="12" t="n">
        <v>4.09</v>
      </c>
      <c r="G16" s="12" t="n">
        <v>4.24</v>
      </c>
      <c r="H16" s="12" t="n">
        <v>2.195</v>
      </c>
      <c r="I16" s="12" t="n">
        <v>2.305</v>
      </c>
      <c r="J16" s="12" t="n">
        <v>251</v>
      </c>
      <c r="K16" s="12" t="n">
        <v>238</v>
      </c>
      <c r="L16" s="12" t="n">
        <v>1</v>
      </c>
      <c r="M16" s="12" t="n">
        <v>1</v>
      </c>
      <c r="N16" s="12" t="n">
        <v>1</v>
      </c>
      <c r="O16" s="12" t="n">
        <v>8</v>
      </c>
    </row>
    <row r="17">
      <c r="A17" s="5" t="inlineStr">
        <is>
          <t>HL-03</t>
        </is>
      </c>
      <c r="B17" s="5" t="inlineStr">
        <is>
          <t>IG</t>
        </is>
      </c>
      <c r="C17" s="5" t="inlineStr">
        <is>
          <t>A</t>
        </is>
      </c>
      <c r="D17" s="5" t="n">
        <v>1</v>
      </c>
      <c r="E17" s="12" t="n">
        <v>96.78615381845563</v>
      </c>
      <c r="F17" s="12" t="n">
        <v>4.22</v>
      </c>
      <c r="G17" s="12" t="n">
        <v>4.35</v>
      </c>
      <c r="H17" s="12" t="n">
        <v>2.43</v>
      </c>
      <c r="I17" s="12" t="n">
        <v>2.505</v>
      </c>
      <c r="J17" s="12" t="n">
        <v>248</v>
      </c>
      <c r="K17" s="12" t="n">
        <v>240</v>
      </c>
      <c r="L17" s="12" t="n">
        <v>1</v>
      </c>
      <c r="M17" s="12" t="n">
        <v>1</v>
      </c>
      <c r="N17" s="12" t="n">
        <v>1</v>
      </c>
      <c r="O17" s="12" t="n">
        <v>9</v>
      </c>
    </row>
    <row r="18">
      <c r="A18" s="5" t="inlineStr">
        <is>
          <t>HL-05</t>
        </is>
      </c>
      <c r="B18" s="5" t="inlineStr">
        <is>
          <t>IG</t>
        </is>
      </c>
      <c r="C18" s="5" t="inlineStr">
        <is>
          <t>A</t>
        </is>
      </c>
      <c r="D18" s="5" t="n">
        <v>1</v>
      </c>
      <c r="E18" s="12" t="n">
        <v>95.26089059320741</v>
      </c>
      <c r="F18" s="12" t="n">
        <v>4.25</v>
      </c>
      <c r="G18" s="12" t="n">
        <v>4.3</v>
      </c>
      <c r="H18" s="12" t="n">
        <v>2.45</v>
      </c>
      <c r="I18" s="12" t="n">
        <v>2.42</v>
      </c>
      <c r="J18" s="12" t="n">
        <v>232</v>
      </c>
      <c r="K18" s="12" t="n">
        <v>216</v>
      </c>
      <c r="L18" s="12" t="n">
        <v>1</v>
      </c>
      <c r="M18" s="12" t="n">
        <v>1</v>
      </c>
      <c r="N18" s="12" t="n">
        <v>1</v>
      </c>
      <c r="O18" s="12" t="n">
        <v>0</v>
      </c>
    </row>
    <row r="19">
      <c r="A19" s="5" t="inlineStr">
        <is>
          <t>HL-06</t>
        </is>
      </c>
      <c r="B19" s="5" t="inlineStr">
        <is>
          <t>IG</t>
        </is>
      </c>
      <c r="C19" s="5" t="inlineStr">
        <is>
          <t>A</t>
        </is>
      </c>
      <c r="D19" s="5" t="n">
        <v>1</v>
      </c>
      <c r="E19" s="12" t="n">
        <v>96.12916271401426</v>
      </c>
      <c r="F19" s="12" t="n">
        <v>4.51</v>
      </c>
      <c r="G19" s="12" t="n">
        <v>4.49</v>
      </c>
      <c r="H19" s="12" t="n">
        <v>2.41</v>
      </c>
      <c r="I19" s="12" t="n">
        <v>2.505</v>
      </c>
      <c r="J19" s="12" t="n">
        <v>243</v>
      </c>
      <c r="K19" s="12" t="n">
        <v>243</v>
      </c>
      <c r="L19" s="12" t="n">
        <v>1</v>
      </c>
      <c r="M19" s="12" t="n">
        <v>1</v>
      </c>
      <c r="N19" s="12" t="n">
        <v>1</v>
      </c>
      <c r="O19" s="12" t="n">
        <v>0</v>
      </c>
    </row>
    <row r="20">
      <c r="A20" s="5" t="inlineStr">
        <is>
          <t>HL-07</t>
        </is>
      </c>
      <c r="B20" s="5" t="inlineStr">
        <is>
          <t>IG</t>
        </is>
      </c>
      <c r="C20" s="5" t="inlineStr">
        <is>
          <t>A</t>
        </is>
      </c>
      <c r="D20" s="5" t="n">
        <v>1</v>
      </c>
      <c r="E20" s="12" t="n">
        <v>96.48184144457181</v>
      </c>
      <c r="F20" s="12" t="n">
        <v>4.48</v>
      </c>
      <c r="G20" s="12" t="n">
        <v>4.79</v>
      </c>
      <c r="H20" s="12" t="n"/>
      <c r="I20" s="12" t="n">
        <v>2.365</v>
      </c>
      <c r="J20" s="12" t="n">
        <v>255</v>
      </c>
      <c r="K20" s="12" t="n">
        <v>243</v>
      </c>
      <c r="L20" s="12" t="n">
        <v>1</v>
      </c>
      <c r="M20" s="12" t="n">
        <v>0</v>
      </c>
      <c r="N20" s="12" t="n">
        <v>1</v>
      </c>
      <c r="O20" s="12" t="n">
        <v>7</v>
      </c>
    </row>
    <row r="21">
      <c r="A21" s="5" t="inlineStr">
        <is>
          <t>HL-08</t>
        </is>
      </c>
      <c r="B21" s="5" t="inlineStr">
        <is>
          <t>IG</t>
        </is>
      </c>
      <c r="C21" s="5" t="inlineStr">
        <is>
          <t>A</t>
        </is>
      </c>
      <c r="D21" s="5" t="n">
        <v>1</v>
      </c>
      <c r="E21" s="12" t="n">
        <v>94.84940345612961</v>
      </c>
      <c r="F21" s="12" t="n">
        <v>4.48</v>
      </c>
      <c r="G21" s="12" t="n">
        <v>4.58</v>
      </c>
      <c r="H21" s="12" t="n">
        <v>2.48</v>
      </c>
      <c r="I21" s="12" t="n">
        <v>2.38</v>
      </c>
      <c r="J21" s="12" t="n">
        <v>245</v>
      </c>
      <c r="K21" s="12" t="n">
        <v>245</v>
      </c>
      <c r="L21" s="12" t="n">
        <v>1</v>
      </c>
      <c r="M21" s="12" t="n">
        <v>1</v>
      </c>
      <c r="N21" s="12" t="n">
        <v>1</v>
      </c>
      <c r="O21" s="12" t="n">
        <v>4</v>
      </c>
    </row>
    <row r="22">
      <c r="A22" s="5" t="inlineStr">
        <is>
          <t>VS-01</t>
        </is>
      </c>
      <c r="B22" s="5" t="inlineStr">
        <is>
          <t>KG</t>
        </is>
      </c>
      <c r="C22" s="5" t="inlineStr">
        <is>
          <t>C</t>
        </is>
      </c>
      <c r="D22" s="5" t="n">
        <v>0</v>
      </c>
      <c r="E22" s="12" t="n">
        <v>90.03863061314297</v>
      </c>
      <c r="F22" s="12" t="n">
        <v>4.91</v>
      </c>
      <c r="G22" s="12" t="n">
        <v>4.79</v>
      </c>
      <c r="H22" s="12" t="n">
        <v>2.46</v>
      </c>
      <c r="I22" s="12" t="n">
        <v>2.445</v>
      </c>
      <c r="J22" s="12" t="n">
        <v>228</v>
      </c>
      <c r="K22" s="12" t="n">
        <v>224</v>
      </c>
      <c r="L22" s="12" t="n">
        <v>1</v>
      </c>
      <c r="M22" s="12" t="n">
        <v>1</v>
      </c>
      <c r="N22" s="12" t="n">
        <v>1</v>
      </c>
    </row>
    <row r="23">
      <c r="A23" s="5" t="inlineStr">
        <is>
          <t>VS-02</t>
        </is>
      </c>
      <c r="B23" s="5" t="inlineStr">
        <is>
          <t>KG</t>
        </is>
      </c>
      <c r="C23" s="5" t="inlineStr">
        <is>
          <t>C</t>
        </is>
      </c>
      <c r="D23" s="5" t="n">
        <v>0</v>
      </c>
      <c r="E23" s="12" t="n">
        <v>86.45430304390061</v>
      </c>
      <c r="F23" s="12" t="n">
        <v>4.89</v>
      </c>
      <c r="G23" s="12" t="n">
        <v>4.91</v>
      </c>
      <c r="H23" s="12" t="n">
        <v>2.505</v>
      </c>
      <c r="I23" s="12" t="n">
        <v>2.56</v>
      </c>
      <c r="J23" s="12" t="n">
        <v>208</v>
      </c>
      <c r="K23" s="12" t="n">
        <v>197</v>
      </c>
      <c r="L23" s="12" t="n">
        <v>1</v>
      </c>
      <c r="M23" s="12" t="n">
        <v>1</v>
      </c>
      <c r="N23" s="12" t="n">
        <v>1</v>
      </c>
    </row>
    <row r="24">
      <c r="A24" s="5" t="inlineStr">
        <is>
          <t>VS-03</t>
        </is>
      </c>
      <c r="B24" s="5" t="inlineStr">
        <is>
          <t>KG</t>
        </is>
      </c>
      <c r="C24" s="5" t="inlineStr">
        <is>
          <t>C</t>
        </is>
      </c>
      <c r="D24" s="5" t="n">
        <v>0</v>
      </c>
      <c r="E24" s="12" t="n">
        <v>90.20565512794336</v>
      </c>
      <c r="F24" s="12" t="n">
        <v>4.94</v>
      </c>
      <c r="G24" s="12" t="n">
        <v>5.23</v>
      </c>
      <c r="H24" s="12" t="n">
        <v>2.605</v>
      </c>
      <c r="I24" s="12" t="n">
        <v>2.625</v>
      </c>
      <c r="J24" s="12" t="n">
        <v>235</v>
      </c>
      <c r="K24" s="12" t="n">
        <v>226</v>
      </c>
      <c r="L24" s="12" t="n">
        <v>1</v>
      </c>
      <c r="M24" s="12" t="n">
        <v>1</v>
      </c>
      <c r="N24" s="12" t="n">
        <v>1</v>
      </c>
    </row>
    <row r="25">
      <c r="A25" s="5" t="inlineStr">
        <is>
          <t>VS-04</t>
        </is>
      </c>
      <c r="B25" s="5" t="inlineStr">
        <is>
          <t>KG</t>
        </is>
      </c>
      <c r="C25" s="5" t="inlineStr">
        <is>
          <t>C</t>
        </is>
      </c>
      <c r="D25" s="5" t="n">
        <v>0</v>
      </c>
      <c r="E25" s="12" t="n">
        <v>88.04060453187404</v>
      </c>
      <c r="F25" s="12" t="n">
        <v>5.02</v>
      </c>
      <c r="G25" s="12" t="n">
        <v>4.99</v>
      </c>
      <c r="H25" s="12" t="n">
        <v>2.615</v>
      </c>
      <c r="I25" s="12" t="n">
        <v>2.53</v>
      </c>
      <c r="J25" s="12" t="n">
        <v>210</v>
      </c>
      <c r="K25" s="12" t="n">
        <v>212</v>
      </c>
      <c r="L25" s="12" t="n">
        <v>1</v>
      </c>
      <c r="M25" s="12" t="n">
        <v>1</v>
      </c>
      <c r="N25" s="12" t="n">
        <v>1</v>
      </c>
    </row>
    <row r="26">
      <c r="A26" s="5" t="inlineStr">
        <is>
          <t>VS-05</t>
        </is>
      </c>
      <c r="B26" s="5" t="inlineStr">
        <is>
          <t>KG</t>
        </is>
      </c>
      <c r="C26" s="5" t="inlineStr">
        <is>
          <t>C</t>
        </is>
      </c>
      <c r="D26" s="5" t="n">
        <v>0</v>
      </c>
      <c r="E26" s="12" t="n">
        <v>87.23107674449275</v>
      </c>
      <c r="F26" s="12" t="n">
        <v>4.95</v>
      </c>
      <c r="G26" s="12" t="n">
        <v>5.03</v>
      </c>
      <c r="H26" s="12" t="n">
        <v>2.54</v>
      </c>
      <c r="I26" s="12" t="n">
        <v>2.575</v>
      </c>
      <c r="J26" s="12" t="n">
        <v>228</v>
      </c>
      <c r="K26" s="12" t="n">
        <v>225</v>
      </c>
      <c r="L26" s="12" t="n">
        <v>1</v>
      </c>
      <c r="M26" s="12" t="n">
        <v>1</v>
      </c>
      <c r="N26" s="12" t="n">
        <v>1</v>
      </c>
    </row>
    <row r="27">
      <c r="A27" s="5" t="inlineStr">
        <is>
          <t>VS-06</t>
        </is>
      </c>
      <c r="B27" s="5" t="inlineStr">
        <is>
          <t>KG</t>
        </is>
      </c>
      <c r="C27" s="5" t="inlineStr">
        <is>
          <t>C</t>
        </is>
      </c>
      <c r="D27" s="5" t="n">
        <v>0</v>
      </c>
      <c r="E27" s="12" t="n">
        <v>92.99348709376235</v>
      </c>
      <c r="F27" s="12" t="n">
        <v>4.45</v>
      </c>
      <c r="G27" s="12" t="n">
        <v>4.5</v>
      </c>
      <c r="H27" s="12" t="n">
        <v>2.32</v>
      </c>
      <c r="I27" s="12" t="n">
        <v>2.29</v>
      </c>
      <c r="J27" s="12" t="n">
        <v>259</v>
      </c>
      <c r="K27" s="12" t="n">
        <v>262</v>
      </c>
      <c r="L27" s="12" t="n">
        <v>1</v>
      </c>
      <c r="M27" s="12" t="n">
        <v>1</v>
      </c>
      <c r="N27" s="12" t="n">
        <v>1</v>
      </c>
    </row>
    <row r="28">
      <c r="A28" s="5" t="inlineStr">
        <is>
          <t>VS-07</t>
        </is>
      </c>
      <c r="B28" s="5" t="inlineStr">
        <is>
          <t>KG</t>
        </is>
      </c>
      <c r="C28" s="5" t="inlineStr">
        <is>
          <t>C</t>
        </is>
      </c>
      <c r="D28" s="5" t="n">
        <v>0</v>
      </c>
      <c r="E28" s="12" t="n">
        <v>88.12885475352863</v>
      </c>
      <c r="F28" s="12" t="n">
        <v>5.19</v>
      </c>
      <c r="G28" s="12" t="n"/>
      <c r="H28" s="12" t="n">
        <v>2.52</v>
      </c>
      <c r="I28" s="12" t="n"/>
      <c r="J28" s="12" t="n">
        <v>219</v>
      </c>
      <c r="K28" s="12" t="n"/>
      <c r="L28" s="12" t="n">
        <v>0</v>
      </c>
      <c r="M28" s="12" t="n">
        <v>0</v>
      </c>
      <c r="N28" s="12" t="n">
        <v>0</v>
      </c>
    </row>
    <row r="29">
      <c r="A29" s="5" t="inlineStr">
        <is>
          <t>VS-08</t>
        </is>
      </c>
      <c r="B29" s="5" t="inlineStr">
        <is>
          <t>KG</t>
        </is>
      </c>
      <c r="C29" s="5" t="inlineStr">
        <is>
          <t>C</t>
        </is>
      </c>
      <c r="D29" s="5" t="n">
        <v>0</v>
      </c>
      <c r="E29" s="12" t="n">
        <v>91.65697468166019</v>
      </c>
      <c r="F29" s="12" t="n">
        <v>5.44</v>
      </c>
      <c r="G29" s="12" t="n">
        <v>5.22</v>
      </c>
      <c r="H29" s="12" t="n">
        <v>2.6</v>
      </c>
      <c r="I29" s="12" t="n">
        <v>2.685</v>
      </c>
      <c r="J29" s="12" t="n">
        <v>202</v>
      </c>
      <c r="K29" s="12" t="n">
        <v>213</v>
      </c>
      <c r="L29" s="12" t="n">
        <v>1</v>
      </c>
      <c r="M29" s="12" t="n">
        <v>1</v>
      </c>
      <c r="N29" s="12" t="n">
        <v>1</v>
      </c>
    </row>
    <row r="30">
      <c r="A30" s="5" t="inlineStr">
        <is>
          <t>VS-10</t>
        </is>
      </c>
      <c r="B30" s="5" t="inlineStr">
        <is>
          <t>KG</t>
        </is>
      </c>
      <c r="C30" s="5" t="inlineStr">
        <is>
          <t>C</t>
        </is>
      </c>
      <c r="D30" s="5" t="n">
        <v>0</v>
      </c>
      <c r="E30" s="12" t="n">
        <v>90.38758065884028</v>
      </c>
      <c r="F30" s="12" t="n">
        <v>4.64</v>
      </c>
      <c r="G30" s="12" t="n">
        <v>4.86</v>
      </c>
      <c r="H30" s="12" t="n">
        <v>2.405</v>
      </c>
      <c r="I30" s="12" t="n">
        <v>2.41</v>
      </c>
      <c r="J30" s="12" t="n">
        <v>232</v>
      </c>
      <c r="K30" s="12" t="n">
        <v>220</v>
      </c>
      <c r="L30" s="12" t="n">
        <v>1</v>
      </c>
      <c r="M30" s="12" t="n">
        <v>1</v>
      </c>
      <c r="N30" s="12" t="n">
        <v>1</v>
      </c>
    </row>
    <row r="31">
      <c r="A31" s="5" t="inlineStr">
        <is>
          <t>VS-16</t>
        </is>
      </c>
      <c r="B31" s="5" t="inlineStr">
        <is>
          <t>KG</t>
        </is>
      </c>
      <c r="C31" s="5" t="inlineStr">
        <is>
          <t>C</t>
        </is>
      </c>
      <c r="D31" s="5" t="n">
        <v>0</v>
      </c>
      <c r="E31" s="12" t="n">
        <v>87.531180136917</v>
      </c>
      <c r="F31" s="12" t="n">
        <v>4.92</v>
      </c>
      <c r="G31" s="12" t="n"/>
      <c r="H31" s="12" t="n"/>
      <c r="I31" s="12" t="n"/>
      <c r="J31" s="12" t="n">
        <v>226</v>
      </c>
      <c r="K31" s="12" t="n"/>
      <c r="L31" s="12" t="n">
        <v>0</v>
      </c>
      <c r="M31" s="12" t="n">
        <v>0</v>
      </c>
      <c r="N31" s="12" t="n">
        <v>0</v>
      </c>
    </row>
    <row r="32">
      <c r="A32" s="5" t="inlineStr">
        <is>
          <t>VS-17</t>
        </is>
      </c>
      <c r="B32" s="5" t="inlineStr">
        <is>
          <t>KG</t>
        </is>
      </c>
      <c r="C32" s="5" t="inlineStr">
        <is>
          <t>C</t>
        </is>
      </c>
      <c r="D32" s="5" t="n">
        <v>0</v>
      </c>
      <c r="E32" s="12" t="n">
        <v>94.91702544709781</v>
      </c>
      <c r="F32" s="12" t="n">
        <v>4.66</v>
      </c>
      <c r="G32" s="12" t="n">
        <v>4.76</v>
      </c>
      <c r="H32" s="12" t="n">
        <v>2.51</v>
      </c>
      <c r="I32" s="12" t="n">
        <v>2.615</v>
      </c>
      <c r="J32" s="12" t="n">
        <v>258</v>
      </c>
      <c r="K32" s="12" t="n">
        <v>235</v>
      </c>
      <c r="L32" s="12" t="n">
        <v>1</v>
      </c>
      <c r="M32" s="12" t="n">
        <v>1</v>
      </c>
      <c r="N32" s="12" t="n">
        <v>1</v>
      </c>
    </row>
    <row r="33">
      <c r="A33" s="5" t="inlineStr">
        <is>
          <t>VS-18</t>
        </is>
      </c>
      <c r="B33" s="5" t="inlineStr">
        <is>
          <t>KG</t>
        </is>
      </c>
      <c r="C33" s="5" t="inlineStr">
        <is>
          <t>C</t>
        </is>
      </c>
      <c r="D33" s="5" t="n">
        <v>0</v>
      </c>
      <c r="E33" s="12" t="n"/>
      <c r="F33" s="12" t="n">
        <v>5.07</v>
      </c>
      <c r="G33" s="12" t="n">
        <v>5.18</v>
      </c>
      <c r="H33" s="12" t="n"/>
      <c r="I33" s="12" t="n">
        <v>2.54</v>
      </c>
      <c r="J33" s="12" t="n">
        <v>209</v>
      </c>
      <c r="K33" s="12" t="n">
        <v>227</v>
      </c>
      <c r="L33" s="12" t="n">
        <v>0</v>
      </c>
      <c r="M33" s="12" t="n">
        <v>0</v>
      </c>
      <c r="N33" s="12" t="n">
        <v>0</v>
      </c>
    </row>
    <row r="34">
      <c r="A34" s="5" t="inlineStr">
        <is>
          <t>VS-11</t>
        </is>
      </c>
      <c r="B34" s="5" t="inlineStr">
        <is>
          <t>KG</t>
        </is>
      </c>
      <c r="C34" s="5" t="inlineStr">
        <is>
          <t>C</t>
        </is>
      </c>
      <c r="D34" s="5" t="n">
        <v>0</v>
      </c>
      <c r="E34" s="12" t="n">
        <v>93.02557411774784</v>
      </c>
      <c r="F34" s="12" t="n">
        <v>5.04</v>
      </c>
      <c r="G34" s="12" t="n">
        <v>4.64</v>
      </c>
      <c r="H34" s="12" t="n">
        <v>2.695</v>
      </c>
      <c r="I34" s="12" t="n">
        <v>2.585</v>
      </c>
      <c r="J34" s="12" t="n">
        <v>204</v>
      </c>
      <c r="K34" s="12" t="n">
        <v>218</v>
      </c>
      <c r="L34" s="12" t="n">
        <v>1</v>
      </c>
      <c r="M34" s="12" t="n">
        <v>1</v>
      </c>
      <c r="N34" s="1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</cols>
  <sheetData>
    <row r="1">
      <c r="A1" s="5" t="inlineStr">
        <is>
          <t>Zwischengrößen je Spieler, allein per Formel aus den Eingangsblättern (S02, S04, S05, S06, S07, S08). Blaue Zellen sind Formeln. Rechts der Vergleich mit dem Blatt Analysedaten (berichtete Rechnung): 0 = gleich innerhalb 1e-9 relativ oder beide leer, 1 = Abweichung.</t>
        </is>
      </c>
    </row>
    <row r="2"/>
    <row r="3">
      <c r="A3" s="20" t="inlineStr">
        <is>
          <t>Code</t>
        </is>
      </c>
      <c r="B3" s="20" t="inlineStr">
        <is>
          <t>Gruppe</t>
        </is>
      </c>
      <c r="C3" s="20" t="inlineStr">
        <is>
          <t>Verein</t>
        </is>
      </c>
      <c r="D3" s="20" t="inlineStr">
        <is>
          <t>G (IG = 1)</t>
        </is>
      </c>
      <c r="E3" s="20" t="inlineStr">
        <is>
          <t>S_in (S05 R2)</t>
        </is>
      </c>
      <c r="F3" s="20" t="inlineStr">
        <is>
          <t>W_lb (S05 R2)</t>
        </is>
      </c>
      <c r="G3" s="20" t="inlineStr">
        <is>
          <t>MP_in (S05 R3)</t>
        </is>
      </c>
      <c r="H3" s="20" t="inlineStr">
        <is>
          <t>a_lo (S05 R6)</t>
        </is>
      </c>
      <c r="I3" s="20" t="inlineStr">
        <is>
          <t>w (S05 R6)</t>
        </is>
      </c>
      <c r="J3" s="20" t="inlineStr">
        <is>
          <t>β0 interp.</t>
        </is>
      </c>
      <c r="K3" s="20" t="inlineStr">
        <is>
          <t>β1 interp.</t>
        </is>
      </c>
      <c r="L3" s="20" t="inlineStr">
        <is>
          <t>β2 interp.</t>
        </is>
      </c>
      <c r="M3" s="20" t="inlineStr">
        <is>
          <t>β3 interp.</t>
        </is>
      </c>
      <c r="N3" s="20" t="inlineStr">
        <is>
          <t>PAS_in (S05 R7)</t>
        </is>
      </c>
      <c r="O3" s="20" t="inlineStr">
        <is>
          <t>%PAH (S05 R8)</t>
        </is>
      </c>
      <c r="P3" s="20" t="inlineStr">
        <is>
          <t>k Z30 prä</t>
        </is>
      </c>
      <c r="Q3" s="20" t="inlineStr">
        <is>
          <t>BEST Z30 prä</t>
        </is>
      </c>
      <c r="R3" s="20" t="inlineStr">
        <is>
          <t>k Z30 post</t>
        </is>
      </c>
      <c r="S3" s="20" t="inlineStr">
        <is>
          <t>BEST Z30 post</t>
        </is>
      </c>
      <c r="T3" s="20" t="inlineStr">
        <is>
          <t>BEST CL prä</t>
        </is>
      </c>
      <c r="U3" s="20" t="inlineStr">
        <is>
          <t>BEST CR prä</t>
        </is>
      </c>
      <c r="V3" s="20" t="inlineStr">
        <is>
          <t>BEST CM prä (S04 R4)</t>
        </is>
      </c>
      <c r="W3" s="20" t="inlineStr">
        <is>
          <t>BEST CL post</t>
        </is>
      </c>
      <c r="X3" s="20" t="inlineStr">
        <is>
          <t>BEST CR post</t>
        </is>
      </c>
      <c r="Y3" s="20" t="inlineStr">
        <is>
          <t>BEST CM post</t>
        </is>
      </c>
      <c r="Z3" s="20" t="inlineStr">
        <is>
          <t>BEST SBJ prä</t>
        </is>
      </c>
      <c r="AA3" s="20" t="inlineStr">
        <is>
          <t>BEST SBJ post</t>
        </is>
      </c>
      <c r="AB3" s="20" t="inlineStr">
        <is>
          <t>ITT Z30 (S08 R1)</t>
        </is>
      </c>
      <c r="AC3" s="20" t="inlineStr">
        <is>
          <t>ITT CM</t>
        </is>
      </c>
      <c r="AD3" s="20" t="inlineStr">
        <is>
          <t>ITT SBJ</t>
        </is>
      </c>
      <c r="AE3" s="20" t="inlineStr">
        <is>
          <t>GANZ (S07 R1)</t>
        </is>
      </c>
      <c r="AF3" s="20" t="inlineStr">
        <is>
          <t>Rang im ITT Z30</t>
        </is>
      </c>
      <c r="AG3" s="24" t="inlineStr"/>
      <c r="AH3" s="20" t="inlineStr">
        <is>
          <t>Abw. %PAH</t>
        </is>
      </c>
      <c r="AI3" s="20" t="inlineStr">
        <is>
          <t>Abw. BEST Z30 prä</t>
        </is>
      </c>
      <c r="AJ3" s="20" t="inlineStr">
        <is>
          <t>Abw. BEST Z30 post</t>
        </is>
      </c>
      <c r="AK3" s="20" t="inlineStr">
        <is>
          <t>Abw. BEST CM prä</t>
        </is>
      </c>
      <c r="AL3" s="20" t="inlineStr">
        <is>
          <t>Abw. BEST CM post</t>
        </is>
      </c>
      <c r="AM3" s="20" t="inlineStr">
        <is>
          <t>Abw. BEST SBJ prä</t>
        </is>
      </c>
      <c r="AN3" s="20" t="inlineStr">
        <is>
          <t>Abw. BEST SBJ post</t>
        </is>
      </c>
      <c r="AO3" s="20" t="inlineStr">
        <is>
          <t>Abw. ITT Z30</t>
        </is>
      </c>
      <c r="AP3" s="20" t="inlineStr">
        <is>
          <t>Abw. ITT CM</t>
        </is>
      </c>
      <c r="AQ3" s="20" t="inlineStr">
        <is>
          <t>Abw. ITT SBJ</t>
        </is>
      </c>
      <c r="AR3" s="20" t="inlineStr">
        <is>
          <t>Abw. GANZ</t>
        </is>
      </c>
      <c r="AS3" s="20" t="inlineStr">
        <is>
          <t>Abw. je Spieler</t>
        </is>
      </c>
    </row>
    <row r="4">
      <c r="A4" s="5" t="inlineStr">
        <is>
          <t>BW-01</t>
        </is>
      </c>
      <c r="B4" s="5" t="inlineStr">
        <is>
          <t>IG</t>
        </is>
      </c>
      <c r="C4" s="5" t="inlineStr">
        <is>
          <t>B</t>
        </is>
      </c>
      <c r="D4" s="5" t="n">
        <v>1</v>
      </c>
      <c r="E4" s="25">
        <f>IF(ISNUMBER(INDEX(Personendaten!$E$2:$E$32,MATCH($A4,Personendaten!$A$2:$A$32,0))),INDEX(Personendaten!$E$2:$E$32,MATCH($A4,Personendaten!$A$2:$A$32,0))/2.54,"")</f>
        <v/>
      </c>
      <c r="F4" s="25">
        <f>IF(ISNUMBER(INDEX(Personendaten!$F$2:$F$32,MATCH($A4,Personendaten!$A$2:$A$32,0))),INDEX(Personendaten!$F$2:$F$32,MATCH($A4,Personendaten!$A$2:$A$32,0))/0.45359237,"")</f>
        <v/>
      </c>
      <c r="G4" s="25">
        <f>IF(AND(ISNUMBER(INDEX(Personendaten!$G$2:$G$32,MATCH($A4,Personendaten!$A$2:$A$32,0))),ISNUMBER(INDEX(Personendaten!$H$2:$H$32,MATCH($A4,Personendaten!$A$2:$A$32,0)))),(INDEX(Personendaten!$G$2:$G$32,MATCH($A4,Personendaten!$A$2:$A$32,0))/2.54+INDEX(Personendaten!$H$2:$H$32,MATCH($A4,Personendaten!$A$2:$A$32,0))/2.54)/2,"")</f>
        <v/>
      </c>
      <c r="H4" s="25">
        <f>INT(2*INDEX(Personendaten!$D$2:$D$32,MATCH($A4,Personendaten!$A$2:$A$32,0)))/2</f>
        <v/>
      </c>
      <c r="I4" s="25">
        <f>(INDEX(Personendaten!$D$2:$D$32,MATCH($A4,Personendaten!$A$2:$A$32,0))-H4)/0.5</f>
        <v/>
      </c>
      <c r="J4" s="25">
        <f>IF($I4=0,INDEX(Koeffizienten_KR!$B$2:$B$29,MATCH($H4,Koeffizienten_KR!$A$2:$A$29,0)),(1-$I4)*INDEX(Koeffizienten_KR!$B$2:$B$29,MATCH($H4,Koeffizienten_KR!$A$2:$A$29,0))+$I4*INDEX(Koeffizienten_KR!$B$2:$B$29,MATCH($H4+0.5,Koeffizienten_KR!$A$2:$A$29,0)))</f>
        <v/>
      </c>
      <c r="K4" s="25">
        <f>IF($I4=0,INDEX(Koeffizienten_KR!$C$2:$C$29,MATCH($H4,Koeffizienten_KR!$A$2:$A$29,0)),(1-$I4)*INDEX(Koeffizienten_KR!$C$2:$C$29,MATCH($H4,Koeffizienten_KR!$A$2:$A$29,0))+$I4*INDEX(Koeffizienten_KR!$C$2:$C$29,MATCH($H4+0.5,Koeffizienten_KR!$A$2:$A$29,0)))</f>
        <v/>
      </c>
      <c r="L4" s="25">
        <f>IF($I4=0,INDEX(Koeffizienten_KR!$D$2:$D$29,MATCH($H4,Koeffizienten_KR!$A$2:$A$29,0)),(1-$I4)*INDEX(Koeffizienten_KR!$D$2:$D$29,MATCH($H4,Koeffizienten_KR!$A$2:$A$29,0))+$I4*INDEX(Koeffizienten_KR!$D$2:$D$29,MATCH($H4+0.5,Koeffizienten_KR!$A$2:$A$29,0)))</f>
        <v/>
      </c>
      <c r="M4" s="25">
        <f>IF($I4=0,INDEX(Koeffizienten_KR!$E$2:$E$29,MATCH($H4,Koeffizienten_KR!$A$2:$A$29,0)),(1-$I4)*INDEX(Koeffizienten_KR!$E$2:$E$29,MATCH($H4,Koeffizienten_KR!$A$2:$A$29,0))+$I4*INDEX(Koeffizienten_KR!$E$2:$E$29,MATCH($H4+0.5,Koeffizienten_KR!$A$2:$A$29,0)))</f>
        <v/>
      </c>
      <c r="N4" s="25">
        <f>IF(AND(ISNUMBER(E4),ISNUMBER(F4),ISNUMBER(G4),INDEX(Personendaten!$D$2:$D$32,MATCH($A4,Personendaten!$A$2:$A$32,0))&gt;=4,INDEX(Personendaten!$D$2:$D$32,MATCH($A4,Personendaten!$A$2:$A$32,0))&lt;=17.5),J4+K4*E4+L4*F4+M4*G4,"")</f>
        <v/>
      </c>
      <c r="O4" s="25">
        <f>IF(ISNUMBER(N4),100*E4/N4,"")</f>
        <v/>
      </c>
      <c r="P4" s="25">
        <f>COUNTIFS(Versuchsdaten!$A$2:$A$1117,$A4,Versuchsdaten!$B$2:$B$1117,"prä",Versuchsdaten!$C$2:$C$1117,"Sprint_30m",Versuchsdaten!$O$2:$O$1117,1)</f>
        <v/>
      </c>
      <c r="Q4" s="25">
        <f>IF(COUNTIFS(Versuchsdaten!$A$2:$A$1117,$A4,Versuchsdaten!$B$2:$B$1117,"prä",Versuchsdaten!$C$2:$C$1117,"Sprint_30m",Versuchsdaten!$O$2:$O$1117,1)=0,"",_xlfn.MINIFS(Versuchsdaten!$F$2:$F$1117,Versuchsdaten!$A$2:$A$1117,$A4,Versuchsdaten!$B$2:$B$1117,"prä",Versuchsdaten!$C$2:$C$1117,"Sprint_30m",Versuchsdaten!$O$2:$O$1117,1))</f>
        <v/>
      </c>
      <c r="R4" s="25">
        <f>COUNTIFS(Versuchsdaten!$A$2:$A$1117,$A4,Versuchsdaten!$B$2:$B$1117,"post",Versuchsdaten!$C$2:$C$1117,"Sprint_30m",Versuchsdaten!$O$2:$O$1117,1)</f>
        <v/>
      </c>
      <c r="S4" s="25">
        <f>IF(COUNTIFS(Versuchsdaten!$A$2:$A$1117,$A4,Versuchsdaten!$B$2:$B$1117,"post",Versuchsdaten!$C$2:$C$1117,"Sprint_30m",Versuchsdaten!$O$2:$O$1117,1)=0,"",_xlfn.MINIFS(Versuchsdaten!$F$2:$F$1117,Versuchsdaten!$A$2:$A$1117,$A4,Versuchsdaten!$B$2:$B$1117,"post",Versuchsdaten!$C$2:$C$1117,"Sprint_30m",Versuchsdaten!$O$2:$O$1117,1))</f>
        <v/>
      </c>
      <c r="T4" s="25">
        <f>IF(COUNTIFS(Versuchsdaten!$A$2:$A$1117,$A4,Versuchsdaten!$B$2:$B$1117,"prä",Versuchsdaten!$C$2:$C$1117,"COD_505",Versuchsdaten!$O$2:$O$1117,1,Versuchsdaten!$D$2:$D$1117,"L")=0,"",_xlfn.MINIFS(Versuchsdaten!$F$2:$F$1117,Versuchsdaten!$A$2:$A$1117,$A4,Versuchsdaten!$B$2:$B$1117,"prä",Versuchsdaten!$C$2:$C$1117,"COD_505",Versuchsdaten!$O$2:$O$1117,1,Versuchsdaten!$D$2:$D$1117,"L"))</f>
        <v/>
      </c>
      <c r="U4" s="25">
        <f>IF(COUNTIFS(Versuchsdaten!$A$2:$A$1117,$A4,Versuchsdaten!$B$2:$B$1117,"prä",Versuchsdaten!$C$2:$C$1117,"COD_505",Versuchsdaten!$O$2:$O$1117,1,Versuchsdaten!$D$2:$D$1117,"R")=0,"",_xlfn.MINIFS(Versuchsdaten!$F$2:$F$1117,Versuchsdaten!$A$2:$A$1117,$A4,Versuchsdaten!$B$2:$B$1117,"prä",Versuchsdaten!$C$2:$C$1117,"COD_505",Versuchsdaten!$O$2:$O$1117,1,Versuchsdaten!$D$2:$D$1117,"R"))</f>
        <v/>
      </c>
      <c r="V4" s="25">
        <f>IF(AND(ISNUMBER(T4),ISNUMBER(U4)),(T4+U4)/2,"")</f>
        <v/>
      </c>
      <c r="W4" s="25">
        <f>IF(COUNTIFS(Versuchsdaten!$A$2:$A$1117,$A4,Versuchsdaten!$B$2:$B$1117,"post",Versuchsdaten!$C$2:$C$1117,"COD_505",Versuchsdaten!$O$2:$O$1117,1,Versuchsdaten!$D$2:$D$1117,"L")=0,"",_xlfn.MINIFS(Versuchsdaten!$F$2:$F$1117,Versuchsdaten!$A$2:$A$1117,$A4,Versuchsdaten!$B$2:$B$1117,"post",Versuchsdaten!$C$2:$C$1117,"COD_505",Versuchsdaten!$O$2:$O$1117,1,Versuchsdaten!$D$2:$D$1117,"L"))</f>
        <v/>
      </c>
      <c r="X4" s="25">
        <f>IF(COUNTIFS(Versuchsdaten!$A$2:$A$1117,$A4,Versuchsdaten!$B$2:$B$1117,"post",Versuchsdaten!$C$2:$C$1117,"COD_505",Versuchsdaten!$O$2:$O$1117,1,Versuchsdaten!$D$2:$D$1117,"R")=0,"",_xlfn.MINIFS(Versuchsdaten!$F$2:$F$1117,Versuchsdaten!$A$2:$A$1117,$A4,Versuchsdaten!$B$2:$B$1117,"post",Versuchsdaten!$C$2:$C$1117,"COD_505",Versuchsdaten!$O$2:$O$1117,1,Versuchsdaten!$D$2:$D$1117,"R"))</f>
        <v/>
      </c>
      <c r="Y4" s="25">
        <f>IF(AND(ISNUMBER(W4),ISNUMBER(X4)),(W4+X4)/2,"")</f>
        <v/>
      </c>
      <c r="Z4" s="25">
        <f>IF(COUNTIFS(Versuchsdaten!$A$2:$A$1117,$A4,Versuchsdaten!$B$2:$B$1117,"prä",Versuchsdaten!$C$2:$C$1117,"Standweitsprung",Versuchsdaten!$O$2:$O$1117,1)=0,"",_xlfn.MAXIFS(Versuchsdaten!$F$2:$F$1117,Versuchsdaten!$A$2:$A$1117,$A4,Versuchsdaten!$B$2:$B$1117,"prä",Versuchsdaten!$C$2:$C$1117,"Standweitsprung",Versuchsdaten!$O$2:$O$1117,1))</f>
        <v/>
      </c>
      <c r="AA4" s="25">
        <f>IF(COUNTIFS(Versuchsdaten!$A$2:$A$1117,$A4,Versuchsdaten!$B$2:$B$1117,"post",Versuchsdaten!$C$2:$C$1117,"Standweitsprung",Versuchsdaten!$O$2:$O$1117,1)=0,"",_xlfn.MAXIFS(Versuchsdaten!$F$2:$F$1117,Versuchsdaten!$A$2:$A$1117,$A4,Versuchsdaten!$B$2:$B$1117,"post",Versuchsdaten!$C$2:$C$1117,"Standweitsprung",Versuchsdaten!$O$2:$O$1117,1))</f>
        <v/>
      </c>
      <c r="AB4" s="25">
        <f>IF(AND(ISNUMBER(Q4),ISNUMBER(S4),ISNUMBER(O4)),1,0)</f>
        <v/>
      </c>
      <c r="AC4" s="25">
        <f>IF(AND(ISNUMBER(V4),ISNUMBER(Y4),ISNUMBER(O4)),1,0)</f>
        <v/>
      </c>
      <c r="AD4" s="25">
        <f>IF(AND(ISNUMBER(Z4),ISNUMBER(AA4),ISNUMBER(O4)),1,0)</f>
        <v/>
      </c>
      <c r="AE4" s="25">
        <f>IF(D4=0,"",IF(COUNTIF(Zuordnung!$B$2:$B$23,$A4)=0,"",COUNTIFS(Fragebogen_A!$M$2:$M$112,$A4,Fragebogen_A!$F$2:$F$112,1)))</f>
        <v/>
      </c>
      <c r="AF4" s="25">
        <f>IF(AB4=1,COUNTIF($AB$4:AB4,1),"")</f>
        <v/>
      </c>
      <c r="AH4" s="25">
        <f>IF(AND(O4="",Analysedaten!E4=""),0,IF(OR(O4="",Analysedaten!E4=""),1,IF(ABS(O4-Analysedaten!E4)&lt;=0.000000001*MAX(1,ABS(Analysedaten!E4)),0,1)))</f>
        <v/>
      </c>
      <c r="AI4" s="25">
        <f>IF(AND(Q4="",Analysedaten!F4=""),0,IF(OR(Q4="",Analysedaten!F4=""),1,IF(ABS(Q4-Analysedaten!F4)&lt;=0.000000001*MAX(1,ABS(Analysedaten!F4)),0,1)))</f>
        <v/>
      </c>
      <c r="AJ4" s="25">
        <f>IF(AND(S4="",Analysedaten!G4=""),0,IF(OR(S4="",Analysedaten!G4=""),1,IF(ABS(S4-Analysedaten!G4)&lt;=0.000000001*MAX(1,ABS(Analysedaten!G4)),0,1)))</f>
        <v/>
      </c>
      <c r="AK4" s="25">
        <f>IF(AND(V4="",Analysedaten!H4=""),0,IF(OR(V4="",Analysedaten!H4=""),1,IF(ABS(V4-Analysedaten!H4)&lt;=0.000000001*MAX(1,ABS(Analysedaten!H4)),0,1)))</f>
        <v/>
      </c>
      <c r="AL4" s="25">
        <f>IF(AND(Y4="",Analysedaten!I4=""),0,IF(OR(Y4="",Analysedaten!I4=""),1,IF(ABS(Y4-Analysedaten!I4)&lt;=0.000000001*MAX(1,ABS(Analysedaten!I4)),0,1)))</f>
        <v/>
      </c>
      <c r="AM4" s="25">
        <f>IF(AND(Z4="",Analysedaten!J4=""),0,IF(OR(Z4="",Analysedaten!J4=""),1,IF(ABS(Z4-Analysedaten!J4)&lt;=0.000000001*MAX(1,ABS(Analysedaten!J4)),0,1)))</f>
        <v/>
      </c>
      <c r="AN4" s="25">
        <f>IF(AND(AA4="",Analysedaten!K4=""),0,IF(OR(AA4="",Analysedaten!K4=""),1,IF(ABS(AA4-Analysedaten!K4)&lt;=0.000000001*MAX(1,ABS(Analysedaten!K4)),0,1)))</f>
        <v/>
      </c>
      <c r="AO4" s="25">
        <f>IF(AND(AB4="",Analysedaten!L4=""),0,IF(OR(AB4="",Analysedaten!L4=""),1,IF(ABS(AB4-Analysedaten!L4)&lt;=0.000000001*MAX(1,ABS(Analysedaten!L4)),0,1)))</f>
        <v/>
      </c>
      <c r="AP4" s="25">
        <f>IF(AND(AC4="",Analysedaten!M4=""),0,IF(OR(AC4="",Analysedaten!M4=""),1,IF(ABS(AC4-Analysedaten!M4)&lt;=0.000000001*MAX(1,ABS(Analysedaten!M4)),0,1)))</f>
        <v/>
      </c>
      <c r="AQ4" s="25">
        <f>IF(AND(AD4="",Analysedaten!N4=""),0,IF(OR(AD4="",Analysedaten!N4=""),1,IF(ABS(AD4-Analysedaten!N4)&lt;=0.000000001*MAX(1,ABS(Analysedaten!N4)),0,1)))</f>
        <v/>
      </c>
      <c r="AR4" s="25">
        <f>IF(AND(AE4="",Analysedaten!O4=""),0,IF(OR(AE4="",Analysedaten!O4=""),1,IF(ABS(AE4-Analysedaten!O4)&lt;=0.000000001*MAX(1,ABS(Analysedaten!O4)),0,1)))</f>
        <v/>
      </c>
      <c r="AS4" s="25">
        <f>SUM(AH4:AR4)</f>
        <v/>
      </c>
    </row>
    <row r="5">
      <c r="A5" s="5" t="inlineStr">
        <is>
          <t>BW-02</t>
        </is>
      </c>
      <c r="B5" s="5" t="inlineStr">
        <is>
          <t>IG</t>
        </is>
      </c>
      <c r="C5" s="5" t="inlineStr">
        <is>
          <t>B</t>
        </is>
      </c>
      <c r="D5" s="5" t="n">
        <v>1</v>
      </c>
      <c r="E5" s="25">
        <f>IF(ISNUMBER(INDEX(Personendaten!$E$2:$E$32,MATCH($A5,Personendaten!$A$2:$A$32,0))),INDEX(Personendaten!$E$2:$E$32,MATCH($A5,Personendaten!$A$2:$A$32,0))/2.54,"")</f>
        <v/>
      </c>
      <c r="F5" s="25">
        <f>IF(ISNUMBER(INDEX(Personendaten!$F$2:$F$32,MATCH($A5,Personendaten!$A$2:$A$32,0))),INDEX(Personendaten!$F$2:$F$32,MATCH($A5,Personendaten!$A$2:$A$32,0))/0.45359237,"")</f>
        <v/>
      </c>
      <c r="G5" s="25">
        <f>IF(AND(ISNUMBER(INDEX(Personendaten!$G$2:$G$32,MATCH($A5,Personendaten!$A$2:$A$32,0))),ISNUMBER(INDEX(Personendaten!$H$2:$H$32,MATCH($A5,Personendaten!$A$2:$A$32,0)))),(INDEX(Personendaten!$G$2:$G$32,MATCH($A5,Personendaten!$A$2:$A$32,0))/2.54+INDEX(Personendaten!$H$2:$H$32,MATCH($A5,Personendaten!$A$2:$A$32,0))/2.54)/2,"")</f>
        <v/>
      </c>
      <c r="H5" s="25">
        <f>INT(2*INDEX(Personendaten!$D$2:$D$32,MATCH($A5,Personendaten!$A$2:$A$32,0)))/2</f>
        <v/>
      </c>
      <c r="I5" s="25">
        <f>(INDEX(Personendaten!$D$2:$D$32,MATCH($A5,Personendaten!$A$2:$A$32,0))-H5)/0.5</f>
        <v/>
      </c>
      <c r="J5" s="25">
        <f>IF($I5=0,INDEX(Koeffizienten_KR!$B$2:$B$29,MATCH($H5,Koeffizienten_KR!$A$2:$A$29,0)),(1-$I5)*INDEX(Koeffizienten_KR!$B$2:$B$29,MATCH($H5,Koeffizienten_KR!$A$2:$A$29,0))+$I5*INDEX(Koeffizienten_KR!$B$2:$B$29,MATCH($H5+0.5,Koeffizienten_KR!$A$2:$A$29,0)))</f>
        <v/>
      </c>
      <c r="K5" s="25">
        <f>IF($I5=0,INDEX(Koeffizienten_KR!$C$2:$C$29,MATCH($H5,Koeffizienten_KR!$A$2:$A$29,0)),(1-$I5)*INDEX(Koeffizienten_KR!$C$2:$C$29,MATCH($H5,Koeffizienten_KR!$A$2:$A$29,0))+$I5*INDEX(Koeffizienten_KR!$C$2:$C$29,MATCH($H5+0.5,Koeffizienten_KR!$A$2:$A$29,0)))</f>
        <v/>
      </c>
      <c r="L5" s="25">
        <f>IF($I5=0,INDEX(Koeffizienten_KR!$D$2:$D$29,MATCH($H5,Koeffizienten_KR!$A$2:$A$29,0)),(1-$I5)*INDEX(Koeffizienten_KR!$D$2:$D$29,MATCH($H5,Koeffizienten_KR!$A$2:$A$29,0))+$I5*INDEX(Koeffizienten_KR!$D$2:$D$29,MATCH($H5+0.5,Koeffizienten_KR!$A$2:$A$29,0)))</f>
        <v/>
      </c>
      <c r="M5" s="25">
        <f>IF($I5=0,INDEX(Koeffizienten_KR!$E$2:$E$29,MATCH($H5,Koeffizienten_KR!$A$2:$A$29,0)),(1-$I5)*INDEX(Koeffizienten_KR!$E$2:$E$29,MATCH($H5,Koeffizienten_KR!$A$2:$A$29,0))+$I5*INDEX(Koeffizienten_KR!$E$2:$E$29,MATCH($H5+0.5,Koeffizienten_KR!$A$2:$A$29,0)))</f>
        <v/>
      </c>
      <c r="N5" s="25">
        <f>IF(AND(ISNUMBER(E5),ISNUMBER(F5),ISNUMBER(G5),INDEX(Personendaten!$D$2:$D$32,MATCH($A5,Personendaten!$A$2:$A$32,0))&gt;=4,INDEX(Personendaten!$D$2:$D$32,MATCH($A5,Personendaten!$A$2:$A$32,0))&lt;=17.5),J5+K5*E5+L5*F5+M5*G5,"")</f>
        <v/>
      </c>
      <c r="O5" s="25">
        <f>IF(ISNUMBER(N5),100*E5/N5,"")</f>
        <v/>
      </c>
      <c r="P5" s="25">
        <f>COUNTIFS(Versuchsdaten!$A$2:$A$1117,$A5,Versuchsdaten!$B$2:$B$1117,"prä",Versuchsdaten!$C$2:$C$1117,"Sprint_30m",Versuchsdaten!$O$2:$O$1117,1)</f>
        <v/>
      </c>
      <c r="Q5" s="25">
        <f>IF(COUNTIFS(Versuchsdaten!$A$2:$A$1117,$A5,Versuchsdaten!$B$2:$B$1117,"prä",Versuchsdaten!$C$2:$C$1117,"Sprint_30m",Versuchsdaten!$O$2:$O$1117,1)=0,"",_xlfn.MINIFS(Versuchsdaten!$F$2:$F$1117,Versuchsdaten!$A$2:$A$1117,$A5,Versuchsdaten!$B$2:$B$1117,"prä",Versuchsdaten!$C$2:$C$1117,"Sprint_30m",Versuchsdaten!$O$2:$O$1117,1))</f>
        <v/>
      </c>
      <c r="R5" s="25">
        <f>COUNTIFS(Versuchsdaten!$A$2:$A$1117,$A5,Versuchsdaten!$B$2:$B$1117,"post",Versuchsdaten!$C$2:$C$1117,"Sprint_30m",Versuchsdaten!$O$2:$O$1117,1)</f>
        <v/>
      </c>
      <c r="S5" s="25">
        <f>IF(COUNTIFS(Versuchsdaten!$A$2:$A$1117,$A5,Versuchsdaten!$B$2:$B$1117,"post",Versuchsdaten!$C$2:$C$1117,"Sprint_30m",Versuchsdaten!$O$2:$O$1117,1)=0,"",_xlfn.MINIFS(Versuchsdaten!$F$2:$F$1117,Versuchsdaten!$A$2:$A$1117,$A5,Versuchsdaten!$B$2:$B$1117,"post",Versuchsdaten!$C$2:$C$1117,"Sprint_30m",Versuchsdaten!$O$2:$O$1117,1))</f>
        <v/>
      </c>
      <c r="T5" s="25">
        <f>IF(COUNTIFS(Versuchsdaten!$A$2:$A$1117,$A5,Versuchsdaten!$B$2:$B$1117,"prä",Versuchsdaten!$C$2:$C$1117,"COD_505",Versuchsdaten!$O$2:$O$1117,1,Versuchsdaten!$D$2:$D$1117,"L")=0,"",_xlfn.MINIFS(Versuchsdaten!$F$2:$F$1117,Versuchsdaten!$A$2:$A$1117,$A5,Versuchsdaten!$B$2:$B$1117,"prä",Versuchsdaten!$C$2:$C$1117,"COD_505",Versuchsdaten!$O$2:$O$1117,1,Versuchsdaten!$D$2:$D$1117,"L"))</f>
        <v/>
      </c>
      <c r="U5" s="25">
        <f>IF(COUNTIFS(Versuchsdaten!$A$2:$A$1117,$A5,Versuchsdaten!$B$2:$B$1117,"prä",Versuchsdaten!$C$2:$C$1117,"COD_505",Versuchsdaten!$O$2:$O$1117,1,Versuchsdaten!$D$2:$D$1117,"R")=0,"",_xlfn.MINIFS(Versuchsdaten!$F$2:$F$1117,Versuchsdaten!$A$2:$A$1117,$A5,Versuchsdaten!$B$2:$B$1117,"prä",Versuchsdaten!$C$2:$C$1117,"COD_505",Versuchsdaten!$O$2:$O$1117,1,Versuchsdaten!$D$2:$D$1117,"R"))</f>
        <v/>
      </c>
      <c r="V5" s="25">
        <f>IF(AND(ISNUMBER(T5),ISNUMBER(U5)),(T5+U5)/2,"")</f>
        <v/>
      </c>
      <c r="W5" s="25">
        <f>IF(COUNTIFS(Versuchsdaten!$A$2:$A$1117,$A5,Versuchsdaten!$B$2:$B$1117,"post",Versuchsdaten!$C$2:$C$1117,"COD_505",Versuchsdaten!$O$2:$O$1117,1,Versuchsdaten!$D$2:$D$1117,"L")=0,"",_xlfn.MINIFS(Versuchsdaten!$F$2:$F$1117,Versuchsdaten!$A$2:$A$1117,$A5,Versuchsdaten!$B$2:$B$1117,"post",Versuchsdaten!$C$2:$C$1117,"COD_505",Versuchsdaten!$O$2:$O$1117,1,Versuchsdaten!$D$2:$D$1117,"L"))</f>
        <v/>
      </c>
      <c r="X5" s="25">
        <f>IF(COUNTIFS(Versuchsdaten!$A$2:$A$1117,$A5,Versuchsdaten!$B$2:$B$1117,"post",Versuchsdaten!$C$2:$C$1117,"COD_505",Versuchsdaten!$O$2:$O$1117,1,Versuchsdaten!$D$2:$D$1117,"R")=0,"",_xlfn.MINIFS(Versuchsdaten!$F$2:$F$1117,Versuchsdaten!$A$2:$A$1117,$A5,Versuchsdaten!$B$2:$B$1117,"post",Versuchsdaten!$C$2:$C$1117,"COD_505",Versuchsdaten!$O$2:$O$1117,1,Versuchsdaten!$D$2:$D$1117,"R"))</f>
        <v/>
      </c>
      <c r="Y5" s="25">
        <f>IF(AND(ISNUMBER(W5),ISNUMBER(X5)),(W5+X5)/2,"")</f>
        <v/>
      </c>
      <c r="Z5" s="25">
        <f>IF(COUNTIFS(Versuchsdaten!$A$2:$A$1117,$A5,Versuchsdaten!$B$2:$B$1117,"prä",Versuchsdaten!$C$2:$C$1117,"Standweitsprung",Versuchsdaten!$O$2:$O$1117,1)=0,"",_xlfn.MAXIFS(Versuchsdaten!$F$2:$F$1117,Versuchsdaten!$A$2:$A$1117,$A5,Versuchsdaten!$B$2:$B$1117,"prä",Versuchsdaten!$C$2:$C$1117,"Standweitsprung",Versuchsdaten!$O$2:$O$1117,1))</f>
        <v/>
      </c>
      <c r="AA5" s="25">
        <f>IF(COUNTIFS(Versuchsdaten!$A$2:$A$1117,$A5,Versuchsdaten!$B$2:$B$1117,"post",Versuchsdaten!$C$2:$C$1117,"Standweitsprung",Versuchsdaten!$O$2:$O$1117,1)=0,"",_xlfn.MAXIFS(Versuchsdaten!$F$2:$F$1117,Versuchsdaten!$A$2:$A$1117,$A5,Versuchsdaten!$B$2:$B$1117,"post",Versuchsdaten!$C$2:$C$1117,"Standweitsprung",Versuchsdaten!$O$2:$O$1117,1))</f>
        <v/>
      </c>
      <c r="AB5" s="25">
        <f>IF(AND(ISNUMBER(Q5),ISNUMBER(S5),ISNUMBER(O5)),1,0)</f>
        <v/>
      </c>
      <c r="AC5" s="25">
        <f>IF(AND(ISNUMBER(V5),ISNUMBER(Y5),ISNUMBER(O5)),1,0)</f>
        <v/>
      </c>
      <c r="AD5" s="25">
        <f>IF(AND(ISNUMBER(Z5),ISNUMBER(AA5),ISNUMBER(O5)),1,0)</f>
        <v/>
      </c>
      <c r="AE5" s="25">
        <f>IF(D5=0,"",IF(COUNTIF(Zuordnung!$B$2:$B$23,$A5)=0,"",COUNTIFS(Fragebogen_A!$M$2:$M$112,$A5,Fragebogen_A!$F$2:$F$112,1)))</f>
        <v/>
      </c>
      <c r="AF5" s="25">
        <f>IF(AB5=1,COUNTIF($AB$4:AB5,1),"")</f>
        <v/>
      </c>
      <c r="AH5" s="25">
        <f>IF(AND(O5="",Analysedaten!E5=""),0,IF(OR(O5="",Analysedaten!E5=""),1,IF(ABS(O5-Analysedaten!E5)&lt;=0.000000001*MAX(1,ABS(Analysedaten!E5)),0,1)))</f>
        <v/>
      </c>
      <c r="AI5" s="25">
        <f>IF(AND(Q5="",Analysedaten!F5=""),0,IF(OR(Q5="",Analysedaten!F5=""),1,IF(ABS(Q5-Analysedaten!F5)&lt;=0.000000001*MAX(1,ABS(Analysedaten!F5)),0,1)))</f>
        <v/>
      </c>
      <c r="AJ5" s="25">
        <f>IF(AND(S5="",Analysedaten!G5=""),0,IF(OR(S5="",Analysedaten!G5=""),1,IF(ABS(S5-Analysedaten!G5)&lt;=0.000000001*MAX(1,ABS(Analysedaten!G5)),0,1)))</f>
        <v/>
      </c>
      <c r="AK5" s="25">
        <f>IF(AND(V5="",Analysedaten!H5=""),0,IF(OR(V5="",Analysedaten!H5=""),1,IF(ABS(V5-Analysedaten!H5)&lt;=0.000000001*MAX(1,ABS(Analysedaten!H5)),0,1)))</f>
        <v/>
      </c>
      <c r="AL5" s="25">
        <f>IF(AND(Y5="",Analysedaten!I5=""),0,IF(OR(Y5="",Analysedaten!I5=""),1,IF(ABS(Y5-Analysedaten!I5)&lt;=0.000000001*MAX(1,ABS(Analysedaten!I5)),0,1)))</f>
        <v/>
      </c>
      <c r="AM5" s="25">
        <f>IF(AND(Z5="",Analysedaten!J5=""),0,IF(OR(Z5="",Analysedaten!J5=""),1,IF(ABS(Z5-Analysedaten!J5)&lt;=0.000000001*MAX(1,ABS(Analysedaten!J5)),0,1)))</f>
        <v/>
      </c>
      <c r="AN5" s="25">
        <f>IF(AND(AA5="",Analysedaten!K5=""),0,IF(OR(AA5="",Analysedaten!K5=""),1,IF(ABS(AA5-Analysedaten!K5)&lt;=0.000000001*MAX(1,ABS(Analysedaten!K5)),0,1)))</f>
        <v/>
      </c>
      <c r="AO5" s="25">
        <f>IF(AND(AB5="",Analysedaten!L5=""),0,IF(OR(AB5="",Analysedaten!L5=""),1,IF(ABS(AB5-Analysedaten!L5)&lt;=0.000000001*MAX(1,ABS(Analysedaten!L5)),0,1)))</f>
        <v/>
      </c>
      <c r="AP5" s="25">
        <f>IF(AND(AC5="",Analysedaten!M5=""),0,IF(OR(AC5="",Analysedaten!M5=""),1,IF(ABS(AC5-Analysedaten!M5)&lt;=0.000000001*MAX(1,ABS(Analysedaten!M5)),0,1)))</f>
        <v/>
      </c>
      <c r="AQ5" s="25">
        <f>IF(AND(AD5="",Analysedaten!N5=""),0,IF(OR(AD5="",Analysedaten!N5=""),1,IF(ABS(AD5-Analysedaten!N5)&lt;=0.000000001*MAX(1,ABS(Analysedaten!N5)),0,1)))</f>
        <v/>
      </c>
      <c r="AR5" s="25">
        <f>IF(AND(AE5="",Analysedaten!O5=""),0,IF(OR(AE5="",Analysedaten!O5=""),1,IF(ABS(AE5-Analysedaten!O5)&lt;=0.000000001*MAX(1,ABS(Analysedaten!O5)),0,1)))</f>
        <v/>
      </c>
      <c r="AS5" s="25">
        <f>SUM(AH5:AR5)</f>
        <v/>
      </c>
    </row>
    <row r="6">
      <c r="A6" s="5" t="inlineStr">
        <is>
          <t>BW-04</t>
        </is>
      </c>
      <c r="B6" s="5" t="inlineStr">
        <is>
          <t>IG</t>
        </is>
      </c>
      <c r="C6" s="5" t="inlineStr">
        <is>
          <t>B</t>
        </is>
      </c>
      <c r="D6" s="5" t="n">
        <v>1</v>
      </c>
      <c r="E6" s="25">
        <f>IF(ISNUMBER(INDEX(Personendaten!$E$2:$E$32,MATCH($A6,Personendaten!$A$2:$A$32,0))),INDEX(Personendaten!$E$2:$E$32,MATCH($A6,Personendaten!$A$2:$A$32,0))/2.54,"")</f>
        <v/>
      </c>
      <c r="F6" s="25">
        <f>IF(ISNUMBER(INDEX(Personendaten!$F$2:$F$32,MATCH($A6,Personendaten!$A$2:$A$32,0))),INDEX(Personendaten!$F$2:$F$32,MATCH($A6,Personendaten!$A$2:$A$32,0))/0.45359237,"")</f>
        <v/>
      </c>
      <c r="G6" s="25">
        <f>IF(AND(ISNUMBER(INDEX(Personendaten!$G$2:$G$32,MATCH($A6,Personendaten!$A$2:$A$32,0))),ISNUMBER(INDEX(Personendaten!$H$2:$H$32,MATCH($A6,Personendaten!$A$2:$A$32,0)))),(INDEX(Personendaten!$G$2:$G$32,MATCH($A6,Personendaten!$A$2:$A$32,0))/2.54+INDEX(Personendaten!$H$2:$H$32,MATCH($A6,Personendaten!$A$2:$A$32,0))/2.54)/2,"")</f>
        <v/>
      </c>
      <c r="H6" s="25">
        <f>INT(2*INDEX(Personendaten!$D$2:$D$32,MATCH($A6,Personendaten!$A$2:$A$32,0)))/2</f>
        <v/>
      </c>
      <c r="I6" s="25">
        <f>(INDEX(Personendaten!$D$2:$D$32,MATCH($A6,Personendaten!$A$2:$A$32,0))-H6)/0.5</f>
        <v/>
      </c>
      <c r="J6" s="25">
        <f>IF($I6=0,INDEX(Koeffizienten_KR!$B$2:$B$29,MATCH($H6,Koeffizienten_KR!$A$2:$A$29,0)),(1-$I6)*INDEX(Koeffizienten_KR!$B$2:$B$29,MATCH($H6,Koeffizienten_KR!$A$2:$A$29,0))+$I6*INDEX(Koeffizienten_KR!$B$2:$B$29,MATCH($H6+0.5,Koeffizienten_KR!$A$2:$A$29,0)))</f>
        <v/>
      </c>
      <c r="K6" s="25">
        <f>IF($I6=0,INDEX(Koeffizienten_KR!$C$2:$C$29,MATCH($H6,Koeffizienten_KR!$A$2:$A$29,0)),(1-$I6)*INDEX(Koeffizienten_KR!$C$2:$C$29,MATCH($H6,Koeffizienten_KR!$A$2:$A$29,0))+$I6*INDEX(Koeffizienten_KR!$C$2:$C$29,MATCH($H6+0.5,Koeffizienten_KR!$A$2:$A$29,0)))</f>
        <v/>
      </c>
      <c r="L6" s="25">
        <f>IF($I6=0,INDEX(Koeffizienten_KR!$D$2:$D$29,MATCH($H6,Koeffizienten_KR!$A$2:$A$29,0)),(1-$I6)*INDEX(Koeffizienten_KR!$D$2:$D$29,MATCH($H6,Koeffizienten_KR!$A$2:$A$29,0))+$I6*INDEX(Koeffizienten_KR!$D$2:$D$29,MATCH($H6+0.5,Koeffizienten_KR!$A$2:$A$29,0)))</f>
        <v/>
      </c>
      <c r="M6" s="25">
        <f>IF($I6=0,INDEX(Koeffizienten_KR!$E$2:$E$29,MATCH($H6,Koeffizienten_KR!$A$2:$A$29,0)),(1-$I6)*INDEX(Koeffizienten_KR!$E$2:$E$29,MATCH($H6,Koeffizienten_KR!$A$2:$A$29,0))+$I6*INDEX(Koeffizienten_KR!$E$2:$E$29,MATCH($H6+0.5,Koeffizienten_KR!$A$2:$A$29,0)))</f>
        <v/>
      </c>
      <c r="N6" s="25">
        <f>IF(AND(ISNUMBER(E6),ISNUMBER(F6),ISNUMBER(G6),INDEX(Personendaten!$D$2:$D$32,MATCH($A6,Personendaten!$A$2:$A$32,0))&gt;=4,INDEX(Personendaten!$D$2:$D$32,MATCH($A6,Personendaten!$A$2:$A$32,0))&lt;=17.5),J6+K6*E6+L6*F6+M6*G6,"")</f>
        <v/>
      </c>
      <c r="O6" s="25">
        <f>IF(ISNUMBER(N6),100*E6/N6,"")</f>
        <v/>
      </c>
      <c r="P6" s="25">
        <f>COUNTIFS(Versuchsdaten!$A$2:$A$1117,$A6,Versuchsdaten!$B$2:$B$1117,"prä",Versuchsdaten!$C$2:$C$1117,"Sprint_30m",Versuchsdaten!$O$2:$O$1117,1)</f>
        <v/>
      </c>
      <c r="Q6" s="25">
        <f>IF(COUNTIFS(Versuchsdaten!$A$2:$A$1117,$A6,Versuchsdaten!$B$2:$B$1117,"prä",Versuchsdaten!$C$2:$C$1117,"Sprint_30m",Versuchsdaten!$O$2:$O$1117,1)=0,"",_xlfn.MINIFS(Versuchsdaten!$F$2:$F$1117,Versuchsdaten!$A$2:$A$1117,$A6,Versuchsdaten!$B$2:$B$1117,"prä",Versuchsdaten!$C$2:$C$1117,"Sprint_30m",Versuchsdaten!$O$2:$O$1117,1))</f>
        <v/>
      </c>
      <c r="R6" s="25">
        <f>COUNTIFS(Versuchsdaten!$A$2:$A$1117,$A6,Versuchsdaten!$B$2:$B$1117,"post",Versuchsdaten!$C$2:$C$1117,"Sprint_30m",Versuchsdaten!$O$2:$O$1117,1)</f>
        <v/>
      </c>
      <c r="S6" s="25">
        <f>IF(COUNTIFS(Versuchsdaten!$A$2:$A$1117,$A6,Versuchsdaten!$B$2:$B$1117,"post",Versuchsdaten!$C$2:$C$1117,"Sprint_30m",Versuchsdaten!$O$2:$O$1117,1)=0,"",_xlfn.MINIFS(Versuchsdaten!$F$2:$F$1117,Versuchsdaten!$A$2:$A$1117,$A6,Versuchsdaten!$B$2:$B$1117,"post",Versuchsdaten!$C$2:$C$1117,"Sprint_30m",Versuchsdaten!$O$2:$O$1117,1))</f>
        <v/>
      </c>
      <c r="T6" s="25">
        <f>IF(COUNTIFS(Versuchsdaten!$A$2:$A$1117,$A6,Versuchsdaten!$B$2:$B$1117,"prä",Versuchsdaten!$C$2:$C$1117,"COD_505",Versuchsdaten!$O$2:$O$1117,1,Versuchsdaten!$D$2:$D$1117,"L")=0,"",_xlfn.MINIFS(Versuchsdaten!$F$2:$F$1117,Versuchsdaten!$A$2:$A$1117,$A6,Versuchsdaten!$B$2:$B$1117,"prä",Versuchsdaten!$C$2:$C$1117,"COD_505",Versuchsdaten!$O$2:$O$1117,1,Versuchsdaten!$D$2:$D$1117,"L"))</f>
        <v/>
      </c>
      <c r="U6" s="25">
        <f>IF(COUNTIFS(Versuchsdaten!$A$2:$A$1117,$A6,Versuchsdaten!$B$2:$B$1117,"prä",Versuchsdaten!$C$2:$C$1117,"COD_505",Versuchsdaten!$O$2:$O$1117,1,Versuchsdaten!$D$2:$D$1117,"R")=0,"",_xlfn.MINIFS(Versuchsdaten!$F$2:$F$1117,Versuchsdaten!$A$2:$A$1117,$A6,Versuchsdaten!$B$2:$B$1117,"prä",Versuchsdaten!$C$2:$C$1117,"COD_505",Versuchsdaten!$O$2:$O$1117,1,Versuchsdaten!$D$2:$D$1117,"R"))</f>
        <v/>
      </c>
      <c r="V6" s="25">
        <f>IF(AND(ISNUMBER(T6),ISNUMBER(U6)),(T6+U6)/2,"")</f>
        <v/>
      </c>
      <c r="W6" s="25">
        <f>IF(COUNTIFS(Versuchsdaten!$A$2:$A$1117,$A6,Versuchsdaten!$B$2:$B$1117,"post",Versuchsdaten!$C$2:$C$1117,"COD_505",Versuchsdaten!$O$2:$O$1117,1,Versuchsdaten!$D$2:$D$1117,"L")=0,"",_xlfn.MINIFS(Versuchsdaten!$F$2:$F$1117,Versuchsdaten!$A$2:$A$1117,$A6,Versuchsdaten!$B$2:$B$1117,"post",Versuchsdaten!$C$2:$C$1117,"COD_505",Versuchsdaten!$O$2:$O$1117,1,Versuchsdaten!$D$2:$D$1117,"L"))</f>
        <v/>
      </c>
      <c r="X6" s="25">
        <f>IF(COUNTIFS(Versuchsdaten!$A$2:$A$1117,$A6,Versuchsdaten!$B$2:$B$1117,"post",Versuchsdaten!$C$2:$C$1117,"COD_505",Versuchsdaten!$O$2:$O$1117,1,Versuchsdaten!$D$2:$D$1117,"R")=0,"",_xlfn.MINIFS(Versuchsdaten!$F$2:$F$1117,Versuchsdaten!$A$2:$A$1117,$A6,Versuchsdaten!$B$2:$B$1117,"post",Versuchsdaten!$C$2:$C$1117,"COD_505",Versuchsdaten!$O$2:$O$1117,1,Versuchsdaten!$D$2:$D$1117,"R"))</f>
        <v/>
      </c>
      <c r="Y6" s="25">
        <f>IF(AND(ISNUMBER(W6),ISNUMBER(X6)),(W6+X6)/2,"")</f>
        <v/>
      </c>
      <c r="Z6" s="25">
        <f>IF(COUNTIFS(Versuchsdaten!$A$2:$A$1117,$A6,Versuchsdaten!$B$2:$B$1117,"prä",Versuchsdaten!$C$2:$C$1117,"Standweitsprung",Versuchsdaten!$O$2:$O$1117,1)=0,"",_xlfn.MAXIFS(Versuchsdaten!$F$2:$F$1117,Versuchsdaten!$A$2:$A$1117,$A6,Versuchsdaten!$B$2:$B$1117,"prä",Versuchsdaten!$C$2:$C$1117,"Standweitsprung",Versuchsdaten!$O$2:$O$1117,1))</f>
        <v/>
      </c>
      <c r="AA6" s="25">
        <f>IF(COUNTIFS(Versuchsdaten!$A$2:$A$1117,$A6,Versuchsdaten!$B$2:$B$1117,"post",Versuchsdaten!$C$2:$C$1117,"Standweitsprung",Versuchsdaten!$O$2:$O$1117,1)=0,"",_xlfn.MAXIFS(Versuchsdaten!$F$2:$F$1117,Versuchsdaten!$A$2:$A$1117,$A6,Versuchsdaten!$B$2:$B$1117,"post",Versuchsdaten!$C$2:$C$1117,"Standweitsprung",Versuchsdaten!$O$2:$O$1117,1))</f>
        <v/>
      </c>
      <c r="AB6" s="25">
        <f>IF(AND(ISNUMBER(Q6),ISNUMBER(S6),ISNUMBER(O6)),1,0)</f>
        <v/>
      </c>
      <c r="AC6" s="25">
        <f>IF(AND(ISNUMBER(V6),ISNUMBER(Y6),ISNUMBER(O6)),1,0)</f>
        <v/>
      </c>
      <c r="AD6" s="25">
        <f>IF(AND(ISNUMBER(Z6),ISNUMBER(AA6),ISNUMBER(O6)),1,0)</f>
        <v/>
      </c>
      <c r="AE6" s="25">
        <f>IF(D6=0,"",IF(COUNTIF(Zuordnung!$B$2:$B$23,$A6)=0,"",COUNTIFS(Fragebogen_A!$M$2:$M$112,$A6,Fragebogen_A!$F$2:$F$112,1)))</f>
        <v/>
      </c>
      <c r="AF6" s="25">
        <f>IF(AB6=1,COUNTIF($AB$4:AB6,1),"")</f>
        <v/>
      </c>
      <c r="AH6" s="25">
        <f>IF(AND(O6="",Analysedaten!E6=""),0,IF(OR(O6="",Analysedaten!E6=""),1,IF(ABS(O6-Analysedaten!E6)&lt;=0.000000001*MAX(1,ABS(Analysedaten!E6)),0,1)))</f>
        <v/>
      </c>
      <c r="AI6" s="25">
        <f>IF(AND(Q6="",Analysedaten!F6=""),0,IF(OR(Q6="",Analysedaten!F6=""),1,IF(ABS(Q6-Analysedaten!F6)&lt;=0.000000001*MAX(1,ABS(Analysedaten!F6)),0,1)))</f>
        <v/>
      </c>
      <c r="AJ6" s="25">
        <f>IF(AND(S6="",Analysedaten!G6=""),0,IF(OR(S6="",Analysedaten!G6=""),1,IF(ABS(S6-Analysedaten!G6)&lt;=0.000000001*MAX(1,ABS(Analysedaten!G6)),0,1)))</f>
        <v/>
      </c>
      <c r="AK6" s="25">
        <f>IF(AND(V6="",Analysedaten!H6=""),0,IF(OR(V6="",Analysedaten!H6=""),1,IF(ABS(V6-Analysedaten!H6)&lt;=0.000000001*MAX(1,ABS(Analysedaten!H6)),0,1)))</f>
        <v/>
      </c>
      <c r="AL6" s="25">
        <f>IF(AND(Y6="",Analysedaten!I6=""),0,IF(OR(Y6="",Analysedaten!I6=""),1,IF(ABS(Y6-Analysedaten!I6)&lt;=0.000000001*MAX(1,ABS(Analysedaten!I6)),0,1)))</f>
        <v/>
      </c>
      <c r="AM6" s="25">
        <f>IF(AND(Z6="",Analysedaten!J6=""),0,IF(OR(Z6="",Analysedaten!J6=""),1,IF(ABS(Z6-Analysedaten!J6)&lt;=0.000000001*MAX(1,ABS(Analysedaten!J6)),0,1)))</f>
        <v/>
      </c>
      <c r="AN6" s="25">
        <f>IF(AND(AA6="",Analysedaten!K6=""),0,IF(OR(AA6="",Analysedaten!K6=""),1,IF(ABS(AA6-Analysedaten!K6)&lt;=0.000000001*MAX(1,ABS(Analysedaten!K6)),0,1)))</f>
        <v/>
      </c>
      <c r="AO6" s="25">
        <f>IF(AND(AB6="",Analysedaten!L6=""),0,IF(OR(AB6="",Analysedaten!L6=""),1,IF(ABS(AB6-Analysedaten!L6)&lt;=0.000000001*MAX(1,ABS(Analysedaten!L6)),0,1)))</f>
        <v/>
      </c>
      <c r="AP6" s="25">
        <f>IF(AND(AC6="",Analysedaten!M6=""),0,IF(OR(AC6="",Analysedaten!M6=""),1,IF(ABS(AC6-Analysedaten!M6)&lt;=0.000000001*MAX(1,ABS(Analysedaten!M6)),0,1)))</f>
        <v/>
      </c>
      <c r="AQ6" s="25">
        <f>IF(AND(AD6="",Analysedaten!N6=""),0,IF(OR(AD6="",Analysedaten!N6=""),1,IF(ABS(AD6-Analysedaten!N6)&lt;=0.000000001*MAX(1,ABS(Analysedaten!N6)),0,1)))</f>
        <v/>
      </c>
      <c r="AR6" s="25">
        <f>IF(AND(AE6="",Analysedaten!O6=""),0,IF(OR(AE6="",Analysedaten!O6=""),1,IF(ABS(AE6-Analysedaten!O6)&lt;=0.000000001*MAX(1,ABS(Analysedaten!O6)),0,1)))</f>
        <v/>
      </c>
      <c r="AS6" s="25">
        <f>SUM(AH6:AR6)</f>
        <v/>
      </c>
    </row>
    <row r="7">
      <c r="A7" s="5" t="inlineStr">
        <is>
          <t>BW-05</t>
        </is>
      </c>
      <c r="B7" s="5" t="inlineStr">
        <is>
          <t>IG</t>
        </is>
      </c>
      <c r="C7" s="5" t="inlineStr">
        <is>
          <t>B</t>
        </is>
      </c>
      <c r="D7" s="5" t="n">
        <v>1</v>
      </c>
      <c r="E7" s="25">
        <f>IF(ISNUMBER(INDEX(Personendaten!$E$2:$E$32,MATCH($A7,Personendaten!$A$2:$A$32,0))),INDEX(Personendaten!$E$2:$E$32,MATCH($A7,Personendaten!$A$2:$A$32,0))/2.54,"")</f>
        <v/>
      </c>
      <c r="F7" s="25">
        <f>IF(ISNUMBER(INDEX(Personendaten!$F$2:$F$32,MATCH($A7,Personendaten!$A$2:$A$32,0))),INDEX(Personendaten!$F$2:$F$32,MATCH($A7,Personendaten!$A$2:$A$32,0))/0.45359237,"")</f>
        <v/>
      </c>
      <c r="G7" s="25">
        <f>IF(AND(ISNUMBER(INDEX(Personendaten!$G$2:$G$32,MATCH($A7,Personendaten!$A$2:$A$32,0))),ISNUMBER(INDEX(Personendaten!$H$2:$H$32,MATCH($A7,Personendaten!$A$2:$A$32,0)))),(INDEX(Personendaten!$G$2:$G$32,MATCH($A7,Personendaten!$A$2:$A$32,0))/2.54+INDEX(Personendaten!$H$2:$H$32,MATCH($A7,Personendaten!$A$2:$A$32,0))/2.54)/2,"")</f>
        <v/>
      </c>
      <c r="H7" s="25">
        <f>INT(2*INDEX(Personendaten!$D$2:$D$32,MATCH($A7,Personendaten!$A$2:$A$32,0)))/2</f>
        <v/>
      </c>
      <c r="I7" s="25">
        <f>(INDEX(Personendaten!$D$2:$D$32,MATCH($A7,Personendaten!$A$2:$A$32,0))-H7)/0.5</f>
        <v/>
      </c>
      <c r="J7" s="25">
        <f>IF($I7=0,INDEX(Koeffizienten_KR!$B$2:$B$29,MATCH($H7,Koeffizienten_KR!$A$2:$A$29,0)),(1-$I7)*INDEX(Koeffizienten_KR!$B$2:$B$29,MATCH($H7,Koeffizienten_KR!$A$2:$A$29,0))+$I7*INDEX(Koeffizienten_KR!$B$2:$B$29,MATCH($H7+0.5,Koeffizienten_KR!$A$2:$A$29,0)))</f>
        <v/>
      </c>
      <c r="K7" s="25">
        <f>IF($I7=0,INDEX(Koeffizienten_KR!$C$2:$C$29,MATCH($H7,Koeffizienten_KR!$A$2:$A$29,0)),(1-$I7)*INDEX(Koeffizienten_KR!$C$2:$C$29,MATCH($H7,Koeffizienten_KR!$A$2:$A$29,0))+$I7*INDEX(Koeffizienten_KR!$C$2:$C$29,MATCH($H7+0.5,Koeffizienten_KR!$A$2:$A$29,0)))</f>
        <v/>
      </c>
      <c r="L7" s="25">
        <f>IF($I7=0,INDEX(Koeffizienten_KR!$D$2:$D$29,MATCH($H7,Koeffizienten_KR!$A$2:$A$29,0)),(1-$I7)*INDEX(Koeffizienten_KR!$D$2:$D$29,MATCH($H7,Koeffizienten_KR!$A$2:$A$29,0))+$I7*INDEX(Koeffizienten_KR!$D$2:$D$29,MATCH($H7+0.5,Koeffizienten_KR!$A$2:$A$29,0)))</f>
        <v/>
      </c>
      <c r="M7" s="25">
        <f>IF($I7=0,INDEX(Koeffizienten_KR!$E$2:$E$29,MATCH($H7,Koeffizienten_KR!$A$2:$A$29,0)),(1-$I7)*INDEX(Koeffizienten_KR!$E$2:$E$29,MATCH($H7,Koeffizienten_KR!$A$2:$A$29,0))+$I7*INDEX(Koeffizienten_KR!$E$2:$E$29,MATCH($H7+0.5,Koeffizienten_KR!$A$2:$A$29,0)))</f>
        <v/>
      </c>
      <c r="N7" s="25">
        <f>IF(AND(ISNUMBER(E7),ISNUMBER(F7),ISNUMBER(G7),INDEX(Personendaten!$D$2:$D$32,MATCH($A7,Personendaten!$A$2:$A$32,0))&gt;=4,INDEX(Personendaten!$D$2:$D$32,MATCH($A7,Personendaten!$A$2:$A$32,0))&lt;=17.5),J7+K7*E7+L7*F7+M7*G7,"")</f>
        <v/>
      </c>
      <c r="O7" s="25">
        <f>IF(ISNUMBER(N7),100*E7/N7,"")</f>
        <v/>
      </c>
      <c r="P7" s="25">
        <f>COUNTIFS(Versuchsdaten!$A$2:$A$1117,$A7,Versuchsdaten!$B$2:$B$1117,"prä",Versuchsdaten!$C$2:$C$1117,"Sprint_30m",Versuchsdaten!$O$2:$O$1117,1)</f>
        <v/>
      </c>
      <c r="Q7" s="25">
        <f>IF(COUNTIFS(Versuchsdaten!$A$2:$A$1117,$A7,Versuchsdaten!$B$2:$B$1117,"prä",Versuchsdaten!$C$2:$C$1117,"Sprint_30m",Versuchsdaten!$O$2:$O$1117,1)=0,"",_xlfn.MINIFS(Versuchsdaten!$F$2:$F$1117,Versuchsdaten!$A$2:$A$1117,$A7,Versuchsdaten!$B$2:$B$1117,"prä",Versuchsdaten!$C$2:$C$1117,"Sprint_30m",Versuchsdaten!$O$2:$O$1117,1))</f>
        <v/>
      </c>
      <c r="R7" s="25">
        <f>COUNTIFS(Versuchsdaten!$A$2:$A$1117,$A7,Versuchsdaten!$B$2:$B$1117,"post",Versuchsdaten!$C$2:$C$1117,"Sprint_30m",Versuchsdaten!$O$2:$O$1117,1)</f>
        <v/>
      </c>
      <c r="S7" s="25">
        <f>IF(COUNTIFS(Versuchsdaten!$A$2:$A$1117,$A7,Versuchsdaten!$B$2:$B$1117,"post",Versuchsdaten!$C$2:$C$1117,"Sprint_30m",Versuchsdaten!$O$2:$O$1117,1)=0,"",_xlfn.MINIFS(Versuchsdaten!$F$2:$F$1117,Versuchsdaten!$A$2:$A$1117,$A7,Versuchsdaten!$B$2:$B$1117,"post",Versuchsdaten!$C$2:$C$1117,"Sprint_30m",Versuchsdaten!$O$2:$O$1117,1))</f>
        <v/>
      </c>
      <c r="T7" s="25">
        <f>IF(COUNTIFS(Versuchsdaten!$A$2:$A$1117,$A7,Versuchsdaten!$B$2:$B$1117,"prä",Versuchsdaten!$C$2:$C$1117,"COD_505",Versuchsdaten!$O$2:$O$1117,1,Versuchsdaten!$D$2:$D$1117,"L")=0,"",_xlfn.MINIFS(Versuchsdaten!$F$2:$F$1117,Versuchsdaten!$A$2:$A$1117,$A7,Versuchsdaten!$B$2:$B$1117,"prä",Versuchsdaten!$C$2:$C$1117,"COD_505",Versuchsdaten!$O$2:$O$1117,1,Versuchsdaten!$D$2:$D$1117,"L"))</f>
        <v/>
      </c>
      <c r="U7" s="25">
        <f>IF(COUNTIFS(Versuchsdaten!$A$2:$A$1117,$A7,Versuchsdaten!$B$2:$B$1117,"prä",Versuchsdaten!$C$2:$C$1117,"COD_505",Versuchsdaten!$O$2:$O$1117,1,Versuchsdaten!$D$2:$D$1117,"R")=0,"",_xlfn.MINIFS(Versuchsdaten!$F$2:$F$1117,Versuchsdaten!$A$2:$A$1117,$A7,Versuchsdaten!$B$2:$B$1117,"prä",Versuchsdaten!$C$2:$C$1117,"COD_505",Versuchsdaten!$O$2:$O$1117,1,Versuchsdaten!$D$2:$D$1117,"R"))</f>
        <v/>
      </c>
      <c r="V7" s="25">
        <f>IF(AND(ISNUMBER(T7),ISNUMBER(U7)),(T7+U7)/2,"")</f>
        <v/>
      </c>
      <c r="W7" s="25">
        <f>IF(COUNTIFS(Versuchsdaten!$A$2:$A$1117,$A7,Versuchsdaten!$B$2:$B$1117,"post",Versuchsdaten!$C$2:$C$1117,"COD_505",Versuchsdaten!$O$2:$O$1117,1,Versuchsdaten!$D$2:$D$1117,"L")=0,"",_xlfn.MINIFS(Versuchsdaten!$F$2:$F$1117,Versuchsdaten!$A$2:$A$1117,$A7,Versuchsdaten!$B$2:$B$1117,"post",Versuchsdaten!$C$2:$C$1117,"COD_505",Versuchsdaten!$O$2:$O$1117,1,Versuchsdaten!$D$2:$D$1117,"L"))</f>
        <v/>
      </c>
      <c r="X7" s="25">
        <f>IF(COUNTIFS(Versuchsdaten!$A$2:$A$1117,$A7,Versuchsdaten!$B$2:$B$1117,"post",Versuchsdaten!$C$2:$C$1117,"COD_505",Versuchsdaten!$O$2:$O$1117,1,Versuchsdaten!$D$2:$D$1117,"R")=0,"",_xlfn.MINIFS(Versuchsdaten!$F$2:$F$1117,Versuchsdaten!$A$2:$A$1117,$A7,Versuchsdaten!$B$2:$B$1117,"post",Versuchsdaten!$C$2:$C$1117,"COD_505",Versuchsdaten!$O$2:$O$1117,1,Versuchsdaten!$D$2:$D$1117,"R"))</f>
        <v/>
      </c>
      <c r="Y7" s="25">
        <f>IF(AND(ISNUMBER(W7),ISNUMBER(X7)),(W7+X7)/2,"")</f>
        <v/>
      </c>
      <c r="Z7" s="25">
        <f>IF(COUNTIFS(Versuchsdaten!$A$2:$A$1117,$A7,Versuchsdaten!$B$2:$B$1117,"prä",Versuchsdaten!$C$2:$C$1117,"Standweitsprung",Versuchsdaten!$O$2:$O$1117,1)=0,"",_xlfn.MAXIFS(Versuchsdaten!$F$2:$F$1117,Versuchsdaten!$A$2:$A$1117,$A7,Versuchsdaten!$B$2:$B$1117,"prä",Versuchsdaten!$C$2:$C$1117,"Standweitsprung",Versuchsdaten!$O$2:$O$1117,1))</f>
        <v/>
      </c>
      <c r="AA7" s="25">
        <f>IF(COUNTIFS(Versuchsdaten!$A$2:$A$1117,$A7,Versuchsdaten!$B$2:$B$1117,"post",Versuchsdaten!$C$2:$C$1117,"Standweitsprung",Versuchsdaten!$O$2:$O$1117,1)=0,"",_xlfn.MAXIFS(Versuchsdaten!$F$2:$F$1117,Versuchsdaten!$A$2:$A$1117,$A7,Versuchsdaten!$B$2:$B$1117,"post",Versuchsdaten!$C$2:$C$1117,"Standweitsprung",Versuchsdaten!$O$2:$O$1117,1))</f>
        <v/>
      </c>
      <c r="AB7" s="25">
        <f>IF(AND(ISNUMBER(Q7),ISNUMBER(S7),ISNUMBER(O7)),1,0)</f>
        <v/>
      </c>
      <c r="AC7" s="25">
        <f>IF(AND(ISNUMBER(V7),ISNUMBER(Y7),ISNUMBER(O7)),1,0)</f>
        <v/>
      </c>
      <c r="AD7" s="25">
        <f>IF(AND(ISNUMBER(Z7),ISNUMBER(AA7),ISNUMBER(O7)),1,0)</f>
        <v/>
      </c>
      <c r="AE7" s="25">
        <f>IF(D7=0,"",IF(COUNTIF(Zuordnung!$B$2:$B$23,$A7)=0,"",COUNTIFS(Fragebogen_A!$M$2:$M$112,$A7,Fragebogen_A!$F$2:$F$112,1)))</f>
        <v/>
      </c>
      <c r="AF7" s="25">
        <f>IF(AB7=1,COUNTIF($AB$4:AB7,1),"")</f>
        <v/>
      </c>
      <c r="AH7" s="25">
        <f>IF(AND(O7="",Analysedaten!E7=""),0,IF(OR(O7="",Analysedaten!E7=""),1,IF(ABS(O7-Analysedaten!E7)&lt;=0.000000001*MAX(1,ABS(Analysedaten!E7)),0,1)))</f>
        <v/>
      </c>
      <c r="AI7" s="25">
        <f>IF(AND(Q7="",Analysedaten!F7=""),0,IF(OR(Q7="",Analysedaten!F7=""),1,IF(ABS(Q7-Analysedaten!F7)&lt;=0.000000001*MAX(1,ABS(Analysedaten!F7)),0,1)))</f>
        <v/>
      </c>
      <c r="AJ7" s="25">
        <f>IF(AND(S7="",Analysedaten!G7=""),0,IF(OR(S7="",Analysedaten!G7=""),1,IF(ABS(S7-Analysedaten!G7)&lt;=0.000000001*MAX(1,ABS(Analysedaten!G7)),0,1)))</f>
        <v/>
      </c>
      <c r="AK7" s="25">
        <f>IF(AND(V7="",Analysedaten!H7=""),0,IF(OR(V7="",Analysedaten!H7=""),1,IF(ABS(V7-Analysedaten!H7)&lt;=0.000000001*MAX(1,ABS(Analysedaten!H7)),0,1)))</f>
        <v/>
      </c>
      <c r="AL7" s="25">
        <f>IF(AND(Y7="",Analysedaten!I7=""),0,IF(OR(Y7="",Analysedaten!I7=""),1,IF(ABS(Y7-Analysedaten!I7)&lt;=0.000000001*MAX(1,ABS(Analysedaten!I7)),0,1)))</f>
        <v/>
      </c>
      <c r="AM7" s="25">
        <f>IF(AND(Z7="",Analysedaten!J7=""),0,IF(OR(Z7="",Analysedaten!J7=""),1,IF(ABS(Z7-Analysedaten!J7)&lt;=0.000000001*MAX(1,ABS(Analysedaten!J7)),0,1)))</f>
        <v/>
      </c>
      <c r="AN7" s="25">
        <f>IF(AND(AA7="",Analysedaten!K7=""),0,IF(OR(AA7="",Analysedaten!K7=""),1,IF(ABS(AA7-Analysedaten!K7)&lt;=0.000000001*MAX(1,ABS(Analysedaten!K7)),0,1)))</f>
        <v/>
      </c>
      <c r="AO7" s="25">
        <f>IF(AND(AB7="",Analysedaten!L7=""),0,IF(OR(AB7="",Analysedaten!L7=""),1,IF(ABS(AB7-Analysedaten!L7)&lt;=0.000000001*MAX(1,ABS(Analysedaten!L7)),0,1)))</f>
        <v/>
      </c>
      <c r="AP7" s="25">
        <f>IF(AND(AC7="",Analysedaten!M7=""),0,IF(OR(AC7="",Analysedaten!M7=""),1,IF(ABS(AC7-Analysedaten!M7)&lt;=0.000000001*MAX(1,ABS(Analysedaten!M7)),0,1)))</f>
        <v/>
      </c>
      <c r="AQ7" s="25">
        <f>IF(AND(AD7="",Analysedaten!N7=""),0,IF(OR(AD7="",Analysedaten!N7=""),1,IF(ABS(AD7-Analysedaten!N7)&lt;=0.000000001*MAX(1,ABS(Analysedaten!N7)),0,1)))</f>
        <v/>
      </c>
      <c r="AR7" s="25">
        <f>IF(AND(AE7="",Analysedaten!O7=""),0,IF(OR(AE7="",Analysedaten!O7=""),1,IF(ABS(AE7-Analysedaten!O7)&lt;=0.000000001*MAX(1,ABS(Analysedaten!O7)),0,1)))</f>
        <v/>
      </c>
      <c r="AS7" s="25">
        <f>SUM(AH7:AR7)</f>
        <v/>
      </c>
    </row>
    <row r="8">
      <c r="A8" s="5" t="inlineStr">
        <is>
          <t>BW-06</t>
        </is>
      </c>
      <c r="B8" s="5" t="inlineStr">
        <is>
          <t>IG</t>
        </is>
      </c>
      <c r="C8" s="5" t="inlineStr">
        <is>
          <t>B</t>
        </is>
      </c>
      <c r="D8" s="5" t="n">
        <v>1</v>
      </c>
      <c r="E8" s="25">
        <f>IF(ISNUMBER(INDEX(Personendaten!$E$2:$E$32,MATCH($A8,Personendaten!$A$2:$A$32,0))),INDEX(Personendaten!$E$2:$E$32,MATCH($A8,Personendaten!$A$2:$A$32,0))/2.54,"")</f>
        <v/>
      </c>
      <c r="F8" s="25">
        <f>IF(ISNUMBER(INDEX(Personendaten!$F$2:$F$32,MATCH($A8,Personendaten!$A$2:$A$32,0))),INDEX(Personendaten!$F$2:$F$32,MATCH($A8,Personendaten!$A$2:$A$32,0))/0.45359237,"")</f>
        <v/>
      </c>
      <c r="G8" s="25">
        <f>IF(AND(ISNUMBER(INDEX(Personendaten!$G$2:$G$32,MATCH($A8,Personendaten!$A$2:$A$32,0))),ISNUMBER(INDEX(Personendaten!$H$2:$H$32,MATCH($A8,Personendaten!$A$2:$A$32,0)))),(INDEX(Personendaten!$G$2:$G$32,MATCH($A8,Personendaten!$A$2:$A$32,0))/2.54+INDEX(Personendaten!$H$2:$H$32,MATCH($A8,Personendaten!$A$2:$A$32,0))/2.54)/2,"")</f>
        <v/>
      </c>
      <c r="H8" s="25">
        <f>INT(2*INDEX(Personendaten!$D$2:$D$32,MATCH($A8,Personendaten!$A$2:$A$32,0)))/2</f>
        <v/>
      </c>
      <c r="I8" s="25">
        <f>(INDEX(Personendaten!$D$2:$D$32,MATCH($A8,Personendaten!$A$2:$A$32,0))-H8)/0.5</f>
        <v/>
      </c>
      <c r="J8" s="25">
        <f>IF($I8=0,INDEX(Koeffizienten_KR!$B$2:$B$29,MATCH($H8,Koeffizienten_KR!$A$2:$A$29,0)),(1-$I8)*INDEX(Koeffizienten_KR!$B$2:$B$29,MATCH($H8,Koeffizienten_KR!$A$2:$A$29,0))+$I8*INDEX(Koeffizienten_KR!$B$2:$B$29,MATCH($H8+0.5,Koeffizienten_KR!$A$2:$A$29,0)))</f>
        <v/>
      </c>
      <c r="K8" s="25">
        <f>IF($I8=0,INDEX(Koeffizienten_KR!$C$2:$C$29,MATCH($H8,Koeffizienten_KR!$A$2:$A$29,0)),(1-$I8)*INDEX(Koeffizienten_KR!$C$2:$C$29,MATCH($H8,Koeffizienten_KR!$A$2:$A$29,0))+$I8*INDEX(Koeffizienten_KR!$C$2:$C$29,MATCH($H8+0.5,Koeffizienten_KR!$A$2:$A$29,0)))</f>
        <v/>
      </c>
      <c r="L8" s="25">
        <f>IF($I8=0,INDEX(Koeffizienten_KR!$D$2:$D$29,MATCH($H8,Koeffizienten_KR!$A$2:$A$29,0)),(1-$I8)*INDEX(Koeffizienten_KR!$D$2:$D$29,MATCH($H8,Koeffizienten_KR!$A$2:$A$29,0))+$I8*INDEX(Koeffizienten_KR!$D$2:$D$29,MATCH($H8+0.5,Koeffizienten_KR!$A$2:$A$29,0)))</f>
        <v/>
      </c>
      <c r="M8" s="25">
        <f>IF($I8=0,INDEX(Koeffizienten_KR!$E$2:$E$29,MATCH($H8,Koeffizienten_KR!$A$2:$A$29,0)),(1-$I8)*INDEX(Koeffizienten_KR!$E$2:$E$29,MATCH($H8,Koeffizienten_KR!$A$2:$A$29,0))+$I8*INDEX(Koeffizienten_KR!$E$2:$E$29,MATCH($H8+0.5,Koeffizienten_KR!$A$2:$A$29,0)))</f>
        <v/>
      </c>
      <c r="N8" s="25">
        <f>IF(AND(ISNUMBER(E8),ISNUMBER(F8),ISNUMBER(G8),INDEX(Personendaten!$D$2:$D$32,MATCH($A8,Personendaten!$A$2:$A$32,0))&gt;=4,INDEX(Personendaten!$D$2:$D$32,MATCH($A8,Personendaten!$A$2:$A$32,0))&lt;=17.5),J8+K8*E8+L8*F8+M8*G8,"")</f>
        <v/>
      </c>
      <c r="O8" s="25">
        <f>IF(ISNUMBER(N8),100*E8/N8,"")</f>
        <v/>
      </c>
      <c r="P8" s="25">
        <f>COUNTIFS(Versuchsdaten!$A$2:$A$1117,$A8,Versuchsdaten!$B$2:$B$1117,"prä",Versuchsdaten!$C$2:$C$1117,"Sprint_30m",Versuchsdaten!$O$2:$O$1117,1)</f>
        <v/>
      </c>
      <c r="Q8" s="25">
        <f>IF(COUNTIFS(Versuchsdaten!$A$2:$A$1117,$A8,Versuchsdaten!$B$2:$B$1117,"prä",Versuchsdaten!$C$2:$C$1117,"Sprint_30m",Versuchsdaten!$O$2:$O$1117,1)=0,"",_xlfn.MINIFS(Versuchsdaten!$F$2:$F$1117,Versuchsdaten!$A$2:$A$1117,$A8,Versuchsdaten!$B$2:$B$1117,"prä",Versuchsdaten!$C$2:$C$1117,"Sprint_30m",Versuchsdaten!$O$2:$O$1117,1))</f>
        <v/>
      </c>
      <c r="R8" s="25">
        <f>COUNTIFS(Versuchsdaten!$A$2:$A$1117,$A8,Versuchsdaten!$B$2:$B$1117,"post",Versuchsdaten!$C$2:$C$1117,"Sprint_30m",Versuchsdaten!$O$2:$O$1117,1)</f>
        <v/>
      </c>
      <c r="S8" s="25">
        <f>IF(COUNTIFS(Versuchsdaten!$A$2:$A$1117,$A8,Versuchsdaten!$B$2:$B$1117,"post",Versuchsdaten!$C$2:$C$1117,"Sprint_30m",Versuchsdaten!$O$2:$O$1117,1)=0,"",_xlfn.MINIFS(Versuchsdaten!$F$2:$F$1117,Versuchsdaten!$A$2:$A$1117,$A8,Versuchsdaten!$B$2:$B$1117,"post",Versuchsdaten!$C$2:$C$1117,"Sprint_30m",Versuchsdaten!$O$2:$O$1117,1))</f>
        <v/>
      </c>
      <c r="T8" s="25">
        <f>IF(COUNTIFS(Versuchsdaten!$A$2:$A$1117,$A8,Versuchsdaten!$B$2:$B$1117,"prä",Versuchsdaten!$C$2:$C$1117,"COD_505",Versuchsdaten!$O$2:$O$1117,1,Versuchsdaten!$D$2:$D$1117,"L")=0,"",_xlfn.MINIFS(Versuchsdaten!$F$2:$F$1117,Versuchsdaten!$A$2:$A$1117,$A8,Versuchsdaten!$B$2:$B$1117,"prä",Versuchsdaten!$C$2:$C$1117,"COD_505",Versuchsdaten!$O$2:$O$1117,1,Versuchsdaten!$D$2:$D$1117,"L"))</f>
        <v/>
      </c>
      <c r="U8" s="25">
        <f>IF(COUNTIFS(Versuchsdaten!$A$2:$A$1117,$A8,Versuchsdaten!$B$2:$B$1117,"prä",Versuchsdaten!$C$2:$C$1117,"COD_505",Versuchsdaten!$O$2:$O$1117,1,Versuchsdaten!$D$2:$D$1117,"R")=0,"",_xlfn.MINIFS(Versuchsdaten!$F$2:$F$1117,Versuchsdaten!$A$2:$A$1117,$A8,Versuchsdaten!$B$2:$B$1117,"prä",Versuchsdaten!$C$2:$C$1117,"COD_505",Versuchsdaten!$O$2:$O$1117,1,Versuchsdaten!$D$2:$D$1117,"R"))</f>
        <v/>
      </c>
      <c r="V8" s="25">
        <f>IF(AND(ISNUMBER(T8),ISNUMBER(U8)),(T8+U8)/2,"")</f>
        <v/>
      </c>
      <c r="W8" s="25">
        <f>IF(COUNTIFS(Versuchsdaten!$A$2:$A$1117,$A8,Versuchsdaten!$B$2:$B$1117,"post",Versuchsdaten!$C$2:$C$1117,"COD_505",Versuchsdaten!$O$2:$O$1117,1,Versuchsdaten!$D$2:$D$1117,"L")=0,"",_xlfn.MINIFS(Versuchsdaten!$F$2:$F$1117,Versuchsdaten!$A$2:$A$1117,$A8,Versuchsdaten!$B$2:$B$1117,"post",Versuchsdaten!$C$2:$C$1117,"COD_505",Versuchsdaten!$O$2:$O$1117,1,Versuchsdaten!$D$2:$D$1117,"L"))</f>
        <v/>
      </c>
      <c r="X8" s="25">
        <f>IF(COUNTIFS(Versuchsdaten!$A$2:$A$1117,$A8,Versuchsdaten!$B$2:$B$1117,"post",Versuchsdaten!$C$2:$C$1117,"COD_505",Versuchsdaten!$O$2:$O$1117,1,Versuchsdaten!$D$2:$D$1117,"R")=0,"",_xlfn.MINIFS(Versuchsdaten!$F$2:$F$1117,Versuchsdaten!$A$2:$A$1117,$A8,Versuchsdaten!$B$2:$B$1117,"post",Versuchsdaten!$C$2:$C$1117,"COD_505",Versuchsdaten!$O$2:$O$1117,1,Versuchsdaten!$D$2:$D$1117,"R"))</f>
        <v/>
      </c>
      <c r="Y8" s="25">
        <f>IF(AND(ISNUMBER(W8),ISNUMBER(X8)),(W8+X8)/2,"")</f>
        <v/>
      </c>
      <c r="Z8" s="25">
        <f>IF(COUNTIFS(Versuchsdaten!$A$2:$A$1117,$A8,Versuchsdaten!$B$2:$B$1117,"prä",Versuchsdaten!$C$2:$C$1117,"Standweitsprung",Versuchsdaten!$O$2:$O$1117,1)=0,"",_xlfn.MAXIFS(Versuchsdaten!$F$2:$F$1117,Versuchsdaten!$A$2:$A$1117,$A8,Versuchsdaten!$B$2:$B$1117,"prä",Versuchsdaten!$C$2:$C$1117,"Standweitsprung",Versuchsdaten!$O$2:$O$1117,1))</f>
        <v/>
      </c>
      <c r="AA8" s="25">
        <f>IF(COUNTIFS(Versuchsdaten!$A$2:$A$1117,$A8,Versuchsdaten!$B$2:$B$1117,"post",Versuchsdaten!$C$2:$C$1117,"Standweitsprung",Versuchsdaten!$O$2:$O$1117,1)=0,"",_xlfn.MAXIFS(Versuchsdaten!$F$2:$F$1117,Versuchsdaten!$A$2:$A$1117,$A8,Versuchsdaten!$B$2:$B$1117,"post",Versuchsdaten!$C$2:$C$1117,"Standweitsprung",Versuchsdaten!$O$2:$O$1117,1))</f>
        <v/>
      </c>
      <c r="AB8" s="25">
        <f>IF(AND(ISNUMBER(Q8),ISNUMBER(S8),ISNUMBER(O8)),1,0)</f>
        <v/>
      </c>
      <c r="AC8" s="25">
        <f>IF(AND(ISNUMBER(V8),ISNUMBER(Y8),ISNUMBER(O8)),1,0)</f>
        <v/>
      </c>
      <c r="AD8" s="25">
        <f>IF(AND(ISNUMBER(Z8),ISNUMBER(AA8),ISNUMBER(O8)),1,0)</f>
        <v/>
      </c>
      <c r="AE8" s="25">
        <f>IF(D8=0,"",IF(COUNTIF(Zuordnung!$B$2:$B$23,$A8)=0,"",COUNTIFS(Fragebogen_A!$M$2:$M$112,$A8,Fragebogen_A!$F$2:$F$112,1)))</f>
        <v/>
      </c>
      <c r="AF8" s="25">
        <f>IF(AB8=1,COUNTIF($AB$4:AB8,1),"")</f>
        <v/>
      </c>
      <c r="AH8" s="25">
        <f>IF(AND(O8="",Analysedaten!E8=""),0,IF(OR(O8="",Analysedaten!E8=""),1,IF(ABS(O8-Analysedaten!E8)&lt;=0.000000001*MAX(1,ABS(Analysedaten!E8)),0,1)))</f>
        <v/>
      </c>
      <c r="AI8" s="25">
        <f>IF(AND(Q8="",Analysedaten!F8=""),0,IF(OR(Q8="",Analysedaten!F8=""),1,IF(ABS(Q8-Analysedaten!F8)&lt;=0.000000001*MAX(1,ABS(Analysedaten!F8)),0,1)))</f>
        <v/>
      </c>
      <c r="AJ8" s="25">
        <f>IF(AND(S8="",Analysedaten!G8=""),0,IF(OR(S8="",Analysedaten!G8=""),1,IF(ABS(S8-Analysedaten!G8)&lt;=0.000000001*MAX(1,ABS(Analysedaten!G8)),0,1)))</f>
        <v/>
      </c>
      <c r="AK8" s="25">
        <f>IF(AND(V8="",Analysedaten!H8=""),0,IF(OR(V8="",Analysedaten!H8=""),1,IF(ABS(V8-Analysedaten!H8)&lt;=0.000000001*MAX(1,ABS(Analysedaten!H8)),0,1)))</f>
        <v/>
      </c>
      <c r="AL8" s="25">
        <f>IF(AND(Y8="",Analysedaten!I8=""),0,IF(OR(Y8="",Analysedaten!I8=""),1,IF(ABS(Y8-Analysedaten!I8)&lt;=0.000000001*MAX(1,ABS(Analysedaten!I8)),0,1)))</f>
        <v/>
      </c>
      <c r="AM8" s="25">
        <f>IF(AND(Z8="",Analysedaten!J8=""),0,IF(OR(Z8="",Analysedaten!J8=""),1,IF(ABS(Z8-Analysedaten!J8)&lt;=0.000000001*MAX(1,ABS(Analysedaten!J8)),0,1)))</f>
        <v/>
      </c>
      <c r="AN8" s="25">
        <f>IF(AND(AA8="",Analysedaten!K8=""),0,IF(OR(AA8="",Analysedaten!K8=""),1,IF(ABS(AA8-Analysedaten!K8)&lt;=0.000000001*MAX(1,ABS(Analysedaten!K8)),0,1)))</f>
        <v/>
      </c>
      <c r="AO8" s="25">
        <f>IF(AND(AB8="",Analysedaten!L8=""),0,IF(OR(AB8="",Analysedaten!L8=""),1,IF(ABS(AB8-Analysedaten!L8)&lt;=0.000000001*MAX(1,ABS(Analysedaten!L8)),0,1)))</f>
        <v/>
      </c>
      <c r="AP8" s="25">
        <f>IF(AND(AC8="",Analysedaten!M8=""),0,IF(OR(AC8="",Analysedaten!M8=""),1,IF(ABS(AC8-Analysedaten!M8)&lt;=0.000000001*MAX(1,ABS(Analysedaten!M8)),0,1)))</f>
        <v/>
      </c>
      <c r="AQ8" s="25">
        <f>IF(AND(AD8="",Analysedaten!N8=""),0,IF(OR(AD8="",Analysedaten!N8=""),1,IF(ABS(AD8-Analysedaten!N8)&lt;=0.000000001*MAX(1,ABS(Analysedaten!N8)),0,1)))</f>
        <v/>
      </c>
      <c r="AR8" s="25">
        <f>IF(AND(AE8="",Analysedaten!O8=""),0,IF(OR(AE8="",Analysedaten!O8=""),1,IF(ABS(AE8-Analysedaten!O8)&lt;=0.000000001*MAX(1,ABS(Analysedaten!O8)),0,1)))</f>
        <v/>
      </c>
      <c r="AS8" s="25">
        <f>SUM(AH8:AR8)</f>
        <v/>
      </c>
    </row>
    <row r="9">
      <c r="A9" s="5" t="inlineStr">
        <is>
          <t>BW-07</t>
        </is>
      </c>
      <c r="B9" s="5" t="inlineStr">
        <is>
          <t>IG</t>
        </is>
      </c>
      <c r="C9" s="5" t="inlineStr">
        <is>
          <t>B</t>
        </is>
      </c>
      <c r="D9" s="5" t="n">
        <v>1</v>
      </c>
      <c r="E9" s="25">
        <f>IF(ISNUMBER(INDEX(Personendaten!$E$2:$E$32,MATCH($A9,Personendaten!$A$2:$A$32,0))),INDEX(Personendaten!$E$2:$E$32,MATCH($A9,Personendaten!$A$2:$A$32,0))/2.54,"")</f>
        <v/>
      </c>
      <c r="F9" s="25">
        <f>IF(ISNUMBER(INDEX(Personendaten!$F$2:$F$32,MATCH($A9,Personendaten!$A$2:$A$32,0))),INDEX(Personendaten!$F$2:$F$32,MATCH($A9,Personendaten!$A$2:$A$32,0))/0.45359237,"")</f>
        <v/>
      </c>
      <c r="G9" s="25">
        <f>IF(AND(ISNUMBER(INDEX(Personendaten!$G$2:$G$32,MATCH($A9,Personendaten!$A$2:$A$32,0))),ISNUMBER(INDEX(Personendaten!$H$2:$H$32,MATCH($A9,Personendaten!$A$2:$A$32,0)))),(INDEX(Personendaten!$G$2:$G$32,MATCH($A9,Personendaten!$A$2:$A$32,0))/2.54+INDEX(Personendaten!$H$2:$H$32,MATCH($A9,Personendaten!$A$2:$A$32,0))/2.54)/2,"")</f>
        <v/>
      </c>
      <c r="H9" s="25">
        <f>INT(2*INDEX(Personendaten!$D$2:$D$32,MATCH($A9,Personendaten!$A$2:$A$32,0)))/2</f>
        <v/>
      </c>
      <c r="I9" s="25">
        <f>(INDEX(Personendaten!$D$2:$D$32,MATCH($A9,Personendaten!$A$2:$A$32,0))-H9)/0.5</f>
        <v/>
      </c>
      <c r="J9" s="25">
        <f>IF($I9=0,INDEX(Koeffizienten_KR!$B$2:$B$29,MATCH($H9,Koeffizienten_KR!$A$2:$A$29,0)),(1-$I9)*INDEX(Koeffizienten_KR!$B$2:$B$29,MATCH($H9,Koeffizienten_KR!$A$2:$A$29,0))+$I9*INDEX(Koeffizienten_KR!$B$2:$B$29,MATCH($H9+0.5,Koeffizienten_KR!$A$2:$A$29,0)))</f>
        <v/>
      </c>
      <c r="K9" s="25">
        <f>IF($I9=0,INDEX(Koeffizienten_KR!$C$2:$C$29,MATCH($H9,Koeffizienten_KR!$A$2:$A$29,0)),(1-$I9)*INDEX(Koeffizienten_KR!$C$2:$C$29,MATCH($H9,Koeffizienten_KR!$A$2:$A$29,0))+$I9*INDEX(Koeffizienten_KR!$C$2:$C$29,MATCH($H9+0.5,Koeffizienten_KR!$A$2:$A$29,0)))</f>
        <v/>
      </c>
      <c r="L9" s="25">
        <f>IF($I9=0,INDEX(Koeffizienten_KR!$D$2:$D$29,MATCH($H9,Koeffizienten_KR!$A$2:$A$29,0)),(1-$I9)*INDEX(Koeffizienten_KR!$D$2:$D$29,MATCH($H9,Koeffizienten_KR!$A$2:$A$29,0))+$I9*INDEX(Koeffizienten_KR!$D$2:$D$29,MATCH($H9+0.5,Koeffizienten_KR!$A$2:$A$29,0)))</f>
        <v/>
      </c>
      <c r="M9" s="25">
        <f>IF($I9=0,INDEX(Koeffizienten_KR!$E$2:$E$29,MATCH($H9,Koeffizienten_KR!$A$2:$A$29,0)),(1-$I9)*INDEX(Koeffizienten_KR!$E$2:$E$29,MATCH($H9,Koeffizienten_KR!$A$2:$A$29,0))+$I9*INDEX(Koeffizienten_KR!$E$2:$E$29,MATCH($H9+0.5,Koeffizienten_KR!$A$2:$A$29,0)))</f>
        <v/>
      </c>
      <c r="N9" s="25">
        <f>IF(AND(ISNUMBER(E9),ISNUMBER(F9),ISNUMBER(G9),INDEX(Personendaten!$D$2:$D$32,MATCH($A9,Personendaten!$A$2:$A$32,0))&gt;=4,INDEX(Personendaten!$D$2:$D$32,MATCH($A9,Personendaten!$A$2:$A$32,0))&lt;=17.5),J9+K9*E9+L9*F9+M9*G9,"")</f>
        <v/>
      </c>
      <c r="O9" s="25">
        <f>IF(ISNUMBER(N9),100*E9/N9,"")</f>
        <v/>
      </c>
      <c r="P9" s="25">
        <f>COUNTIFS(Versuchsdaten!$A$2:$A$1117,$A9,Versuchsdaten!$B$2:$B$1117,"prä",Versuchsdaten!$C$2:$C$1117,"Sprint_30m",Versuchsdaten!$O$2:$O$1117,1)</f>
        <v/>
      </c>
      <c r="Q9" s="25">
        <f>IF(COUNTIFS(Versuchsdaten!$A$2:$A$1117,$A9,Versuchsdaten!$B$2:$B$1117,"prä",Versuchsdaten!$C$2:$C$1117,"Sprint_30m",Versuchsdaten!$O$2:$O$1117,1)=0,"",_xlfn.MINIFS(Versuchsdaten!$F$2:$F$1117,Versuchsdaten!$A$2:$A$1117,$A9,Versuchsdaten!$B$2:$B$1117,"prä",Versuchsdaten!$C$2:$C$1117,"Sprint_30m",Versuchsdaten!$O$2:$O$1117,1))</f>
        <v/>
      </c>
      <c r="R9" s="25">
        <f>COUNTIFS(Versuchsdaten!$A$2:$A$1117,$A9,Versuchsdaten!$B$2:$B$1117,"post",Versuchsdaten!$C$2:$C$1117,"Sprint_30m",Versuchsdaten!$O$2:$O$1117,1)</f>
        <v/>
      </c>
      <c r="S9" s="25">
        <f>IF(COUNTIFS(Versuchsdaten!$A$2:$A$1117,$A9,Versuchsdaten!$B$2:$B$1117,"post",Versuchsdaten!$C$2:$C$1117,"Sprint_30m",Versuchsdaten!$O$2:$O$1117,1)=0,"",_xlfn.MINIFS(Versuchsdaten!$F$2:$F$1117,Versuchsdaten!$A$2:$A$1117,$A9,Versuchsdaten!$B$2:$B$1117,"post",Versuchsdaten!$C$2:$C$1117,"Sprint_30m",Versuchsdaten!$O$2:$O$1117,1))</f>
        <v/>
      </c>
      <c r="T9" s="25">
        <f>IF(COUNTIFS(Versuchsdaten!$A$2:$A$1117,$A9,Versuchsdaten!$B$2:$B$1117,"prä",Versuchsdaten!$C$2:$C$1117,"COD_505",Versuchsdaten!$O$2:$O$1117,1,Versuchsdaten!$D$2:$D$1117,"L")=0,"",_xlfn.MINIFS(Versuchsdaten!$F$2:$F$1117,Versuchsdaten!$A$2:$A$1117,$A9,Versuchsdaten!$B$2:$B$1117,"prä",Versuchsdaten!$C$2:$C$1117,"COD_505",Versuchsdaten!$O$2:$O$1117,1,Versuchsdaten!$D$2:$D$1117,"L"))</f>
        <v/>
      </c>
      <c r="U9" s="25">
        <f>IF(COUNTIFS(Versuchsdaten!$A$2:$A$1117,$A9,Versuchsdaten!$B$2:$B$1117,"prä",Versuchsdaten!$C$2:$C$1117,"COD_505",Versuchsdaten!$O$2:$O$1117,1,Versuchsdaten!$D$2:$D$1117,"R")=0,"",_xlfn.MINIFS(Versuchsdaten!$F$2:$F$1117,Versuchsdaten!$A$2:$A$1117,$A9,Versuchsdaten!$B$2:$B$1117,"prä",Versuchsdaten!$C$2:$C$1117,"COD_505",Versuchsdaten!$O$2:$O$1117,1,Versuchsdaten!$D$2:$D$1117,"R"))</f>
        <v/>
      </c>
      <c r="V9" s="25">
        <f>IF(AND(ISNUMBER(T9),ISNUMBER(U9)),(T9+U9)/2,"")</f>
        <v/>
      </c>
      <c r="W9" s="25">
        <f>IF(COUNTIFS(Versuchsdaten!$A$2:$A$1117,$A9,Versuchsdaten!$B$2:$B$1117,"post",Versuchsdaten!$C$2:$C$1117,"COD_505",Versuchsdaten!$O$2:$O$1117,1,Versuchsdaten!$D$2:$D$1117,"L")=0,"",_xlfn.MINIFS(Versuchsdaten!$F$2:$F$1117,Versuchsdaten!$A$2:$A$1117,$A9,Versuchsdaten!$B$2:$B$1117,"post",Versuchsdaten!$C$2:$C$1117,"COD_505",Versuchsdaten!$O$2:$O$1117,1,Versuchsdaten!$D$2:$D$1117,"L"))</f>
        <v/>
      </c>
      <c r="X9" s="25">
        <f>IF(COUNTIFS(Versuchsdaten!$A$2:$A$1117,$A9,Versuchsdaten!$B$2:$B$1117,"post",Versuchsdaten!$C$2:$C$1117,"COD_505",Versuchsdaten!$O$2:$O$1117,1,Versuchsdaten!$D$2:$D$1117,"R")=0,"",_xlfn.MINIFS(Versuchsdaten!$F$2:$F$1117,Versuchsdaten!$A$2:$A$1117,$A9,Versuchsdaten!$B$2:$B$1117,"post",Versuchsdaten!$C$2:$C$1117,"COD_505",Versuchsdaten!$O$2:$O$1117,1,Versuchsdaten!$D$2:$D$1117,"R"))</f>
        <v/>
      </c>
      <c r="Y9" s="25">
        <f>IF(AND(ISNUMBER(W9),ISNUMBER(X9)),(W9+X9)/2,"")</f>
        <v/>
      </c>
      <c r="Z9" s="25">
        <f>IF(COUNTIFS(Versuchsdaten!$A$2:$A$1117,$A9,Versuchsdaten!$B$2:$B$1117,"prä",Versuchsdaten!$C$2:$C$1117,"Standweitsprung",Versuchsdaten!$O$2:$O$1117,1)=0,"",_xlfn.MAXIFS(Versuchsdaten!$F$2:$F$1117,Versuchsdaten!$A$2:$A$1117,$A9,Versuchsdaten!$B$2:$B$1117,"prä",Versuchsdaten!$C$2:$C$1117,"Standweitsprung",Versuchsdaten!$O$2:$O$1117,1))</f>
        <v/>
      </c>
      <c r="AA9" s="25">
        <f>IF(COUNTIFS(Versuchsdaten!$A$2:$A$1117,$A9,Versuchsdaten!$B$2:$B$1117,"post",Versuchsdaten!$C$2:$C$1117,"Standweitsprung",Versuchsdaten!$O$2:$O$1117,1)=0,"",_xlfn.MAXIFS(Versuchsdaten!$F$2:$F$1117,Versuchsdaten!$A$2:$A$1117,$A9,Versuchsdaten!$B$2:$B$1117,"post",Versuchsdaten!$C$2:$C$1117,"Standweitsprung",Versuchsdaten!$O$2:$O$1117,1))</f>
        <v/>
      </c>
      <c r="AB9" s="25">
        <f>IF(AND(ISNUMBER(Q9),ISNUMBER(S9),ISNUMBER(O9)),1,0)</f>
        <v/>
      </c>
      <c r="AC9" s="25">
        <f>IF(AND(ISNUMBER(V9),ISNUMBER(Y9),ISNUMBER(O9)),1,0)</f>
        <v/>
      </c>
      <c r="AD9" s="25">
        <f>IF(AND(ISNUMBER(Z9),ISNUMBER(AA9),ISNUMBER(O9)),1,0)</f>
        <v/>
      </c>
      <c r="AE9" s="25">
        <f>IF(D9=0,"",IF(COUNTIF(Zuordnung!$B$2:$B$23,$A9)=0,"",COUNTIFS(Fragebogen_A!$M$2:$M$112,$A9,Fragebogen_A!$F$2:$F$112,1)))</f>
        <v/>
      </c>
      <c r="AF9" s="25">
        <f>IF(AB9=1,COUNTIF($AB$4:AB9,1),"")</f>
        <v/>
      </c>
      <c r="AH9" s="25">
        <f>IF(AND(O9="",Analysedaten!E9=""),0,IF(OR(O9="",Analysedaten!E9=""),1,IF(ABS(O9-Analysedaten!E9)&lt;=0.000000001*MAX(1,ABS(Analysedaten!E9)),0,1)))</f>
        <v/>
      </c>
      <c r="AI9" s="25">
        <f>IF(AND(Q9="",Analysedaten!F9=""),0,IF(OR(Q9="",Analysedaten!F9=""),1,IF(ABS(Q9-Analysedaten!F9)&lt;=0.000000001*MAX(1,ABS(Analysedaten!F9)),0,1)))</f>
        <v/>
      </c>
      <c r="AJ9" s="25">
        <f>IF(AND(S9="",Analysedaten!G9=""),0,IF(OR(S9="",Analysedaten!G9=""),1,IF(ABS(S9-Analysedaten!G9)&lt;=0.000000001*MAX(1,ABS(Analysedaten!G9)),0,1)))</f>
        <v/>
      </c>
      <c r="AK9" s="25">
        <f>IF(AND(V9="",Analysedaten!H9=""),0,IF(OR(V9="",Analysedaten!H9=""),1,IF(ABS(V9-Analysedaten!H9)&lt;=0.000000001*MAX(1,ABS(Analysedaten!H9)),0,1)))</f>
        <v/>
      </c>
      <c r="AL9" s="25">
        <f>IF(AND(Y9="",Analysedaten!I9=""),0,IF(OR(Y9="",Analysedaten!I9=""),1,IF(ABS(Y9-Analysedaten!I9)&lt;=0.000000001*MAX(1,ABS(Analysedaten!I9)),0,1)))</f>
        <v/>
      </c>
      <c r="AM9" s="25">
        <f>IF(AND(Z9="",Analysedaten!J9=""),0,IF(OR(Z9="",Analysedaten!J9=""),1,IF(ABS(Z9-Analysedaten!J9)&lt;=0.000000001*MAX(1,ABS(Analysedaten!J9)),0,1)))</f>
        <v/>
      </c>
      <c r="AN9" s="25">
        <f>IF(AND(AA9="",Analysedaten!K9=""),0,IF(OR(AA9="",Analysedaten!K9=""),1,IF(ABS(AA9-Analysedaten!K9)&lt;=0.000000001*MAX(1,ABS(Analysedaten!K9)),0,1)))</f>
        <v/>
      </c>
      <c r="AO9" s="25">
        <f>IF(AND(AB9="",Analysedaten!L9=""),0,IF(OR(AB9="",Analysedaten!L9=""),1,IF(ABS(AB9-Analysedaten!L9)&lt;=0.000000001*MAX(1,ABS(Analysedaten!L9)),0,1)))</f>
        <v/>
      </c>
      <c r="AP9" s="25">
        <f>IF(AND(AC9="",Analysedaten!M9=""),0,IF(OR(AC9="",Analysedaten!M9=""),1,IF(ABS(AC9-Analysedaten!M9)&lt;=0.000000001*MAX(1,ABS(Analysedaten!M9)),0,1)))</f>
        <v/>
      </c>
      <c r="AQ9" s="25">
        <f>IF(AND(AD9="",Analysedaten!N9=""),0,IF(OR(AD9="",Analysedaten!N9=""),1,IF(ABS(AD9-Analysedaten!N9)&lt;=0.000000001*MAX(1,ABS(Analysedaten!N9)),0,1)))</f>
        <v/>
      </c>
      <c r="AR9" s="25">
        <f>IF(AND(AE9="",Analysedaten!O9=""),0,IF(OR(AE9="",Analysedaten!O9=""),1,IF(ABS(AE9-Analysedaten!O9)&lt;=0.000000001*MAX(1,ABS(Analysedaten!O9)),0,1)))</f>
        <v/>
      </c>
      <c r="AS9" s="25">
        <f>SUM(AH9:AR9)</f>
        <v/>
      </c>
    </row>
    <row r="10">
      <c r="A10" s="5" t="inlineStr">
        <is>
          <t>BW-08</t>
        </is>
      </c>
      <c r="B10" s="5" t="inlineStr">
        <is>
          <t>IG</t>
        </is>
      </c>
      <c r="C10" s="5" t="inlineStr">
        <is>
          <t>B</t>
        </is>
      </c>
      <c r="D10" s="5" t="n">
        <v>1</v>
      </c>
      <c r="E10" s="25">
        <f>IF(ISNUMBER(INDEX(Personendaten!$E$2:$E$32,MATCH($A10,Personendaten!$A$2:$A$32,0))),INDEX(Personendaten!$E$2:$E$32,MATCH($A10,Personendaten!$A$2:$A$32,0))/2.54,"")</f>
        <v/>
      </c>
      <c r="F10" s="25">
        <f>IF(ISNUMBER(INDEX(Personendaten!$F$2:$F$32,MATCH($A10,Personendaten!$A$2:$A$32,0))),INDEX(Personendaten!$F$2:$F$32,MATCH($A10,Personendaten!$A$2:$A$32,0))/0.45359237,"")</f>
        <v/>
      </c>
      <c r="G10" s="25">
        <f>IF(AND(ISNUMBER(INDEX(Personendaten!$G$2:$G$32,MATCH($A10,Personendaten!$A$2:$A$32,0))),ISNUMBER(INDEX(Personendaten!$H$2:$H$32,MATCH($A10,Personendaten!$A$2:$A$32,0)))),(INDEX(Personendaten!$G$2:$G$32,MATCH($A10,Personendaten!$A$2:$A$32,0))/2.54+INDEX(Personendaten!$H$2:$H$32,MATCH($A10,Personendaten!$A$2:$A$32,0))/2.54)/2,"")</f>
        <v/>
      </c>
      <c r="H10" s="25">
        <f>INT(2*INDEX(Personendaten!$D$2:$D$32,MATCH($A10,Personendaten!$A$2:$A$32,0)))/2</f>
        <v/>
      </c>
      <c r="I10" s="25">
        <f>(INDEX(Personendaten!$D$2:$D$32,MATCH($A10,Personendaten!$A$2:$A$32,0))-H10)/0.5</f>
        <v/>
      </c>
      <c r="J10" s="25">
        <f>IF($I10=0,INDEX(Koeffizienten_KR!$B$2:$B$29,MATCH($H10,Koeffizienten_KR!$A$2:$A$29,0)),(1-$I10)*INDEX(Koeffizienten_KR!$B$2:$B$29,MATCH($H10,Koeffizienten_KR!$A$2:$A$29,0))+$I10*INDEX(Koeffizienten_KR!$B$2:$B$29,MATCH($H10+0.5,Koeffizienten_KR!$A$2:$A$29,0)))</f>
        <v/>
      </c>
      <c r="K10" s="25">
        <f>IF($I10=0,INDEX(Koeffizienten_KR!$C$2:$C$29,MATCH($H10,Koeffizienten_KR!$A$2:$A$29,0)),(1-$I10)*INDEX(Koeffizienten_KR!$C$2:$C$29,MATCH($H10,Koeffizienten_KR!$A$2:$A$29,0))+$I10*INDEX(Koeffizienten_KR!$C$2:$C$29,MATCH($H10+0.5,Koeffizienten_KR!$A$2:$A$29,0)))</f>
        <v/>
      </c>
      <c r="L10" s="25">
        <f>IF($I10=0,INDEX(Koeffizienten_KR!$D$2:$D$29,MATCH($H10,Koeffizienten_KR!$A$2:$A$29,0)),(1-$I10)*INDEX(Koeffizienten_KR!$D$2:$D$29,MATCH($H10,Koeffizienten_KR!$A$2:$A$29,0))+$I10*INDEX(Koeffizienten_KR!$D$2:$D$29,MATCH($H10+0.5,Koeffizienten_KR!$A$2:$A$29,0)))</f>
        <v/>
      </c>
      <c r="M10" s="25">
        <f>IF($I10=0,INDEX(Koeffizienten_KR!$E$2:$E$29,MATCH($H10,Koeffizienten_KR!$A$2:$A$29,0)),(1-$I10)*INDEX(Koeffizienten_KR!$E$2:$E$29,MATCH($H10,Koeffizienten_KR!$A$2:$A$29,0))+$I10*INDEX(Koeffizienten_KR!$E$2:$E$29,MATCH($H10+0.5,Koeffizienten_KR!$A$2:$A$29,0)))</f>
        <v/>
      </c>
      <c r="N10" s="25">
        <f>IF(AND(ISNUMBER(E10),ISNUMBER(F10),ISNUMBER(G10),INDEX(Personendaten!$D$2:$D$32,MATCH($A10,Personendaten!$A$2:$A$32,0))&gt;=4,INDEX(Personendaten!$D$2:$D$32,MATCH($A10,Personendaten!$A$2:$A$32,0))&lt;=17.5),J10+K10*E10+L10*F10+M10*G10,"")</f>
        <v/>
      </c>
      <c r="O10" s="25">
        <f>IF(ISNUMBER(N10),100*E10/N10,"")</f>
        <v/>
      </c>
      <c r="P10" s="25">
        <f>COUNTIFS(Versuchsdaten!$A$2:$A$1117,$A10,Versuchsdaten!$B$2:$B$1117,"prä",Versuchsdaten!$C$2:$C$1117,"Sprint_30m",Versuchsdaten!$O$2:$O$1117,1)</f>
        <v/>
      </c>
      <c r="Q10" s="25">
        <f>IF(COUNTIFS(Versuchsdaten!$A$2:$A$1117,$A10,Versuchsdaten!$B$2:$B$1117,"prä",Versuchsdaten!$C$2:$C$1117,"Sprint_30m",Versuchsdaten!$O$2:$O$1117,1)=0,"",_xlfn.MINIFS(Versuchsdaten!$F$2:$F$1117,Versuchsdaten!$A$2:$A$1117,$A10,Versuchsdaten!$B$2:$B$1117,"prä",Versuchsdaten!$C$2:$C$1117,"Sprint_30m",Versuchsdaten!$O$2:$O$1117,1))</f>
        <v/>
      </c>
      <c r="R10" s="25">
        <f>COUNTIFS(Versuchsdaten!$A$2:$A$1117,$A10,Versuchsdaten!$B$2:$B$1117,"post",Versuchsdaten!$C$2:$C$1117,"Sprint_30m",Versuchsdaten!$O$2:$O$1117,1)</f>
        <v/>
      </c>
      <c r="S10" s="25">
        <f>IF(COUNTIFS(Versuchsdaten!$A$2:$A$1117,$A10,Versuchsdaten!$B$2:$B$1117,"post",Versuchsdaten!$C$2:$C$1117,"Sprint_30m",Versuchsdaten!$O$2:$O$1117,1)=0,"",_xlfn.MINIFS(Versuchsdaten!$F$2:$F$1117,Versuchsdaten!$A$2:$A$1117,$A10,Versuchsdaten!$B$2:$B$1117,"post",Versuchsdaten!$C$2:$C$1117,"Sprint_30m",Versuchsdaten!$O$2:$O$1117,1))</f>
        <v/>
      </c>
      <c r="T10" s="25">
        <f>IF(COUNTIFS(Versuchsdaten!$A$2:$A$1117,$A10,Versuchsdaten!$B$2:$B$1117,"prä",Versuchsdaten!$C$2:$C$1117,"COD_505",Versuchsdaten!$O$2:$O$1117,1,Versuchsdaten!$D$2:$D$1117,"L")=0,"",_xlfn.MINIFS(Versuchsdaten!$F$2:$F$1117,Versuchsdaten!$A$2:$A$1117,$A10,Versuchsdaten!$B$2:$B$1117,"prä",Versuchsdaten!$C$2:$C$1117,"COD_505",Versuchsdaten!$O$2:$O$1117,1,Versuchsdaten!$D$2:$D$1117,"L"))</f>
        <v/>
      </c>
      <c r="U10" s="25">
        <f>IF(COUNTIFS(Versuchsdaten!$A$2:$A$1117,$A10,Versuchsdaten!$B$2:$B$1117,"prä",Versuchsdaten!$C$2:$C$1117,"COD_505",Versuchsdaten!$O$2:$O$1117,1,Versuchsdaten!$D$2:$D$1117,"R")=0,"",_xlfn.MINIFS(Versuchsdaten!$F$2:$F$1117,Versuchsdaten!$A$2:$A$1117,$A10,Versuchsdaten!$B$2:$B$1117,"prä",Versuchsdaten!$C$2:$C$1117,"COD_505",Versuchsdaten!$O$2:$O$1117,1,Versuchsdaten!$D$2:$D$1117,"R"))</f>
        <v/>
      </c>
      <c r="V10" s="25">
        <f>IF(AND(ISNUMBER(T10),ISNUMBER(U10)),(T10+U10)/2,"")</f>
        <v/>
      </c>
      <c r="W10" s="25">
        <f>IF(COUNTIFS(Versuchsdaten!$A$2:$A$1117,$A10,Versuchsdaten!$B$2:$B$1117,"post",Versuchsdaten!$C$2:$C$1117,"COD_505",Versuchsdaten!$O$2:$O$1117,1,Versuchsdaten!$D$2:$D$1117,"L")=0,"",_xlfn.MINIFS(Versuchsdaten!$F$2:$F$1117,Versuchsdaten!$A$2:$A$1117,$A10,Versuchsdaten!$B$2:$B$1117,"post",Versuchsdaten!$C$2:$C$1117,"COD_505",Versuchsdaten!$O$2:$O$1117,1,Versuchsdaten!$D$2:$D$1117,"L"))</f>
        <v/>
      </c>
      <c r="X10" s="25">
        <f>IF(COUNTIFS(Versuchsdaten!$A$2:$A$1117,$A10,Versuchsdaten!$B$2:$B$1117,"post",Versuchsdaten!$C$2:$C$1117,"COD_505",Versuchsdaten!$O$2:$O$1117,1,Versuchsdaten!$D$2:$D$1117,"R")=0,"",_xlfn.MINIFS(Versuchsdaten!$F$2:$F$1117,Versuchsdaten!$A$2:$A$1117,$A10,Versuchsdaten!$B$2:$B$1117,"post",Versuchsdaten!$C$2:$C$1117,"COD_505",Versuchsdaten!$O$2:$O$1117,1,Versuchsdaten!$D$2:$D$1117,"R"))</f>
        <v/>
      </c>
      <c r="Y10" s="25">
        <f>IF(AND(ISNUMBER(W10),ISNUMBER(X10)),(W10+X10)/2,"")</f>
        <v/>
      </c>
      <c r="Z10" s="25">
        <f>IF(COUNTIFS(Versuchsdaten!$A$2:$A$1117,$A10,Versuchsdaten!$B$2:$B$1117,"prä",Versuchsdaten!$C$2:$C$1117,"Standweitsprung",Versuchsdaten!$O$2:$O$1117,1)=0,"",_xlfn.MAXIFS(Versuchsdaten!$F$2:$F$1117,Versuchsdaten!$A$2:$A$1117,$A10,Versuchsdaten!$B$2:$B$1117,"prä",Versuchsdaten!$C$2:$C$1117,"Standweitsprung",Versuchsdaten!$O$2:$O$1117,1))</f>
        <v/>
      </c>
      <c r="AA10" s="25">
        <f>IF(COUNTIFS(Versuchsdaten!$A$2:$A$1117,$A10,Versuchsdaten!$B$2:$B$1117,"post",Versuchsdaten!$C$2:$C$1117,"Standweitsprung",Versuchsdaten!$O$2:$O$1117,1)=0,"",_xlfn.MAXIFS(Versuchsdaten!$F$2:$F$1117,Versuchsdaten!$A$2:$A$1117,$A10,Versuchsdaten!$B$2:$B$1117,"post",Versuchsdaten!$C$2:$C$1117,"Standweitsprung",Versuchsdaten!$O$2:$O$1117,1))</f>
        <v/>
      </c>
      <c r="AB10" s="25">
        <f>IF(AND(ISNUMBER(Q10),ISNUMBER(S10),ISNUMBER(O10)),1,0)</f>
        <v/>
      </c>
      <c r="AC10" s="25">
        <f>IF(AND(ISNUMBER(V10),ISNUMBER(Y10),ISNUMBER(O10)),1,0)</f>
        <v/>
      </c>
      <c r="AD10" s="25">
        <f>IF(AND(ISNUMBER(Z10),ISNUMBER(AA10),ISNUMBER(O10)),1,0)</f>
        <v/>
      </c>
      <c r="AE10" s="25">
        <f>IF(D10=0,"",IF(COUNTIF(Zuordnung!$B$2:$B$23,$A10)=0,"",COUNTIFS(Fragebogen_A!$M$2:$M$112,$A10,Fragebogen_A!$F$2:$F$112,1)))</f>
        <v/>
      </c>
      <c r="AF10" s="25">
        <f>IF(AB10=1,COUNTIF($AB$4:AB10,1),"")</f>
        <v/>
      </c>
      <c r="AH10" s="25">
        <f>IF(AND(O10="",Analysedaten!E10=""),0,IF(OR(O10="",Analysedaten!E10=""),1,IF(ABS(O10-Analysedaten!E10)&lt;=0.000000001*MAX(1,ABS(Analysedaten!E10)),0,1)))</f>
        <v/>
      </c>
      <c r="AI10" s="25">
        <f>IF(AND(Q10="",Analysedaten!F10=""),0,IF(OR(Q10="",Analysedaten!F10=""),1,IF(ABS(Q10-Analysedaten!F10)&lt;=0.000000001*MAX(1,ABS(Analysedaten!F10)),0,1)))</f>
        <v/>
      </c>
      <c r="AJ10" s="25">
        <f>IF(AND(S10="",Analysedaten!G10=""),0,IF(OR(S10="",Analysedaten!G10=""),1,IF(ABS(S10-Analysedaten!G10)&lt;=0.000000001*MAX(1,ABS(Analysedaten!G10)),0,1)))</f>
        <v/>
      </c>
      <c r="AK10" s="25">
        <f>IF(AND(V10="",Analysedaten!H10=""),0,IF(OR(V10="",Analysedaten!H10=""),1,IF(ABS(V10-Analysedaten!H10)&lt;=0.000000001*MAX(1,ABS(Analysedaten!H10)),0,1)))</f>
        <v/>
      </c>
      <c r="AL10" s="25">
        <f>IF(AND(Y10="",Analysedaten!I10=""),0,IF(OR(Y10="",Analysedaten!I10=""),1,IF(ABS(Y10-Analysedaten!I10)&lt;=0.000000001*MAX(1,ABS(Analysedaten!I10)),0,1)))</f>
        <v/>
      </c>
      <c r="AM10" s="25">
        <f>IF(AND(Z10="",Analysedaten!J10=""),0,IF(OR(Z10="",Analysedaten!J10=""),1,IF(ABS(Z10-Analysedaten!J10)&lt;=0.000000001*MAX(1,ABS(Analysedaten!J10)),0,1)))</f>
        <v/>
      </c>
      <c r="AN10" s="25">
        <f>IF(AND(AA10="",Analysedaten!K10=""),0,IF(OR(AA10="",Analysedaten!K10=""),1,IF(ABS(AA10-Analysedaten!K10)&lt;=0.000000001*MAX(1,ABS(Analysedaten!K10)),0,1)))</f>
        <v/>
      </c>
      <c r="AO10" s="25">
        <f>IF(AND(AB10="",Analysedaten!L10=""),0,IF(OR(AB10="",Analysedaten!L10=""),1,IF(ABS(AB10-Analysedaten!L10)&lt;=0.000000001*MAX(1,ABS(Analysedaten!L10)),0,1)))</f>
        <v/>
      </c>
      <c r="AP10" s="25">
        <f>IF(AND(AC10="",Analysedaten!M10=""),0,IF(OR(AC10="",Analysedaten!M10=""),1,IF(ABS(AC10-Analysedaten!M10)&lt;=0.000000001*MAX(1,ABS(Analysedaten!M10)),0,1)))</f>
        <v/>
      </c>
      <c r="AQ10" s="25">
        <f>IF(AND(AD10="",Analysedaten!N10=""),0,IF(OR(AD10="",Analysedaten!N10=""),1,IF(ABS(AD10-Analysedaten!N10)&lt;=0.000000001*MAX(1,ABS(Analysedaten!N10)),0,1)))</f>
        <v/>
      </c>
      <c r="AR10" s="25">
        <f>IF(AND(AE10="",Analysedaten!O10=""),0,IF(OR(AE10="",Analysedaten!O10=""),1,IF(ABS(AE10-Analysedaten!O10)&lt;=0.000000001*MAX(1,ABS(Analysedaten!O10)),0,1)))</f>
        <v/>
      </c>
      <c r="AS10" s="25">
        <f>SUM(AH10:AR10)</f>
        <v/>
      </c>
    </row>
    <row r="11">
      <c r="A11" s="5" t="inlineStr">
        <is>
          <t>BW-09</t>
        </is>
      </c>
      <c r="B11" s="5" t="inlineStr">
        <is>
          <t>IG</t>
        </is>
      </c>
      <c r="C11" s="5" t="inlineStr">
        <is>
          <t>B</t>
        </is>
      </c>
      <c r="D11" s="5" t="n">
        <v>1</v>
      </c>
      <c r="E11" s="25">
        <f>IF(ISNUMBER(INDEX(Personendaten!$E$2:$E$32,MATCH($A11,Personendaten!$A$2:$A$32,0))),INDEX(Personendaten!$E$2:$E$32,MATCH($A11,Personendaten!$A$2:$A$32,0))/2.54,"")</f>
        <v/>
      </c>
      <c r="F11" s="25">
        <f>IF(ISNUMBER(INDEX(Personendaten!$F$2:$F$32,MATCH($A11,Personendaten!$A$2:$A$32,0))),INDEX(Personendaten!$F$2:$F$32,MATCH($A11,Personendaten!$A$2:$A$32,0))/0.45359237,"")</f>
        <v/>
      </c>
      <c r="G11" s="25">
        <f>IF(AND(ISNUMBER(INDEX(Personendaten!$G$2:$G$32,MATCH($A11,Personendaten!$A$2:$A$32,0))),ISNUMBER(INDEX(Personendaten!$H$2:$H$32,MATCH($A11,Personendaten!$A$2:$A$32,0)))),(INDEX(Personendaten!$G$2:$G$32,MATCH($A11,Personendaten!$A$2:$A$32,0))/2.54+INDEX(Personendaten!$H$2:$H$32,MATCH($A11,Personendaten!$A$2:$A$32,0))/2.54)/2,"")</f>
        <v/>
      </c>
      <c r="H11" s="25">
        <f>INT(2*INDEX(Personendaten!$D$2:$D$32,MATCH($A11,Personendaten!$A$2:$A$32,0)))/2</f>
        <v/>
      </c>
      <c r="I11" s="25">
        <f>(INDEX(Personendaten!$D$2:$D$32,MATCH($A11,Personendaten!$A$2:$A$32,0))-H11)/0.5</f>
        <v/>
      </c>
      <c r="J11" s="25">
        <f>IF($I11=0,INDEX(Koeffizienten_KR!$B$2:$B$29,MATCH($H11,Koeffizienten_KR!$A$2:$A$29,0)),(1-$I11)*INDEX(Koeffizienten_KR!$B$2:$B$29,MATCH($H11,Koeffizienten_KR!$A$2:$A$29,0))+$I11*INDEX(Koeffizienten_KR!$B$2:$B$29,MATCH($H11+0.5,Koeffizienten_KR!$A$2:$A$29,0)))</f>
        <v/>
      </c>
      <c r="K11" s="25">
        <f>IF($I11=0,INDEX(Koeffizienten_KR!$C$2:$C$29,MATCH($H11,Koeffizienten_KR!$A$2:$A$29,0)),(1-$I11)*INDEX(Koeffizienten_KR!$C$2:$C$29,MATCH($H11,Koeffizienten_KR!$A$2:$A$29,0))+$I11*INDEX(Koeffizienten_KR!$C$2:$C$29,MATCH($H11+0.5,Koeffizienten_KR!$A$2:$A$29,0)))</f>
        <v/>
      </c>
      <c r="L11" s="25">
        <f>IF($I11=0,INDEX(Koeffizienten_KR!$D$2:$D$29,MATCH($H11,Koeffizienten_KR!$A$2:$A$29,0)),(1-$I11)*INDEX(Koeffizienten_KR!$D$2:$D$29,MATCH($H11,Koeffizienten_KR!$A$2:$A$29,0))+$I11*INDEX(Koeffizienten_KR!$D$2:$D$29,MATCH($H11+0.5,Koeffizienten_KR!$A$2:$A$29,0)))</f>
        <v/>
      </c>
      <c r="M11" s="25">
        <f>IF($I11=0,INDEX(Koeffizienten_KR!$E$2:$E$29,MATCH($H11,Koeffizienten_KR!$A$2:$A$29,0)),(1-$I11)*INDEX(Koeffizienten_KR!$E$2:$E$29,MATCH($H11,Koeffizienten_KR!$A$2:$A$29,0))+$I11*INDEX(Koeffizienten_KR!$E$2:$E$29,MATCH($H11+0.5,Koeffizienten_KR!$A$2:$A$29,0)))</f>
        <v/>
      </c>
      <c r="N11" s="25">
        <f>IF(AND(ISNUMBER(E11),ISNUMBER(F11),ISNUMBER(G11),INDEX(Personendaten!$D$2:$D$32,MATCH($A11,Personendaten!$A$2:$A$32,0))&gt;=4,INDEX(Personendaten!$D$2:$D$32,MATCH($A11,Personendaten!$A$2:$A$32,0))&lt;=17.5),J11+K11*E11+L11*F11+M11*G11,"")</f>
        <v/>
      </c>
      <c r="O11" s="25">
        <f>IF(ISNUMBER(N11),100*E11/N11,"")</f>
        <v/>
      </c>
      <c r="P11" s="25">
        <f>COUNTIFS(Versuchsdaten!$A$2:$A$1117,$A11,Versuchsdaten!$B$2:$B$1117,"prä",Versuchsdaten!$C$2:$C$1117,"Sprint_30m",Versuchsdaten!$O$2:$O$1117,1)</f>
        <v/>
      </c>
      <c r="Q11" s="25">
        <f>IF(COUNTIFS(Versuchsdaten!$A$2:$A$1117,$A11,Versuchsdaten!$B$2:$B$1117,"prä",Versuchsdaten!$C$2:$C$1117,"Sprint_30m",Versuchsdaten!$O$2:$O$1117,1)=0,"",_xlfn.MINIFS(Versuchsdaten!$F$2:$F$1117,Versuchsdaten!$A$2:$A$1117,$A11,Versuchsdaten!$B$2:$B$1117,"prä",Versuchsdaten!$C$2:$C$1117,"Sprint_30m",Versuchsdaten!$O$2:$O$1117,1))</f>
        <v/>
      </c>
      <c r="R11" s="25">
        <f>COUNTIFS(Versuchsdaten!$A$2:$A$1117,$A11,Versuchsdaten!$B$2:$B$1117,"post",Versuchsdaten!$C$2:$C$1117,"Sprint_30m",Versuchsdaten!$O$2:$O$1117,1)</f>
        <v/>
      </c>
      <c r="S11" s="25">
        <f>IF(COUNTIFS(Versuchsdaten!$A$2:$A$1117,$A11,Versuchsdaten!$B$2:$B$1117,"post",Versuchsdaten!$C$2:$C$1117,"Sprint_30m",Versuchsdaten!$O$2:$O$1117,1)=0,"",_xlfn.MINIFS(Versuchsdaten!$F$2:$F$1117,Versuchsdaten!$A$2:$A$1117,$A11,Versuchsdaten!$B$2:$B$1117,"post",Versuchsdaten!$C$2:$C$1117,"Sprint_30m",Versuchsdaten!$O$2:$O$1117,1))</f>
        <v/>
      </c>
      <c r="T11" s="25">
        <f>IF(COUNTIFS(Versuchsdaten!$A$2:$A$1117,$A11,Versuchsdaten!$B$2:$B$1117,"prä",Versuchsdaten!$C$2:$C$1117,"COD_505",Versuchsdaten!$O$2:$O$1117,1,Versuchsdaten!$D$2:$D$1117,"L")=0,"",_xlfn.MINIFS(Versuchsdaten!$F$2:$F$1117,Versuchsdaten!$A$2:$A$1117,$A11,Versuchsdaten!$B$2:$B$1117,"prä",Versuchsdaten!$C$2:$C$1117,"COD_505",Versuchsdaten!$O$2:$O$1117,1,Versuchsdaten!$D$2:$D$1117,"L"))</f>
        <v/>
      </c>
      <c r="U11" s="25">
        <f>IF(COUNTIFS(Versuchsdaten!$A$2:$A$1117,$A11,Versuchsdaten!$B$2:$B$1117,"prä",Versuchsdaten!$C$2:$C$1117,"COD_505",Versuchsdaten!$O$2:$O$1117,1,Versuchsdaten!$D$2:$D$1117,"R")=0,"",_xlfn.MINIFS(Versuchsdaten!$F$2:$F$1117,Versuchsdaten!$A$2:$A$1117,$A11,Versuchsdaten!$B$2:$B$1117,"prä",Versuchsdaten!$C$2:$C$1117,"COD_505",Versuchsdaten!$O$2:$O$1117,1,Versuchsdaten!$D$2:$D$1117,"R"))</f>
        <v/>
      </c>
      <c r="V11" s="25">
        <f>IF(AND(ISNUMBER(T11),ISNUMBER(U11)),(T11+U11)/2,"")</f>
        <v/>
      </c>
      <c r="W11" s="25">
        <f>IF(COUNTIFS(Versuchsdaten!$A$2:$A$1117,$A11,Versuchsdaten!$B$2:$B$1117,"post",Versuchsdaten!$C$2:$C$1117,"COD_505",Versuchsdaten!$O$2:$O$1117,1,Versuchsdaten!$D$2:$D$1117,"L")=0,"",_xlfn.MINIFS(Versuchsdaten!$F$2:$F$1117,Versuchsdaten!$A$2:$A$1117,$A11,Versuchsdaten!$B$2:$B$1117,"post",Versuchsdaten!$C$2:$C$1117,"COD_505",Versuchsdaten!$O$2:$O$1117,1,Versuchsdaten!$D$2:$D$1117,"L"))</f>
        <v/>
      </c>
      <c r="X11" s="25">
        <f>IF(COUNTIFS(Versuchsdaten!$A$2:$A$1117,$A11,Versuchsdaten!$B$2:$B$1117,"post",Versuchsdaten!$C$2:$C$1117,"COD_505",Versuchsdaten!$O$2:$O$1117,1,Versuchsdaten!$D$2:$D$1117,"R")=0,"",_xlfn.MINIFS(Versuchsdaten!$F$2:$F$1117,Versuchsdaten!$A$2:$A$1117,$A11,Versuchsdaten!$B$2:$B$1117,"post",Versuchsdaten!$C$2:$C$1117,"COD_505",Versuchsdaten!$O$2:$O$1117,1,Versuchsdaten!$D$2:$D$1117,"R"))</f>
        <v/>
      </c>
      <c r="Y11" s="25">
        <f>IF(AND(ISNUMBER(W11),ISNUMBER(X11)),(W11+X11)/2,"")</f>
        <v/>
      </c>
      <c r="Z11" s="25">
        <f>IF(COUNTIFS(Versuchsdaten!$A$2:$A$1117,$A11,Versuchsdaten!$B$2:$B$1117,"prä",Versuchsdaten!$C$2:$C$1117,"Standweitsprung",Versuchsdaten!$O$2:$O$1117,1)=0,"",_xlfn.MAXIFS(Versuchsdaten!$F$2:$F$1117,Versuchsdaten!$A$2:$A$1117,$A11,Versuchsdaten!$B$2:$B$1117,"prä",Versuchsdaten!$C$2:$C$1117,"Standweitsprung",Versuchsdaten!$O$2:$O$1117,1))</f>
        <v/>
      </c>
      <c r="AA11" s="25">
        <f>IF(COUNTIFS(Versuchsdaten!$A$2:$A$1117,$A11,Versuchsdaten!$B$2:$B$1117,"post",Versuchsdaten!$C$2:$C$1117,"Standweitsprung",Versuchsdaten!$O$2:$O$1117,1)=0,"",_xlfn.MAXIFS(Versuchsdaten!$F$2:$F$1117,Versuchsdaten!$A$2:$A$1117,$A11,Versuchsdaten!$B$2:$B$1117,"post",Versuchsdaten!$C$2:$C$1117,"Standweitsprung",Versuchsdaten!$O$2:$O$1117,1))</f>
        <v/>
      </c>
      <c r="AB11" s="25">
        <f>IF(AND(ISNUMBER(Q11),ISNUMBER(S11),ISNUMBER(O11)),1,0)</f>
        <v/>
      </c>
      <c r="AC11" s="25">
        <f>IF(AND(ISNUMBER(V11),ISNUMBER(Y11),ISNUMBER(O11)),1,0)</f>
        <v/>
      </c>
      <c r="AD11" s="25">
        <f>IF(AND(ISNUMBER(Z11),ISNUMBER(AA11),ISNUMBER(O11)),1,0)</f>
        <v/>
      </c>
      <c r="AE11" s="25">
        <f>IF(D11=0,"",IF(COUNTIF(Zuordnung!$B$2:$B$23,$A11)=0,"",COUNTIFS(Fragebogen_A!$M$2:$M$112,$A11,Fragebogen_A!$F$2:$F$112,1)))</f>
        <v/>
      </c>
      <c r="AF11" s="25">
        <f>IF(AB11=1,COUNTIF($AB$4:AB11,1),"")</f>
        <v/>
      </c>
      <c r="AH11" s="25">
        <f>IF(AND(O11="",Analysedaten!E11=""),0,IF(OR(O11="",Analysedaten!E11=""),1,IF(ABS(O11-Analysedaten!E11)&lt;=0.000000001*MAX(1,ABS(Analysedaten!E11)),0,1)))</f>
        <v/>
      </c>
      <c r="AI11" s="25">
        <f>IF(AND(Q11="",Analysedaten!F11=""),0,IF(OR(Q11="",Analysedaten!F11=""),1,IF(ABS(Q11-Analysedaten!F11)&lt;=0.000000001*MAX(1,ABS(Analysedaten!F11)),0,1)))</f>
        <v/>
      </c>
      <c r="AJ11" s="25">
        <f>IF(AND(S11="",Analysedaten!G11=""),0,IF(OR(S11="",Analysedaten!G11=""),1,IF(ABS(S11-Analysedaten!G11)&lt;=0.000000001*MAX(1,ABS(Analysedaten!G11)),0,1)))</f>
        <v/>
      </c>
      <c r="AK11" s="25">
        <f>IF(AND(V11="",Analysedaten!H11=""),0,IF(OR(V11="",Analysedaten!H11=""),1,IF(ABS(V11-Analysedaten!H11)&lt;=0.000000001*MAX(1,ABS(Analysedaten!H11)),0,1)))</f>
        <v/>
      </c>
      <c r="AL11" s="25">
        <f>IF(AND(Y11="",Analysedaten!I11=""),0,IF(OR(Y11="",Analysedaten!I11=""),1,IF(ABS(Y11-Analysedaten!I11)&lt;=0.000000001*MAX(1,ABS(Analysedaten!I11)),0,1)))</f>
        <v/>
      </c>
      <c r="AM11" s="25">
        <f>IF(AND(Z11="",Analysedaten!J11=""),0,IF(OR(Z11="",Analysedaten!J11=""),1,IF(ABS(Z11-Analysedaten!J11)&lt;=0.000000001*MAX(1,ABS(Analysedaten!J11)),0,1)))</f>
        <v/>
      </c>
      <c r="AN11" s="25">
        <f>IF(AND(AA11="",Analysedaten!K11=""),0,IF(OR(AA11="",Analysedaten!K11=""),1,IF(ABS(AA11-Analysedaten!K11)&lt;=0.000000001*MAX(1,ABS(Analysedaten!K11)),0,1)))</f>
        <v/>
      </c>
      <c r="AO11" s="25">
        <f>IF(AND(AB11="",Analysedaten!L11=""),0,IF(OR(AB11="",Analysedaten!L11=""),1,IF(ABS(AB11-Analysedaten!L11)&lt;=0.000000001*MAX(1,ABS(Analysedaten!L11)),0,1)))</f>
        <v/>
      </c>
      <c r="AP11" s="25">
        <f>IF(AND(AC11="",Analysedaten!M11=""),0,IF(OR(AC11="",Analysedaten!M11=""),1,IF(ABS(AC11-Analysedaten!M11)&lt;=0.000000001*MAX(1,ABS(Analysedaten!M11)),0,1)))</f>
        <v/>
      </c>
      <c r="AQ11" s="25">
        <f>IF(AND(AD11="",Analysedaten!N11=""),0,IF(OR(AD11="",Analysedaten!N11=""),1,IF(ABS(AD11-Analysedaten!N11)&lt;=0.000000001*MAX(1,ABS(Analysedaten!N11)),0,1)))</f>
        <v/>
      </c>
      <c r="AR11" s="25">
        <f>IF(AND(AE11="",Analysedaten!O11=""),0,IF(OR(AE11="",Analysedaten!O11=""),1,IF(ABS(AE11-Analysedaten!O11)&lt;=0.000000001*MAX(1,ABS(Analysedaten!O11)),0,1)))</f>
        <v/>
      </c>
      <c r="AS11" s="25">
        <f>SUM(AH11:AR11)</f>
        <v/>
      </c>
    </row>
    <row r="12">
      <c r="A12" s="5" t="inlineStr">
        <is>
          <t>BW-10</t>
        </is>
      </c>
      <c r="B12" s="5" t="inlineStr">
        <is>
          <t>IG</t>
        </is>
      </c>
      <c r="C12" s="5" t="inlineStr">
        <is>
          <t>B</t>
        </is>
      </c>
      <c r="D12" s="5" t="n">
        <v>1</v>
      </c>
      <c r="E12" s="25">
        <f>IF(ISNUMBER(INDEX(Personendaten!$E$2:$E$32,MATCH($A12,Personendaten!$A$2:$A$32,0))),INDEX(Personendaten!$E$2:$E$32,MATCH($A12,Personendaten!$A$2:$A$32,0))/2.54,"")</f>
        <v/>
      </c>
      <c r="F12" s="25">
        <f>IF(ISNUMBER(INDEX(Personendaten!$F$2:$F$32,MATCH($A12,Personendaten!$A$2:$A$32,0))),INDEX(Personendaten!$F$2:$F$32,MATCH($A12,Personendaten!$A$2:$A$32,0))/0.45359237,"")</f>
        <v/>
      </c>
      <c r="G12" s="25">
        <f>IF(AND(ISNUMBER(INDEX(Personendaten!$G$2:$G$32,MATCH($A12,Personendaten!$A$2:$A$32,0))),ISNUMBER(INDEX(Personendaten!$H$2:$H$32,MATCH($A12,Personendaten!$A$2:$A$32,0)))),(INDEX(Personendaten!$G$2:$G$32,MATCH($A12,Personendaten!$A$2:$A$32,0))/2.54+INDEX(Personendaten!$H$2:$H$32,MATCH($A12,Personendaten!$A$2:$A$32,0))/2.54)/2,"")</f>
        <v/>
      </c>
      <c r="H12" s="25">
        <f>INT(2*INDEX(Personendaten!$D$2:$D$32,MATCH($A12,Personendaten!$A$2:$A$32,0)))/2</f>
        <v/>
      </c>
      <c r="I12" s="25">
        <f>(INDEX(Personendaten!$D$2:$D$32,MATCH($A12,Personendaten!$A$2:$A$32,0))-H12)/0.5</f>
        <v/>
      </c>
      <c r="J12" s="25">
        <f>IF($I12=0,INDEX(Koeffizienten_KR!$B$2:$B$29,MATCH($H12,Koeffizienten_KR!$A$2:$A$29,0)),(1-$I12)*INDEX(Koeffizienten_KR!$B$2:$B$29,MATCH($H12,Koeffizienten_KR!$A$2:$A$29,0))+$I12*INDEX(Koeffizienten_KR!$B$2:$B$29,MATCH($H12+0.5,Koeffizienten_KR!$A$2:$A$29,0)))</f>
        <v/>
      </c>
      <c r="K12" s="25">
        <f>IF($I12=0,INDEX(Koeffizienten_KR!$C$2:$C$29,MATCH($H12,Koeffizienten_KR!$A$2:$A$29,0)),(1-$I12)*INDEX(Koeffizienten_KR!$C$2:$C$29,MATCH($H12,Koeffizienten_KR!$A$2:$A$29,0))+$I12*INDEX(Koeffizienten_KR!$C$2:$C$29,MATCH($H12+0.5,Koeffizienten_KR!$A$2:$A$29,0)))</f>
        <v/>
      </c>
      <c r="L12" s="25">
        <f>IF($I12=0,INDEX(Koeffizienten_KR!$D$2:$D$29,MATCH($H12,Koeffizienten_KR!$A$2:$A$29,0)),(1-$I12)*INDEX(Koeffizienten_KR!$D$2:$D$29,MATCH($H12,Koeffizienten_KR!$A$2:$A$29,0))+$I12*INDEX(Koeffizienten_KR!$D$2:$D$29,MATCH($H12+0.5,Koeffizienten_KR!$A$2:$A$29,0)))</f>
        <v/>
      </c>
      <c r="M12" s="25">
        <f>IF($I12=0,INDEX(Koeffizienten_KR!$E$2:$E$29,MATCH($H12,Koeffizienten_KR!$A$2:$A$29,0)),(1-$I12)*INDEX(Koeffizienten_KR!$E$2:$E$29,MATCH($H12,Koeffizienten_KR!$A$2:$A$29,0))+$I12*INDEX(Koeffizienten_KR!$E$2:$E$29,MATCH($H12+0.5,Koeffizienten_KR!$A$2:$A$29,0)))</f>
        <v/>
      </c>
      <c r="N12" s="25">
        <f>IF(AND(ISNUMBER(E12),ISNUMBER(F12),ISNUMBER(G12),INDEX(Personendaten!$D$2:$D$32,MATCH($A12,Personendaten!$A$2:$A$32,0))&gt;=4,INDEX(Personendaten!$D$2:$D$32,MATCH($A12,Personendaten!$A$2:$A$32,0))&lt;=17.5),J12+K12*E12+L12*F12+M12*G12,"")</f>
        <v/>
      </c>
      <c r="O12" s="25">
        <f>IF(ISNUMBER(N12),100*E12/N12,"")</f>
        <v/>
      </c>
      <c r="P12" s="25">
        <f>COUNTIFS(Versuchsdaten!$A$2:$A$1117,$A12,Versuchsdaten!$B$2:$B$1117,"prä",Versuchsdaten!$C$2:$C$1117,"Sprint_30m",Versuchsdaten!$O$2:$O$1117,1)</f>
        <v/>
      </c>
      <c r="Q12" s="25">
        <f>IF(COUNTIFS(Versuchsdaten!$A$2:$A$1117,$A12,Versuchsdaten!$B$2:$B$1117,"prä",Versuchsdaten!$C$2:$C$1117,"Sprint_30m",Versuchsdaten!$O$2:$O$1117,1)=0,"",_xlfn.MINIFS(Versuchsdaten!$F$2:$F$1117,Versuchsdaten!$A$2:$A$1117,$A12,Versuchsdaten!$B$2:$B$1117,"prä",Versuchsdaten!$C$2:$C$1117,"Sprint_30m",Versuchsdaten!$O$2:$O$1117,1))</f>
        <v/>
      </c>
      <c r="R12" s="25">
        <f>COUNTIFS(Versuchsdaten!$A$2:$A$1117,$A12,Versuchsdaten!$B$2:$B$1117,"post",Versuchsdaten!$C$2:$C$1117,"Sprint_30m",Versuchsdaten!$O$2:$O$1117,1)</f>
        <v/>
      </c>
      <c r="S12" s="25">
        <f>IF(COUNTIFS(Versuchsdaten!$A$2:$A$1117,$A12,Versuchsdaten!$B$2:$B$1117,"post",Versuchsdaten!$C$2:$C$1117,"Sprint_30m",Versuchsdaten!$O$2:$O$1117,1)=0,"",_xlfn.MINIFS(Versuchsdaten!$F$2:$F$1117,Versuchsdaten!$A$2:$A$1117,$A12,Versuchsdaten!$B$2:$B$1117,"post",Versuchsdaten!$C$2:$C$1117,"Sprint_30m",Versuchsdaten!$O$2:$O$1117,1))</f>
        <v/>
      </c>
      <c r="T12" s="25">
        <f>IF(COUNTIFS(Versuchsdaten!$A$2:$A$1117,$A12,Versuchsdaten!$B$2:$B$1117,"prä",Versuchsdaten!$C$2:$C$1117,"COD_505",Versuchsdaten!$O$2:$O$1117,1,Versuchsdaten!$D$2:$D$1117,"L")=0,"",_xlfn.MINIFS(Versuchsdaten!$F$2:$F$1117,Versuchsdaten!$A$2:$A$1117,$A12,Versuchsdaten!$B$2:$B$1117,"prä",Versuchsdaten!$C$2:$C$1117,"COD_505",Versuchsdaten!$O$2:$O$1117,1,Versuchsdaten!$D$2:$D$1117,"L"))</f>
        <v/>
      </c>
      <c r="U12" s="25">
        <f>IF(COUNTIFS(Versuchsdaten!$A$2:$A$1117,$A12,Versuchsdaten!$B$2:$B$1117,"prä",Versuchsdaten!$C$2:$C$1117,"COD_505",Versuchsdaten!$O$2:$O$1117,1,Versuchsdaten!$D$2:$D$1117,"R")=0,"",_xlfn.MINIFS(Versuchsdaten!$F$2:$F$1117,Versuchsdaten!$A$2:$A$1117,$A12,Versuchsdaten!$B$2:$B$1117,"prä",Versuchsdaten!$C$2:$C$1117,"COD_505",Versuchsdaten!$O$2:$O$1117,1,Versuchsdaten!$D$2:$D$1117,"R"))</f>
        <v/>
      </c>
      <c r="V12" s="25">
        <f>IF(AND(ISNUMBER(T12),ISNUMBER(U12)),(T12+U12)/2,"")</f>
        <v/>
      </c>
      <c r="W12" s="25">
        <f>IF(COUNTIFS(Versuchsdaten!$A$2:$A$1117,$A12,Versuchsdaten!$B$2:$B$1117,"post",Versuchsdaten!$C$2:$C$1117,"COD_505",Versuchsdaten!$O$2:$O$1117,1,Versuchsdaten!$D$2:$D$1117,"L")=0,"",_xlfn.MINIFS(Versuchsdaten!$F$2:$F$1117,Versuchsdaten!$A$2:$A$1117,$A12,Versuchsdaten!$B$2:$B$1117,"post",Versuchsdaten!$C$2:$C$1117,"COD_505",Versuchsdaten!$O$2:$O$1117,1,Versuchsdaten!$D$2:$D$1117,"L"))</f>
        <v/>
      </c>
      <c r="X12" s="25">
        <f>IF(COUNTIFS(Versuchsdaten!$A$2:$A$1117,$A12,Versuchsdaten!$B$2:$B$1117,"post",Versuchsdaten!$C$2:$C$1117,"COD_505",Versuchsdaten!$O$2:$O$1117,1,Versuchsdaten!$D$2:$D$1117,"R")=0,"",_xlfn.MINIFS(Versuchsdaten!$F$2:$F$1117,Versuchsdaten!$A$2:$A$1117,$A12,Versuchsdaten!$B$2:$B$1117,"post",Versuchsdaten!$C$2:$C$1117,"COD_505",Versuchsdaten!$O$2:$O$1117,1,Versuchsdaten!$D$2:$D$1117,"R"))</f>
        <v/>
      </c>
      <c r="Y12" s="25">
        <f>IF(AND(ISNUMBER(W12),ISNUMBER(X12)),(W12+X12)/2,"")</f>
        <v/>
      </c>
      <c r="Z12" s="25">
        <f>IF(COUNTIFS(Versuchsdaten!$A$2:$A$1117,$A12,Versuchsdaten!$B$2:$B$1117,"prä",Versuchsdaten!$C$2:$C$1117,"Standweitsprung",Versuchsdaten!$O$2:$O$1117,1)=0,"",_xlfn.MAXIFS(Versuchsdaten!$F$2:$F$1117,Versuchsdaten!$A$2:$A$1117,$A12,Versuchsdaten!$B$2:$B$1117,"prä",Versuchsdaten!$C$2:$C$1117,"Standweitsprung",Versuchsdaten!$O$2:$O$1117,1))</f>
        <v/>
      </c>
      <c r="AA12" s="25">
        <f>IF(COUNTIFS(Versuchsdaten!$A$2:$A$1117,$A12,Versuchsdaten!$B$2:$B$1117,"post",Versuchsdaten!$C$2:$C$1117,"Standweitsprung",Versuchsdaten!$O$2:$O$1117,1)=0,"",_xlfn.MAXIFS(Versuchsdaten!$F$2:$F$1117,Versuchsdaten!$A$2:$A$1117,$A12,Versuchsdaten!$B$2:$B$1117,"post",Versuchsdaten!$C$2:$C$1117,"Standweitsprung",Versuchsdaten!$O$2:$O$1117,1))</f>
        <v/>
      </c>
      <c r="AB12" s="25">
        <f>IF(AND(ISNUMBER(Q12),ISNUMBER(S12),ISNUMBER(O12)),1,0)</f>
        <v/>
      </c>
      <c r="AC12" s="25">
        <f>IF(AND(ISNUMBER(V12),ISNUMBER(Y12),ISNUMBER(O12)),1,0)</f>
        <v/>
      </c>
      <c r="AD12" s="25">
        <f>IF(AND(ISNUMBER(Z12),ISNUMBER(AA12),ISNUMBER(O12)),1,0)</f>
        <v/>
      </c>
      <c r="AE12" s="25">
        <f>IF(D12=0,"",IF(COUNTIF(Zuordnung!$B$2:$B$23,$A12)=0,"",COUNTIFS(Fragebogen_A!$M$2:$M$112,$A12,Fragebogen_A!$F$2:$F$112,1)))</f>
        <v/>
      </c>
      <c r="AF12" s="25">
        <f>IF(AB12=1,COUNTIF($AB$4:AB12,1),"")</f>
        <v/>
      </c>
      <c r="AH12" s="25">
        <f>IF(AND(O12="",Analysedaten!E12=""),0,IF(OR(O12="",Analysedaten!E12=""),1,IF(ABS(O12-Analysedaten!E12)&lt;=0.000000001*MAX(1,ABS(Analysedaten!E12)),0,1)))</f>
        <v/>
      </c>
      <c r="AI12" s="25">
        <f>IF(AND(Q12="",Analysedaten!F12=""),0,IF(OR(Q12="",Analysedaten!F12=""),1,IF(ABS(Q12-Analysedaten!F12)&lt;=0.000000001*MAX(1,ABS(Analysedaten!F12)),0,1)))</f>
        <v/>
      </c>
      <c r="AJ12" s="25">
        <f>IF(AND(S12="",Analysedaten!G12=""),0,IF(OR(S12="",Analysedaten!G12=""),1,IF(ABS(S12-Analysedaten!G12)&lt;=0.000000001*MAX(1,ABS(Analysedaten!G12)),0,1)))</f>
        <v/>
      </c>
      <c r="AK12" s="25">
        <f>IF(AND(V12="",Analysedaten!H12=""),0,IF(OR(V12="",Analysedaten!H12=""),1,IF(ABS(V12-Analysedaten!H12)&lt;=0.000000001*MAX(1,ABS(Analysedaten!H12)),0,1)))</f>
        <v/>
      </c>
      <c r="AL12" s="25">
        <f>IF(AND(Y12="",Analysedaten!I12=""),0,IF(OR(Y12="",Analysedaten!I12=""),1,IF(ABS(Y12-Analysedaten!I12)&lt;=0.000000001*MAX(1,ABS(Analysedaten!I12)),0,1)))</f>
        <v/>
      </c>
      <c r="AM12" s="25">
        <f>IF(AND(Z12="",Analysedaten!J12=""),0,IF(OR(Z12="",Analysedaten!J12=""),1,IF(ABS(Z12-Analysedaten!J12)&lt;=0.000000001*MAX(1,ABS(Analysedaten!J12)),0,1)))</f>
        <v/>
      </c>
      <c r="AN12" s="25">
        <f>IF(AND(AA12="",Analysedaten!K12=""),0,IF(OR(AA12="",Analysedaten!K12=""),1,IF(ABS(AA12-Analysedaten!K12)&lt;=0.000000001*MAX(1,ABS(Analysedaten!K12)),0,1)))</f>
        <v/>
      </c>
      <c r="AO12" s="25">
        <f>IF(AND(AB12="",Analysedaten!L12=""),0,IF(OR(AB12="",Analysedaten!L12=""),1,IF(ABS(AB12-Analysedaten!L12)&lt;=0.000000001*MAX(1,ABS(Analysedaten!L12)),0,1)))</f>
        <v/>
      </c>
      <c r="AP12" s="25">
        <f>IF(AND(AC12="",Analysedaten!M12=""),0,IF(OR(AC12="",Analysedaten!M12=""),1,IF(ABS(AC12-Analysedaten!M12)&lt;=0.000000001*MAX(1,ABS(Analysedaten!M12)),0,1)))</f>
        <v/>
      </c>
      <c r="AQ12" s="25">
        <f>IF(AND(AD12="",Analysedaten!N12=""),0,IF(OR(AD12="",Analysedaten!N12=""),1,IF(ABS(AD12-Analysedaten!N12)&lt;=0.000000001*MAX(1,ABS(Analysedaten!N12)),0,1)))</f>
        <v/>
      </c>
      <c r="AR12" s="25">
        <f>IF(AND(AE12="",Analysedaten!O12=""),0,IF(OR(AE12="",Analysedaten!O12=""),1,IF(ABS(AE12-Analysedaten!O12)&lt;=0.000000001*MAX(1,ABS(Analysedaten!O12)),0,1)))</f>
        <v/>
      </c>
      <c r="AS12" s="25">
        <f>SUM(AH12:AR12)</f>
        <v/>
      </c>
    </row>
    <row r="13">
      <c r="A13" s="5" t="inlineStr">
        <is>
          <t>BW-11</t>
        </is>
      </c>
      <c r="B13" s="5" t="inlineStr">
        <is>
          <t>IG</t>
        </is>
      </c>
      <c r="C13" s="5" t="inlineStr">
        <is>
          <t>B</t>
        </is>
      </c>
      <c r="D13" s="5" t="n">
        <v>1</v>
      </c>
      <c r="E13" s="25">
        <f>IF(ISNUMBER(INDEX(Personendaten!$E$2:$E$32,MATCH($A13,Personendaten!$A$2:$A$32,0))),INDEX(Personendaten!$E$2:$E$32,MATCH($A13,Personendaten!$A$2:$A$32,0))/2.54,"")</f>
        <v/>
      </c>
      <c r="F13" s="25">
        <f>IF(ISNUMBER(INDEX(Personendaten!$F$2:$F$32,MATCH($A13,Personendaten!$A$2:$A$32,0))),INDEX(Personendaten!$F$2:$F$32,MATCH($A13,Personendaten!$A$2:$A$32,0))/0.45359237,"")</f>
        <v/>
      </c>
      <c r="G13" s="25">
        <f>IF(AND(ISNUMBER(INDEX(Personendaten!$G$2:$G$32,MATCH($A13,Personendaten!$A$2:$A$32,0))),ISNUMBER(INDEX(Personendaten!$H$2:$H$32,MATCH($A13,Personendaten!$A$2:$A$32,0)))),(INDEX(Personendaten!$G$2:$G$32,MATCH($A13,Personendaten!$A$2:$A$32,0))/2.54+INDEX(Personendaten!$H$2:$H$32,MATCH($A13,Personendaten!$A$2:$A$32,0))/2.54)/2,"")</f>
        <v/>
      </c>
      <c r="H13" s="25">
        <f>INT(2*INDEX(Personendaten!$D$2:$D$32,MATCH($A13,Personendaten!$A$2:$A$32,0)))/2</f>
        <v/>
      </c>
      <c r="I13" s="25">
        <f>(INDEX(Personendaten!$D$2:$D$32,MATCH($A13,Personendaten!$A$2:$A$32,0))-H13)/0.5</f>
        <v/>
      </c>
      <c r="J13" s="25">
        <f>IF($I13=0,INDEX(Koeffizienten_KR!$B$2:$B$29,MATCH($H13,Koeffizienten_KR!$A$2:$A$29,0)),(1-$I13)*INDEX(Koeffizienten_KR!$B$2:$B$29,MATCH($H13,Koeffizienten_KR!$A$2:$A$29,0))+$I13*INDEX(Koeffizienten_KR!$B$2:$B$29,MATCH($H13+0.5,Koeffizienten_KR!$A$2:$A$29,0)))</f>
        <v/>
      </c>
      <c r="K13" s="25">
        <f>IF($I13=0,INDEX(Koeffizienten_KR!$C$2:$C$29,MATCH($H13,Koeffizienten_KR!$A$2:$A$29,0)),(1-$I13)*INDEX(Koeffizienten_KR!$C$2:$C$29,MATCH($H13,Koeffizienten_KR!$A$2:$A$29,0))+$I13*INDEX(Koeffizienten_KR!$C$2:$C$29,MATCH($H13+0.5,Koeffizienten_KR!$A$2:$A$29,0)))</f>
        <v/>
      </c>
      <c r="L13" s="25">
        <f>IF($I13=0,INDEX(Koeffizienten_KR!$D$2:$D$29,MATCH($H13,Koeffizienten_KR!$A$2:$A$29,0)),(1-$I13)*INDEX(Koeffizienten_KR!$D$2:$D$29,MATCH($H13,Koeffizienten_KR!$A$2:$A$29,0))+$I13*INDEX(Koeffizienten_KR!$D$2:$D$29,MATCH($H13+0.5,Koeffizienten_KR!$A$2:$A$29,0)))</f>
        <v/>
      </c>
      <c r="M13" s="25">
        <f>IF($I13=0,INDEX(Koeffizienten_KR!$E$2:$E$29,MATCH($H13,Koeffizienten_KR!$A$2:$A$29,0)),(1-$I13)*INDEX(Koeffizienten_KR!$E$2:$E$29,MATCH($H13,Koeffizienten_KR!$A$2:$A$29,0))+$I13*INDEX(Koeffizienten_KR!$E$2:$E$29,MATCH($H13+0.5,Koeffizienten_KR!$A$2:$A$29,0)))</f>
        <v/>
      </c>
      <c r="N13" s="25">
        <f>IF(AND(ISNUMBER(E13),ISNUMBER(F13),ISNUMBER(G13),INDEX(Personendaten!$D$2:$D$32,MATCH($A13,Personendaten!$A$2:$A$32,0))&gt;=4,INDEX(Personendaten!$D$2:$D$32,MATCH($A13,Personendaten!$A$2:$A$32,0))&lt;=17.5),J13+K13*E13+L13*F13+M13*G13,"")</f>
        <v/>
      </c>
      <c r="O13" s="25">
        <f>IF(ISNUMBER(N13),100*E13/N13,"")</f>
        <v/>
      </c>
      <c r="P13" s="25">
        <f>COUNTIFS(Versuchsdaten!$A$2:$A$1117,$A13,Versuchsdaten!$B$2:$B$1117,"prä",Versuchsdaten!$C$2:$C$1117,"Sprint_30m",Versuchsdaten!$O$2:$O$1117,1)</f>
        <v/>
      </c>
      <c r="Q13" s="25">
        <f>IF(COUNTIFS(Versuchsdaten!$A$2:$A$1117,$A13,Versuchsdaten!$B$2:$B$1117,"prä",Versuchsdaten!$C$2:$C$1117,"Sprint_30m",Versuchsdaten!$O$2:$O$1117,1)=0,"",_xlfn.MINIFS(Versuchsdaten!$F$2:$F$1117,Versuchsdaten!$A$2:$A$1117,$A13,Versuchsdaten!$B$2:$B$1117,"prä",Versuchsdaten!$C$2:$C$1117,"Sprint_30m",Versuchsdaten!$O$2:$O$1117,1))</f>
        <v/>
      </c>
      <c r="R13" s="25">
        <f>COUNTIFS(Versuchsdaten!$A$2:$A$1117,$A13,Versuchsdaten!$B$2:$B$1117,"post",Versuchsdaten!$C$2:$C$1117,"Sprint_30m",Versuchsdaten!$O$2:$O$1117,1)</f>
        <v/>
      </c>
      <c r="S13" s="25">
        <f>IF(COUNTIFS(Versuchsdaten!$A$2:$A$1117,$A13,Versuchsdaten!$B$2:$B$1117,"post",Versuchsdaten!$C$2:$C$1117,"Sprint_30m",Versuchsdaten!$O$2:$O$1117,1)=0,"",_xlfn.MINIFS(Versuchsdaten!$F$2:$F$1117,Versuchsdaten!$A$2:$A$1117,$A13,Versuchsdaten!$B$2:$B$1117,"post",Versuchsdaten!$C$2:$C$1117,"Sprint_30m",Versuchsdaten!$O$2:$O$1117,1))</f>
        <v/>
      </c>
      <c r="T13" s="25">
        <f>IF(COUNTIFS(Versuchsdaten!$A$2:$A$1117,$A13,Versuchsdaten!$B$2:$B$1117,"prä",Versuchsdaten!$C$2:$C$1117,"COD_505",Versuchsdaten!$O$2:$O$1117,1,Versuchsdaten!$D$2:$D$1117,"L")=0,"",_xlfn.MINIFS(Versuchsdaten!$F$2:$F$1117,Versuchsdaten!$A$2:$A$1117,$A13,Versuchsdaten!$B$2:$B$1117,"prä",Versuchsdaten!$C$2:$C$1117,"COD_505",Versuchsdaten!$O$2:$O$1117,1,Versuchsdaten!$D$2:$D$1117,"L"))</f>
        <v/>
      </c>
      <c r="U13" s="25">
        <f>IF(COUNTIFS(Versuchsdaten!$A$2:$A$1117,$A13,Versuchsdaten!$B$2:$B$1117,"prä",Versuchsdaten!$C$2:$C$1117,"COD_505",Versuchsdaten!$O$2:$O$1117,1,Versuchsdaten!$D$2:$D$1117,"R")=0,"",_xlfn.MINIFS(Versuchsdaten!$F$2:$F$1117,Versuchsdaten!$A$2:$A$1117,$A13,Versuchsdaten!$B$2:$B$1117,"prä",Versuchsdaten!$C$2:$C$1117,"COD_505",Versuchsdaten!$O$2:$O$1117,1,Versuchsdaten!$D$2:$D$1117,"R"))</f>
        <v/>
      </c>
      <c r="V13" s="25">
        <f>IF(AND(ISNUMBER(T13),ISNUMBER(U13)),(T13+U13)/2,"")</f>
        <v/>
      </c>
      <c r="W13" s="25">
        <f>IF(COUNTIFS(Versuchsdaten!$A$2:$A$1117,$A13,Versuchsdaten!$B$2:$B$1117,"post",Versuchsdaten!$C$2:$C$1117,"COD_505",Versuchsdaten!$O$2:$O$1117,1,Versuchsdaten!$D$2:$D$1117,"L")=0,"",_xlfn.MINIFS(Versuchsdaten!$F$2:$F$1117,Versuchsdaten!$A$2:$A$1117,$A13,Versuchsdaten!$B$2:$B$1117,"post",Versuchsdaten!$C$2:$C$1117,"COD_505",Versuchsdaten!$O$2:$O$1117,1,Versuchsdaten!$D$2:$D$1117,"L"))</f>
        <v/>
      </c>
      <c r="X13" s="25">
        <f>IF(COUNTIFS(Versuchsdaten!$A$2:$A$1117,$A13,Versuchsdaten!$B$2:$B$1117,"post",Versuchsdaten!$C$2:$C$1117,"COD_505",Versuchsdaten!$O$2:$O$1117,1,Versuchsdaten!$D$2:$D$1117,"R")=0,"",_xlfn.MINIFS(Versuchsdaten!$F$2:$F$1117,Versuchsdaten!$A$2:$A$1117,$A13,Versuchsdaten!$B$2:$B$1117,"post",Versuchsdaten!$C$2:$C$1117,"COD_505",Versuchsdaten!$O$2:$O$1117,1,Versuchsdaten!$D$2:$D$1117,"R"))</f>
        <v/>
      </c>
      <c r="Y13" s="25">
        <f>IF(AND(ISNUMBER(W13),ISNUMBER(X13)),(W13+X13)/2,"")</f>
        <v/>
      </c>
      <c r="Z13" s="25">
        <f>IF(COUNTIFS(Versuchsdaten!$A$2:$A$1117,$A13,Versuchsdaten!$B$2:$B$1117,"prä",Versuchsdaten!$C$2:$C$1117,"Standweitsprung",Versuchsdaten!$O$2:$O$1117,1)=0,"",_xlfn.MAXIFS(Versuchsdaten!$F$2:$F$1117,Versuchsdaten!$A$2:$A$1117,$A13,Versuchsdaten!$B$2:$B$1117,"prä",Versuchsdaten!$C$2:$C$1117,"Standweitsprung",Versuchsdaten!$O$2:$O$1117,1))</f>
        <v/>
      </c>
      <c r="AA13" s="25">
        <f>IF(COUNTIFS(Versuchsdaten!$A$2:$A$1117,$A13,Versuchsdaten!$B$2:$B$1117,"post",Versuchsdaten!$C$2:$C$1117,"Standweitsprung",Versuchsdaten!$O$2:$O$1117,1)=0,"",_xlfn.MAXIFS(Versuchsdaten!$F$2:$F$1117,Versuchsdaten!$A$2:$A$1117,$A13,Versuchsdaten!$B$2:$B$1117,"post",Versuchsdaten!$C$2:$C$1117,"Standweitsprung",Versuchsdaten!$O$2:$O$1117,1))</f>
        <v/>
      </c>
      <c r="AB13" s="25">
        <f>IF(AND(ISNUMBER(Q13),ISNUMBER(S13),ISNUMBER(O13)),1,0)</f>
        <v/>
      </c>
      <c r="AC13" s="25">
        <f>IF(AND(ISNUMBER(V13),ISNUMBER(Y13),ISNUMBER(O13)),1,0)</f>
        <v/>
      </c>
      <c r="AD13" s="25">
        <f>IF(AND(ISNUMBER(Z13),ISNUMBER(AA13),ISNUMBER(O13)),1,0)</f>
        <v/>
      </c>
      <c r="AE13" s="25">
        <f>IF(D13=0,"",IF(COUNTIF(Zuordnung!$B$2:$B$23,$A13)=0,"",COUNTIFS(Fragebogen_A!$M$2:$M$112,$A13,Fragebogen_A!$F$2:$F$112,1)))</f>
        <v/>
      </c>
      <c r="AF13" s="25">
        <f>IF(AB13=1,COUNTIF($AB$4:AB13,1),"")</f>
        <v/>
      </c>
      <c r="AH13" s="25">
        <f>IF(AND(O13="",Analysedaten!E13=""),0,IF(OR(O13="",Analysedaten!E13=""),1,IF(ABS(O13-Analysedaten!E13)&lt;=0.000000001*MAX(1,ABS(Analysedaten!E13)),0,1)))</f>
        <v/>
      </c>
      <c r="AI13" s="25">
        <f>IF(AND(Q13="",Analysedaten!F13=""),0,IF(OR(Q13="",Analysedaten!F13=""),1,IF(ABS(Q13-Analysedaten!F13)&lt;=0.000000001*MAX(1,ABS(Analysedaten!F13)),0,1)))</f>
        <v/>
      </c>
      <c r="AJ13" s="25">
        <f>IF(AND(S13="",Analysedaten!G13=""),0,IF(OR(S13="",Analysedaten!G13=""),1,IF(ABS(S13-Analysedaten!G13)&lt;=0.000000001*MAX(1,ABS(Analysedaten!G13)),0,1)))</f>
        <v/>
      </c>
      <c r="AK13" s="25">
        <f>IF(AND(V13="",Analysedaten!H13=""),0,IF(OR(V13="",Analysedaten!H13=""),1,IF(ABS(V13-Analysedaten!H13)&lt;=0.000000001*MAX(1,ABS(Analysedaten!H13)),0,1)))</f>
        <v/>
      </c>
      <c r="AL13" s="25">
        <f>IF(AND(Y13="",Analysedaten!I13=""),0,IF(OR(Y13="",Analysedaten!I13=""),1,IF(ABS(Y13-Analysedaten!I13)&lt;=0.000000001*MAX(1,ABS(Analysedaten!I13)),0,1)))</f>
        <v/>
      </c>
      <c r="AM13" s="25">
        <f>IF(AND(Z13="",Analysedaten!J13=""),0,IF(OR(Z13="",Analysedaten!J13=""),1,IF(ABS(Z13-Analysedaten!J13)&lt;=0.000000001*MAX(1,ABS(Analysedaten!J13)),0,1)))</f>
        <v/>
      </c>
      <c r="AN13" s="25">
        <f>IF(AND(AA13="",Analysedaten!K13=""),0,IF(OR(AA13="",Analysedaten!K13=""),1,IF(ABS(AA13-Analysedaten!K13)&lt;=0.000000001*MAX(1,ABS(Analysedaten!K13)),0,1)))</f>
        <v/>
      </c>
      <c r="AO13" s="25">
        <f>IF(AND(AB13="",Analysedaten!L13=""),0,IF(OR(AB13="",Analysedaten!L13=""),1,IF(ABS(AB13-Analysedaten!L13)&lt;=0.000000001*MAX(1,ABS(Analysedaten!L13)),0,1)))</f>
        <v/>
      </c>
      <c r="AP13" s="25">
        <f>IF(AND(AC13="",Analysedaten!M13=""),0,IF(OR(AC13="",Analysedaten!M13=""),1,IF(ABS(AC13-Analysedaten!M13)&lt;=0.000000001*MAX(1,ABS(Analysedaten!M13)),0,1)))</f>
        <v/>
      </c>
      <c r="AQ13" s="25">
        <f>IF(AND(AD13="",Analysedaten!N13=""),0,IF(OR(AD13="",Analysedaten!N13=""),1,IF(ABS(AD13-Analysedaten!N13)&lt;=0.000000001*MAX(1,ABS(Analysedaten!N13)),0,1)))</f>
        <v/>
      </c>
      <c r="AR13" s="25">
        <f>IF(AND(AE13="",Analysedaten!O13=""),0,IF(OR(AE13="",Analysedaten!O13=""),1,IF(ABS(AE13-Analysedaten!O13)&lt;=0.000000001*MAX(1,ABS(Analysedaten!O13)),0,1)))</f>
        <v/>
      </c>
      <c r="AS13" s="25">
        <f>SUM(AH13:AR13)</f>
        <v/>
      </c>
    </row>
    <row r="14">
      <c r="A14" s="5" t="inlineStr">
        <is>
          <t>BW-21</t>
        </is>
      </c>
      <c r="B14" s="5" t="inlineStr">
        <is>
          <t>IG</t>
        </is>
      </c>
      <c r="C14" s="5" t="inlineStr">
        <is>
          <t>B</t>
        </is>
      </c>
      <c r="D14" s="5" t="n">
        <v>1</v>
      </c>
      <c r="E14" s="25">
        <f>IF(ISNUMBER(INDEX(Personendaten!$E$2:$E$32,MATCH($A14,Personendaten!$A$2:$A$32,0))),INDEX(Personendaten!$E$2:$E$32,MATCH($A14,Personendaten!$A$2:$A$32,0))/2.54,"")</f>
        <v/>
      </c>
      <c r="F14" s="25">
        <f>IF(ISNUMBER(INDEX(Personendaten!$F$2:$F$32,MATCH($A14,Personendaten!$A$2:$A$32,0))),INDEX(Personendaten!$F$2:$F$32,MATCH($A14,Personendaten!$A$2:$A$32,0))/0.45359237,"")</f>
        <v/>
      </c>
      <c r="G14" s="25">
        <f>IF(AND(ISNUMBER(INDEX(Personendaten!$G$2:$G$32,MATCH($A14,Personendaten!$A$2:$A$32,0))),ISNUMBER(INDEX(Personendaten!$H$2:$H$32,MATCH($A14,Personendaten!$A$2:$A$32,0)))),(INDEX(Personendaten!$G$2:$G$32,MATCH($A14,Personendaten!$A$2:$A$32,0))/2.54+INDEX(Personendaten!$H$2:$H$32,MATCH($A14,Personendaten!$A$2:$A$32,0))/2.54)/2,"")</f>
        <v/>
      </c>
      <c r="H14" s="25">
        <f>INT(2*INDEX(Personendaten!$D$2:$D$32,MATCH($A14,Personendaten!$A$2:$A$32,0)))/2</f>
        <v/>
      </c>
      <c r="I14" s="25">
        <f>(INDEX(Personendaten!$D$2:$D$32,MATCH($A14,Personendaten!$A$2:$A$32,0))-H14)/0.5</f>
        <v/>
      </c>
      <c r="J14" s="25">
        <f>IF($I14=0,INDEX(Koeffizienten_KR!$B$2:$B$29,MATCH($H14,Koeffizienten_KR!$A$2:$A$29,0)),(1-$I14)*INDEX(Koeffizienten_KR!$B$2:$B$29,MATCH($H14,Koeffizienten_KR!$A$2:$A$29,0))+$I14*INDEX(Koeffizienten_KR!$B$2:$B$29,MATCH($H14+0.5,Koeffizienten_KR!$A$2:$A$29,0)))</f>
        <v/>
      </c>
      <c r="K14" s="25">
        <f>IF($I14=0,INDEX(Koeffizienten_KR!$C$2:$C$29,MATCH($H14,Koeffizienten_KR!$A$2:$A$29,0)),(1-$I14)*INDEX(Koeffizienten_KR!$C$2:$C$29,MATCH($H14,Koeffizienten_KR!$A$2:$A$29,0))+$I14*INDEX(Koeffizienten_KR!$C$2:$C$29,MATCH($H14+0.5,Koeffizienten_KR!$A$2:$A$29,0)))</f>
        <v/>
      </c>
      <c r="L14" s="25">
        <f>IF($I14=0,INDEX(Koeffizienten_KR!$D$2:$D$29,MATCH($H14,Koeffizienten_KR!$A$2:$A$29,0)),(1-$I14)*INDEX(Koeffizienten_KR!$D$2:$D$29,MATCH($H14,Koeffizienten_KR!$A$2:$A$29,0))+$I14*INDEX(Koeffizienten_KR!$D$2:$D$29,MATCH($H14+0.5,Koeffizienten_KR!$A$2:$A$29,0)))</f>
        <v/>
      </c>
      <c r="M14" s="25">
        <f>IF($I14=0,INDEX(Koeffizienten_KR!$E$2:$E$29,MATCH($H14,Koeffizienten_KR!$A$2:$A$29,0)),(1-$I14)*INDEX(Koeffizienten_KR!$E$2:$E$29,MATCH($H14,Koeffizienten_KR!$A$2:$A$29,0))+$I14*INDEX(Koeffizienten_KR!$E$2:$E$29,MATCH($H14+0.5,Koeffizienten_KR!$A$2:$A$29,0)))</f>
        <v/>
      </c>
      <c r="N14" s="25">
        <f>IF(AND(ISNUMBER(E14),ISNUMBER(F14),ISNUMBER(G14),INDEX(Personendaten!$D$2:$D$32,MATCH($A14,Personendaten!$A$2:$A$32,0))&gt;=4,INDEX(Personendaten!$D$2:$D$32,MATCH($A14,Personendaten!$A$2:$A$32,0))&lt;=17.5),J14+K14*E14+L14*F14+M14*G14,"")</f>
        <v/>
      </c>
      <c r="O14" s="25">
        <f>IF(ISNUMBER(N14),100*E14/N14,"")</f>
        <v/>
      </c>
      <c r="P14" s="25">
        <f>COUNTIFS(Versuchsdaten!$A$2:$A$1117,$A14,Versuchsdaten!$B$2:$B$1117,"prä",Versuchsdaten!$C$2:$C$1117,"Sprint_30m",Versuchsdaten!$O$2:$O$1117,1)</f>
        <v/>
      </c>
      <c r="Q14" s="25">
        <f>IF(COUNTIFS(Versuchsdaten!$A$2:$A$1117,$A14,Versuchsdaten!$B$2:$B$1117,"prä",Versuchsdaten!$C$2:$C$1117,"Sprint_30m",Versuchsdaten!$O$2:$O$1117,1)=0,"",_xlfn.MINIFS(Versuchsdaten!$F$2:$F$1117,Versuchsdaten!$A$2:$A$1117,$A14,Versuchsdaten!$B$2:$B$1117,"prä",Versuchsdaten!$C$2:$C$1117,"Sprint_30m",Versuchsdaten!$O$2:$O$1117,1))</f>
        <v/>
      </c>
      <c r="R14" s="25">
        <f>COUNTIFS(Versuchsdaten!$A$2:$A$1117,$A14,Versuchsdaten!$B$2:$B$1117,"post",Versuchsdaten!$C$2:$C$1117,"Sprint_30m",Versuchsdaten!$O$2:$O$1117,1)</f>
        <v/>
      </c>
      <c r="S14" s="25">
        <f>IF(COUNTIFS(Versuchsdaten!$A$2:$A$1117,$A14,Versuchsdaten!$B$2:$B$1117,"post",Versuchsdaten!$C$2:$C$1117,"Sprint_30m",Versuchsdaten!$O$2:$O$1117,1)=0,"",_xlfn.MINIFS(Versuchsdaten!$F$2:$F$1117,Versuchsdaten!$A$2:$A$1117,$A14,Versuchsdaten!$B$2:$B$1117,"post",Versuchsdaten!$C$2:$C$1117,"Sprint_30m",Versuchsdaten!$O$2:$O$1117,1))</f>
        <v/>
      </c>
      <c r="T14" s="25">
        <f>IF(COUNTIFS(Versuchsdaten!$A$2:$A$1117,$A14,Versuchsdaten!$B$2:$B$1117,"prä",Versuchsdaten!$C$2:$C$1117,"COD_505",Versuchsdaten!$O$2:$O$1117,1,Versuchsdaten!$D$2:$D$1117,"L")=0,"",_xlfn.MINIFS(Versuchsdaten!$F$2:$F$1117,Versuchsdaten!$A$2:$A$1117,$A14,Versuchsdaten!$B$2:$B$1117,"prä",Versuchsdaten!$C$2:$C$1117,"COD_505",Versuchsdaten!$O$2:$O$1117,1,Versuchsdaten!$D$2:$D$1117,"L"))</f>
        <v/>
      </c>
      <c r="U14" s="25">
        <f>IF(COUNTIFS(Versuchsdaten!$A$2:$A$1117,$A14,Versuchsdaten!$B$2:$B$1117,"prä",Versuchsdaten!$C$2:$C$1117,"COD_505",Versuchsdaten!$O$2:$O$1117,1,Versuchsdaten!$D$2:$D$1117,"R")=0,"",_xlfn.MINIFS(Versuchsdaten!$F$2:$F$1117,Versuchsdaten!$A$2:$A$1117,$A14,Versuchsdaten!$B$2:$B$1117,"prä",Versuchsdaten!$C$2:$C$1117,"COD_505",Versuchsdaten!$O$2:$O$1117,1,Versuchsdaten!$D$2:$D$1117,"R"))</f>
        <v/>
      </c>
      <c r="V14" s="25">
        <f>IF(AND(ISNUMBER(T14),ISNUMBER(U14)),(T14+U14)/2,"")</f>
        <v/>
      </c>
      <c r="W14" s="25">
        <f>IF(COUNTIFS(Versuchsdaten!$A$2:$A$1117,$A14,Versuchsdaten!$B$2:$B$1117,"post",Versuchsdaten!$C$2:$C$1117,"COD_505",Versuchsdaten!$O$2:$O$1117,1,Versuchsdaten!$D$2:$D$1117,"L")=0,"",_xlfn.MINIFS(Versuchsdaten!$F$2:$F$1117,Versuchsdaten!$A$2:$A$1117,$A14,Versuchsdaten!$B$2:$B$1117,"post",Versuchsdaten!$C$2:$C$1117,"COD_505",Versuchsdaten!$O$2:$O$1117,1,Versuchsdaten!$D$2:$D$1117,"L"))</f>
        <v/>
      </c>
      <c r="X14" s="25">
        <f>IF(COUNTIFS(Versuchsdaten!$A$2:$A$1117,$A14,Versuchsdaten!$B$2:$B$1117,"post",Versuchsdaten!$C$2:$C$1117,"COD_505",Versuchsdaten!$O$2:$O$1117,1,Versuchsdaten!$D$2:$D$1117,"R")=0,"",_xlfn.MINIFS(Versuchsdaten!$F$2:$F$1117,Versuchsdaten!$A$2:$A$1117,$A14,Versuchsdaten!$B$2:$B$1117,"post",Versuchsdaten!$C$2:$C$1117,"COD_505",Versuchsdaten!$O$2:$O$1117,1,Versuchsdaten!$D$2:$D$1117,"R"))</f>
        <v/>
      </c>
      <c r="Y14" s="25">
        <f>IF(AND(ISNUMBER(W14),ISNUMBER(X14)),(W14+X14)/2,"")</f>
        <v/>
      </c>
      <c r="Z14" s="25">
        <f>IF(COUNTIFS(Versuchsdaten!$A$2:$A$1117,$A14,Versuchsdaten!$B$2:$B$1117,"prä",Versuchsdaten!$C$2:$C$1117,"Standweitsprung",Versuchsdaten!$O$2:$O$1117,1)=0,"",_xlfn.MAXIFS(Versuchsdaten!$F$2:$F$1117,Versuchsdaten!$A$2:$A$1117,$A14,Versuchsdaten!$B$2:$B$1117,"prä",Versuchsdaten!$C$2:$C$1117,"Standweitsprung",Versuchsdaten!$O$2:$O$1117,1))</f>
        <v/>
      </c>
      <c r="AA14" s="25">
        <f>IF(COUNTIFS(Versuchsdaten!$A$2:$A$1117,$A14,Versuchsdaten!$B$2:$B$1117,"post",Versuchsdaten!$C$2:$C$1117,"Standweitsprung",Versuchsdaten!$O$2:$O$1117,1)=0,"",_xlfn.MAXIFS(Versuchsdaten!$F$2:$F$1117,Versuchsdaten!$A$2:$A$1117,$A14,Versuchsdaten!$B$2:$B$1117,"post",Versuchsdaten!$C$2:$C$1117,"Standweitsprung",Versuchsdaten!$O$2:$O$1117,1))</f>
        <v/>
      </c>
      <c r="AB14" s="25">
        <f>IF(AND(ISNUMBER(Q14),ISNUMBER(S14),ISNUMBER(O14)),1,0)</f>
        <v/>
      </c>
      <c r="AC14" s="25">
        <f>IF(AND(ISNUMBER(V14),ISNUMBER(Y14),ISNUMBER(O14)),1,0)</f>
        <v/>
      </c>
      <c r="AD14" s="25">
        <f>IF(AND(ISNUMBER(Z14),ISNUMBER(AA14),ISNUMBER(O14)),1,0)</f>
        <v/>
      </c>
      <c r="AE14" s="25">
        <f>IF(D14=0,"",IF(COUNTIF(Zuordnung!$B$2:$B$23,$A14)=0,"",COUNTIFS(Fragebogen_A!$M$2:$M$112,$A14,Fragebogen_A!$F$2:$F$112,1)))</f>
        <v/>
      </c>
      <c r="AF14" s="25">
        <f>IF(AB14=1,COUNTIF($AB$4:AB14,1),"")</f>
        <v/>
      </c>
      <c r="AH14" s="25">
        <f>IF(AND(O14="",Analysedaten!E14=""),0,IF(OR(O14="",Analysedaten!E14=""),1,IF(ABS(O14-Analysedaten!E14)&lt;=0.000000001*MAX(1,ABS(Analysedaten!E14)),0,1)))</f>
        <v/>
      </c>
      <c r="AI14" s="25">
        <f>IF(AND(Q14="",Analysedaten!F14=""),0,IF(OR(Q14="",Analysedaten!F14=""),1,IF(ABS(Q14-Analysedaten!F14)&lt;=0.000000001*MAX(1,ABS(Analysedaten!F14)),0,1)))</f>
        <v/>
      </c>
      <c r="AJ14" s="25">
        <f>IF(AND(S14="",Analysedaten!G14=""),0,IF(OR(S14="",Analysedaten!G14=""),1,IF(ABS(S14-Analysedaten!G14)&lt;=0.000000001*MAX(1,ABS(Analysedaten!G14)),0,1)))</f>
        <v/>
      </c>
      <c r="AK14" s="25">
        <f>IF(AND(V14="",Analysedaten!H14=""),0,IF(OR(V14="",Analysedaten!H14=""),1,IF(ABS(V14-Analysedaten!H14)&lt;=0.000000001*MAX(1,ABS(Analysedaten!H14)),0,1)))</f>
        <v/>
      </c>
      <c r="AL14" s="25">
        <f>IF(AND(Y14="",Analysedaten!I14=""),0,IF(OR(Y14="",Analysedaten!I14=""),1,IF(ABS(Y14-Analysedaten!I14)&lt;=0.000000001*MAX(1,ABS(Analysedaten!I14)),0,1)))</f>
        <v/>
      </c>
      <c r="AM14" s="25">
        <f>IF(AND(Z14="",Analysedaten!J14=""),0,IF(OR(Z14="",Analysedaten!J14=""),1,IF(ABS(Z14-Analysedaten!J14)&lt;=0.000000001*MAX(1,ABS(Analysedaten!J14)),0,1)))</f>
        <v/>
      </c>
      <c r="AN14" s="25">
        <f>IF(AND(AA14="",Analysedaten!K14=""),0,IF(OR(AA14="",Analysedaten!K14=""),1,IF(ABS(AA14-Analysedaten!K14)&lt;=0.000000001*MAX(1,ABS(Analysedaten!K14)),0,1)))</f>
        <v/>
      </c>
      <c r="AO14" s="25">
        <f>IF(AND(AB14="",Analysedaten!L14=""),0,IF(OR(AB14="",Analysedaten!L14=""),1,IF(ABS(AB14-Analysedaten!L14)&lt;=0.000000001*MAX(1,ABS(Analysedaten!L14)),0,1)))</f>
        <v/>
      </c>
      <c r="AP14" s="25">
        <f>IF(AND(AC14="",Analysedaten!M14=""),0,IF(OR(AC14="",Analysedaten!M14=""),1,IF(ABS(AC14-Analysedaten!M14)&lt;=0.000000001*MAX(1,ABS(Analysedaten!M14)),0,1)))</f>
        <v/>
      </c>
      <c r="AQ14" s="25">
        <f>IF(AND(AD14="",Analysedaten!N14=""),0,IF(OR(AD14="",Analysedaten!N14=""),1,IF(ABS(AD14-Analysedaten!N14)&lt;=0.000000001*MAX(1,ABS(Analysedaten!N14)),0,1)))</f>
        <v/>
      </c>
      <c r="AR14" s="25">
        <f>IF(AND(AE14="",Analysedaten!O14=""),0,IF(OR(AE14="",Analysedaten!O14=""),1,IF(ABS(AE14-Analysedaten!O14)&lt;=0.000000001*MAX(1,ABS(Analysedaten!O14)),0,1)))</f>
        <v/>
      </c>
      <c r="AS14" s="25">
        <f>SUM(AH14:AR14)</f>
        <v/>
      </c>
    </row>
    <row r="15">
      <c r="A15" s="5" t="inlineStr">
        <is>
          <t>HL-01</t>
        </is>
      </c>
      <c r="B15" s="5" t="inlineStr">
        <is>
          <t>IG</t>
        </is>
      </c>
      <c r="C15" s="5" t="inlineStr">
        <is>
          <t>A</t>
        </is>
      </c>
      <c r="D15" s="5" t="n">
        <v>1</v>
      </c>
      <c r="E15" s="25">
        <f>IF(ISNUMBER(INDEX(Personendaten!$E$2:$E$32,MATCH($A15,Personendaten!$A$2:$A$32,0))),INDEX(Personendaten!$E$2:$E$32,MATCH($A15,Personendaten!$A$2:$A$32,0))/2.54,"")</f>
        <v/>
      </c>
      <c r="F15" s="25">
        <f>IF(ISNUMBER(INDEX(Personendaten!$F$2:$F$32,MATCH($A15,Personendaten!$A$2:$A$32,0))),INDEX(Personendaten!$F$2:$F$32,MATCH($A15,Personendaten!$A$2:$A$32,0))/0.45359237,"")</f>
        <v/>
      </c>
      <c r="G15" s="25">
        <f>IF(AND(ISNUMBER(INDEX(Personendaten!$G$2:$G$32,MATCH($A15,Personendaten!$A$2:$A$32,0))),ISNUMBER(INDEX(Personendaten!$H$2:$H$32,MATCH($A15,Personendaten!$A$2:$A$32,0)))),(INDEX(Personendaten!$G$2:$G$32,MATCH($A15,Personendaten!$A$2:$A$32,0))/2.54+INDEX(Personendaten!$H$2:$H$32,MATCH($A15,Personendaten!$A$2:$A$32,0))/2.54)/2,"")</f>
        <v/>
      </c>
      <c r="H15" s="25">
        <f>INT(2*INDEX(Personendaten!$D$2:$D$32,MATCH($A15,Personendaten!$A$2:$A$32,0)))/2</f>
        <v/>
      </c>
      <c r="I15" s="25">
        <f>(INDEX(Personendaten!$D$2:$D$32,MATCH($A15,Personendaten!$A$2:$A$32,0))-H15)/0.5</f>
        <v/>
      </c>
      <c r="J15" s="25">
        <f>IF($I15=0,INDEX(Koeffizienten_KR!$B$2:$B$29,MATCH($H15,Koeffizienten_KR!$A$2:$A$29,0)),(1-$I15)*INDEX(Koeffizienten_KR!$B$2:$B$29,MATCH($H15,Koeffizienten_KR!$A$2:$A$29,0))+$I15*INDEX(Koeffizienten_KR!$B$2:$B$29,MATCH($H15+0.5,Koeffizienten_KR!$A$2:$A$29,0)))</f>
        <v/>
      </c>
      <c r="K15" s="25">
        <f>IF($I15=0,INDEX(Koeffizienten_KR!$C$2:$C$29,MATCH($H15,Koeffizienten_KR!$A$2:$A$29,0)),(1-$I15)*INDEX(Koeffizienten_KR!$C$2:$C$29,MATCH($H15,Koeffizienten_KR!$A$2:$A$29,0))+$I15*INDEX(Koeffizienten_KR!$C$2:$C$29,MATCH($H15+0.5,Koeffizienten_KR!$A$2:$A$29,0)))</f>
        <v/>
      </c>
      <c r="L15" s="25">
        <f>IF($I15=0,INDEX(Koeffizienten_KR!$D$2:$D$29,MATCH($H15,Koeffizienten_KR!$A$2:$A$29,0)),(1-$I15)*INDEX(Koeffizienten_KR!$D$2:$D$29,MATCH($H15,Koeffizienten_KR!$A$2:$A$29,0))+$I15*INDEX(Koeffizienten_KR!$D$2:$D$29,MATCH($H15+0.5,Koeffizienten_KR!$A$2:$A$29,0)))</f>
        <v/>
      </c>
      <c r="M15" s="25">
        <f>IF($I15=0,INDEX(Koeffizienten_KR!$E$2:$E$29,MATCH($H15,Koeffizienten_KR!$A$2:$A$29,0)),(1-$I15)*INDEX(Koeffizienten_KR!$E$2:$E$29,MATCH($H15,Koeffizienten_KR!$A$2:$A$29,0))+$I15*INDEX(Koeffizienten_KR!$E$2:$E$29,MATCH($H15+0.5,Koeffizienten_KR!$A$2:$A$29,0)))</f>
        <v/>
      </c>
      <c r="N15" s="25">
        <f>IF(AND(ISNUMBER(E15),ISNUMBER(F15),ISNUMBER(G15),INDEX(Personendaten!$D$2:$D$32,MATCH($A15,Personendaten!$A$2:$A$32,0))&gt;=4,INDEX(Personendaten!$D$2:$D$32,MATCH($A15,Personendaten!$A$2:$A$32,0))&lt;=17.5),J15+K15*E15+L15*F15+M15*G15,"")</f>
        <v/>
      </c>
      <c r="O15" s="25">
        <f>IF(ISNUMBER(N15),100*E15/N15,"")</f>
        <v/>
      </c>
      <c r="P15" s="25">
        <f>COUNTIFS(Versuchsdaten!$A$2:$A$1117,$A15,Versuchsdaten!$B$2:$B$1117,"prä",Versuchsdaten!$C$2:$C$1117,"Sprint_30m",Versuchsdaten!$O$2:$O$1117,1)</f>
        <v/>
      </c>
      <c r="Q15" s="25">
        <f>IF(COUNTIFS(Versuchsdaten!$A$2:$A$1117,$A15,Versuchsdaten!$B$2:$B$1117,"prä",Versuchsdaten!$C$2:$C$1117,"Sprint_30m",Versuchsdaten!$O$2:$O$1117,1)=0,"",_xlfn.MINIFS(Versuchsdaten!$F$2:$F$1117,Versuchsdaten!$A$2:$A$1117,$A15,Versuchsdaten!$B$2:$B$1117,"prä",Versuchsdaten!$C$2:$C$1117,"Sprint_30m",Versuchsdaten!$O$2:$O$1117,1))</f>
        <v/>
      </c>
      <c r="R15" s="25">
        <f>COUNTIFS(Versuchsdaten!$A$2:$A$1117,$A15,Versuchsdaten!$B$2:$B$1117,"post",Versuchsdaten!$C$2:$C$1117,"Sprint_30m",Versuchsdaten!$O$2:$O$1117,1)</f>
        <v/>
      </c>
      <c r="S15" s="25">
        <f>IF(COUNTIFS(Versuchsdaten!$A$2:$A$1117,$A15,Versuchsdaten!$B$2:$B$1117,"post",Versuchsdaten!$C$2:$C$1117,"Sprint_30m",Versuchsdaten!$O$2:$O$1117,1)=0,"",_xlfn.MINIFS(Versuchsdaten!$F$2:$F$1117,Versuchsdaten!$A$2:$A$1117,$A15,Versuchsdaten!$B$2:$B$1117,"post",Versuchsdaten!$C$2:$C$1117,"Sprint_30m",Versuchsdaten!$O$2:$O$1117,1))</f>
        <v/>
      </c>
      <c r="T15" s="25">
        <f>IF(COUNTIFS(Versuchsdaten!$A$2:$A$1117,$A15,Versuchsdaten!$B$2:$B$1117,"prä",Versuchsdaten!$C$2:$C$1117,"COD_505",Versuchsdaten!$O$2:$O$1117,1,Versuchsdaten!$D$2:$D$1117,"L")=0,"",_xlfn.MINIFS(Versuchsdaten!$F$2:$F$1117,Versuchsdaten!$A$2:$A$1117,$A15,Versuchsdaten!$B$2:$B$1117,"prä",Versuchsdaten!$C$2:$C$1117,"COD_505",Versuchsdaten!$O$2:$O$1117,1,Versuchsdaten!$D$2:$D$1117,"L"))</f>
        <v/>
      </c>
      <c r="U15" s="25">
        <f>IF(COUNTIFS(Versuchsdaten!$A$2:$A$1117,$A15,Versuchsdaten!$B$2:$B$1117,"prä",Versuchsdaten!$C$2:$C$1117,"COD_505",Versuchsdaten!$O$2:$O$1117,1,Versuchsdaten!$D$2:$D$1117,"R")=0,"",_xlfn.MINIFS(Versuchsdaten!$F$2:$F$1117,Versuchsdaten!$A$2:$A$1117,$A15,Versuchsdaten!$B$2:$B$1117,"prä",Versuchsdaten!$C$2:$C$1117,"COD_505",Versuchsdaten!$O$2:$O$1117,1,Versuchsdaten!$D$2:$D$1117,"R"))</f>
        <v/>
      </c>
      <c r="V15" s="25">
        <f>IF(AND(ISNUMBER(T15),ISNUMBER(U15)),(T15+U15)/2,"")</f>
        <v/>
      </c>
      <c r="W15" s="25">
        <f>IF(COUNTIFS(Versuchsdaten!$A$2:$A$1117,$A15,Versuchsdaten!$B$2:$B$1117,"post",Versuchsdaten!$C$2:$C$1117,"COD_505",Versuchsdaten!$O$2:$O$1117,1,Versuchsdaten!$D$2:$D$1117,"L")=0,"",_xlfn.MINIFS(Versuchsdaten!$F$2:$F$1117,Versuchsdaten!$A$2:$A$1117,$A15,Versuchsdaten!$B$2:$B$1117,"post",Versuchsdaten!$C$2:$C$1117,"COD_505",Versuchsdaten!$O$2:$O$1117,1,Versuchsdaten!$D$2:$D$1117,"L"))</f>
        <v/>
      </c>
      <c r="X15" s="25">
        <f>IF(COUNTIFS(Versuchsdaten!$A$2:$A$1117,$A15,Versuchsdaten!$B$2:$B$1117,"post",Versuchsdaten!$C$2:$C$1117,"COD_505",Versuchsdaten!$O$2:$O$1117,1,Versuchsdaten!$D$2:$D$1117,"R")=0,"",_xlfn.MINIFS(Versuchsdaten!$F$2:$F$1117,Versuchsdaten!$A$2:$A$1117,$A15,Versuchsdaten!$B$2:$B$1117,"post",Versuchsdaten!$C$2:$C$1117,"COD_505",Versuchsdaten!$O$2:$O$1117,1,Versuchsdaten!$D$2:$D$1117,"R"))</f>
        <v/>
      </c>
      <c r="Y15" s="25">
        <f>IF(AND(ISNUMBER(W15),ISNUMBER(X15)),(W15+X15)/2,"")</f>
        <v/>
      </c>
      <c r="Z15" s="25">
        <f>IF(COUNTIFS(Versuchsdaten!$A$2:$A$1117,$A15,Versuchsdaten!$B$2:$B$1117,"prä",Versuchsdaten!$C$2:$C$1117,"Standweitsprung",Versuchsdaten!$O$2:$O$1117,1)=0,"",_xlfn.MAXIFS(Versuchsdaten!$F$2:$F$1117,Versuchsdaten!$A$2:$A$1117,$A15,Versuchsdaten!$B$2:$B$1117,"prä",Versuchsdaten!$C$2:$C$1117,"Standweitsprung",Versuchsdaten!$O$2:$O$1117,1))</f>
        <v/>
      </c>
      <c r="AA15" s="25">
        <f>IF(COUNTIFS(Versuchsdaten!$A$2:$A$1117,$A15,Versuchsdaten!$B$2:$B$1117,"post",Versuchsdaten!$C$2:$C$1117,"Standweitsprung",Versuchsdaten!$O$2:$O$1117,1)=0,"",_xlfn.MAXIFS(Versuchsdaten!$F$2:$F$1117,Versuchsdaten!$A$2:$A$1117,$A15,Versuchsdaten!$B$2:$B$1117,"post",Versuchsdaten!$C$2:$C$1117,"Standweitsprung",Versuchsdaten!$O$2:$O$1117,1))</f>
        <v/>
      </c>
      <c r="AB15" s="25">
        <f>IF(AND(ISNUMBER(Q15),ISNUMBER(S15),ISNUMBER(O15)),1,0)</f>
        <v/>
      </c>
      <c r="AC15" s="25">
        <f>IF(AND(ISNUMBER(V15),ISNUMBER(Y15),ISNUMBER(O15)),1,0)</f>
        <v/>
      </c>
      <c r="AD15" s="25">
        <f>IF(AND(ISNUMBER(Z15),ISNUMBER(AA15),ISNUMBER(O15)),1,0)</f>
        <v/>
      </c>
      <c r="AE15" s="25">
        <f>IF(D15=0,"",IF(COUNTIF(Zuordnung!$B$2:$B$23,$A15)=0,"",COUNTIFS(Fragebogen_A!$M$2:$M$112,$A15,Fragebogen_A!$F$2:$F$112,1)))</f>
        <v/>
      </c>
      <c r="AF15" s="25">
        <f>IF(AB15=1,COUNTIF($AB$4:AB15,1),"")</f>
        <v/>
      </c>
      <c r="AH15" s="25">
        <f>IF(AND(O15="",Analysedaten!E15=""),0,IF(OR(O15="",Analysedaten!E15=""),1,IF(ABS(O15-Analysedaten!E15)&lt;=0.000000001*MAX(1,ABS(Analysedaten!E15)),0,1)))</f>
        <v/>
      </c>
      <c r="AI15" s="25">
        <f>IF(AND(Q15="",Analysedaten!F15=""),0,IF(OR(Q15="",Analysedaten!F15=""),1,IF(ABS(Q15-Analysedaten!F15)&lt;=0.000000001*MAX(1,ABS(Analysedaten!F15)),0,1)))</f>
        <v/>
      </c>
      <c r="AJ15" s="25">
        <f>IF(AND(S15="",Analysedaten!G15=""),0,IF(OR(S15="",Analysedaten!G15=""),1,IF(ABS(S15-Analysedaten!G15)&lt;=0.000000001*MAX(1,ABS(Analysedaten!G15)),0,1)))</f>
        <v/>
      </c>
      <c r="AK15" s="25">
        <f>IF(AND(V15="",Analysedaten!H15=""),0,IF(OR(V15="",Analysedaten!H15=""),1,IF(ABS(V15-Analysedaten!H15)&lt;=0.000000001*MAX(1,ABS(Analysedaten!H15)),0,1)))</f>
        <v/>
      </c>
      <c r="AL15" s="25">
        <f>IF(AND(Y15="",Analysedaten!I15=""),0,IF(OR(Y15="",Analysedaten!I15=""),1,IF(ABS(Y15-Analysedaten!I15)&lt;=0.000000001*MAX(1,ABS(Analysedaten!I15)),0,1)))</f>
        <v/>
      </c>
      <c r="AM15" s="25">
        <f>IF(AND(Z15="",Analysedaten!J15=""),0,IF(OR(Z15="",Analysedaten!J15=""),1,IF(ABS(Z15-Analysedaten!J15)&lt;=0.000000001*MAX(1,ABS(Analysedaten!J15)),0,1)))</f>
        <v/>
      </c>
      <c r="AN15" s="25">
        <f>IF(AND(AA15="",Analysedaten!K15=""),0,IF(OR(AA15="",Analysedaten!K15=""),1,IF(ABS(AA15-Analysedaten!K15)&lt;=0.000000001*MAX(1,ABS(Analysedaten!K15)),0,1)))</f>
        <v/>
      </c>
      <c r="AO15" s="25">
        <f>IF(AND(AB15="",Analysedaten!L15=""),0,IF(OR(AB15="",Analysedaten!L15=""),1,IF(ABS(AB15-Analysedaten!L15)&lt;=0.000000001*MAX(1,ABS(Analysedaten!L15)),0,1)))</f>
        <v/>
      </c>
      <c r="AP15" s="25">
        <f>IF(AND(AC15="",Analysedaten!M15=""),0,IF(OR(AC15="",Analysedaten!M15=""),1,IF(ABS(AC15-Analysedaten!M15)&lt;=0.000000001*MAX(1,ABS(Analysedaten!M15)),0,1)))</f>
        <v/>
      </c>
      <c r="AQ15" s="25">
        <f>IF(AND(AD15="",Analysedaten!N15=""),0,IF(OR(AD15="",Analysedaten!N15=""),1,IF(ABS(AD15-Analysedaten!N15)&lt;=0.000000001*MAX(1,ABS(Analysedaten!N15)),0,1)))</f>
        <v/>
      </c>
      <c r="AR15" s="25">
        <f>IF(AND(AE15="",Analysedaten!O15=""),0,IF(OR(AE15="",Analysedaten!O15=""),1,IF(ABS(AE15-Analysedaten!O15)&lt;=0.000000001*MAX(1,ABS(Analysedaten!O15)),0,1)))</f>
        <v/>
      </c>
      <c r="AS15" s="25">
        <f>SUM(AH15:AR15)</f>
        <v/>
      </c>
    </row>
    <row r="16">
      <c r="A16" s="5" t="inlineStr">
        <is>
          <t>HL-02</t>
        </is>
      </c>
      <c r="B16" s="5" t="inlineStr">
        <is>
          <t>IG</t>
        </is>
      </c>
      <c r="C16" s="5" t="inlineStr">
        <is>
          <t>A</t>
        </is>
      </c>
      <c r="D16" s="5" t="n">
        <v>1</v>
      </c>
      <c r="E16" s="25">
        <f>IF(ISNUMBER(INDEX(Personendaten!$E$2:$E$32,MATCH($A16,Personendaten!$A$2:$A$32,0))),INDEX(Personendaten!$E$2:$E$32,MATCH($A16,Personendaten!$A$2:$A$32,0))/2.54,"")</f>
        <v/>
      </c>
      <c r="F16" s="25">
        <f>IF(ISNUMBER(INDEX(Personendaten!$F$2:$F$32,MATCH($A16,Personendaten!$A$2:$A$32,0))),INDEX(Personendaten!$F$2:$F$32,MATCH($A16,Personendaten!$A$2:$A$32,0))/0.45359237,"")</f>
        <v/>
      </c>
      <c r="G16" s="25">
        <f>IF(AND(ISNUMBER(INDEX(Personendaten!$G$2:$G$32,MATCH($A16,Personendaten!$A$2:$A$32,0))),ISNUMBER(INDEX(Personendaten!$H$2:$H$32,MATCH($A16,Personendaten!$A$2:$A$32,0)))),(INDEX(Personendaten!$G$2:$G$32,MATCH($A16,Personendaten!$A$2:$A$32,0))/2.54+INDEX(Personendaten!$H$2:$H$32,MATCH($A16,Personendaten!$A$2:$A$32,0))/2.54)/2,"")</f>
        <v/>
      </c>
      <c r="H16" s="25">
        <f>INT(2*INDEX(Personendaten!$D$2:$D$32,MATCH($A16,Personendaten!$A$2:$A$32,0)))/2</f>
        <v/>
      </c>
      <c r="I16" s="25">
        <f>(INDEX(Personendaten!$D$2:$D$32,MATCH($A16,Personendaten!$A$2:$A$32,0))-H16)/0.5</f>
        <v/>
      </c>
      <c r="J16" s="25">
        <f>IF($I16=0,INDEX(Koeffizienten_KR!$B$2:$B$29,MATCH($H16,Koeffizienten_KR!$A$2:$A$29,0)),(1-$I16)*INDEX(Koeffizienten_KR!$B$2:$B$29,MATCH($H16,Koeffizienten_KR!$A$2:$A$29,0))+$I16*INDEX(Koeffizienten_KR!$B$2:$B$29,MATCH($H16+0.5,Koeffizienten_KR!$A$2:$A$29,0)))</f>
        <v/>
      </c>
      <c r="K16" s="25">
        <f>IF($I16=0,INDEX(Koeffizienten_KR!$C$2:$C$29,MATCH($H16,Koeffizienten_KR!$A$2:$A$29,0)),(1-$I16)*INDEX(Koeffizienten_KR!$C$2:$C$29,MATCH($H16,Koeffizienten_KR!$A$2:$A$29,0))+$I16*INDEX(Koeffizienten_KR!$C$2:$C$29,MATCH($H16+0.5,Koeffizienten_KR!$A$2:$A$29,0)))</f>
        <v/>
      </c>
      <c r="L16" s="25">
        <f>IF($I16=0,INDEX(Koeffizienten_KR!$D$2:$D$29,MATCH($H16,Koeffizienten_KR!$A$2:$A$29,0)),(1-$I16)*INDEX(Koeffizienten_KR!$D$2:$D$29,MATCH($H16,Koeffizienten_KR!$A$2:$A$29,0))+$I16*INDEX(Koeffizienten_KR!$D$2:$D$29,MATCH($H16+0.5,Koeffizienten_KR!$A$2:$A$29,0)))</f>
        <v/>
      </c>
      <c r="M16" s="25">
        <f>IF($I16=0,INDEX(Koeffizienten_KR!$E$2:$E$29,MATCH($H16,Koeffizienten_KR!$A$2:$A$29,0)),(1-$I16)*INDEX(Koeffizienten_KR!$E$2:$E$29,MATCH($H16,Koeffizienten_KR!$A$2:$A$29,0))+$I16*INDEX(Koeffizienten_KR!$E$2:$E$29,MATCH($H16+0.5,Koeffizienten_KR!$A$2:$A$29,0)))</f>
        <v/>
      </c>
      <c r="N16" s="25">
        <f>IF(AND(ISNUMBER(E16),ISNUMBER(F16),ISNUMBER(G16),INDEX(Personendaten!$D$2:$D$32,MATCH($A16,Personendaten!$A$2:$A$32,0))&gt;=4,INDEX(Personendaten!$D$2:$D$32,MATCH($A16,Personendaten!$A$2:$A$32,0))&lt;=17.5),J16+K16*E16+L16*F16+M16*G16,"")</f>
        <v/>
      </c>
      <c r="O16" s="25">
        <f>IF(ISNUMBER(N16),100*E16/N16,"")</f>
        <v/>
      </c>
      <c r="P16" s="25">
        <f>COUNTIFS(Versuchsdaten!$A$2:$A$1117,$A16,Versuchsdaten!$B$2:$B$1117,"prä",Versuchsdaten!$C$2:$C$1117,"Sprint_30m",Versuchsdaten!$O$2:$O$1117,1)</f>
        <v/>
      </c>
      <c r="Q16" s="25">
        <f>IF(COUNTIFS(Versuchsdaten!$A$2:$A$1117,$A16,Versuchsdaten!$B$2:$B$1117,"prä",Versuchsdaten!$C$2:$C$1117,"Sprint_30m",Versuchsdaten!$O$2:$O$1117,1)=0,"",_xlfn.MINIFS(Versuchsdaten!$F$2:$F$1117,Versuchsdaten!$A$2:$A$1117,$A16,Versuchsdaten!$B$2:$B$1117,"prä",Versuchsdaten!$C$2:$C$1117,"Sprint_30m",Versuchsdaten!$O$2:$O$1117,1))</f>
        <v/>
      </c>
      <c r="R16" s="25">
        <f>COUNTIFS(Versuchsdaten!$A$2:$A$1117,$A16,Versuchsdaten!$B$2:$B$1117,"post",Versuchsdaten!$C$2:$C$1117,"Sprint_30m",Versuchsdaten!$O$2:$O$1117,1)</f>
        <v/>
      </c>
      <c r="S16" s="25">
        <f>IF(COUNTIFS(Versuchsdaten!$A$2:$A$1117,$A16,Versuchsdaten!$B$2:$B$1117,"post",Versuchsdaten!$C$2:$C$1117,"Sprint_30m",Versuchsdaten!$O$2:$O$1117,1)=0,"",_xlfn.MINIFS(Versuchsdaten!$F$2:$F$1117,Versuchsdaten!$A$2:$A$1117,$A16,Versuchsdaten!$B$2:$B$1117,"post",Versuchsdaten!$C$2:$C$1117,"Sprint_30m",Versuchsdaten!$O$2:$O$1117,1))</f>
        <v/>
      </c>
      <c r="T16" s="25">
        <f>IF(COUNTIFS(Versuchsdaten!$A$2:$A$1117,$A16,Versuchsdaten!$B$2:$B$1117,"prä",Versuchsdaten!$C$2:$C$1117,"COD_505",Versuchsdaten!$O$2:$O$1117,1,Versuchsdaten!$D$2:$D$1117,"L")=0,"",_xlfn.MINIFS(Versuchsdaten!$F$2:$F$1117,Versuchsdaten!$A$2:$A$1117,$A16,Versuchsdaten!$B$2:$B$1117,"prä",Versuchsdaten!$C$2:$C$1117,"COD_505",Versuchsdaten!$O$2:$O$1117,1,Versuchsdaten!$D$2:$D$1117,"L"))</f>
        <v/>
      </c>
      <c r="U16" s="25">
        <f>IF(COUNTIFS(Versuchsdaten!$A$2:$A$1117,$A16,Versuchsdaten!$B$2:$B$1117,"prä",Versuchsdaten!$C$2:$C$1117,"COD_505",Versuchsdaten!$O$2:$O$1117,1,Versuchsdaten!$D$2:$D$1117,"R")=0,"",_xlfn.MINIFS(Versuchsdaten!$F$2:$F$1117,Versuchsdaten!$A$2:$A$1117,$A16,Versuchsdaten!$B$2:$B$1117,"prä",Versuchsdaten!$C$2:$C$1117,"COD_505",Versuchsdaten!$O$2:$O$1117,1,Versuchsdaten!$D$2:$D$1117,"R"))</f>
        <v/>
      </c>
      <c r="V16" s="25">
        <f>IF(AND(ISNUMBER(T16),ISNUMBER(U16)),(T16+U16)/2,"")</f>
        <v/>
      </c>
      <c r="W16" s="25">
        <f>IF(COUNTIFS(Versuchsdaten!$A$2:$A$1117,$A16,Versuchsdaten!$B$2:$B$1117,"post",Versuchsdaten!$C$2:$C$1117,"COD_505",Versuchsdaten!$O$2:$O$1117,1,Versuchsdaten!$D$2:$D$1117,"L")=0,"",_xlfn.MINIFS(Versuchsdaten!$F$2:$F$1117,Versuchsdaten!$A$2:$A$1117,$A16,Versuchsdaten!$B$2:$B$1117,"post",Versuchsdaten!$C$2:$C$1117,"COD_505",Versuchsdaten!$O$2:$O$1117,1,Versuchsdaten!$D$2:$D$1117,"L"))</f>
        <v/>
      </c>
      <c r="X16" s="25">
        <f>IF(COUNTIFS(Versuchsdaten!$A$2:$A$1117,$A16,Versuchsdaten!$B$2:$B$1117,"post",Versuchsdaten!$C$2:$C$1117,"COD_505",Versuchsdaten!$O$2:$O$1117,1,Versuchsdaten!$D$2:$D$1117,"R")=0,"",_xlfn.MINIFS(Versuchsdaten!$F$2:$F$1117,Versuchsdaten!$A$2:$A$1117,$A16,Versuchsdaten!$B$2:$B$1117,"post",Versuchsdaten!$C$2:$C$1117,"COD_505",Versuchsdaten!$O$2:$O$1117,1,Versuchsdaten!$D$2:$D$1117,"R"))</f>
        <v/>
      </c>
      <c r="Y16" s="25">
        <f>IF(AND(ISNUMBER(W16),ISNUMBER(X16)),(W16+X16)/2,"")</f>
        <v/>
      </c>
      <c r="Z16" s="25">
        <f>IF(COUNTIFS(Versuchsdaten!$A$2:$A$1117,$A16,Versuchsdaten!$B$2:$B$1117,"prä",Versuchsdaten!$C$2:$C$1117,"Standweitsprung",Versuchsdaten!$O$2:$O$1117,1)=0,"",_xlfn.MAXIFS(Versuchsdaten!$F$2:$F$1117,Versuchsdaten!$A$2:$A$1117,$A16,Versuchsdaten!$B$2:$B$1117,"prä",Versuchsdaten!$C$2:$C$1117,"Standweitsprung",Versuchsdaten!$O$2:$O$1117,1))</f>
        <v/>
      </c>
      <c r="AA16" s="25">
        <f>IF(COUNTIFS(Versuchsdaten!$A$2:$A$1117,$A16,Versuchsdaten!$B$2:$B$1117,"post",Versuchsdaten!$C$2:$C$1117,"Standweitsprung",Versuchsdaten!$O$2:$O$1117,1)=0,"",_xlfn.MAXIFS(Versuchsdaten!$F$2:$F$1117,Versuchsdaten!$A$2:$A$1117,$A16,Versuchsdaten!$B$2:$B$1117,"post",Versuchsdaten!$C$2:$C$1117,"Standweitsprung",Versuchsdaten!$O$2:$O$1117,1))</f>
        <v/>
      </c>
      <c r="AB16" s="25">
        <f>IF(AND(ISNUMBER(Q16),ISNUMBER(S16),ISNUMBER(O16)),1,0)</f>
        <v/>
      </c>
      <c r="AC16" s="25">
        <f>IF(AND(ISNUMBER(V16),ISNUMBER(Y16),ISNUMBER(O16)),1,0)</f>
        <v/>
      </c>
      <c r="AD16" s="25">
        <f>IF(AND(ISNUMBER(Z16),ISNUMBER(AA16),ISNUMBER(O16)),1,0)</f>
        <v/>
      </c>
      <c r="AE16" s="25">
        <f>IF(D16=0,"",IF(COUNTIF(Zuordnung!$B$2:$B$23,$A16)=0,"",COUNTIFS(Fragebogen_A!$M$2:$M$112,$A16,Fragebogen_A!$F$2:$F$112,1)))</f>
        <v/>
      </c>
      <c r="AF16" s="25">
        <f>IF(AB16=1,COUNTIF($AB$4:AB16,1),"")</f>
        <v/>
      </c>
      <c r="AH16" s="25">
        <f>IF(AND(O16="",Analysedaten!E16=""),0,IF(OR(O16="",Analysedaten!E16=""),1,IF(ABS(O16-Analysedaten!E16)&lt;=0.000000001*MAX(1,ABS(Analysedaten!E16)),0,1)))</f>
        <v/>
      </c>
      <c r="AI16" s="25">
        <f>IF(AND(Q16="",Analysedaten!F16=""),0,IF(OR(Q16="",Analysedaten!F16=""),1,IF(ABS(Q16-Analysedaten!F16)&lt;=0.000000001*MAX(1,ABS(Analysedaten!F16)),0,1)))</f>
        <v/>
      </c>
      <c r="AJ16" s="25">
        <f>IF(AND(S16="",Analysedaten!G16=""),0,IF(OR(S16="",Analysedaten!G16=""),1,IF(ABS(S16-Analysedaten!G16)&lt;=0.000000001*MAX(1,ABS(Analysedaten!G16)),0,1)))</f>
        <v/>
      </c>
      <c r="AK16" s="25">
        <f>IF(AND(V16="",Analysedaten!H16=""),0,IF(OR(V16="",Analysedaten!H16=""),1,IF(ABS(V16-Analysedaten!H16)&lt;=0.000000001*MAX(1,ABS(Analysedaten!H16)),0,1)))</f>
        <v/>
      </c>
      <c r="AL16" s="25">
        <f>IF(AND(Y16="",Analysedaten!I16=""),0,IF(OR(Y16="",Analysedaten!I16=""),1,IF(ABS(Y16-Analysedaten!I16)&lt;=0.000000001*MAX(1,ABS(Analysedaten!I16)),0,1)))</f>
        <v/>
      </c>
      <c r="AM16" s="25">
        <f>IF(AND(Z16="",Analysedaten!J16=""),0,IF(OR(Z16="",Analysedaten!J16=""),1,IF(ABS(Z16-Analysedaten!J16)&lt;=0.000000001*MAX(1,ABS(Analysedaten!J16)),0,1)))</f>
        <v/>
      </c>
      <c r="AN16" s="25">
        <f>IF(AND(AA16="",Analysedaten!K16=""),0,IF(OR(AA16="",Analysedaten!K16=""),1,IF(ABS(AA16-Analysedaten!K16)&lt;=0.000000001*MAX(1,ABS(Analysedaten!K16)),0,1)))</f>
        <v/>
      </c>
      <c r="AO16" s="25">
        <f>IF(AND(AB16="",Analysedaten!L16=""),0,IF(OR(AB16="",Analysedaten!L16=""),1,IF(ABS(AB16-Analysedaten!L16)&lt;=0.000000001*MAX(1,ABS(Analysedaten!L16)),0,1)))</f>
        <v/>
      </c>
      <c r="AP16" s="25">
        <f>IF(AND(AC16="",Analysedaten!M16=""),0,IF(OR(AC16="",Analysedaten!M16=""),1,IF(ABS(AC16-Analysedaten!M16)&lt;=0.000000001*MAX(1,ABS(Analysedaten!M16)),0,1)))</f>
        <v/>
      </c>
      <c r="AQ16" s="25">
        <f>IF(AND(AD16="",Analysedaten!N16=""),0,IF(OR(AD16="",Analysedaten!N16=""),1,IF(ABS(AD16-Analysedaten!N16)&lt;=0.000000001*MAX(1,ABS(Analysedaten!N16)),0,1)))</f>
        <v/>
      </c>
      <c r="AR16" s="25">
        <f>IF(AND(AE16="",Analysedaten!O16=""),0,IF(OR(AE16="",Analysedaten!O16=""),1,IF(ABS(AE16-Analysedaten!O16)&lt;=0.000000001*MAX(1,ABS(Analysedaten!O16)),0,1)))</f>
        <v/>
      </c>
      <c r="AS16" s="25">
        <f>SUM(AH16:AR16)</f>
        <v/>
      </c>
    </row>
    <row r="17">
      <c r="A17" s="5" t="inlineStr">
        <is>
          <t>HL-03</t>
        </is>
      </c>
      <c r="B17" s="5" t="inlineStr">
        <is>
          <t>IG</t>
        </is>
      </c>
      <c r="C17" s="5" t="inlineStr">
        <is>
          <t>A</t>
        </is>
      </c>
      <c r="D17" s="5" t="n">
        <v>1</v>
      </c>
      <c r="E17" s="25">
        <f>IF(ISNUMBER(INDEX(Personendaten!$E$2:$E$32,MATCH($A17,Personendaten!$A$2:$A$32,0))),INDEX(Personendaten!$E$2:$E$32,MATCH($A17,Personendaten!$A$2:$A$32,0))/2.54,"")</f>
        <v/>
      </c>
      <c r="F17" s="25">
        <f>IF(ISNUMBER(INDEX(Personendaten!$F$2:$F$32,MATCH($A17,Personendaten!$A$2:$A$32,0))),INDEX(Personendaten!$F$2:$F$32,MATCH($A17,Personendaten!$A$2:$A$32,0))/0.45359237,"")</f>
        <v/>
      </c>
      <c r="G17" s="25">
        <f>IF(AND(ISNUMBER(INDEX(Personendaten!$G$2:$G$32,MATCH($A17,Personendaten!$A$2:$A$32,0))),ISNUMBER(INDEX(Personendaten!$H$2:$H$32,MATCH($A17,Personendaten!$A$2:$A$32,0)))),(INDEX(Personendaten!$G$2:$G$32,MATCH($A17,Personendaten!$A$2:$A$32,0))/2.54+INDEX(Personendaten!$H$2:$H$32,MATCH($A17,Personendaten!$A$2:$A$32,0))/2.54)/2,"")</f>
        <v/>
      </c>
      <c r="H17" s="25">
        <f>INT(2*INDEX(Personendaten!$D$2:$D$32,MATCH($A17,Personendaten!$A$2:$A$32,0)))/2</f>
        <v/>
      </c>
      <c r="I17" s="25">
        <f>(INDEX(Personendaten!$D$2:$D$32,MATCH($A17,Personendaten!$A$2:$A$32,0))-H17)/0.5</f>
        <v/>
      </c>
      <c r="J17" s="25">
        <f>IF($I17=0,INDEX(Koeffizienten_KR!$B$2:$B$29,MATCH($H17,Koeffizienten_KR!$A$2:$A$29,0)),(1-$I17)*INDEX(Koeffizienten_KR!$B$2:$B$29,MATCH($H17,Koeffizienten_KR!$A$2:$A$29,0))+$I17*INDEX(Koeffizienten_KR!$B$2:$B$29,MATCH($H17+0.5,Koeffizienten_KR!$A$2:$A$29,0)))</f>
        <v/>
      </c>
      <c r="K17" s="25">
        <f>IF($I17=0,INDEX(Koeffizienten_KR!$C$2:$C$29,MATCH($H17,Koeffizienten_KR!$A$2:$A$29,0)),(1-$I17)*INDEX(Koeffizienten_KR!$C$2:$C$29,MATCH($H17,Koeffizienten_KR!$A$2:$A$29,0))+$I17*INDEX(Koeffizienten_KR!$C$2:$C$29,MATCH($H17+0.5,Koeffizienten_KR!$A$2:$A$29,0)))</f>
        <v/>
      </c>
      <c r="L17" s="25">
        <f>IF($I17=0,INDEX(Koeffizienten_KR!$D$2:$D$29,MATCH($H17,Koeffizienten_KR!$A$2:$A$29,0)),(1-$I17)*INDEX(Koeffizienten_KR!$D$2:$D$29,MATCH($H17,Koeffizienten_KR!$A$2:$A$29,0))+$I17*INDEX(Koeffizienten_KR!$D$2:$D$29,MATCH($H17+0.5,Koeffizienten_KR!$A$2:$A$29,0)))</f>
        <v/>
      </c>
      <c r="M17" s="25">
        <f>IF($I17=0,INDEX(Koeffizienten_KR!$E$2:$E$29,MATCH($H17,Koeffizienten_KR!$A$2:$A$29,0)),(1-$I17)*INDEX(Koeffizienten_KR!$E$2:$E$29,MATCH($H17,Koeffizienten_KR!$A$2:$A$29,0))+$I17*INDEX(Koeffizienten_KR!$E$2:$E$29,MATCH($H17+0.5,Koeffizienten_KR!$A$2:$A$29,0)))</f>
        <v/>
      </c>
      <c r="N17" s="25">
        <f>IF(AND(ISNUMBER(E17),ISNUMBER(F17),ISNUMBER(G17),INDEX(Personendaten!$D$2:$D$32,MATCH($A17,Personendaten!$A$2:$A$32,0))&gt;=4,INDEX(Personendaten!$D$2:$D$32,MATCH($A17,Personendaten!$A$2:$A$32,0))&lt;=17.5),J17+K17*E17+L17*F17+M17*G17,"")</f>
        <v/>
      </c>
      <c r="O17" s="25">
        <f>IF(ISNUMBER(N17),100*E17/N17,"")</f>
        <v/>
      </c>
      <c r="P17" s="25">
        <f>COUNTIFS(Versuchsdaten!$A$2:$A$1117,$A17,Versuchsdaten!$B$2:$B$1117,"prä",Versuchsdaten!$C$2:$C$1117,"Sprint_30m",Versuchsdaten!$O$2:$O$1117,1)</f>
        <v/>
      </c>
      <c r="Q17" s="25">
        <f>IF(COUNTIFS(Versuchsdaten!$A$2:$A$1117,$A17,Versuchsdaten!$B$2:$B$1117,"prä",Versuchsdaten!$C$2:$C$1117,"Sprint_30m",Versuchsdaten!$O$2:$O$1117,1)=0,"",_xlfn.MINIFS(Versuchsdaten!$F$2:$F$1117,Versuchsdaten!$A$2:$A$1117,$A17,Versuchsdaten!$B$2:$B$1117,"prä",Versuchsdaten!$C$2:$C$1117,"Sprint_30m",Versuchsdaten!$O$2:$O$1117,1))</f>
        <v/>
      </c>
      <c r="R17" s="25">
        <f>COUNTIFS(Versuchsdaten!$A$2:$A$1117,$A17,Versuchsdaten!$B$2:$B$1117,"post",Versuchsdaten!$C$2:$C$1117,"Sprint_30m",Versuchsdaten!$O$2:$O$1117,1)</f>
        <v/>
      </c>
      <c r="S17" s="25">
        <f>IF(COUNTIFS(Versuchsdaten!$A$2:$A$1117,$A17,Versuchsdaten!$B$2:$B$1117,"post",Versuchsdaten!$C$2:$C$1117,"Sprint_30m",Versuchsdaten!$O$2:$O$1117,1)=0,"",_xlfn.MINIFS(Versuchsdaten!$F$2:$F$1117,Versuchsdaten!$A$2:$A$1117,$A17,Versuchsdaten!$B$2:$B$1117,"post",Versuchsdaten!$C$2:$C$1117,"Sprint_30m",Versuchsdaten!$O$2:$O$1117,1))</f>
        <v/>
      </c>
      <c r="T17" s="25">
        <f>IF(COUNTIFS(Versuchsdaten!$A$2:$A$1117,$A17,Versuchsdaten!$B$2:$B$1117,"prä",Versuchsdaten!$C$2:$C$1117,"COD_505",Versuchsdaten!$O$2:$O$1117,1,Versuchsdaten!$D$2:$D$1117,"L")=0,"",_xlfn.MINIFS(Versuchsdaten!$F$2:$F$1117,Versuchsdaten!$A$2:$A$1117,$A17,Versuchsdaten!$B$2:$B$1117,"prä",Versuchsdaten!$C$2:$C$1117,"COD_505",Versuchsdaten!$O$2:$O$1117,1,Versuchsdaten!$D$2:$D$1117,"L"))</f>
        <v/>
      </c>
      <c r="U17" s="25">
        <f>IF(COUNTIFS(Versuchsdaten!$A$2:$A$1117,$A17,Versuchsdaten!$B$2:$B$1117,"prä",Versuchsdaten!$C$2:$C$1117,"COD_505",Versuchsdaten!$O$2:$O$1117,1,Versuchsdaten!$D$2:$D$1117,"R")=0,"",_xlfn.MINIFS(Versuchsdaten!$F$2:$F$1117,Versuchsdaten!$A$2:$A$1117,$A17,Versuchsdaten!$B$2:$B$1117,"prä",Versuchsdaten!$C$2:$C$1117,"COD_505",Versuchsdaten!$O$2:$O$1117,1,Versuchsdaten!$D$2:$D$1117,"R"))</f>
        <v/>
      </c>
      <c r="V17" s="25">
        <f>IF(AND(ISNUMBER(T17),ISNUMBER(U17)),(T17+U17)/2,"")</f>
        <v/>
      </c>
      <c r="W17" s="25">
        <f>IF(COUNTIFS(Versuchsdaten!$A$2:$A$1117,$A17,Versuchsdaten!$B$2:$B$1117,"post",Versuchsdaten!$C$2:$C$1117,"COD_505",Versuchsdaten!$O$2:$O$1117,1,Versuchsdaten!$D$2:$D$1117,"L")=0,"",_xlfn.MINIFS(Versuchsdaten!$F$2:$F$1117,Versuchsdaten!$A$2:$A$1117,$A17,Versuchsdaten!$B$2:$B$1117,"post",Versuchsdaten!$C$2:$C$1117,"COD_505",Versuchsdaten!$O$2:$O$1117,1,Versuchsdaten!$D$2:$D$1117,"L"))</f>
        <v/>
      </c>
      <c r="X17" s="25">
        <f>IF(COUNTIFS(Versuchsdaten!$A$2:$A$1117,$A17,Versuchsdaten!$B$2:$B$1117,"post",Versuchsdaten!$C$2:$C$1117,"COD_505",Versuchsdaten!$O$2:$O$1117,1,Versuchsdaten!$D$2:$D$1117,"R")=0,"",_xlfn.MINIFS(Versuchsdaten!$F$2:$F$1117,Versuchsdaten!$A$2:$A$1117,$A17,Versuchsdaten!$B$2:$B$1117,"post",Versuchsdaten!$C$2:$C$1117,"COD_505",Versuchsdaten!$O$2:$O$1117,1,Versuchsdaten!$D$2:$D$1117,"R"))</f>
        <v/>
      </c>
      <c r="Y17" s="25">
        <f>IF(AND(ISNUMBER(W17),ISNUMBER(X17)),(W17+X17)/2,"")</f>
        <v/>
      </c>
      <c r="Z17" s="25">
        <f>IF(COUNTIFS(Versuchsdaten!$A$2:$A$1117,$A17,Versuchsdaten!$B$2:$B$1117,"prä",Versuchsdaten!$C$2:$C$1117,"Standweitsprung",Versuchsdaten!$O$2:$O$1117,1)=0,"",_xlfn.MAXIFS(Versuchsdaten!$F$2:$F$1117,Versuchsdaten!$A$2:$A$1117,$A17,Versuchsdaten!$B$2:$B$1117,"prä",Versuchsdaten!$C$2:$C$1117,"Standweitsprung",Versuchsdaten!$O$2:$O$1117,1))</f>
        <v/>
      </c>
      <c r="AA17" s="25">
        <f>IF(COUNTIFS(Versuchsdaten!$A$2:$A$1117,$A17,Versuchsdaten!$B$2:$B$1117,"post",Versuchsdaten!$C$2:$C$1117,"Standweitsprung",Versuchsdaten!$O$2:$O$1117,1)=0,"",_xlfn.MAXIFS(Versuchsdaten!$F$2:$F$1117,Versuchsdaten!$A$2:$A$1117,$A17,Versuchsdaten!$B$2:$B$1117,"post",Versuchsdaten!$C$2:$C$1117,"Standweitsprung",Versuchsdaten!$O$2:$O$1117,1))</f>
        <v/>
      </c>
      <c r="AB17" s="25">
        <f>IF(AND(ISNUMBER(Q17),ISNUMBER(S17),ISNUMBER(O17)),1,0)</f>
        <v/>
      </c>
      <c r="AC17" s="25">
        <f>IF(AND(ISNUMBER(V17),ISNUMBER(Y17),ISNUMBER(O17)),1,0)</f>
        <v/>
      </c>
      <c r="AD17" s="25">
        <f>IF(AND(ISNUMBER(Z17),ISNUMBER(AA17),ISNUMBER(O17)),1,0)</f>
        <v/>
      </c>
      <c r="AE17" s="25">
        <f>IF(D17=0,"",IF(COUNTIF(Zuordnung!$B$2:$B$23,$A17)=0,"",COUNTIFS(Fragebogen_A!$M$2:$M$112,$A17,Fragebogen_A!$F$2:$F$112,1)))</f>
        <v/>
      </c>
      <c r="AF17" s="25">
        <f>IF(AB17=1,COUNTIF($AB$4:AB17,1),"")</f>
        <v/>
      </c>
      <c r="AH17" s="25">
        <f>IF(AND(O17="",Analysedaten!E17=""),0,IF(OR(O17="",Analysedaten!E17=""),1,IF(ABS(O17-Analysedaten!E17)&lt;=0.000000001*MAX(1,ABS(Analysedaten!E17)),0,1)))</f>
        <v/>
      </c>
      <c r="AI17" s="25">
        <f>IF(AND(Q17="",Analysedaten!F17=""),0,IF(OR(Q17="",Analysedaten!F17=""),1,IF(ABS(Q17-Analysedaten!F17)&lt;=0.000000001*MAX(1,ABS(Analysedaten!F17)),0,1)))</f>
        <v/>
      </c>
      <c r="AJ17" s="25">
        <f>IF(AND(S17="",Analysedaten!G17=""),0,IF(OR(S17="",Analysedaten!G17=""),1,IF(ABS(S17-Analysedaten!G17)&lt;=0.000000001*MAX(1,ABS(Analysedaten!G17)),0,1)))</f>
        <v/>
      </c>
      <c r="AK17" s="25">
        <f>IF(AND(V17="",Analysedaten!H17=""),0,IF(OR(V17="",Analysedaten!H17=""),1,IF(ABS(V17-Analysedaten!H17)&lt;=0.000000001*MAX(1,ABS(Analysedaten!H17)),0,1)))</f>
        <v/>
      </c>
      <c r="AL17" s="25">
        <f>IF(AND(Y17="",Analysedaten!I17=""),0,IF(OR(Y17="",Analysedaten!I17=""),1,IF(ABS(Y17-Analysedaten!I17)&lt;=0.000000001*MAX(1,ABS(Analysedaten!I17)),0,1)))</f>
        <v/>
      </c>
      <c r="AM17" s="25">
        <f>IF(AND(Z17="",Analysedaten!J17=""),0,IF(OR(Z17="",Analysedaten!J17=""),1,IF(ABS(Z17-Analysedaten!J17)&lt;=0.000000001*MAX(1,ABS(Analysedaten!J17)),0,1)))</f>
        <v/>
      </c>
      <c r="AN17" s="25">
        <f>IF(AND(AA17="",Analysedaten!K17=""),0,IF(OR(AA17="",Analysedaten!K17=""),1,IF(ABS(AA17-Analysedaten!K17)&lt;=0.000000001*MAX(1,ABS(Analysedaten!K17)),0,1)))</f>
        <v/>
      </c>
      <c r="AO17" s="25">
        <f>IF(AND(AB17="",Analysedaten!L17=""),0,IF(OR(AB17="",Analysedaten!L17=""),1,IF(ABS(AB17-Analysedaten!L17)&lt;=0.000000001*MAX(1,ABS(Analysedaten!L17)),0,1)))</f>
        <v/>
      </c>
      <c r="AP17" s="25">
        <f>IF(AND(AC17="",Analysedaten!M17=""),0,IF(OR(AC17="",Analysedaten!M17=""),1,IF(ABS(AC17-Analysedaten!M17)&lt;=0.000000001*MAX(1,ABS(Analysedaten!M17)),0,1)))</f>
        <v/>
      </c>
      <c r="AQ17" s="25">
        <f>IF(AND(AD17="",Analysedaten!N17=""),0,IF(OR(AD17="",Analysedaten!N17=""),1,IF(ABS(AD17-Analysedaten!N17)&lt;=0.000000001*MAX(1,ABS(Analysedaten!N17)),0,1)))</f>
        <v/>
      </c>
      <c r="AR17" s="25">
        <f>IF(AND(AE17="",Analysedaten!O17=""),0,IF(OR(AE17="",Analysedaten!O17=""),1,IF(ABS(AE17-Analysedaten!O17)&lt;=0.000000001*MAX(1,ABS(Analysedaten!O17)),0,1)))</f>
        <v/>
      </c>
      <c r="AS17" s="25">
        <f>SUM(AH17:AR17)</f>
        <v/>
      </c>
    </row>
    <row r="18">
      <c r="A18" s="5" t="inlineStr">
        <is>
          <t>HL-05</t>
        </is>
      </c>
      <c r="B18" s="5" t="inlineStr">
        <is>
          <t>IG</t>
        </is>
      </c>
      <c r="C18" s="5" t="inlineStr">
        <is>
          <t>A</t>
        </is>
      </c>
      <c r="D18" s="5" t="n">
        <v>1</v>
      </c>
      <c r="E18" s="25">
        <f>IF(ISNUMBER(INDEX(Personendaten!$E$2:$E$32,MATCH($A18,Personendaten!$A$2:$A$32,0))),INDEX(Personendaten!$E$2:$E$32,MATCH($A18,Personendaten!$A$2:$A$32,0))/2.54,"")</f>
        <v/>
      </c>
      <c r="F18" s="25">
        <f>IF(ISNUMBER(INDEX(Personendaten!$F$2:$F$32,MATCH($A18,Personendaten!$A$2:$A$32,0))),INDEX(Personendaten!$F$2:$F$32,MATCH($A18,Personendaten!$A$2:$A$32,0))/0.45359237,"")</f>
        <v/>
      </c>
      <c r="G18" s="25">
        <f>IF(AND(ISNUMBER(INDEX(Personendaten!$G$2:$G$32,MATCH($A18,Personendaten!$A$2:$A$32,0))),ISNUMBER(INDEX(Personendaten!$H$2:$H$32,MATCH($A18,Personendaten!$A$2:$A$32,0)))),(INDEX(Personendaten!$G$2:$G$32,MATCH($A18,Personendaten!$A$2:$A$32,0))/2.54+INDEX(Personendaten!$H$2:$H$32,MATCH($A18,Personendaten!$A$2:$A$32,0))/2.54)/2,"")</f>
        <v/>
      </c>
      <c r="H18" s="25">
        <f>INT(2*INDEX(Personendaten!$D$2:$D$32,MATCH($A18,Personendaten!$A$2:$A$32,0)))/2</f>
        <v/>
      </c>
      <c r="I18" s="25">
        <f>(INDEX(Personendaten!$D$2:$D$32,MATCH($A18,Personendaten!$A$2:$A$32,0))-H18)/0.5</f>
        <v/>
      </c>
      <c r="J18" s="25">
        <f>IF($I18=0,INDEX(Koeffizienten_KR!$B$2:$B$29,MATCH($H18,Koeffizienten_KR!$A$2:$A$29,0)),(1-$I18)*INDEX(Koeffizienten_KR!$B$2:$B$29,MATCH($H18,Koeffizienten_KR!$A$2:$A$29,0))+$I18*INDEX(Koeffizienten_KR!$B$2:$B$29,MATCH($H18+0.5,Koeffizienten_KR!$A$2:$A$29,0)))</f>
        <v/>
      </c>
      <c r="K18" s="25">
        <f>IF($I18=0,INDEX(Koeffizienten_KR!$C$2:$C$29,MATCH($H18,Koeffizienten_KR!$A$2:$A$29,0)),(1-$I18)*INDEX(Koeffizienten_KR!$C$2:$C$29,MATCH($H18,Koeffizienten_KR!$A$2:$A$29,0))+$I18*INDEX(Koeffizienten_KR!$C$2:$C$29,MATCH($H18+0.5,Koeffizienten_KR!$A$2:$A$29,0)))</f>
        <v/>
      </c>
      <c r="L18" s="25">
        <f>IF($I18=0,INDEX(Koeffizienten_KR!$D$2:$D$29,MATCH($H18,Koeffizienten_KR!$A$2:$A$29,0)),(1-$I18)*INDEX(Koeffizienten_KR!$D$2:$D$29,MATCH($H18,Koeffizienten_KR!$A$2:$A$29,0))+$I18*INDEX(Koeffizienten_KR!$D$2:$D$29,MATCH($H18+0.5,Koeffizienten_KR!$A$2:$A$29,0)))</f>
        <v/>
      </c>
      <c r="M18" s="25">
        <f>IF($I18=0,INDEX(Koeffizienten_KR!$E$2:$E$29,MATCH($H18,Koeffizienten_KR!$A$2:$A$29,0)),(1-$I18)*INDEX(Koeffizienten_KR!$E$2:$E$29,MATCH($H18,Koeffizienten_KR!$A$2:$A$29,0))+$I18*INDEX(Koeffizienten_KR!$E$2:$E$29,MATCH($H18+0.5,Koeffizienten_KR!$A$2:$A$29,0)))</f>
        <v/>
      </c>
      <c r="N18" s="25">
        <f>IF(AND(ISNUMBER(E18),ISNUMBER(F18),ISNUMBER(G18),INDEX(Personendaten!$D$2:$D$32,MATCH($A18,Personendaten!$A$2:$A$32,0))&gt;=4,INDEX(Personendaten!$D$2:$D$32,MATCH($A18,Personendaten!$A$2:$A$32,0))&lt;=17.5),J18+K18*E18+L18*F18+M18*G18,"")</f>
        <v/>
      </c>
      <c r="O18" s="25">
        <f>IF(ISNUMBER(N18),100*E18/N18,"")</f>
        <v/>
      </c>
      <c r="P18" s="25">
        <f>COUNTIFS(Versuchsdaten!$A$2:$A$1117,$A18,Versuchsdaten!$B$2:$B$1117,"prä",Versuchsdaten!$C$2:$C$1117,"Sprint_30m",Versuchsdaten!$O$2:$O$1117,1)</f>
        <v/>
      </c>
      <c r="Q18" s="25">
        <f>IF(COUNTIFS(Versuchsdaten!$A$2:$A$1117,$A18,Versuchsdaten!$B$2:$B$1117,"prä",Versuchsdaten!$C$2:$C$1117,"Sprint_30m",Versuchsdaten!$O$2:$O$1117,1)=0,"",_xlfn.MINIFS(Versuchsdaten!$F$2:$F$1117,Versuchsdaten!$A$2:$A$1117,$A18,Versuchsdaten!$B$2:$B$1117,"prä",Versuchsdaten!$C$2:$C$1117,"Sprint_30m",Versuchsdaten!$O$2:$O$1117,1))</f>
        <v/>
      </c>
      <c r="R18" s="25">
        <f>COUNTIFS(Versuchsdaten!$A$2:$A$1117,$A18,Versuchsdaten!$B$2:$B$1117,"post",Versuchsdaten!$C$2:$C$1117,"Sprint_30m",Versuchsdaten!$O$2:$O$1117,1)</f>
        <v/>
      </c>
      <c r="S18" s="25">
        <f>IF(COUNTIFS(Versuchsdaten!$A$2:$A$1117,$A18,Versuchsdaten!$B$2:$B$1117,"post",Versuchsdaten!$C$2:$C$1117,"Sprint_30m",Versuchsdaten!$O$2:$O$1117,1)=0,"",_xlfn.MINIFS(Versuchsdaten!$F$2:$F$1117,Versuchsdaten!$A$2:$A$1117,$A18,Versuchsdaten!$B$2:$B$1117,"post",Versuchsdaten!$C$2:$C$1117,"Sprint_30m",Versuchsdaten!$O$2:$O$1117,1))</f>
        <v/>
      </c>
      <c r="T18" s="25">
        <f>IF(COUNTIFS(Versuchsdaten!$A$2:$A$1117,$A18,Versuchsdaten!$B$2:$B$1117,"prä",Versuchsdaten!$C$2:$C$1117,"COD_505",Versuchsdaten!$O$2:$O$1117,1,Versuchsdaten!$D$2:$D$1117,"L")=0,"",_xlfn.MINIFS(Versuchsdaten!$F$2:$F$1117,Versuchsdaten!$A$2:$A$1117,$A18,Versuchsdaten!$B$2:$B$1117,"prä",Versuchsdaten!$C$2:$C$1117,"COD_505",Versuchsdaten!$O$2:$O$1117,1,Versuchsdaten!$D$2:$D$1117,"L"))</f>
        <v/>
      </c>
      <c r="U18" s="25">
        <f>IF(COUNTIFS(Versuchsdaten!$A$2:$A$1117,$A18,Versuchsdaten!$B$2:$B$1117,"prä",Versuchsdaten!$C$2:$C$1117,"COD_505",Versuchsdaten!$O$2:$O$1117,1,Versuchsdaten!$D$2:$D$1117,"R")=0,"",_xlfn.MINIFS(Versuchsdaten!$F$2:$F$1117,Versuchsdaten!$A$2:$A$1117,$A18,Versuchsdaten!$B$2:$B$1117,"prä",Versuchsdaten!$C$2:$C$1117,"COD_505",Versuchsdaten!$O$2:$O$1117,1,Versuchsdaten!$D$2:$D$1117,"R"))</f>
        <v/>
      </c>
      <c r="V18" s="25">
        <f>IF(AND(ISNUMBER(T18),ISNUMBER(U18)),(T18+U18)/2,"")</f>
        <v/>
      </c>
      <c r="W18" s="25">
        <f>IF(COUNTIFS(Versuchsdaten!$A$2:$A$1117,$A18,Versuchsdaten!$B$2:$B$1117,"post",Versuchsdaten!$C$2:$C$1117,"COD_505",Versuchsdaten!$O$2:$O$1117,1,Versuchsdaten!$D$2:$D$1117,"L")=0,"",_xlfn.MINIFS(Versuchsdaten!$F$2:$F$1117,Versuchsdaten!$A$2:$A$1117,$A18,Versuchsdaten!$B$2:$B$1117,"post",Versuchsdaten!$C$2:$C$1117,"COD_505",Versuchsdaten!$O$2:$O$1117,1,Versuchsdaten!$D$2:$D$1117,"L"))</f>
        <v/>
      </c>
      <c r="X18" s="25">
        <f>IF(COUNTIFS(Versuchsdaten!$A$2:$A$1117,$A18,Versuchsdaten!$B$2:$B$1117,"post",Versuchsdaten!$C$2:$C$1117,"COD_505",Versuchsdaten!$O$2:$O$1117,1,Versuchsdaten!$D$2:$D$1117,"R")=0,"",_xlfn.MINIFS(Versuchsdaten!$F$2:$F$1117,Versuchsdaten!$A$2:$A$1117,$A18,Versuchsdaten!$B$2:$B$1117,"post",Versuchsdaten!$C$2:$C$1117,"COD_505",Versuchsdaten!$O$2:$O$1117,1,Versuchsdaten!$D$2:$D$1117,"R"))</f>
        <v/>
      </c>
      <c r="Y18" s="25">
        <f>IF(AND(ISNUMBER(W18),ISNUMBER(X18)),(W18+X18)/2,"")</f>
        <v/>
      </c>
      <c r="Z18" s="25">
        <f>IF(COUNTIFS(Versuchsdaten!$A$2:$A$1117,$A18,Versuchsdaten!$B$2:$B$1117,"prä",Versuchsdaten!$C$2:$C$1117,"Standweitsprung",Versuchsdaten!$O$2:$O$1117,1)=0,"",_xlfn.MAXIFS(Versuchsdaten!$F$2:$F$1117,Versuchsdaten!$A$2:$A$1117,$A18,Versuchsdaten!$B$2:$B$1117,"prä",Versuchsdaten!$C$2:$C$1117,"Standweitsprung",Versuchsdaten!$O$2:$O$1117,1))</f>
        <v/>
      </c>
      <c r="AA18" s="25">
        <f>IF(COUNTIFS(Versuchsdaten!$A$2:$A$1117,$A18,Versuchsdaten!$B$2:$B$1117,"post",Versuchsdaten!$C$2:$C$1117,"Standweitsprung",Versuchsdaten!$O$2:$O$1117,1)=0,"",_xlfn.MAXIFS(Versuchsdaten!$F$2:$F$1117,Versuchsdaten!$A$2:$A$1117,$A18,Versuchsdaten!$B$2:$B$1117,"post",Versuchsdaten!$C$2:$C$1117,"Standweitsprung",Versuchsdaten!$O$2:$O$1117,1))</f>
        <v/>
      </c>
      <c r="AB18" s="25">
        <f>IF(AND(ISNUMBER(Q18),ISNUMBER(S18),ISNUMBER(O18)),1,0)</f>
        <v/>
      </c>
      <c r="AC18" s="25">
        <f>IF(AND(ISNUMBER(V18),ISNUMBER(Y18),ISNUMBER(O18)),1,0)</f>
        <v/>
      </c>
      <c r="AD18" s="25">
        <f>IF(AND(ISNUMBER(Z18),ISNUMBER(AA18),ISNUMBER(O18)),1,0)</f>
        <v/>
      </c>
      <c r="AE18" s="25">
        <f>IF(D18=0,"",IF(COUNTIF(Zuordnung!$B$2:$B$23,$A18)=0,"",COUNTIFS(Fragebogen_A!$M$2:$M$112,$A18,Fragebogen_A!$F$2:$F$112,1)))</f>
        <v/>
      </c>
      <c r="AF18" s="25">
        <f>IF(AB18=1,COUNTIF($AB$4:AB18,1),"")</f>
        <v/>
      </c>
      <c r="AH18" s="25">
        <f>IF(AND(O18="",Analysedaten!E18=""),0,IF(OR(O18="",Analysedaten!E18=""),1,IF(ABS(O18-Analysedaten!E18)&lt;=0.000000001*MAX(1,ABS(Analysedaten!E18)),0,1)))</f>
        <v/>
      </c>
      <c r="AI18" s="25">
        <f>IF(AND(Q18="",Analysedaten!F18=""),0,IF(OR(Q18="",Analysedaten!F18=""),1,IF(ABS(Q18-Analysedaten!F18)&lt;=0.000000001*MAX(1,ABS(Analysedaten!F18)),0,1)))</f>
        <v/>
      </c>
      <c r="AJ18" s="25">
        <f>IF(AND(S18="",Analysedaten!G18=""),0,IF(OR(S18="",Analysedaten!G18=""),1,IF(ABS(S18-Analysedaten!G18)&lt;=0.000000001*MAX(1,ABS(Analysedaten!G18)),0,1)))</f>
        <v/>
      </c>
      <c r="AK18" s="25">
        <f>IF(AND(V18="",Analysedaten!H18=""),0,IF(OR(V18="",Analysedaten!H18=""),1,IF(ABS(V18-Analysedaten!H18)&lt;=0.000000001*MAX(1,ABS(Analysedaten!H18)),0,1)))</f>
        <v/>
      </c>
      <c r="AL18" s="25">
        <f>IF(AND(Y18="",Analysedaten!I18=""),0,IF(OR(Y18="",Analysedaten!I18=""),1,IF(ABS(Y18-Analysedaten!I18)&lt;=0.000000001*MAX(1,ABS(Analysedaten!I18)),0,1)))</f>
        <v/>
      </c>
      <c r="AM18" s="25">
        <f>IF(AND(Z18="",Analysedaten!J18=""),0,IF(OR(Z18="",Analysedaten!J18=""),1,IF(ABS(Z18-Analysedaten!J18)&lt;=0.000000001*MAX(1,ABS(Analysedaten!J18)),0,1)))</f>
        <v/>
      </c>
      <c r="AN18" s="25">
        <f>IF(AND(AA18="",Analysedaten!K18=""),0,IF(OR(AA18="",Analysedaten!K18=""),1,IF(ABS(AA18-Analysedaten!K18)&lt;=0.000000001*MAX(1,ABS(Analysedaten!K18)),0,1)))</f>
        <v/>
      </c>
      <c r="AO18" s="25">
        <f>IF(AND(AB18="",Analysedaten!L18=""),0,IF(OR(AB18="",Analysedaten!L18=""),1,IF(ABS(AB18-Analysedaten!L18)&lt;=0.000000001*MAX(1,ABS(Analysedaten!L18)),0,1)))</f>
        <v/>
      </c>
      <c r="AP18" s="25">
        <f>IF(AND(AC18="",Analysedaten!M18=""),0,IF(OR(AC18="",Analysedaten!M18=""),1,IF(ABS(AC18-Analysedaten!M18)&lt;=0.000000001*MAX(1,ABS(Analysedaten!M18)),0,1)))</f>
        <v/>
      </c>
      <c r="AQ18" s="25">
        <f>IF(AND(AD18="",Analysedaten!N18=""),0,IF(OR(AD18="",Analysedaten!N18=""),1,IF(ABS(AD18-Analysedaten!N18)&lt;=0.000000001*MAX(1,ABS(Analysedaten!N18)),0,1)))</f>
        <v/>
      </c>
      <c r="AR18" s="25">
        <f>IF(AND(AE18="",Analysedaten!O18=""),0,IF(OR(AE18="",Analysedaten!O18=""),1,IF(ABS(AE18-Analysedaten!O18)&lt;=0.000000001*MAX(1,ABS(Analysedaten!O18)),0,1)))</f>
        <v/>
      </c>
      <c r="AS18" s="25">
        <f>SUM(AH18:AR18)</f>
        <v/>
      </c>
    </row>
    <row r="19">
      <c r="A19" s="5" t="inlineStr">
        <is>
          <t>HL-06</t>
        </is>
      </c>
      <c r="B19" s="5" t="inlineStr">
        <is>
          <t>IG</t>
        </is>
      </c>
      <c r="C19" s="5" t="inlineStr">
        <is>
          <t>A</t>
        </is>
      </c>
      <c r="D19" s="5" t="n">
        <v>1</v>
      </c>
      <c r="E19" s="25">
        <f>IF(ISNUMBER(INDEX(Personendaten!$E$2:$E$32,MATCH($A19,Personendaten!$A$2:$A$32,0))),INDEX(Personendaten!$E$2:$E$32,MATCH($A19,Personendaten!$A$2:$A$32,0))/2.54,"")</f>
        <v/>
      </c>
      <c r="F19" s="25">
        <f>IF(ISNUMBER(INDEX(Personendaten!$F$2:$F$32,MATCH($A19,Personendaten!$A$2:$A$32,0))),INDEX(Personendaten!$F$2:$F$32,MATCH($A19,Personendaten!$A$2:$A$32,0))/0.45359237,"")</f>
        <v/>
      </c>
      <c r="G19" s="25">
        <f>IF(AND(ISNUMBER(INDEX(Personendaten!$G$2:$G$32,MATCH($A19,Personendaten!$A$2:$A$32,0))),ISNUMBER(INDEX(Personendaten!$H$2:$H$32,MATCH($A19,Personendaten!$A$2:$A$32,0)))),(INDEX(Personendaten!$G$2:$G$32,MATCH($A19,Personendaten!$A$2:$A$32,0))/2.54+INDEX(Personendaten!$H$2:$H$32,MATCH($A19,Personendaten!$A$2:$A$32,0))/2.54)/2,"")</f>
        <v/>
      </c>
      <c r="H19" s="25">
        <f>INT(2*INDEX(Personendaten!$D$2:$D$32,MATCH($A19,Personendaten!$A$2:$A$32,0)))/2</f>
        <v/>
      </c>
      <c r="I19" s="25">
        <f>(INDEX(Personendaten!$D$2:$D$32,MATCH($A19,Personendaten!$A$2:$A$32,0))-H19)/0.5</f>
        <v/>
      </c>
      <c r="J19" s="25">
        <f>IF($I19=0,INDEX(Koeffizienten_KR!$B$2:$B$29,MATCH($H19,Koeffizienten_KR!$A$2:$A$29,0)),(1-$I19)*INDEX(Koeffizienten_KR!$B$2:$B$29,MATCH($H19,Koeffizienten_KR!$A$2:$A$29,0))+$I19*INDEX(Koeffizienten_KR!$B$2:$B$29,MATCH($H19+0.5,Koeffizienten_KR!$A$2:$A$29,0)))</f>
        <v/>
      </c>
      <c r="K19" s="25">
        <f>IF($I19=0,INDEX(Koeffizienten_KR!$C$2:$C$29,MATCH($H19,Koeffizienten_KR!$A$2:$A$29,0)),(1-$I19)*INDEX(Koeffizienten_KR!$C$2:$C$29,MATCH($H19,Koeffizienten_KR!$A$2:$A$29,0))+$I19*INDEX(Koeffizienten_KR!$C$2:$C$29,MATCH($H19+0.5,Koeffizienten_KR!$A$2:$A$29,0)))</f>
        <v/>
      </c>
      <c r="L19" s="25">
        <f>IF($I19=0,INDEX(Koeffizienten_KR!$D$2:$D$29,MATCH($H19,Koeffizienten_KR!$A$2:$A$29,0)),(1-$I19)*INDEX(Koeffizienten_KR!$D$2:$D$29,MATCH($H19,Koeffizienten_KR!$A$2:$A$29,0))+$I19*INDEX(Koeffizienten_KR!$D$2:$D$29,MATCH($H19+0.5,Koeffizienten_KR!$A$2:$A$29,0)))</f>
        <v/>
      </c>
      <c r="M19" s="25">
        <f>IF($I19=0,INDEX(Koeffizienten_KR!$E$2:$E$29,MATCH($H19,Koeffizienten_KR!$A$2:$A$29,0)),(1-$I19)*INDEX(Koeffizienten_KR!$E$2:$E$29,MATCH($H19,Koeffizienten_KR!$A$2:$A$29,0))+$I19*INDEX(Koeffizienten_KR!$E$2:$E$29,MATCH($H19+0.5,Koeffizienten_KR!$A$2:$A$29,0)))</f>
        <v/>
      </c>
      <c r="N19" s="25">
        <f>IF(AND(ISNUMBER(E19),ISNUMBER(F19),ISNUMBER(G19),INDEX(Personendaten!$D$2:$D$32,MATCH($A19,Personendaten!$A$2:$A$32,0))&gt;=4,INDEX(Personendaten!$D$2:$D$32,MATCH($A19,Personendaten!$A$2:$A$32,0))&lt;=17.5),J19+K19*E19+L19*F19+M19*G19,"")</f>
        <v/>
      </c>
      <c r="O19" s="25">
        <f>IF(ISNUMBER(N19),100*E19/N19,"")</f>
        <v/>
      </c>
      <c r="P19" s="25">
        <f>COUNTIFS(Versuchsdaten!$A$2:$A$1117,$A19,Versuchsdaten!$B$2:$B$1117,"prä",Versuchsdaten!$C$2:$C$1117,"Sprint_30m",Versuchsdaten!$O$2:$O$1117,1)</f>
        <v/>
      </c>
      <c r="Q19" s="25">
        <f>IF(COUNTIFS(Versuchsdaten!$A$2:$A$1117,$A19,Versuchsdaten!$B$2:$B$1117,"prä",Versuchsdaten!$C$2:$C$1117,"Sprint_30m",Versuchsdaten!$O$2:$O$1117,1)=0,"",_xlfn.MINIFS(Versuchsdaten!$F$2:$F$1117,Versuchsdaten!$A$2:$A$1117,$A19,Versuchsdaten!$B$2:$B$1117,"prä",Versuchsdaten!$C$2:$C$1117,"Sprint_30m",Versuchsdaten!$O$2:$O$1117,1))</f>
        <v/>
      </c>
      <c r="R19" s="25">
        <f>COUNTIFS(Versuchsdaten!$A$2:$A$1117,$A19,Versuchsdaten!$B$2:$B$1117,"post",Versuchsdaten!$C$2:$C$1117,"Sprint_30m",Versuchsdaten!$O$2:$O$1117,1)</f>
        <v/>
      </c>
      <c r="S19" s="25">
        <f>IF(COUNTIFS(Versuchsdaten!$A$2:$A$1117,$A19,Versuchsdaten!$B$2:$B$1117,"post",Versuchsdaten!$C$2:$C$1117,"Sprint_30m",Versuchsdaten!$O$2:$O$1117,1)=0,"",_xlfn.MINIFS(Versuchsdaten!$F$2:$F$1117,Versuchsdaten!$A$2:$A$1117,$A19,Versuchsdaten!$B$2:$B$1117,"post",Versuchsdaten!$C$2:$C$1117,"Sprint_30m",Versuchsdaten!$O$2:$O$1117,1))</f>
        <v/>
      </c>
      <c r="T19" s="25">
        <f>IF(COUNTIFS(Versuchsdaten!$A$2:$A$1117,$A19,Versuchsdaten!$B$2:$B$1117,"prä",Versuchsdaten!$C$2:$C$1117,"COD_505",Versuchsdaten!$O$2:$O$1117,1,Versuchsdaten!$D$2:$D$1117,"L")=0,"",_xlfn.MINIFS(Versuchsdaten!$F$2:$F$1117,Versuchsdaten!$A$2:$A$1117,$A19,Versuchsdaten!$B$2:$B$1117,"prä",Versuchsdaten!$C$2:$C$1117,"COD_505",Versuchsdaten!$O$2:$O$1117,1,Versuchsdaten!$D$2:$D$1117,"L"))</f>
        <v/>
      </c>
      <c r="U19" s="25">
        <f>IF(COUNTIFS(Versuchsdaten!$A$2:$A$1117,$A19,Versuchsdaten!$B$2:$B$1117,"prä",Versuchsdaten!$C$2:$C$1117,"COD_505",Versuchsdaten!$O$2:$O$1117,1,Versuchsdaten!$D$2:$D$1117,"R")=0,"",_xlfn.MINIFS(Versuchsdaten!$F$2:$F$1117,Versuchsdaten!$A$2:$A$1117,$A19,Versuchsdaten!$B$2:$B$1117,"prä",Versuchsdaten!$C$2:$C$1117,"COD_505",Versuchsdaten!$O$2:$O$1117,1,Versuchsdaten!$D$2:$D$1117,"R"))</f>
        <v/>
      </c>
      <c r="V19" s="25">
        <f>IF(AND(ISNUMBER(T19),ISNUMBER(U19)),(T19+U19)/2,"")</f>
        <v/>
      </c>
      <c r="W19" s="25">
        <f>IF(COUNTIFS(Versuchsdaten!$A$2:$A$1117,$A19,Versuchsdaten!$B$2:$B$1117,"post",Versuchsdaten!$C$2:$C$1117,"COD_505",Versuchsdaten!$O$2:$O$1117,1,Versuchsdaten!$D$2:$D$1117,"L")=0,"",_xlfn.MINIFS(Versuchsdaten!$F$2:$F$1117,Versuchsdaten!$A$2:$A$1117,$A19,Versuchsdaten!$B$2:$B$1117,"post",Versuchsdaten!$C$2:$C$1117,"COD_505",Versuchsdaten!$O$2:$O$1117,1,Versuchsdaten!$D$2:$D$1117,"L"))</f>
        <v/>
      </c>
      <c r="X19" s="25">
        <f>IF(COUNTIFS(Versuchsdaten!$A$2:$A$1117,$A19,Versuchsdaten!$B$2:$B$1117,"post",Versuchsdaten!$C$2:$C$1117,"COD_505",Versuchsdaten!$O$2:$O$1117,1,Versuchsdaten!$D$2:$D$1117,"R")=0,"",_xlfn.MINIFS(Versuchsdaten!$F$2:$F$1117,Versuchsdaten!$A$2:$A$1117,$A19,Versuchsdaten!$B$2:$B$1117,"post",Versuchsdaten!$C$2:$C$1117,"COD_505",Versuchsdaten!$O$2:$O$1117,1,Versuchsdaten!$D$2:$D$1117,"R"))</f>
        <v/>
      </c>
      <c r="Y19" s="25">
        <f>IF(AND(ISNUMBER(W19),ISNUMBER(X19)),(W19+X19)/2,"")</f>
        <v/>
      </c>
      <c r="Z19" s="25">
        <f>IF(COUNTIFS(Versuchsdaten!$A$2:$A$1117,$A19,Versuchsdaten!$B$2:$B$1117,"prä",Versuchsdaten!$C$2:$C$1117,"Standweitsprung",Versuchsdaten!$O$2:$O$1117,1)=0,"",_xlfn.MAXIFS(Versuchsdaten!$F$2:$F$1117,Versuchsdaten!$A$2:$A$1117,$A19,Versuchsdaten!$B$2:$B$1117,"prä",Versuchsdaten!$C$2:$C$1117,"Standweitsprung",Versuchsdaten!$O$2:$O$1117,1))</f>
        <v/>
      </c>
      <c r="AA19" s="25">
        <f>IF(COUNTIFS(Versuchsdaten!$A$2:$A$1117,$A19,Versuchsdaten!$B$2:$B$1117,"post",Versuchsdaten!$C$2:$C$1117,"Standweitsprung",Versuchsdaten!$O$2:$O$1117,1)=0,"",_xlfn.MAXIFS(Versuchsdaten!$F$2:$F$1117,Versuchsdaten!$A$2:$A$1117,$A19,Versuchsdaten!$B$2:$B$1117,"post",Versuchsdaten!$C$2:$C$1117,"Standweitsprung",Versuchsdaten!$O$2:$O$1117,1))</f>
        <v/>
      </c>
      <c r="AB19" s="25">
        <f>IF(AND(ISNUMBER(Q19),ISNUMBER(S19),ISNUMBER(O19)),1,0)</f>
        <v/>
      </c>
      <c r="AC19" s="25">
        <f>IF(AND(ISNUMBER(V19),ISNUMBER(Y19),ISNUMBER(O19)),1,0)</f>
        <v/>
      </c>
      <c r="AD19" s="25">
        <f>IF(AND(ISNUMBER(Z19),ISNUMBER(AA19),ISNUMBER(O19)),1,0)</f>
        <v/>
      </c>
      <c r="AE19" s="25">
        <f>IF(D19=0,"",IF(COUNTIF(Zuordnung!$B$2:$B$23,$A19)=0,"",COUNTIFS(Fragebogen_A!$M$2:$M$112,$A19,Fragebogen_A!$F$2:$F$112,1)))</f>
        <v/>
      </c>
      <c r="AF19" s="25">
        <f>IF(AB19=1,COUNTIF($AB$4:AB19,1),"")</f>
        <v/>
      </c>
      <c r="AH19" s="25">
        <f>IF(AND(O19="",Analysedaten!E19=""),0,IF(OR(O19="",Analysedaten!E19=""),1,IF(ABS(O19-Analysedaten!E19)&lt;=0.000000001*MAX(1,ABS(Analysedaten!E19)),0,1)))</f>
        <v/>
      </c>
      <c r="AI19" s="25">
        <f>IF(AND(Q19="",Analysedaten!F19=""),0,IF(OR(Q19="",Analysedaten!F19=""),1,IF(ABS(Q19-Analysedaten!F19)&lt;=0.000000001*MAX(1,ABS(Analysedaten!F19)),0,1)))</f>
        <v/>
      </c>
      <c r="AJ19" s="25">
        <f>IF(AND(S19="",Analysedaten!G19=""),0,IF(OR(S19="",Analysedaten!G19=""),1,IF(ABS(S19-Analysedaten!G19)&lt;=0.000000001*MAX(1,ABS(Analysedaten!G19)),0,1)))</f>
        <v/>
      </c>
      <c r="AK19" s="25">
        <f>IF(AND(V19="",Analysedaten!H19=""),0,IF(OR(V19="",Analysedaten!H19=""),1,IF(ABS(V19-Analysedaten!H19)&lt;=0.000000001*MAX(1,ABS(Analysedaten!H19)),0,1)))</f>
        <v/>
      </c>
      <c r="AL19" s="25">
        <f>IF(AND(Y19="",Analysedaten!I19=""),0,IF(OR(Y19="",Analysedaten!I19=""),1,IF(ABS(Y19-Analysedaten!I19)&lt;=0.000000001*MAX(1,ABS(Analysedaten!I19)),0,1)))</f>
        <v/>
      </c>
      <c r="AM19" s="25">
        <f>IF(AND(Z19="",Analysedaten!J19=""),0,IF(OR(Z19="",Analysedaten!J19=""),1,IF(ABS(Z19-Analysedaten!J19)&lt;=0.000000001*MAX(1,ABS(Analysedaten!J19)),0,1)))</f>
        <v/>
      </c>
      <c r="AN19" s="25">
        <f>IF(AND(AA19="",Analysedaten!K19=""),0,IF(OR(AA19="",Analysedaten!K19=""),1,IF(ABS(AA19-Analysedaten!K19)&lt;=0.000000001*MAX(1,ABS(Analysedaten!K19)),0,1)))</f>
        <v/>
      </c>
      <c r="AO19" s="25">
        <f>IF(AND(AB19="",Analysedaten!L19=""),0,IF(OR(AB19="",Analysedaten!L19=""),1,IF(ABS(AB19-Analysedaten!L19)&lt;=0.000000001*MAX(1,ABS(Analysedaten!L19)),0,1)))</f>
        <v/>
      </c>
      <c r="AP19" s="25">
        <f>IF(AND(AC19="",Analysedaten!M19=""),0,IF(OR(AC19="",Analysedaten!M19=""),1,IF(ABS(AC19-Analysedaten!M19)&lt;=0.000000001*MAX(1,ABS(Analysedaten!M19)),0,1)))</f>
        <v/>
      </c>
      <c r="AQ19" s="25">
        <f>IF(AND(AD19="",Analysedaten!N19=""),0,IF(OR(AD19="",Analysedaten!N19=""),1,IF(ABS(AD19-Analysedaten!N19)&lt;=0.000000001*MAX(1,ABS(Analysedaten!N19)),0,1)))</f>
        <v/>
      </c>
      <c r="AR19" s="25">
        <f>IF(AND(AE19="",Analysedaten!O19=""),0,IF(OR(AE19="",Analysedaten!O19=""),1,IF(ABS(AE19-Analysedaten!O19)&lt;=0.000000001*MAX(1,ABS(Analysedaten!O19)),0,1)))</f>
        <v/>
      </c>
      <c r="AS19" s="25">
        <f>SUM(AH19:AR19)</f>
        <v/>
      </c>
    </row>
    <row r="20">
      <c r="A20" s="5" t="inlineStr">
        <is>
          <t>HL-07</t>
        </is>
      </c>
      <c r="B20" s="5" t="inlineStr">
        <is>
          <t>IG</t>
        </is>
      </c>
      <c r="C20" s="5" t="inlineStr">
        <is>
          <t>A</t>
        </is>
      </c>
      <c r="D20" s="5" t="n">
        <v>1</v>
      </c>
      <c r="E20" s="25">
        <f>IF(ISNUMBER(INDEX(Personendaten!$E$2:$E$32,MATCH($A20,Personendaten!$A$2:$A$32,0))),INDEX(Personendaten!$E$2:$E$32,MATCH($A20,Personendaten!$A$2:$A$32,0))/2.54,"")</f>
        <v/>
      </c>
      <c r="F20" s="25">
        <f>IF(ISNUMBER(INDEX(Personendaten!$F$2:$F$32,MATCH($A20,Personendaten!$A$2:$A$32,0))),INDEX(Personendaten!$F$2:$F$32,MATCH($A20,Personendaten!$A$2:$A$32,0))/0.45359237,"")</f>
        <v/>
      </c>
      <c r="G20" s="25">
        <f>IF(AND(ISNUMBER(INDEX(Personendaten!$G$2:$G$32,MATCH($A20,Personendaten!$A$2:$A$32,0))),ISNUMBER(INDEX(Personendaten!$H$2:$H$32,MATCH($A20,Personendaten!$A$2:$A$32,0)))),(INDEX(Personendaten!$G$2:$G$32,MATCH($A20,Personendaten!$A$2:$A$32,0))/2.54+INDEX(Personendaten!$H$2:$H$32,MATCH($A20,Personendaten!$A$2:$A$32,0))/2.54)/2,"")</f>
        <v/>
      </c>
      <c r="H20" s="25">
        <f>INT(2*INDEX(Personendaten!$D$2:$D$32,MATCH($A20,Personendaten!$A$2:$A$32,0)))/2</f>
        <v/>
      </c>
      <c r="I20" s="25">
        <f>(INDEX(Personendaten!$D$2:$D$32,MATCH($A20,Personendaten!$A$2:$A$32,0))-H20)/0.5</f>
        <v/>
      </c>
      <c r="J20" s="25">
        <f>IF($I20=0,INDEX(Koeffizienten_KR!$B$2:$B$29,MATCH($H20,Koeffizienten_KR!$A$2:$A$29,0)),(1-$I20)*INDEX(Koeffizienten_KR!$B$2:$B$29,MATCH($H20,Koeffizienten_KR!$A$2:$A$29,0))+$I20*INDEX(Koeffizienten_KR!$B$2:$B$29,MATCH($H20+0.5,Koeffizienten_KR!$A$2:$A$29,0)))</f>
        <v/>
      </c>
      <c r="K20" s="25">
        <f>IF($I20=0,INDEX(Koeffizienten_KR!$C$2:$C$29,MATCH($H20,Koeffizienten_KR!$A$2:$A$29,0)),(1-$I20)*INDEX(Koeffizienten_KR!$C$2:$C$29,MATCH($H20,Koeffizienten_KR!$A$2:$A$29,0))+$I20*INDEX(Koeffizienten_KR!$C$2:$C$29,MATCH($H20+0.5,Koeffizienten_KR!$A$2:$A$29,0)))</f>
        <v/>
      </c>
      <c r="L20" s="25">
        <f>IF($I20=0,INDEX(Koeffizienten_KR!$D$2:$D$29,MATCH($H20,Koeffizienten_KR!$A$2:$A$29,0)),(1-$I20)*INDEX(Koeffizienten_KR!$D$2:$D$29,MATCH($H20,Koeffizienten_KR!$A$2:$A$29,0))+$I20*INDEX(Koeffizienten_KR!$D$2:$D$29,MATCH($H20+0.5,Koeffizienten_KR!$A$2:$A$29,0)))</f>
        <v/>
      </c>
      <c r="M20" s="25">
        <f>IF($I20=0,INDEX(Koeffizienten_KR!$E$2:$E$29,MATCH($H20,Koeffizienten_KR!$A$2:$A$29,0)),(1-$I20)*INDEX(Koeffizienten_KR!$E$2:$E$29,MATCH($H20,Koeffizienten_KR!$A$2:$A$29,0))+$I20*INDEX(Koeffizienten_KR!$E$2:$E$29,MATCH($H20+0.5,Koeffizienten_KR!$A$2:$A$29,0)))</f>
        <v/>
      </c>
      <c r="N20" s="25">
        <f>IF(AND(ISNUMBER(E20),ISNUMBER(F20),ISNUMBER(G20),INDEX(Personendaten!$D$2:$D$32,MATCH($A20,Personendaten!$A$2:$A$32,0))&gt;=4,INDEX(Personendaten!$D$2:$D$32,MATCH($A20,Personendaten!$A$2:$A$32,0))&lt;=17.5),J20+K20*E20+L20*F20+M20*G20,"")</f>
        <v/>
      </c>
      <c r="O20" s="25">
        <f>IF(ISNUMBER(N20),100*E20/N20,"")</f>
        <v/>
      </c>
      <c r="P20" s="25">
        <f>COUNTIFS(Versuchsdaten!$A$2:$A$1117,$A20,Versuchsdaten!$B$2:$B$1117,"prä",Versuchsdaten!$C$2:$C$1117,"Sprint_30m",Versuchsdaten!$O$2:$O$1117,1)</f>
        <v/>
      </c>
      <c r="Q20" s="25">
        <f>IF(COUNTIFS(Versuchsdaten!$A$2:$A$1117,$A20,Versuchsdaten!$B$2:$B$1117,"prä",Versuchsdaten!$C$2:$C$1117,"Sprint_30m",Versuchsdaten!$O$2:$O$1117,1)=0,"",_xlfn.MINIFS(Versuchsdaten!$F$2:$F$1117,Versuchsdaten!$A$2:$A$1117,$A20,Versuchsdaten!$B$2:$B$1117,"prä",Versuchsdaten!$C$2:$C$1117,"Sprint_30m",Versuchsdaten!$O$2:$O$1117,1))</f>
        <v/>
      </c>
      <c r="R20" s="25">
        <f>COUNTIFS(Versuchsdaten!$A$2:$A$1117,$A20,Versuchsdaten!$B$2:$B$1117,"post",Versuchsdaten!$C$2:$C$1117,"Sprint_30m",Versuchsdaten!$O$2:$O$1117,1)</f>
        <v/>
      </c>
      <c r="S20" s="25">
        <f>IF(COUNTIFS(Versuchsdaten!$A$2:$A$1117,$A20,Versuchsdaten!$B$2:$B$1117,"post",Versuchsdaten!$C$2:$C$1117,"Sprint_30m",Versuchsdaten!$O$2:$O$1117,1)=0,"",_xlfn.MINIFS(Versuchsdaten!$F$2:$F$1117,Versuchsdaten!$A$2:$A$1117,$A20,Versuchsdaten!$B$2:$B$1117,"post",Versuchsdaten!$C$2:$C$1117,"Sprint_30m",Versuchsdaten!$O$2:$O$1117,1))</f>
        <v/>
      </c>
      <c r="T20" s="25">
        <f>IF(COUNTIFS(Versuchsdaten!$A$2:$A$1117,$A20,Versuchsdaten!$B$2:$B$1117,"prä",Versuchsdaten!$C$2:$C$1117,"COD_505",Versuchsdaten!$O$2:$O$1117,1,Versuchsdaten!$D$2:$D$1117,"L")=0,"",_xlfn.MINIFS(Versuchsdaten!$F$2:$F$1117,Versuchsdaten!$A$2:$A$1117,$A20,Versuchsdaten!$B$2:$B$1117,"prä",Versuchsdaten!$C$2:$C$1117,"COD_505",Versuchsdaten!$O$2:$O$1117,1,Versuchsdaten!$D$2:$D$1117,"L"))</f>
        <v/>
      </c>
      <c r="U20" s="25">
        <f>IF(COUNTIFS(Versuchsdaten!$A$2:$A$1117,$A20,Versuchsdaten!$B$2:$B$1117,"prä",Versuchsdaten!$C$2:$C$1117,"COD_505",Versuchsdaten!$O$2:$O$1117,1,Versuchsdaten!$D$2:$D$1117,"R")=0,"",_xlfn.MINIFS(Versuchsdaten!$F$2:$F$1117,Versuchsdaten!$A$2:$A$1117,$A20,Versuchsdaten!$B$2:$B$1117,"prä",Versuchsdaten!$C$2:$C$1117,"COD_505",Versuchsdaten!$O$2:$O$1117,1,Versuchsdaten!$D$2:$D$1117,"R"))</f>
        <v/>
      </c>
      <c r="V20" s="25">
        <f>IF(AND(ISNUMBER(T20),ISNUMBER(U20)),(T20+U20)/2,"")</f>
        <v/>
      </c>
      <c r="W20" s="25">
        <f>IF(COUNTIFS(Versuchsdaten!$A$2:$A$1117,$A20,Versuchsdaten!$B$2:$B$1117,"post",Versuchsdaten!$C$2:$C$1117,"COD_505",Versuchsdaten!$O$2:$O$1117,1,Versuchsdaten!$D$2:$D$1117,"L")=0,"",_xlfn.MINIFS(Versuchsdaten!$F$2:$F$1117,Versuchsdaten!$A$2:$A$1117,$A20,Versuchsdaten!$B$2:$B$1117,"post",Versuchsdaten!$C$2:$C$1117,"COD_505",Versuchsdaten!$O$2:$O$1117,1,Versuchsdaten!$D$2:$D$1117,"L"))</f>
        <v/>
      </c>
      <c r="X20" s="25">
        <f>IF(COUNTIFS(Versuchsdaten!$A$2:$A$1117,$A20,Versuchsdaten!$B$2:$B$1117,"post",Versuchsdaten!$C$2:$C$1117,"COD_505",Versuchsdaten!$O$2:$O$1117,1,Versuchsdaten!$D$2:$D$1117,"R")=0,"",_xlfn.MINIFS(Versuchsdaten!$F$2:$F$1117,Versuchsdaten!$A$2:$A$1117,$A20,Versuchsdaten!$B$2:$B$1117,"post",Versuchsdaten!$C$2:$C$1117,"COD_505",Versuchsdaten!$O$2:$O$1117,1,Versuchsdaten!$D$2:$D$1117,"R"))</f>
        <v/>
      </c>
      <c r="Y20" s="25">
        <f>IF(AND(ISNUMBER(W20),ISNUMBER(X20)),(W20+X20)/2,"")</f>
        <v/>
      </c>
      <c r="Z20" s="25">
        <f>IF(COUNTIFS(Versuchsdaten!$A$2:$A$1117,$A20,Versuchsdaten!$B$2:$B$1117,"prä",Versuchsdaten!$C$2:$C$1117,"Standweitsprung",Versuchsdaten!$O$2:$O$1117,1)=0,"",_xlfn.MAXIFS(Versuchsdaten!$F$2:$F$1117,Versuchsdaten!$A$2:$A$1117,$A20,Versuchsdaten!$B$2:$B$1117,"prä",Versuchsdaten!$C$2:$C$1117,"Standweitsprung",Versuchsdaten!$O$2:$O$1117,1))</f>
        <v/>
      </c>
      <c r="AA20" s="25">
        <f>IF(COUNTIFS(Versuchsdaten!$A$2:$A$1117,$A20,Versuchsdaten!$B$2:$B$1117,"post",Versuchsdaten!$C$2:$C$1117,"Standweitsprung",Versuchsdaten!$O$2:$O$1117,1)=0,"",_xlfn.MAXIFS(Versuchsdaten!$F$2:$F$1117,Versuchsdaten!$A$2:$A$1117,$A20,Versuchsdaten!$B$2:$B$1117,"post",Versuchsdaten!$C$2:$C$1117,"Standweitsprung",Versuchsdaten!$O$2:$O$1117,1))</f>
        <v/>
      </c>
      <c r="AB20" s="25">
        <f>IF(AND(ISNUMBER(Q20),ISNUMBER(S20),ISNUMBER(O20)),1,0)</f>
        <v/>
      </c>
      <c r="AC20" s="25">
        <f>IF(AND(ISNUMBER(V20),ISNUMBER(Y20),ISNUMBER(O20)),1,0)</f>
        <v/>
      </c>
      <c r="AD20" s="25">
        <f>IF(AND(ISNUMBER(Z20),ISNUMBER(AA20),ISNUMBER(O20)),1,0)</f>
        <v/>
      </c>
      <c r="AE20" s="25">
        <f>IF(D20=0,"",IF(COUNTIF(Zuordnung!$B$2:$B$23,$A20)=0,"",COUNTIFS(Fragebogen_A!$M$2:$M$112,$A20,Fragebogen_A!$F$2:$F$112,1)))</f>
        <v/>
      </c>
      <c r="AF20" s="25">
        <f>IF(AB20=1,COUNTIF($AB$4:AB20,1),"")</f>
        <v/>
      </c>
      <c r="AH20" s="25">
        <f>IF(AND(O20="",Analysedaten!E20=""),0,IF(OR(O20="",Analysedaten!E20=""),1,IF(ABS(O20-Analysedaten!E20)&lt;=0.000000001*MAX(1,ABS(Analysedaten!E20)),0,1)))</f>
        <v/>
      </c>
      <c r="AI20" s="25">
        <f>IF(AND(Q20="",Analysedaten!F20=""),0,IF(OR(Q20="",Analysedaten!F20=""),1,IF(ABS(Q20-Analysedaten!F20)&lt;=0.000000001*MAX(1,ABS(Analysedaten!F20)),0,1)))</f>
        <v/>
      </c>
      <c r="AJ20" s="25">
        <f>IF(AND(S20="",Analysedaten!G20=""),0,IF(OR(S20="",Analysedaten!G20=""),1,IF(ABS(S20-Analysedaten!G20)&lt;=0.000000001*MAX(1,ABS(Analysedaten!G20)),0,1)))</f>
        <v/>
      </c>
      <c r="AK20" s="25">
        <f>IF(AND(V20="",Analysedaten!H20=""),0,IF(OR(V20="",Analysedaten!H20=""),1,IF(ABS(V20-Analysedaten!H20)&lt;=0.000000001*MAX(1,ABS(Analysedaten!H20)),0,1)))</f>
        <v/>
      </c>
      <c r="AL20" s="25">
        <f>IF(AND(Y20="",Analysedaten!I20=""),0,IF(OR(Y20="",Analysedaten!I20=""),1,IF(ABS(Y20-Analysedaten!I20)&lt;=0.000000001*MAX(1,ABS(Analysedaten!I20)),0,1)))</f>
        <v/>
      </c>
      <c r="AM20" s="25">
        <f>IF(AND(Z20="",Analysedaten!J20=""),0,IF(OR(Z20="",Analysedaten!J20=""),1,IF(ABS(Z20-Analysedaten!J20)&lt;=0.000000001*MAX(1,ABS(Analysedaten!J20)),0,1)))</f>
        <v/>
      </c>
      <c r="AN20" s="25">
        <f>IF(AND(AA20="",Analysedaten!K20=""),0,IF(OR(AA20="",Analysedaten!K20=""),1,IF(ABS(AA20-Analysedaten!K20)&lt;=0.000000001*MAX(1,ABS(Analysedaten!K20)),0,1)))</f>
        <v/>
      </c>
      <c r="AO20" s="25">
        <f>IF(AND(AB20="",Analysedaten!L20=""),0,IF(OR(AB20="",Analysedaten!L20=""),1,IF(ABS(AB20-Analysedaten!L20)&lt;=0.000000001*MAX(1,ABS(Analysedaten!L20)),0,1)))</f>
        <v/>
      </c>
      <c r="AP20" s="25">
        <f>IF(AND(AC20="",Analysedaten!M20=""),0,IF(OR(AC20="",Analysedaten!M20=""),1,IF(ABS(AC20-Analysedaten!M20)&lt;=0.000000001*MAX(1,ABS(Analysedaten!M20)),0,1)))</f>
        <v/>
      </c>
      <c r="AQ20" s="25">
        <f>IF(AND(AD20="",Analysedaten!N20=""),0,IF(OR(AD20="",Analysedaten!N20=""),1,IF(ABS(AD20-Analysedaten!N20)&lt;=0.000000001*MAX(1,ABS(Analysedaten!N20)),0,1)))</f>
        <v/>
      </c>
      <c r="AR20" s="25">
        <f>IF(AND(AE20="",Analysedaten!O20=""),0,IF(OR(AE20="",Analysedaten!O20=""),1,IF(ABS(AE20-Analysedaten!O20)&lt;=0.000000001*MAX(1,ABS(Analysedaten!O20)),0,1)))</f>
        <v/>
      </c>
      <c r="AS20" s="25">
        <f>SUM(AH20:AR20)</f>
        <v/>
      </c>
    </row>
    <row r="21">
      <c r="A21" s="5" t="inlineStr">
        <is>
          <t>HL-08</t>
        </is>
      </c>
      <c r="B21" s="5" t="inlineStr">
        <is>
          <t>IG</t>
        </is>
      </c>
      <c r="C21" s="5" t="inlineStr">
        <is>
          <t>A</t>
        </is>
      </c>
      <c r="D21" s="5" t="n">
        <v>1</v>
      </c>
      <c r="E21" s="25">
        <f>IF(ISNUMBER(INDEX(Personendaten!$E$2:$E$32,MATCH($A21,Personendaten!$A$2:$A$32,0))),INDEX(Personendaten!$E$2:$E$32,MATCH($A21,Personendaten!$A$2:$A$32,0))/2.54,"")</f>
        <v/>
      </c>
      <c r="F21" s="25">
        <f>IF(ISNUMBER(INDEX(Personendaten!$F$2:$F$32,MATCH($A21,Personendaten!$A$2:$A$32,0))),INDEX(Personendaten!$F$2:$F$32,MATCH($A21,Personendaten!$A$2:$A$32,0))/0.45359237,"")</f>
        <v/>
      </c>
      <c r="G21" s="25">
        <f>IF(AND(ISNUMBER(INDEX(Personendaten!$G$2:$G$32,MATCH($A21,Personendaten!$A$2:$A$32,0))),ISNUMBER(INDEX(Personendaten!$H$2:$H$32,MATCH($A21,Personendaten!$A$2:$A$32,0)))),(INDEX(Personendaten!$G$2:$G$32,MATCH($A21,Personendaten!$A$2:$A$32,0))/2.54+INDEX(Personendaten!$H$2:$H$32,MATCH($A21,Personendaten!$A$2:$A$32,0))/2.54)/2,"")</f>
        <v/>
      </c>
      <c r="H21" s="25">
        <f>INT(2*INDEX(Personendaten!$D$2:$D$32,MATCH($A21,Personendaten!$A$2:$A$32,0)))/2</f>
        <v/>
      </c>
      <c r="I21" s="25">
        <f>(INDEX(Personendaten!$D$2:$D$32,MATCH($A21,Personendaten!$A$2:$A$32,0))-H21)/0.5</f>
        <v/>
      </c>
      <c r="J21" s="25">
        <f>IF($I21=0,INDEX(Koeffizienten_KR!$B$2:$B$29,MATCH($H21,Koeffizienten_KR!$A$2:$A$29,0)),(1-$I21)*INDEX(Koeffizienten_KR!$B$2:$B$29,MATCH($H21,Koeffizienten_KR!$A$2:$A$29,0))+$I21*INDEX(Koeffizienten_KR!$B$2:$B$29,MATCH($H21+0.5,Koeffizienten_KR!$A$2:$A$29,0)))</f>
        <v/>
      </c>
      <c r="K21" s="25">
        <f>IF($I21=0,INDEX(Koeffizienten_KR!$C$2:$C$29,MATCH($H21,Koeffizienten_KR!$A$2:$A$29,0)),(1-$I21)*INDEX(Koeffizienten_KR!$C$2:$C$29,MATCH($H21,Koeffizienten_KR!$A$2:$A$29,0))+$I21*INDEX(Koeffizienten_KR!$C$2:$C$29,MATCH($H21+0.5,Koeffizienten_KR!$A$2:$A$29,0)))</f>
        <v/>
      </c>
      <c r="L21" s="25">
        <f>IF($I21=0,INDEX(Koeffizienten_KR!$D$2:$D$29,MATCH($H21,Koeffizienten_KR!$A$2:$A$29,0)),(1-$I21)*INDEX(Koeffizienten_KR!$D$2:$D$29,MATCH($H21,Koeffizienten_KR!$A$2:$A$29,0))+$I21*INDEX(Koeffizienten_KR!$D$2:$D$29,MATCH($H21+0.5,Koeffizienten_KR!$A$2:$A$29,0)))</f>
        <v/>
      </c>
      <c r="M21" s="25">
        <f>IF($I21=0,INDEX(Koeffizienten_KR!$E$2:$E$29,MATCH($H21,Koeffizienten_KR!$A$2:$A$29,0)),(1-$I21)*INDEX(Koeffizienten_KR!$E$2:$E$29,MATCH($H21,Koeffizienten_KR!$A$2:$A$29,0))+$I21*INDEX(Koeffizienten_KR!$E$2:$E$29,MATCH($H21+0.5,Koeffizienten_KR!$A$2:$A$29,0)))</f>
        <v/>
      </c>
      <c r="N21" s="25">
        <f>IF(AND(ISNUMBER(E21),ISNUMBER(F21),ISNUMBER(G21),INDEX(Personendaten!$D$2:$D$32,MATCH($A21,Personendaten!$A$2:$A$32,0))&gt;=4,INDEX(Personendaten!$D$2:$D$32,MATCH($A21,Personendaten!$A$2:$A$32,0))&lt;=17.5),J21+K21*E21+L21*F21+M21*G21,"")</f>
        <v/>
      </c>
      <c r="O21" s="25">
        <f>IF(ISNUMBER(N21),100*E21/N21,"")</f>
        <v/>
      </c>
      <c r="P21" s="25">
        <f>COUNTIFS(Versuchsdaten!$A$2:$A$1117,$A21,Versuchsdaten!$B$2:$B$1117,"prä",Versuchsdaten!$C$2:$C$1117,"Sprint_30m",Versuchsdaten!$O$2:$O$1117,1)</f>
        <v/>
      </c>
      <c r="Q21" s="25">
        <f>IF(COUNTIFS(Versuchsdaten!$A$2:$A$1117,$A21,Versuchsdaten!$B$2:$B$1117,"prä",Versuchsdaten!$C$2:$C$1117,"Sprint_30m",Versuchsdaten!$O$2:$O$1117,1)=0,"",_xlfn.MINIFS(Versuchsdaten!$F$2:$F$1117,Versuchsdaten!$A$2:$A$1117,$A21,Versuchsdaten!$B$2:$B$1117,"prä",Versuchsdaten!$C$2:$C$1117,"Sprint_30m",Versuchsdaten!$O$2:$O$1117,1))</f>
        <v/>
      </c>
      <c r="R21" s="25">
        <f>COUNTIFS(Versuchsdaten!$A$2:$A$1117,$A21,Versuchsdaten!$B$2:$B$1117,"post",Versuchsdaten!$C$2:$C$1117,"Sprint_30m",Versuchsdaten!$O$2:$O$1117,1)</f>
        <v/>
      </c>
      <c r="S21" s="25">
        <f>IF(COUNTIFS(Versuchsdaten!$A$2:$A$1117,$A21,Versuchsdaten!$B$2:$B$1117,"post",Versuchsdaten!$C$2:$C$1117,"Sprint_30m",Versuchsdaten!$O$2:$O$1117,1)=0,"",_xlfn.MINIFS(Versuchsdaten!$F$2:$F$1117,Versuchsdaten!$A$2:$A$1117,$A21,Versuchsdaten!$B$2:$B$1117,"post",Versuchsdaten!$C$2:$C$1117,"Sprint_30m",Versuchsdaten!$O$2:$O$1117,1))</f>
        <v/>
      </c>
      <c r="T21" s="25">
        <f>IF(COUNTIFS(Versuchsdaten!$A$2:$A$1117,$A21,Versuchsdaten!$B$2:$B$1117,"prä",Versuchsdaten!$C$2:$C$1117,"COD_505",Versuchsdaten!$O$2:$O$1117,1,Versuchsdaten!$D$2:$D$1117,"L")=0,"",_xlfn.MINIFS(Versuchsdaten!$F$2:$F$1117,Versuchsdaten!$A$2:$A$1117,$A21,Versuchsdaten!$B$2:$B$1117,"prä",Versuchsdaten!$C$2:$C$1117,"COD_505",Versuchsdaten!$O$2:$O$1117,1,Versuchsdaten!$D$2:$D$1117,"L"))</f>
        <v/>
      </c>
      <c r="U21" s="25">
        <f>IF(COUNTIFS(Versuchsdaten!$A$2:$A$1117,$A21,Versuchsdaten!$B$2:$B$1117,"prä",Versuchsdaten!$C$2:$C$1117,"COD_505",Versuchsdaten!$O$2:$O$1117,1,Versuchsdaten!$D$2:$D$1117,"R")=0,"",_xlfn.MINIFS(Versuchsdaten!$F$2:$F$1117,Versuchsdaten!$A$2:$A$1117,$A21,Versuchsdaten!$B$2:$B$1117,"prä",Versuchsdaten!$C$2:$C$1117,"COD_505",Versuchsdaten!$O$2:$O$1117,1,Versuchsdaten!$D$2:$D$1117,"R"))</f>
        <v/>
      </c>
      <c r="V21" s="25">
        <f>IF(AND(ISNUMBER(T21),ISNUMBER(U21)),(T21+U21)/2,"")</f>
        <v/>
      </c>
      <c r="W21" s="25">
        <f>IF(COUNTIFS(Versuchsdaten!$A$2:$A$1117,$A21,Versuchsdaten!$B$2:$B$1117,"post",Versuchsdaten!$C$2:$C$1117,"COD_505",Versuchsdaten!$O$2:$O$1117,1,Versuchsdaten!$D$2:$D$1117,"L")=0,"",_xlfn.MINIFS(Versuchsdaten!$F$2:$F$1117,Versuchsdaten!$A$2:$A$1117,$A21,Versuchsdaten!$B$2:$B$1117,"post",Versuchsdaten!$C$2:$C$1117,"COD_505",Versuchsdaten!$O$2:$O$1117,1,Versuchsdaten!$D$2:$D$1117,"L"))</f>
        <v/>
      </c>
      <c r="X21" s="25">
        <f>IF(COUNTIFS(Versuchsdaten!$A$2:$A$1117,$A21,Versuchsdaten!$B$2:$B$1117,"post",Versuchsdaten!$C$2:$C$1117,"COD_505",Versuchsdaten!$O$2:$O$1117,1,Versuchsdaten!$D$2:$D$1117,"R")=0,"",_xlfn.MINIFS(Versuchsdaten!$F$2:$F$1117,Versuchsdaten!$A$2:$A$1117,$A21,Versuchsdaten!$B$2:$B$1117,"post",Versuchsdaten!$C$2:$C$1117,"COD_505",Versuchsdaten!$O$2:$O$1117,1,Versuchsdaten!$D$2:$D$1117,"R"))</f>
        <v/>
      </c>
      <c r="Y21" s="25">
        <f>IF(AND(ISNUMBER(W21),ISNUMBER(X21)),(W21+X21)/2,"")</f>
        <v/>
      </c>
      <c r="Z21" s="25">
        <f>IF(COUNTIFS(Versuchsdaten!$A$2:$A$1117,$A21,Versuchsdaten!$B$2:$B$1117,"prä",Versuchsdaten!$C$2:$C$1117,"Standweitsprung",Versuchsdaten!$O$2:$O$1117,1)=0,"",_xlfn.MAXIFS(Versuchsdaten!$F$2:$F$1117,Versuchsdaten!$A$2:$A$1117,$A21,Versuchsdaten!$B$2:$B$1117,"prä",Versuchsdaten!$C$2:$C$1117,"Standweitsprung",Versuchsdaten!$O$2:$O$1117,1))</f>
        <v/>
      </c>
      <c r="AA21" s="25">
        <f>IF(COUNTIFS(Versuchsdaten!$A$2:$A$1117,$A21,Versuchsdaten!$B$2:$B$1117,"post",Versuchsdaten!$C$2:$C$1117,"Standweitsprung",Versuchsdaten!$O$2:$O$1117,1)=0,"",_xlfn.MAXIFS(Versuchsdaten!$F$2:$F$1117,Versuchsdaten!$A$2:$A$1117,$A21,Versuchsdaten!$B$2:$B$1117,"post",Versuchsdaten!$C$2:$C$1117,"Standweitsprung",Versuchsdaten!$O$2:$O$1117,1))</f>
        <v/>
      </c>
      <c r="AB21" s="25">
        <f>IF(AND(ISNUMBER(Q21),ISNUMBER(S21),ISNUMBER(O21)),1,0)</f>
        <v/>
      </c>
      <c r="AC21" s="25">
        <f>IF(AND(ISNUMBER(V21),ISNUMBER(Y21),ISNUMBER(O21)),1,0)</f>
        <v/>
      </c>
      <c r="AD21" s="25">
        <f>IF(AND(ISNUMBER(Z21),ISNUMBER(AA21),ISNUMBER(O21)),1,0)</f>
        <v/>
      </c>
      <c r="AE21" s="25">
        <f>IF(D21=0,"",IF(COUNTIF(Zuordnung!$B$2:$B$23,$A21)=0,"",COUNTIFS(Fragebogen_A!$M$2:$M$112,$A21,Fragebogen_A!$F$2:$F$112,1)))</f>
        <v/>
      </c>
      <c r="AF21" s="25">
        <f>IF(AB21=1,COUNTIF($AB$4:AB21,1),"")</f>
        <v/>
      </c>
      <c r="AH21" s="25">
        <f>IF(AND(O21="",Analysedaten!E21=""),0,IF(OR(O21="",Analysedaten!E21=""),1,IF(ABS(O21-Analysedaten!E21)&lt;=0.000000001*MAX(1,ABS(Analysedaten!E21)),0,1)))</f>
        <v/>
      </c>
      <c r="AI21" s="25">
        <f>IF(AND(Q21="",Analysedaten!F21=""),0,IF(OR(Q21="",Analysedaten!F21=""),1,IF(ABS(Q21-Analysedaten!F21)&lt;=0.000000001*MAX(1,ABS(Analysedaten!F21)),0,1)))</f>
        <v/>
      </c>
      <c r="AJ21" s="25">
        <f>IF(AND(S21="",Analysedaten!G21=""),0,IF(OR(S21="",Analysedaten!G21=""),1,IF(ABS(S21-Analysedaten!G21)&lt;=0.000000001*MAX(1,ABS(Analysedaten!G21)),0,1)))</f>
        <v/>
      </c>
      <c r="AK21" s="25">
        <f>IF(AND(V21="",Analysedaten!H21=""),0,IF(OR(V21="",Analysedaten!H21=""),1,IF(ABS(V21-Analysedaten!H21)&lt;=0.000000001*MAX(1,ABS(Analysedaten!H21)),0,1)))</f>
        <v/>
      </c>
      <c r="AL21" s="25">
        <f>IF(AND(Y21="",Analysedaten!I21=""),0,IF(OR(Y21="",Analysedaten!I21=""),1,IF(ABS(Y21-Analysedaten!I21)&lt;=0.000000001*MAX(1,ABS(Analysedaten!I21)),0,1)))</f>
        <v/>
      </c>
      <c r="AM21" s="25">
        <f>IF(AND(Z21="",Analysedaten!J21=""),0,IF(OR(Z21="",Analysedaten!J21=""),1,IF(ABS(Z21-Analysedaten!J21)&lt;=0.000000001*MAX(1,ABS(Analysedaten!J21)),0,1)))</f>
        <v/>
      </c>
      <c r="AN21" s="25">
        <f>IF(AND(AA21="",Analysedaten!K21=""),0,IF(OR(AA21="",Analysedaten!K21=""),1,IF(ABS(AA21-Analysedaten!K21)&lt;=0.000000001*MAX(1,ABS(Analysedaten!K21)),0,1)))</f>
        <v/>
      </c>
      <c r="AO21" s="25">
        <f>IF(AND(AB21="",Analysedaten!L21=""),0,IF(OR(AB21="",Analysedaten!L21=""),1,IF(ABS(AB21-Analysedaten!L21)&lt;=0.000000001*MAX(1,ABS(Analysedaten!L21)),0,1)))</f>
        <v/>
      </c>
      <c r="AP21" s="25">
        <f>IF(AND(AC21="",Analysedaten!M21=""),0,IF(OR(AC21="",Analysedaten!M21=""),1,IF(ABS(AC21-Analysedaten!M21)&lt;=0.000000001*MAX(1,ABS(Analysedaten!M21)),0,1)))</f>
        <v/>
      </c>
      <c r="AQ21" s="25">
        <f>IF(AND(AD21="",Analysedaten!N21=""),0,IF(OR(AD21="",Analysedaten!N21=""),1,IF(ABS(AD21-Analysedaten!N21)&lt;=0.000000001*MAX(1,ABS(Analysedaten!N21)),0,1)))</f>
        <v/>
      </c>
      <c r="AR21" s="25">
        <f>IF(AND(AE21="",Analysedaten!O21=""),0,IF(OR(AE21="",Analysedaten!O21=""),1,IF(ABS(AE21-Analysedaten!O21)&lt;=0.000000001*MAX(1,ABS(Analysedaten!O21)),0,1)))</f>
        <v/>
      </c>
      <c r="AS21" s="25">
        <f>SUM(AH21:AR21)</f>
        <v/>
      </c>
    </row>
    <row r="22">
      <c r="A22" s="5" t="inlineStr">
        <is>
          <t>VS-01</t>
        </is>
      </c>
      <c r="B22" s="5" t="inlineStr">
        <is>
          <t>KG</t>
        </is>
      </c>
      <c r="C22" s="5" t="inlineStr">
        <is>
          <t>C</t>
        </is>
      </c>
      <c r="D22" s="5" t="n">
        <v>0</v>
      </c>
      <c r="E22" s="25">
        <f>IF(ISNUMBER(INDEX(Personendaten!$E$2:$E$32,MATCH($A22,Personendaten!$A$2:$A$32,0))),INDEX(Personendaten!$E$2:$E$32,MATCH($A22,Personendaten!$A$2:$A$32,0))/2.54,"")</f>
        <v/>
      </c>
      <c r="F22" s="25">
        <f>IF(ISNUMBER(INDEX(Personendaten!$F$2:$F$32,MATCH($A22,Personendaten!$A$2:$A$32,0))),INDEX(Personendaten!$F$2:$F$32,MATCH($A22,Personendaten!$A$2:$A$32,0))/0.45359237,"")</f>
        <v/>
      </c>
      <c r="G22" s="25">
        <f>IF(AND(ISNUMBER(INDEX(Personendaten!$G$2:$G$32,MATCH($A22,Personendaten!$A$2:$A$32,0))),ISNUMBER(INDEX(Personendaten!$H$2:$H$32,MATCH($A22,Personendaten!$A$2:$A$32,0)))),(INDEX(Personendaten!$G$2:$G$32,MATCH($A22,Personendaten!$A$2:$A$32,0))/2.54+INDEX(Personendaten!$H$2:$H$32,MATCH($A22,Personendaten!$A$2:$A$32,0))/2.54)/2,"")</f>
        <v/>
      </c>
      <c r="H22" s="25">
        <f>INT(2*INDEX(Personendaten!$D$2:$D$32,MATCH($A22,Personendaten!$A$2:$A$32,0)))/2</f>
        <v/>
      </c>
      <c r="I22" s="25">
        <f>(INDEX(Personendaten!$D$2:$D$32,MATCH($A22,Personendaten!$A$2:$A$32,0))-H22)/0.5</f>
        <v/>
      </c>
      <c r="J22" s="25">
        <f>IF($I22=0,INDEX(Koeffizienten_KR!$B$2:$B$29,MATCH($H22,Koeffizienten_KR!$A$2:$A$29,0)),(1-$I22)*INDEX(Koeffizienten_KR!$B$2:$B$29,MATCH($H22,Koeffizienten_KR!$A$2:$A$29,0))+$I22*INDEX(Koeffizienten_KR!$B$2:$B$29,MATCH($H22+0.5,Koeffizienten_KR!$A$2:$A$29,0)))</f>
        <v/>
      </c>
      <c r="K22" s="25">
        <f>IF($I22=0,INDEX(Koeffizienten_KR!$C$2:$C$29,MATCH($H22,Koeffizienten_KR!$A$2:$A$29,0)),(1-$I22)*INDEX(Koeffizienten_KR!$C$2:$C$29,MATCH($H22,Koeffizienten_KR!$A$2:$A$29,0))+$I22*INDEX(Koeffizienten_KR!$C$2:$C$29,MATCH($H22+0.5,Koeffizienten_KR!$A$2:$A$29,0)))</f>
        <v/>
      </c>
      <c r="L22" s="25">
        <f>IF($I22=0,INDEX(Koeffizienten_KR!$D$2:$D$29,MATCH($H22,Koeffizienten_KR!$A$2:$A$29,0)),(1-$I22)*INDEX(Koeffizienten_KR!$D$2:$D$29,MATCH($H22,Koeffizienten_KR!$A$2:$A$29,0))+$I22*INDEX(Koeffizienten_KR!$D$2:$D$29,MATCH($H22+0.5,Koeffizienten_KR!$A$2:$A$29,0)))</f>
        <v/>
      </c>
      <c r="M22" s="25">
        <f>IF($I22=0,INDEX(Koeffizienten_KR!$E$2:$E$29,MATCH($H22,Koeffizienten_KR!$A$2:$A$29,0)),(1-$I22)*INDEX(Koeffizienten_KR!$E$2:$E$29,MATCH($H22,Koeffizienten_KR!$A$2:$A$29,0))+$I22*INDEX(Koeffizienten_KR!$E$2:$E$29,MATCH($H22+0.5,Koeffizienten_KR!$A$2:$A$29,0)))</f>
        <v/>
      </c>
      <c r="N22" s="25">
        <f>IF(AND(ISNUMBER(E22),ISNUMBER(F22),ISNUMBER(G22),INDEX(Personendaten!$D$2:$D$32,MATCH($A22,Personendaten!$A$2:$A$32,0))&gt;=4,INDEX(Personendaten!$D$2:$D$32,MATCH($A22,Personendaten!$A$2:$A$32,0))&lt;=17.5),J22+K22*E22+L22*F22+M22*G22,"")</f>
        <v/>
      </c>
      <c r="O22" s="25">
        <f>IF(ISNUMBER(N22),100*E22/N22,"")</f>
        <v/>
      </c>
      <c r="P22" s="25">
        <f>COUNTIFS(Versuchsdaten!$A$2:$A$1117,$A22,Versuchsdaten!$B$2:$B$1117,"prä",Versuchsdaten!$C$2:$C$1117,"Sprint_30m",Versuchsdaten!$O$2:$O$1117,1)</f>
        <v/>
      </c>
      <c r="Q22" s="25">
        <f>IF(COUNTIFS(Versuchsdaten!$A$2:$A$1117,$A22,Versuchsdaten!$B$2:$B$1117,"prä",Versuchsdaten!$C$2:$C$1117,"Sprint_30m",Versuchsdaten!$O$2:$O$1117,1)=0,"",_xlfn.MINIFS(Versuchsdaten!$F$2:$F$1117,Versuchsdaten!$A$2:$A$1117,$A22,Versuchsdaten!$B$2:$B$1117,"prä",Versuchsdaten!$C$2:$C$1117,"Sprint_30m",Versuchsdaten!$O$2:$O$1117,1))</f>
        <v/>
      </c>
      <c r="R22" s="25">
        <f>COUNTIFS(Versuchsdaten!$A$2:$A$1117,$A22,Versuchsdaten!$B$2:$B$1117,"post",Versuchsdaten!$C$2:$C$1117,"Sprint_30m",Versuchsdaten!$O$2:$O$1117,1)</f>
        <v/>
      </c>
      <c r="S22" s="25">
        <f>IF(COUNTIFS(Versuchsdaten!$A$2:$A$1117,$A22,Versuchsdaten!$B$2:$B$1117,"post",Versuchsdaten!$C$2:$C$1117,"Sprint_30m",Versuchsdaten!$O$2:$O$1117,1)=0,"",_xlfn.MINIFS(Versuchsdaten!$F$2:$F$1117,Versuchsdaten!$A$2:$A$1117,$A22,Versuchsdaten!$B$2:$B$1117,"post",Versuchsdaten!$C$2:$C$1117,"Sprint_30m",Versuchsdaten!$O$2:$O$1117,1))</f>
        <v/>
      </c>
      <c r="T22" s="25">
        <f>IF(COUNTIFS(Versuchsdaten!$A$2:$A$1117,$A22,Versuchsdaten!$B$2:$B$1117,"prä",Versuchsdaten!$C$2:$C$1117,"COD_505",Versuchsdaten!$O$2:$O$1117,1,Versuchsdaten!$D$2:$D$1117,"L")=0,"",_xlfn.MINIFS(Versuchsdaten!$F$2:$F$1117,Versuchsdaten!$A$2:$A$1117,$A22,Versuchsdaten!$B$2:$B$1117,"prä",Versuchsdaten!$C$2:$C$1117,"COD_505",Versuchsdaten!$O$2:$O$1117,1,Versuchsdaten!$D$2:$D$1117,"L"))</f>
        <v/>
      </c>
      <c r="U22" s="25">
        <f>IF(COUNTIFS(Versuchsdaten!$A$2:$A$1117,$A22,Versuchsdaten!$B$2:$B$1117,"prä",Versuchsdaten!$C$2:$C$1117,"COD_505",Versuchsdaten!$O$2:$O$1117,1,Versuchsdaten!$D$2:$D$1117,"R")=0,"",_xlfn.MINIFS(Versuchsdaten!$F$2:$F$1117,Versuchsdaten!$A$2:$A$1117,$A22,Versuchsdaten!$B$2:$B$1117,"prä",Versuchsdaten!$C$2:$C$1117,"COD_505",Versuchsdaten!$O$2:$O$1117,1,Versuchsdaten!$D$2:$D$1117,"R"))</f>
        <v/>
      </c>
      <c r="V22" s="25">
        <f>IF(AND(ISNUMBER(T22),ISNUMBER(U22)),(T22+U22)/2,"")</f>
        <v/>
      </c>
      <c r="W22" s="25">
        <f>IF(COUNTIFS(Versuchsdaten!$A$2:$A$1117,$A22,Versuchsdaten!$B$2:$B$1117,"post",Versuchsdaten!$C$2:$C$1117,"COD_505",Versuchsdaten!$O$2:$O$1117,1,Versuchsdaten!$D$2:$D$1117,"L")=0,"",_xlfn.MINIFS(Versuchsdaten!$F$2:$F$1117,Versuchsdaten!$A$2:$A$1117,$A22,Versuchsdaten!$B$2:$B$1117,"post",Versuchsdaten!$C$2:$C$1117,"COD_505",Versuchsdaten!$O$2:$O$1117,1,Versuchsdaten!$D$2:$D$1117,"L"))</f>
        <v/>
      </c>
      <c r="X22" s="25">
        <f>IF(COUNTIFS(Versuchsdaten!$A$2:$A$1117,$A22,Versuchsdaten!$B$2:$B$1117,"post",Versuchsdaten!$C$2:$C$1117,"COD_505",Versuchsdaten!$O$2:$O$1117,1,Versuchsdaten!$D$2:$D$1117,"R")=0,"",_xlfn.MINIFS(Versuchsdaten!$F$2:$F$1117,Versuchsdaten!$A$2:$A$1117,$A22,Versuchsdaten!$B$2:$B$1117,"post",Versuchsdaten!$C$2:$C$1117,"COD_505",Versuchsdaten!$O$2:$O$1117,1,Versuchsdaten!$D$2:$D$1117,"R"))</f>
        <v/>
      </c>
      <c r="Y22" s="25">
        <f>IF(AND(ISNUMBER(W22),ISNUMBER(X22)),(W22+X22)/2,"")</f>
        <v/>
      </c>
      <c r="Z22" s="25">
        <f>IF(COUNTIFS(Versuchsdaten!$A$2:$A$1117,$A22,Versuchsdaten!$B$2:$B$1117,"prä",Versuchsdaten!$C$2:$C$1117,"Standweitsprung",Versuchsdaten!$O$2:$O$1117,1)=0,"",_xlfn.MAXIFS(Versuchsdaten!$F$2:$F$1117,Versuchsdaten!$A$2:$A$1117,$A22,Versuchsdaten!$B$2:$B$1117,"prä",Versuchsdaten!$C$2:$C$1117,"Standweitsprung",Versuchsdaten!$O$2:$O$1117,1))</f>
        <v/>
      </c>
      <c r="AA22" s="25">
        <f>IF(COUNTIFS(Versuchsdaten!$A$2:$A$1117,$A22,Versuchsdaten!$B$2:$B$1117,"post",Versuchsdaten!$C$2:$C$1117,"Standweitsprung",Versuchsdaten!$O$2:$O$1117,1)=0,"",_xlfn.MAXIFS(Versuchsdaten!$F$2:$F$1117,Versuchsdaten!$A$2:$A$1117,$A22,Versuchsdaten!$B$2:$B$1117,"post",Versuchsdaten!$C$2:$C$1117,"Standweitsprung",Versuchsdaten!$O$2:$O$1117,1))</f>
        <v/>
      </c>
      <c r="AB22" s="25">
        <f>IF(AND(ISNUMBER(Q22),ISNUMBER(S22),ISNUMBER(O22)),1,0)</f>
        <v/>
      </c>
      <c r="AC22" s="25">
        <f>IF(AND(ISNUMBER(V22),ISNUMBER(Y22),ISNUMBER(O22)),1,0)</f>
        <v/>
      </c>
      <c r="AD22" s="25">
        <f>IF(AND(ISNUMBER(Z22),ISNUMBER(AA22),ISNUMBER(O22)),1,0)</f>
        <v/>
      </c>
      <c r="AE22" s="25">
        <f>IF(D22=0,"",IF(COUNTIF(Zuordnung!$B$2:$B$23,$A22)=0,"",COUNTIFS(Fragebogen_A!$M$2:$M$112,$A22,Fragebogen_A!$F$2:$F$112,1)))</f>
        <v/>
      </c>
      <c r="AF22" s="25">
        <f>IF(AB22=1,COUNTIF($AB$4:AB22,1),"")</f>
        <v/>
      </c>
      <c r="AH22" s="25">
        <f>IF(AND(O22="",Analysedaten!E22=""),0,IF(OR(O22="",Analysedaten!E22=""),1,IF(ABS(O22-Analysedaten!E22)&lt;=0.000000001*MAX(1,ABS(Analysedaten!E22)),0,1)))</f>
        <v/>
      </c>
      <c r="AI22" s="25">
        <f>IF(AND(Q22="",Analysedaten!F22=""),0,IF(OR(Q22="",Analysedaten!F22=""),1,IF(ABS(Q22-Analysedaten!F22)&lt;=0.000000001*MAX(1,ABS(Analysedaten!F22)),0,1)))</f>
        <v/>
      </c>
      <c r="AJ22" s="25">
        <f>IF(AND(S22="",Analysedaten!G22=""),0,IF(OR(S22="",Analysedaten!G22=""),1,IF(ABS(S22-Analysedaten!G22)&lt;=0.000000001*MAX(1,ABS(Analysedaten!G22)),0,1)))</f>
        <v/>
      </c>
      <c r="AK22" s="25">
        <f>IF(AND(V22="",Analysedaten!H22=""),0,IF(OR(V22="",Analysedaten!H22=""),1,IF(ABS(V22-Analysedaten!H22)&lt;=0.000000001*MAX(1,ABS(Analysedaten!H22)),0,1)))</f>
        <v/>
      </c>
      <c r="AL22" s="25">
        <f>IF(AND(Y22="",Analysedaten!I22=""),0,IF(OR(Y22="",Analysedaten!I22=""),1,IF(ABS(Y22-Analysedaten!I22)&lt;=0.000000001*MAX(1,ABS(Analysedaten!I22)),0,1)))</f>
        <v/>
      </c>
      <c r="AM22" s="25">
        <f>IF(AND(Z22="",Analysedaten!J22=""),0,IF(OR(Z22="",Analysedaten!J22=""),1,IF(ABS(Z22-Analysedaten!J22)&lt;=0.000000001*MAX(1,ABS(Analysedaten!J22)),0,1)))</f>
        <v/>
      </c>
      <c r="AN22" s="25">
        <f>IF(AND(AA22="",Analysedaten!K22=""),0,IF(OR(AA22="",Analysedaten!K22=""),1,IF(ABS(AA22-Analysedaten!K22)&lt;=0.000000001*MAX(1,ABS(Analysedaten!K22)),0,1)))</f>
        <v/>
      </c>
      <c r="AO22" s="25">
        <f>IF(AND(AB22="",Analysedaten!L22=""),0,IF(OR(AB22="",Analysedaten!L22=""),1,IF(ABS(AB22-Analysedaten!L22)&lt;=0.000000001*MAX(1,ABS(Analysedaten!L22)),0,1)))</f>
        <v/>
      </c>
      <c r="AP22" s="25">
        <f>IF(AND(AC22="",Analysedaten!M22=""),0,IF(OR(AC22="",Analysedaten!M22=""),1,IF(ABS(AC22-Analysedaten!M22)&lt;=0.000000001*MAX(1,ABS(Analysedaten!M22)),0,1)))</f>
        <v/>
      </c>
      <c r="AQ22" s="25">
        <f>IF(AND(AD22="",Analysedaten!N22=""),0,IF(OR(AD22="",Analysedaten!N22=""),1,IF(ABS(AD22-Analysedaten!N22)&lt;=0.000000001*MAX(1,ABS(Analysedaten!N22)),0,1)))</f>
        <v/>
      </c>
      <c r="AR22" s="25">
        <f>IF(AND(AE22="",Analysedaten!O22=""),0,IF(OR(AE22="",Analysedaten!O22=""),1,IF(ABS(AE22-Analysedaten!O22)&lt;=0.000000001*MAX(1,ABS(Analysedaten!O22)),0,1)))</f>
        <v/>
      </c>
      <c r="AS22" s="25">
        <f>SUM(AH22:AR22)</f>
        <v/>
      </c>
    </row>
    <row r="23">
      <c r="A23" s="5" t="inlineStr">
        <is>
          <t>VS-02</t>
        </is>
      </c>
      <c r="B23" s="5" t="inlineStr">
        <is>
          <t>KG</t>
        </is>
      </c>
      <c r="C23" s="5" t="inlineStr">
        <is>
          <t>C</t>
        </is>
      </c>
      <c r="D23" s="5" t="n">
        <v>0</v>
      </c>
      <c r="E23" s="25">
        <f>IF(ISNUMBER(INDEX(Personendaten!$E$2:$E$32,MATCH($A23,Personendaten!$A$2:$A$32,0))),INDEX(Personendaten!$E$2:$E$32,MATCH($A23,Personendaten!$A$2:$A$32,0))/2.54,"")</f>
        <v/>
      </c>
      <c r="F23" s="25">
        <f>IF(ISNUMBER(INDEX(Personendaten!$F$2:$F$32,MATCH($A23,Personendaten!$A$2:$A$32,0))),INDEX(Personendaten!$F$2:$F$32,MATCH($A23,Personendaten!$A$2:$A$32,0))/0.45359237,"")</f>
        <v/>
      </c>
      <c r="G23" s="25">
        <f>IF(AND(ISNUMBER(INDEX(Personendaten!$G$2:$G$32,MATCH($A23,Personendaten!$A$2:$A$32,0))),ISNUMBER(INDEX(Personendaten!$H$2:$H$32,MATCH($A23,Personendaten!$A$2:$A$32,0)))),(INDEX(Personendaten!$G$2:$G$32,MATCH($A23,Personendaten!$A$2:$A$32,0))/2.54+INDEX(Personendaten!$H$2:$H$32,MATCH($A23,Personendaten!$A$2:$A$32,0))/2.54)/2,"")</f>
        <v/>
      </c>
      <c r="H23" s="25">
        <f>INT(2*INDEX(Personendaten!$D$2:$D$32,MATCH($A23,Personendaten!$A$2:$A$32,0)))/2</f>
        <v/>
      </c>
      <c r="I23" s="25">
        <f>(INDEX(Personendaten!$D$2:$D$32,MATCH($A23,Personendaten!$A$2:$A$32,0))-H23)/0.5</f>
        <v/>
      </c>
      <c r="J23" s="25">
        <f>IF($I23=0,INDEX(Koeffizienten_KR!$B$2:$B$29,MATCH($H23,Koeffizienten_KR!$A$2:$A$29,0)),(1-$I23)*INDEX(Koeffizienten_KR!$B$2:$B$29,MATCH($H23,Koeffizienten_KR!$A$2:$A$29,0))+$I23*INDEX(Koeffizienten_KR!$B$2:$B$29,MATCH($H23+0.5,Koeffizienten_KR!$A$2:$A$29,0)))</f>
        <v/>
      </c>
      <c r="K23" s="25">
        <f>IF($I23=0,INDEX(Koeffizienten_KR!$C$2:$C$29,MATCH($H23,Koeffizienten_KR!$A$2:$A$29,0)),(1-$I23)*INDEX(Koeffizienten_KR!$C$2:$C$29,MATCH($H23,Koeffizienten_KR!$A$2:$A$29,0))+$I23*INDEX(Koeffizienten_KR!$C$2:$C$29,MATCH($H23+0.5,Koeffizienten_KR!$A$2:$A$29,0)))</f>
        <v/>
      </c>
      <c r="L23" s="25">
        <f>IF($I23=0,INDEX(Koeffizienten_KR!$D$2:$D$29,MATCH($H23,Koeffizienten_KR!$A$2:$A$29,0)),(1-$I23)*INDEX(Koeffizienten_KR!$D$2:$D$29,MATCH($H23,Koeffizienten_KR!$A$2:$A$29,0))+$I23*INDEX(Koeffizienten_KR!$D$2:$D$29,MATCH($H23+0.5,Koeffizienten_KR!$A$2:$A$29,0)))</f>
        <v/>
      </c>
      <c r="M23" s="25">
        <f>IF($I23=0,INDEX(Koeffizienten_KR!$E$2:$E$29,MATCH($H23,Koeffizienten_KR!$A$2:$A$29,0)),(1-$I23)*INDEX(Koeffizienten_KR!$E$2:$E$29,MATCH($H23,Koeffizienten_KR!$A$2:$A$29,0))+$I23*INDEX(Koeffizienten_KR!$E$2:$E$29,MATCH($H23+0.5,Koeffizienten_KR!$A$2:$A$29,0)))</f>
        <v/>
      </c>
      <c r="N23" s="25">
        <f>IF(AND(ISNUMBER(E23),ISNUMBER(F23),ISNUMBER(G23),INDEX(Personendaten!$D$2:$D$32,MATCH($A23,Personendaten!$A$2:$A$32,0))&gt;=4,INDEX(Personendaten!$D$2:$D$32,MATCH($A23,Personendaten!$A$2:$A$32,0))&lt;=17.5),J23+K23*E23+L23*F23+M23*G23,"")</f>
        <v/>
      </c>
      <c r="O23" s="25">
        <f>IF(ISNUMBER(N23),100*E23/N23,"")</f>
        <v/>
      </c>
      <c r="P23" s="25">
        <f>COUNTIFS(Versuchsdaten!$A$2:$A$1117,$A23,Versuchsdaten!$B$2:$B$1117,"prä",Versuchsdaten!$C$2:$C$1117,"Sprint_30m",Versuchsdaten!$O$2:$O$1117,1)</f>
        <v/>
      </c>
      <c r="Q23" s="25">
        <f>IF(COUNTIFS(Versuchsdaten!$A$2:$A$1117,$A23,Versuchsdaten!$B$2:$B$1117,"prä",Versuchsdaten!$C$2:$C$1117,"Sprint_30m",Versuchsdaten!$O$2:$O$1117,1)=0,"",_xlfn.MINIFS(Versuchsdaten!$F$2:$F$1117,Versuchsdaten!$A$2:$A$1117,$A23,Versuchsdaten!$B$2:$B$1117,"prä",Versuchsdaten!$C$2:$C$1117,"Sprint_30m",Versuchsdaten!$O$2:$O$1117,1))</f>
        <v/>
      </c>
      <c r="R23" s="25">
        <f>COUNTIFS(Versuchsdaten!$A$2:$A$1117,$A23,Versuchsdaten!$B$2:$B$1117,"post",Versuchsdaten!$C$2:$C$1117,"Sprint_30m",Versuchsdaten!$O$2:$O$1117,1)</f>
        <v/>
      </c>
      <c r="S23" s="25">
        <f>IF(COUNTIFS(Versuchsdaten!$A$2:$A$1117,$A23,Versuchsdaten!$B$2:$B$1117,"post",Versuchsdaten!$C$2:$C$1117,"Sprint_30m",Versuchsdaten!$O$2:$O$1117,1)=0,"",_xlfn.MINIFS(Versuchsdaten!$F$2:$F$1117,Versuchsdaten!$A$2:$A$1117,$A23,Versuchsdaten!$B$2:$B$1117,"post",Versuchsdaten!$C$2:$C$1117,"Sprint_30m",Versuchsdaten!$O$2:$O$1117,1))</f>
        <v/>
      </c>
      <c r="T23" s="25">
        <f>IF(COUNTIFS(Versuchsdaten!$A$2:$A$1117,$A23,Versuchsdaten!$B$2:$B$1117,"prä",Versuchsdaten!$C$2:$C$1117,"COD_505",Versuchsdaten!$O$2:$O$1117,1,Versuchsdaten!$D$2:$D$1117,"L")=0,"",_xlfn.MINIFS(Versuchsdaten!$F$2:$F$1117,Versuchsdaten!$A$2:$A$1117,$A23,Versuchsdaten!$B$2:$B$1117,"prä",Versuchsdaten!$C$2:$C$1117,"COD_505",Versuchsdaten!$O$2:$O$1117,1,Versuchsdaten!$D$2:$D$1117,"L"))</f>
        <v/>
      </c>
      <c r="U23" s="25">
        <f>IF(COUNTIFS(Versuchsdaten!$A$2:$A$1117,$A23,Versuchsdaten!$B$2:$B$1117,"prä",Versuchsdaten!$C$2:$C$1117,"COD_505",Versuchsdaten!$O$2:$O$1117,1,Versuchsdaten!$D$2:$D$1117,"R")=0,"",_xlfn.MINIFS(Versuchsdaten!$F$2:$F$1117,Versuchsdaten!$A$2:$A$1117,$A23,Versuchsdaten!$B$2:$B$1117,"prä",Versuchsdaten!$C$2:$C$1117,"COD_505",Versuchsdaten!$O$2:$O$1117,1,Versuchsdaten!$D$2:$D$1117,"R"))</f>
        <v/>
      </c>
      <c r="V23" s="25">
        <f>IF(AND(ISNUMBER(T23),ISNUMBER(U23)),(T23+U23)/2,"")</f>
        <v/>
      </c>
      <c r="W23" s="25">
        <f>IF(COUNTIFS(Versuchsdaten!$A$2:$A$1117,$A23,Versuchsdaten!$B$2:$B$1117,"post",Versuchsdaten!$C$2:$C$1117,"COD_505",Versuchsdaten!$O$2:$O$1117,1,Versuchsdaten!$D$2:$D$1117,"L")=0,"",_xlfn.MINIFS(Versuchsdaten!$F$2:$F$1117,Versuchsdaten!$A$2:$A$1117,$A23,Versuchsdaten!$B$2:$B$1117,"post",Versuchsdaten!$C$2:$C$1117,"COD_505",Versuchsdaten!$O$2:$O$1117,1,Versuchsdaten!$D$2:$D$1117,"L"))</f>
        <v/>
      </c>
      <c r="X23" s="25">
        <f>IF(COUNTIFS(Versuchsdaten!$A$2:$A$1117,$A23,Versuchsdaten!$B$2:$B$1117,"post",Versuchsdaten!$C$2:$C$1117,"COD_505",Versuchsdaten!$O$2:$O$1117,1,Versuchsdaten!$D$2:$D$1117,"R")=0,"",_xlfn.MINIFS(Versuchsdaten!$F$2:$F$1117,Versuchsdaten!$A$2:$A$1117,$A23,Versuchsdaten!$B$2:$B$1117,"post",Versuchsdaten!$C$2:$C$1117,"COD_505",Versuchsdaten!$O$2:$O$1117,1,Versuchsdaten!$D$2:$D$1117,"R"))</f>
        <v/>
      </c>
      <c r="Y23" s="25">
        <f>IF(AND(ISNUMBER(W23),ISNUMBER(X23)),(W23+X23)/2,"")</f>
        <v/>
      </c>
      <c r="Z23" s="25">
        <f>IF(COUNTIFS(Versuchsdaten!$A$2:$A$1117,$A23,Versuchsdaten!$B$2:$B$1117,"prä",Versuchsdaten!$C$2:$C$1117,"Standweitsprung",Versuchsdaten!$O$2:$O$1117,1)=0,"",_xlfn.MAXIFS(Versuchsdaten!$F$2:$F$1117,Versuchsdaten!$A$2:$A$1117,$A23,Versuchsdaten!$B$2:$B$1117,"prä",Versuchsdaten!$C$2:$C$1117,"Standweitsprung",Versuchsdaten!$O$2:$O$1117,1))</f>
        <v/>
      </c>
      <c r="AA23" s="25">
        <f>IF(COUNTIFS(Versuchsdaten!$A$2:$A$1117,$A23,Versuchsdaten!$B$2:$B$1117,"post",Versuchsdaten!$C$2:$C$1117,"Standweitsprung",Versuchsdaten!$O$2:$O$1117,1)=0,"",_xlfn.MAXIFS(Versuchsdaten!$F$2:$F$1117,Versuchsdaten!$A$2:$A$1117,$A23,Versuchsdaten!$B$2:$B$1117,"post",Versuchsdaten!$C$2:$C$1117,"Standweitsprung",Versuchsdaten!$O$2:$O$1117,1))</f>
        <v/>
      </c>
      <c r="AB23" s="25">
        <f>IF(AND(ISNUMBER(Q23),ISNUMBER(S23),ISNUMBER(O23)),1,0)</f>
        <v/>
      </c>
      <c r="AC23" s="25">
        <f>IF(AND(ISNUMBER(V23),ISNUMBER(Y23),ISNUMBER(O23)),1,0)</f>
        <v/>
      </c>
      <c r="AD23" s="25">
        <f>IF(AND(ISNUMBER(Z23),ISNUMBER(AA23),ISNUMBER(O23)),1,0)</f>
        <v/>
      </c>
      <c r="AE23" s="25">
        <f>IF(D23=0,"",IF(COUNTIF(Zuordnung!$B$2:$B$23,$A23)=0,"",COUNTIFS(Fragebogen_A!$M$2:$M$112,$A23,Fragebogen_A!$F$2:$F$112,1)))</f>
        <v/>
      </c>
      <c r="AF23" s="25">
        <f>IF(AB23=1,COUNTIF($AB$4:AB23,1),"")</f>
        <v/>
      </c>
      <c r="AH23" s="25">
        <f>IF(AND(O23="",Analysedaten!E23=""),0,IF(OR(O23="",Analysedaten!E23=""),1,IF(ABS(O23-Analysedaten!E23)&lt;=0.000000001*MAX(1,ABS(Analysedaten!E23)),0,1)))</f>
        <v/>
      </c>
      <c r="AI23" s="25">
        <f>IF(AND(Q23="",Analysedaten!F23=""),0,IF(OR(Q23="",Analysedaten!F23=""),1,IF(ABS(Q23-Analysedaten!F23)&lt;=0.000000001*MAX(1,ABS(Analysedaten!F23)),0,1)))</f>
        <v/>
      </c>
      <c r="AJ23" s="25">
        <f>IF(AND(S23="",Analysedaten!G23=""),0,IF(OR(S23="",Analysedaten!G23=""),1,IF(ABS(S23-Analysedaten!G23)&lt;=0.000000001*MAX(1,ABS(Analysedaten!G23)),0,1)))</f>
        <v/>
      </c>
      <c r="AK23" s="25">
        <f>IF(AND(V23="",Analysedaten!H23=""),0,IF(OR(V23="",Analysedaten!H23=""),1,IF(ABS(V23-Analysedaten!H23)&lt;=0.000000001*MAX(1,ABS(Analysedaten!H23)),0,1)))</f>
        <v/>
      </c>
      <c r="AL23" s="25">
        <f>IF(AND(Y23="",Analysedaten!I23=""),0,IF(OR(Y23="",Analysedaten!I23=""),1,IF(ABS(Y23-Analysedaten!I23)&lt;=0.000000001*MAX(1,ABS(Analysedaten!I23)),0,1)))</f>
        <v/>
      </c>
      <c r="AM23" s="25">
        <f>IF(AND(Z23="",Analysedaten!J23=""),0,IF(OR(Z23="",Analysedaten!J23=""),1,IF(ABS(Z23-Analysedaten!J23)&lt;=0.000000001*MAX(1,ABS(Analysedaten!J23)),0,1)))</f>
        <v/>
      </c>
      <c r="AN23" s="25">
        <f>IF(AND(AA23="",Analysedaten!K23=""),0,IF(OR(AA23="",Analysedaten!K23=""),1,IF(ABS(AA23-Analysedaten!K23)&lt;=0.000000001*MAX(1,ABS(Analysedaten!K23)),0,1)))</f>
        <v/>
      </c>
      <c r="AO23" s="25">
        <f>IF(AND(AB23="",Analysedaten!L23=""),0,IF(OR(AB23="",Analysedaten!L23=""),1,IF(ABS(AB23-Analysedaten!L23)&lt;=0.000000001*MAX(1,ABS(Analysedaten!L23)),0,1)))</f>
        <v/>
      </c>
      <c r="AP23" s="25">
        <f>IF(AND(AC23="",Analysedaten!M23=""),0,IF(OR(AC23="",Analysedaten!M23=""),1,IF(ABS(AC23-Analysedaten!M23)&lt;=0.000000001*MAX(1,ABS(Analysedaten!M23)),0,1)))</f>
        <v/>
      </c>
      <c r="AQ23" s="25">
        <f>IF(AND(AD23="",Analysedaten!N23=""),0,IF(OR(AD23="",Analysedaten!N23=""),1,IF(ABS(AD23-Analysedaten!N23)&lt;=0.000000001*MAX(1,ABS(Analysedaten!N23)),0,1)))</f>
        <v/>
      </c>
      <c r="AR23" s="25">
        <f>IF(AND(AE23="",Analysedaten!O23=""),0,IF(OR(AE23="",Analysedaten!O23=""),1,IF(ABS(AE23-Analysedaten!O23)&lt;=0.000000001*MAX(1,ABS(Analysedaten!O23)),0,1)))</f>
        <v/>
      </c>
      <c r="AS23" s="25">
        <f>SUM(AH23:AR23)</f>
        <v/>
      </c>
    </row>
    <row r="24">
      <c r="A24" s="5" t="inlineStr">
        <is>
          <t>VS-03</t>
        </is>
      </c>
      <c r="B24" s="5" t="inlineStr">
        <is>
          <t>KG</t>
        </is>
      </c>
      <c r="C24" s="5" t="inlineStr">
        <is>
          <t>C</t>
        </is>
      </c>
      <c r="D24" s="5" t="n">
        <v>0</v>
      </c>
      <c r="E24" s="25">
        <f>IF(ISNUMBER(INDEX(Personendaten!$E$2:$E$32,MATCH($A24,Personendaten!$A$2:$A$32,0))),INDEX(Personendaten!$E$2:$E$32,MATCH($A24,Personendaten!$A$2:$A$32,0))/2.54,"")</f>
        <v/>
      </c>
      <c r="F24" s="25">
        <f>IF(ISNUMBER(INDEX(Personendaten!$F$2:$F$32,MATCH($A24,Personendaten!$A$2:$A$32,0))),INDEX(Personendaten!$F$2:$F$32,MATCH($A24,Personendaten!$A$2:$A$32,0))/0.45359237,"")</f>
        <v/>
      </c>
      <c r="G24" s="25">
        <f>IF(AND(ISNUMBER(INDEX(Personendaten!$G$2:$G$32,MATCH($A24,Personendaten!$A$2:$A$32,0))),ISNUMBER(INDEX(Personendaten!$H$2:$H$32,MATCH($A24,Personendaten!$A$2:$A$32,0)))),(INDEX(Personendaten!$G$2:$G$32,MATCH($A24,Personendaten!$A$2:$A$32,0))/2.54+INDEX(Personendaten!$H$2:$H$32,MATCH($A24,Personendaten!$A$2:$A$32,0))/2.54)/2,"")</f>
        <v/>
      </c>
      <c r="H24" s="25">
        <f>INT(2*INDEX(Personendaten!$D$2:$D$32,MATCH($A24,Personendaten!$A$2:$A$32,0)))/2</f>
        <v/>
      </c>
      <c r="I24" s="25">
        <f>(INDEX(Personendaten!$D$2:$D$32,MATCH($A24,Personendaten!$A$2:$A$32,0))-H24)/0.5</f>
        <v/>
      </c>
      <c r="J24" s="25">
        <f>IF($I24=0,INDEX(Koeffizienten_KR!$B$2:$B$29,MATCH($H24,Koeffizienten_KR!$A$2:$A$29,0)),(1-$I24)*INDEX(Koeffizienten_KR!$B$2:$B$29,MATCH($H24,Koeffizienten_KR!$A$2:$A$29,0))+$I24*INDEX(Koeffizienten_KR!$B$2:$B$29,MATCH($H24+0.5,Koeffizienten_KR!$A$2:$A$29,0)))</f>
        <v/>
      </c>
      <c r="K24" s="25">
        <f>IF($I24=0,INDEX(Koeffizienten_KR!$C$2:$C$29,MATCH($H24,Koeffizienten_KR!$A$2:$A$29,0)),(1-$I24)*INDEX(Koeffizienten_KR!$C$2:$C$29,MATCH($H24,Koeffizienten_KR!$A$2:$A$29,0))+$I24*INDEX(Koeffizienten_KR!$C$2:$C$29,MATCH($H24+0.5,Koeffizienten_KR!$A$2:$A$29,0)))</f>
        <v/>
      </c>
      <c r="L24" s="25">
        <f>IF($I24=0,INDEX(Koeffizienten_KR!$D$2:$D$29,MATCH($H24,Koeffizienten_KR!$A$2:$A$29,0)),(1-$I24)*INDEX(Koeffizienten_KR!$D$2:$D$29,MATCH($H24,Koeffizienten_KR!$A$2:$A$29,0))+$I24*INDEX(Koeffizienten_KR!$D$2:$D$29,MATCH($H24+0.5,Koeffizienten_KR!$A$2:$A$29,0)))</f>
        <v/>
      </c>
      <c r="M24" s="25">
        <f>IF($I24=0,INDEX(Koeffizienten_KR!$E$2:$E$29,MATCH($H24,Koeffizienten_KR!$A$2:$A$29,0)),(1-$I24)*INDEX(Koeffizienten_KR!$E$2:$E$29,MATCH($H24,Koeffizienten_KR!$A$2:$A$29,0))+$I24*INDEX(Koeffizienten_KR!$E$2:$E$29,MATCH($H24+0.5,Koeffizienten_KR!$A$2:$A$29,0)))</f>
        <v/>
      </c>
      <c r="N24" s="25">
        <f>IF(AND(ISNUMBER(E24),ISNUMBER(F24),ISNUMBER(G24),INDEX(Personendaten!$D$2:$D$32,MATCH($A24,Personendaten!$A$2:$A$32,0))&gt;=4,INDEX(Personendaten!$D$2:$D$32,MATCH($A24,Personendaten!$A$2:$A$32,0))&lt;=17.5),J24+K24*E24+L24*F24+M24*G24,"")</f>
        <v/>
      </c>
      <c r="O24" s="25">
        <f>IF(ISNUMBER(N24),100*E24/N24,"")</f>
        <v/>
      </c>
      <c r="P24" s="25">
        <f>COUNTIFS(Versuchsdaten!$A$2:$A$1117,$A24,Versuchsdaten!$B$2:$B$1117,"prä",Versuchsdaten!$C$2:$C$1117,"Sprint_30m",Versuchsdaten!$O$2:$O$1117,1)</f>
        <v/>
      </c>
      <c r="Q24" s="25">
        <f>IF(COUNTIFS(Versuchsdaten!$A$2:$A$1117,$A24,Versuchsdaten!$B$2:$B$1117,"prä",Versuchsdaten!$C$2:$C$1117,"Sprint_30m",Versuchsdaten!$O$2:$O$1117,1)=0,"",_xlfn.MINIFS(Versuchsdaten!$F$2:$F$1117,Versuchsdaten!$A$2:$A$1117,$A24,Versuchsdaten!$B$2:$B$1117,"prä",Versuchsdaten!$C$2:$C$1117,"Sprint_30m",Versuchsdaten!$O$2:$O$1117,1))</f>
        <v/>
      </c>
      <c r="R24" s="25">
        <f>COUNTIFS(Versuchsdaten!$A$2:$A$1117,$A24,Versuchsdaten!$B$2:$B$1117,"post",Versuchsdaten!$C$2:$C$1117,"Sprint_30m",Versuchsdaten!$O$2:$O$1117,1)</f>
        <v/>
      </c>
      <c r="S24" s="25">
        <f>IF(COUNTIFS(Versuchsdaten!$A$2:$A$1117,$A24,Versuchsdaten!$B$2:$B$1117,"post",Versuchsdaten!$C$2:$C$1117,"Sprint_30m",Versuchsdaten!$O$2:$O$1117,1)=0,"",_xlfn.MINIFS(Versuchsdaten!$F$2:$F$1117,Versuchsdaten!$A$2:$A$1117,$A24,Versuchsdaten!$B$2:$B$1117,"post",Versuchsdaten!$C$2:$C$1117,"Sprint_30m",Versuchsdaten!$O$2:$O$1117,1))</f>
        <v/>
      </c>
      <c r="T24" s="25">
        <f>IF(COUNTIFS(Versuchsdaten!$A$2:$A$1117,$A24,Versuchsdaten!$B$2:$B$1117,"prä",Versuchsdaten!$C$2:$C$1117,"COD_505",Versuchsdaten!$O$2:$O$1117,1,Versuchsdaten!$D$2:$D$1117,"L")=0,"",_xlfn.MINIFS(Versuchsdaten!$F$2:$F$1117,Versuchsdaten!$A$2:$A$1117,$A24,Versuchsdaten!$B$2:$B$1117,"prä",Versuchsdaten!$C$2:$C$1117,"COD_505",Versuchsdaten!$O$2:$O$1117,1,Versuchsdaten!$D$2:$D$1117,"L"))</f>
        <v/>
      </c>
      <c r="U24" s="25">
        <f>IF(COUNTIFS(Versuchsdaten!$A$2:$A$1117,$A24,Versuchsdaten!$B$2:$B$1117,"prä",Versuchsdaten!$C$2:$C$1117,"COD_505",Versuchsdaten!$O$2:$O$1117,1,Versuchsdaten!$D$2:$D$1117,"R")=0,"",_xlfn.MINIFS(Versuchsdaten!$F$2:$F$1117,Versuchsdaten!$A$2:$A$1117,$A24,Versuchsdaten!$B$2:$B$1117,"prä",Versuchsdaten!$C$2:$C$1117,"COD_505",Versuchsdaten!$O$2:$O$1117,1,Versuchsdaten!$D$2:$D$1117,"R"))</f>
        <v/>
      </c>
      <c r="V24" s="25">
        <f>IF(AND(ISNUMBER(T24),ISNUMBER(U24)),(T24+U24)/2,"")</f>
        <v/>
      </c>
      <c r="W24" s="25">
        <f>IF(COUNTIFS(Versuchsdaten!$A$2:$A$1117,$A24,Versuchsdaten!$B$2:$B$1117,"post",Versuchsdaten!$C$2:$C$1117,"COD_505",Versuchsdaten!$O$2:$O$1117,1,Versuchsdaten!$D$2:$D$1117,"L")=0,"",_xlfn.MINIFS(Versuchsdaten!$F$2:$F$1117,Versuchsdaten!$A$2:$A$1117,$A24,Versuchsdaten!$B$2:$B$1117,"post",Versuchsdaten!$C$2:$C$1117,"COD_505",Versuchsdaten!$O$2:$O$1117,1,Versuchsdaten!$D$2:$D$1117,"L"))</f>
        <v/>
      </c>
      <c r="X24" s="25">
        <f>IF(COUNTIFS(Versuchsdaten!$A$2:$A$1117,$A24,Versuchsdaten!$B$2:$B$1117,"post",Versuchsdaten!$C$2:$C$1117,"COD_505",Versuchsdaten!$O$2:$O$1117,1,Versuchsdaten!$D$2:$D$1117,"R")=0,"",_xlfn.MINIFS(Versuchsdaten!$F$2:$F$1117,Versuchsdaten!$A$2:$A$1117,$A24,Versuchsdaten!$B$2:$B$1117,"post",Versuchsdaten!$C$2:$C$1117,"COD_505",Versuchsdaten!$O$2:$O$1117,1,Versuchsdaten!$D$2:$D$1117,"R"))</f>
        <v/>
      </c>
      <c r="Y24" s="25">
        <f>IF(AND(ISNUMBER(W24),ISNUMBER(X24)),(W24+X24)/2,"")</f>
        <v/>
      </c>
      <c r="Z24" s="25">
        <f>IF(COUNTIFS(Versuchsdaten!$A$2:$A$1117,$A24,Versuchsdaten!$B$2:$B$1117,"prä",Versuchsdaten!$C$2:$C$1117,"Standweitsprung",Versuchsdaten!$O$2:$O$1117,1)=0,"",_xlfn.MAXIFS(Versuchsdaten!$F$2:$F$1117,Versuchsdaten!$A$2:$A$1117,$A24,Versuchsdaten!$B$2:$B$1117,"prä",Versuchsdaten!$C$2:$C$1117,"Standweitsprung",Versuchsdaten!$O$2:$O$1117,1))</f>
        <v/>
      </c>
      <c r="AA24" s="25">
        <f>IF(COUNTIFS(Versuchsdaten!$A$2:$A$1117,$A24,Versuchsdaten!$B$2:$B$1117,"post",Versuchsdaten!$C$2:$C$1117,"Standweitsprung",Versuchsdaten!$O$2:$O$1117,1)=0,"",_xlfn.MAXIFS(Versuchsdaten!$F$2:$F$1117,Versuchsdaten!$A$2:$A$1117,$A24,Versuchsdaten!$B$2:$B$1117,"post",Versuchsdaten!$C$2:$C$1117,"Standweitsprung",Versuchsdaten!$O$2:$O$1117,1))</f>
        <v/>
      </c>
      <c r="AB24" s="25">
        <f>IF(AND(ISNUMBER(Q24),ISNUMBER(S24),ISNUMBER(O24)),1,0)</f>
        <v/>
      </c>
      <c r="AC24" s="25">
        <f>IF(AND(ISNUMBER(V24),ISNUMBER(Y24),ISNUMBER(O24)),1,0)</f>
        <v/>
      </c>
      <c r="AD24" s="25">
        <f>IF(AND(ISNUMBER(Z24),ISNUMBER(AA24),ISNUMBER(O24)),1,0)</f>
        <v/>
      </c>
      <c r="AE24" s="25">
        <f>IF(D24=0,"",IF(COUNTIF(Zuordnung!$B$2:$B$23,$A24)=0,"",COUNTIFS(Fragebogen_A!$M$2:$M$112,$A24,Fragebogen_A!$F$2:$F$112,1)))</f>
        <v/>
      </c>
      <c r="AF24" s="25">
        <f>IF(AB24=1,COUNTIF($AB$4:AB24,1),"")</f>
        <v/>
      </c>
      <c r="AH24" s="25">
        <f>IF(AND(O24="",Analysedaten!E24=""),0,IF(OR(O24="",Analysedaten!E24=""),1,IF(ABS(O24-Analysedaten!E24)&lt;=0.000000001*MAX(1,ABS(Analysedaten!E24)),0,1)))</f>
        <v/>
      </c>
      <c r="AI24" s="25">
        <f>IF(AND(Q24="",Analysedaten!F24=""),0,IF(OR(Q24="",Analysedaten!F24=""),1,IF(ABS(Q24-Analysedaten!F24)&lt;=0.000000001*MAX(1,ABS(Analysedaten!F24)),0,1)))</f>
        <v/>
      </c>
      <c r="AJ24" s="25">
        <f>IF(AND(S24="",Analysedaten!G24=""),0,IF(OR(S24="",Analysedaten!G24=""),1,IF(ABS(S24-Analysedaten!G24)&lt;=0.000000001*MAX(1,ABS(Analysedaten!G24)),0,1)))</f>
        <v/>
      </c>
      <c r="AK24" s="25">
        <f>IF(AND(V24="",Analysedaten!H24=""),0,IF(OR(V24="",Analysedaten!H24=""),1,IF(ABS(V24-Analysedaten!H24)&lt;=0.000000001*MAX(1,ABS(Analysedaten!H24)),0,1)))</f>
        <v/>
      </c>
      <c r="AL24" s="25">
        <f>IF(AND(Y24="",Analysedaten!I24=""),0,IF(OR(Y24="",Analysedaten!I24=""),1,IF(ABS(Y24-Analysedaten!I24)&lt;=0.000000001*MAX(1,ABS(Analysedaten!I24)),0,1)))</f>
        <v/>
      </c>
      <c r="AM24" s="25">
        <f>IF(AND(Z24="",Analysedaten!J24=""),0,IF(OR(Z24="",Analysedaten!J24=""),1,IF(ABS(Z24-Analysedaten!J24)&lt;=0.000000001*MAX(1,ABS(Analysedaten!J24)),0,1)))</f>
        <v/>
      </c>
      <c r="AN24" s="25">
        <f>IF(AND(AA24="",Analysedaten!K24=""),0,IF(OR(AA24="",Analysedaten!K24=""),1,IF(ABS(AA24-Analysedaten!K24)&lt;=0.000000001*MAX(1,ABS(Analysedaten!K24)),0,1)))</f>
        <v/>
      </c>
      <c r="AO24" s="25">
        <f>IF(AND(AB24="",Analysedaten!L24=""),0,IF(OR(AB24="",Analysedaten!L24=""),1,IF(ABS(AB24-Analysedaten!L24)&lt;=0.000000001*MAX(1,ABS(Analysedaten!L24)),0,1)))</f>
        <v/>
      </c>
      <c r="AP24" s="25">
        <f>IF(AND(AC24="",Analysedaten!M24=""),0,IF(OR(AC24="",Analysedaten!M24=""),1,IF(ABS(AC24-Analysedaten!M24)&lt;=0.000000001*MAX(1,ABS(Analysedaten!M24)),0,1)))</f>
        <v/>
      </c>
      <c r="AQ24" s="25">
        <f>IF(AND(AD24="",Analysedaten!N24=""),0,IF(OR(AD24="",Analysedaten!N24=""),1,IF(ABS(AD24-Analysedaten!N24)&lt;=0.000000001*MAX(1,ABS(Analysedaten!N24)),0,1)))</f>
        <v/>
      </c>
      <c r="AR24" s="25">
        <f>IF(AND(AE24="",Analysedaten!O24=""),0,IF(OR(AE24="",Analysedaten!O24=""),1,IF(ABS(AE24-Analysedaten!O24)&lt;=0.000000001*MAX(1,ABS(Analysedaten!O24)),0,1)))</f>
        <v/>
      </c>
      <c r="AS24" s="25">
        <f>SUM(AH24:AR24)</f>
        <v/>
      </c>
    </row>
    <row r="25">
      <c r="A25" s="5" t="inlineStr">
        <is>
          <t>VS-04</t>
        </is>
      </c>
      <c r="B25" s="5" t="inlineStr">
        <is>
          <t>KG</t>
        </is>
      </c>
      <c r="C25" s="5" t="inlineStr">
        <is>
          <t>C</t>
        </is>
      </c>
      <c r="D25" s="5" t="n">
        <v>0</v>
      </c>
      <c r="E25" s="25">
        <f>IF(ISNUMBER(INDEX(Personendaten!$E$2:$E$32,MATCH($A25,Personendaten!$A$2:$A$32,0))),INDEX(Personendaten!$E$2:$E$32,MATCH($A25,Personendaten!$A$2:$A$32,0))/2.54,"")</f>
        <v/>
      </c>
      <c r="F25" s="25">
        <f>IF(ISNUMBER(INDEX(Personendaten!$F$2:$F$32,MATCH($A25,Personendaten!$A$2:$A$32,0))),INDEX(Personendaten!$F$2:$F$32,MATCH($A25,Personendaten!$A$2:$A$32,0))/0.45359237,"")</f>
        <v/>
      </c>
      <c r="G25" s="25">
        <f>IF(AND(ISNUMBER(INDEX(Personendaten!$G$2:$G$32,MATCH($A25,Personendaten!$A$2:$A$32,0))),ISNUMBER(INDEX(Personendaten!$H$2:$H$32,MATCH($A25,Personendaten!$A$2:$A$32,0)))),(INDEX(Personendaten!$G$2:$G$32,MATCH($A25,Personendaten!$A$2:$A$32,0))/2.54+INDEX(Personendaten!$H$2:$H$32,MATCH($A25,Personendaten!$A$2:$A$32,0))/2.54)/2,"")</f>
        <v/>
      </c>
      <c r="H25" s="25">
        <f>INT(2*INDEX(Personendaten!$D$2:$D$32,MATCH($A25,Personendaten!$A$2:$A$32,0)))/2</f>
        <v/>
      </c>
      <c r="I25" s="25">
        <f>(INDEX(Personendaten!$D$2:$D$32,MATCH($A25,Personendaten!$A$2:$A$32,0))-H25)/0.5</f>
        <v/>
      </c>
      <c r="J25" s="25">
        <f>IF($I25=0,INDEX(Koeffizienten_KR!$B$2:$B$29,MATCH($H25,Koeffizienten_KR!$A$2:$A$29,0)),(1-$I25)*INDEX(Koeffizienten_KR!$B$2:$B$29,MATCH($H25,Koeffizienten_KR!$A$2:$A$29,0))+$I25*INDEX(Koeffizienten_KR!$B$2:$B$29,MATCH($H25+0.5,Koeffizienten_KR!$A$2:$A$29,0)))</f>
        <v/>
      </c>
      <c r="K25" s="25">
        <f>IF($I25=0,INDEX(Koeffizienten_KR!$C$2:$C$29,MATCH($H25,Koeffizienten_KR!$A$2:$A$29,0)),(1-$I25)*INDEX(Koeffizienten_KR!$C$2:$C$29,MATCH($H25,Koeffizienten_KR!$A$2:$A$29,0))+$I25*INDEX(Koeffizienten_KR!$C$2:$C$29,MATCH($H25+0.5,Koeffizienten_KR!$A$2:$A$29,0)))</f>
        <v/>
      </c>
      <c r="L25" s="25">
        <f>IF($I25=0,INDEX(Koeffizienten_KR!$D$2:$D$29,MATCH($H25,Koeffizienten_KR!$A$2:$A$29,0)),(1-$I25)*INDEX(Koeffizienten_KR!$D$2:$D$29,MATCH($H25,Koeffizienten_KR!$A$2:$A$29,0))+$I25*INDEX(Koeffizienten_KR!$D$2:$D$29,MATCH($H25+0.5,Koeffizienten_KR!$A$2:$A$29,0)))</f>
        <v/>
      </c>
      <c r="M25" s="25">
        <f>IF($I25=0,INDEX(Koeffizienten_KR!$E$2:$E$29,MATCH($H25,Koeffizienten_KR!$A$2:$A$29,0)),(1-$I25)*INDEX(Koeffizienten_KR!$E$2:$E$29,MATCH($H25,Koeffizienten_KR!$A$2:$A$29,0))+$I25*INDEX(Koeffizienten_KR!$E$2:$E$29,MATCH($H25+0.5,Koeffizienten_KR!$A$2:$A$29,0)))</f>
        <v/>
      </c>
      <c r="N25" s="25">
        <f>IF(AND(ISNUMBER(E25),ISNUMBER(F25),ISNUMBER(G25),INDEX(Personendaten!$D$2:$D$32,MATCH($A25,Personendaten!$A$2:$A$32,0))&gt;=4,INDEX(Personendaten!$D$2:$D$32,MATCH($A25,Personendaten!$A$2:$A$32,0))&lt;=17.5),J25+K25*E25+L25*F25+M25*G25,"")</f>
        <v/>
      </c>
      <c r="O25" s="25">
        <f>IF(ISNUMBER(N25),100*E25/N25,"")</f>
        <v/>
      </c>
      <c r="P25" s="25">
        <f>COUNTIFS(Versuchsdaten!$A$2:$A$1117,$A25,Versuchsdaten!$B$2:$B$1117,"prä",Versuchsdaten!$C$2:$C$1117,"Sprint_30m",Versuchsdaten!$O$2:$O$1117,1)</f>
        <v/>
      </c>
      <c r="Q25" s="25">
        <f>IF(COUNTIFS(Versuchsdaten!$A$2:$A$1117,$A25,Versuchsdaten!$B$2:$B$1117,"prä",Versuchsdaten!$C$2:$C$1117,"Sprint_30m",Versuchsdaten!$O$2:$O$1117,1)=0,"",_xlfn.MINIFS(Versuchsdaten!$F$2:$F$1117,Versuchsdaten!$A$2:$A$1117,$A25,Versuchsdaten!$B$2:$B$1117,"prä",Versuchsdaten!$C$2:$C$1117,"Sprint_30m",Versuchsdaten!$O$2:$O$1117,1))</f>
        <v/>
      </c>
      <c r="R25" s="25">
        <f>COUNTIFS(Versuchsdaten!$A$2:$A$1117,$A25,Versuchsdaten!$B$2:$B$1117,"post",Versuchsdaten!$C$2:$C$1117,"Sprint_30m",Versuchsdaten!$O$2:$O$1117,1)</f>
        <v/>
      </c>
      <c r="S25" s="25">
        <f>IF(COUNTIFS(Versuchsdaten!$A$2:$A$1117,$A25,Versuchsdaten!$B$2:$B$1117,"post",Versuchsdaten!$C$2:$C$1117,"Sprint_30m",Versuchsdaten!$O$2:$O$1117,1)=0,"",_xlfn.MINIFS(Versuchsdaten!$F$2:$F$1117,Versuchsdaten!$A$2:$A$1117,$A25,Versuchsdaten!$B$2:$B$1117,"post",Versuchsdaten!$C$2:$C$1117,"Sprint_30m",Versuchsdaten!$O$2:$O$1117,1))</f>
        <v/>
      </c>
      <c r="T25" s="25">
        <f>IF(COUNTIFS(Versuchsdaten!$A$2:$A$1117,$A25,Versuchsdaten!$B$2:$B$1117,"prä",Versuchsdaten!$C$2:$C$1117,"COD_505",Versuchsdaten!$O$2:$O$1117,1,Versuchsdaten!$D$2:$D$1117,"L")=0,"",_xlfn.MINIFS(Versuchsdaten!$F$2:$F$1117,Versuchsdaten!$A$2:$A$1117,$A25,Versuchsdaten!$B$2:$B$1117,"prä",Versuchsdaten!$C$2:$C$1117,"COD_505",Versuchsdaten!$O$2:$O$1117,1,Versuchsdaten!$D$2:$D$1117,"L"))</f>
        <v/>
      </c>
      <c r="U25" s="25">
        <f>IF(COUNTIFS(Versuchsdaten!$A$2:$A$1117,$A25,Versuchsdaten!$B$2:$B$1117,"prä",Versuchsdaten!$C$2:$C$1117,"COD_505",Versuchsdaten!$O$2:$O$1117,1,Versuchsdaten!$D$2:$D$1117,"R")=0,"",_xlfn.MINIFS(Versuchsdaten!$F$2:$F$1117,Versuchsdaten!$A$2:$A$1117,$A25,Versuchsdaten!$B$2:$B$1117,"prä",Versuchsdaten!$C$2:$C$1117,"COD_505",Versuchsdaten!$O$2:$O$1117,1,Versuchsdaten!$D$2:$D$1117,"R"))</f>
        <v/>
      </c>
      <c r="V25" s="25">
        <f>IF(AND(ISNUMBER(T25),ISNUMBER(U25)),(T25+U25)/2,"")</f>
        <v/>
      </c>
      <c r="W25" s="25">
        <f>IF(COUNTIFS(Versuchsdaten!$A$2:$A$1117,$A25,Versuchsdaten!$B$2:$B$1117,"post",Versuchsdaten!$C$2:$C$1117,"COD_505",Versuchsdaten!$O$2:$O$1117,1,Versuchsdaten!$D$2:$D$1117,"L")=0,"",_xlfn.MINIFS(Versuchsdaten!$F$2:$F$1117,Versuchsdaten!$A$2:$A$1117,$A25,Versuchsdaten!$B$2:$B$1117,"post",Versuchsdaten!$C$2:$C$1117,"COD_505",Versuchsdaten!$O$2:$O$1117,1,Versuchsdaten!$D$2:$D$1117,"L"))</f>
        <v/>
      </c>
      <c r="X25" s="25">
        <f>IF(COUNTIFS(Versuchsdaten!$A$2:$A$1117,$A25,Versuchsdaten!$B$2:$B$1117,"post",Versuchsdaten!$C$2:$C$1117,"COD_505",Versuchsdaten!$O$2:$O$1117,1,Versuchsdaten!$D$2:$D$1117,"R")=0,"",_xlfn.MINIFS(Versuchsdaten!$F$2:$F$1117,Versuchsdaten!$A$2:$A$1117,$A25,Versuchsdaten!$B$2:$B$1117,"post",Versuchsdaten!$C$2:$C$1117,"COD_505",Versuchsdaten!$O$2:$O$1117,1,Versuchsdaten!$D$2:$D$1117,"R"))</f>
        <v/>
      </c>
      <c r="Y25" s="25">
        <f>IF(AND(ISNUMBER(W25),ISNUMBER(X25)),(W25+X25)/2,"")</f>
        <v/>
      </c>
      <c r="Z25" s="25">
        <f>IF(COUNTIFS(Versuchsdaten!$A$2:$A$1117,$A25,Versuchsdaten!$B$2:$B$1117,"prä",Versuchsdaten!$C$2:$C$1117,"Standweitsprung",Versuchsdaten!$O$2:$O$1117,1)=0,"",_xlfn.MAXIFS(Versuchsdaten!$F$2:$F$1117,Versuchsdaten!$A$2:$A$1117,$A25,Versuchsdaten!$B$2:$B$1117,"prä",Versuchsdaten!$C$2:$C$1117,"Standweitsprung",Versuchsdaten!$O$2:$O$1117,1))</f>
        <v/>
      </c>
      <c r="AA25" s="25">
        <f>IF(COUNTIFS(Versuchsdaten!$A$2:$A$1117,$A25,Versuchsdaten!$B$2:$B$1117,"post",Versuchsdaten!$C$2:$C$1117,"Standweitsprung",Versuchsdaten!$O$2:$O$1117,1)=0,"",_xlfn.MAXIFS(Versuchsdaten!$F$2:$F$1117,Versuchsdaten!$A$2:$A$1117,$A25,Versuchsdaten!$B$2:$B$1117,"post",Versuchsdaten!$C$2:$C$1117,"Standweitsprung",Versuchsdaten!$O$2:$O$1117,1))</f>
        <v/>
      </c>
      <c r="AB25" s="25">
        <f>IF(AND(ISNUMBER(Q25),ISNUMBER(S25),ISNUMBER(O25)),1,0)</f>
        <v/>
      </c>
      <c r="AC25" s="25">
        <f>IF(AND(ISNUMBER(V25),ISNUMBER(Y25),ISNUMBER(O25)),1,0)</f>
        <v/>
      </c>
      <c r="AD25" s="25">
        <f>IF(AND(ISNUMBER(Z25),ISNUMBER(AA25),ISNUMBER(O25)),1,0)</f>
        <v/>
      </c>
      <c r="AE25" s="25">
        <f>IF(D25=0,"",IF(COUNTIF(Zuordnung!$B$2:$B$23,$A25)=0,"",COUNTIFS(Fragebogen_A!$M$2:$M$112,$A25,Fragebogen_A!$F$2:$F$112,1)))</f>
        <v/>
      </c>
      <c r="AF25" s="25">
        <f>IF(AB25=1,COUNTIF($AB$4:AB25,1),"")</f>
        <v/>
      </c>
      <c r="AH25" s="25">
        <f>IF(AND(O25="",Analysedaten!E25=""),0,IF(OR(O25="",Analysedaten!E25=""),1,IF(ABS(O25-Analysedaten!E25)&lt;=0.000000001*MAX(1,ABS(Analysedaten!E25)),0,1)))</f>
        <v/>
      </c>
      <c r="AI25" s="25">
        <f>IF(AND(Q25="",Analysedaten!F25=""),0,IF(OR(Q25="",Analysedaten!F25=""),1,IF(ABS(Q25-Analysedaten!F25)&lt;=0.000000001*MAX(1,ABS(Analysedaten!F25)),0,1)))</f>
        <v/>
      </c>
      <c r="AJ25" s="25">
        <f>IF(AND(S25="",Analysedaten!G25=""),0,IF(OR(S25="",Analysedaten!G25=""),1,IF(ABS(S25-Analysedaten!G25)&lt;=0.000000001*MAX(1,ABS(Analysedaten!G25)),0,1)))</f>
        <v/>
      </c>
      <c r="AK25" s="25">
        <f>IF(AND(V25="",Analysedaten!H25=""),0,IF(OR(V25="",Analysedaten!H25=""),1,IF(ABS(V25-Analysedaten!H25)&lt;=0.000000001*MAX(1,ABS(Analysedaten!H25)),0,1)))</f>
        <v/>
      </c>
      <c r="AL25" s="25">
        <f>IF(AND(Y25="",Analysedaten!I25=""),0,IF(OR(Y25="",Analysedaten!I25=""),1,IF(ABS(Y25-Analysedaten!I25)&lt;=0.000000001*MAX(1,ABS(Analysedaten!I25)),0,1)))</f>
        <v/>
      </c>
      <c r="AM25" s="25">
        <f>IF(AND(Z25="",Analysedaten!J25=""),0,IF(OR(Z25="",Analysedaten!J25=""),1,IF(ABS(Z25-Analysedaten!J25)&lt;=0.000000001*MAX(1,ABS(Analysedaten!J25)),0,1)))</f>
        <v/>
      </c>
      <c r="AN25" s="25">
        <f>IF(AND(AA25="",Analysedaten!K25=""),0,IF(OR(AA25="",Analysedaten!K25=""),1,IF(ABS(AA25-Analysedaten!K25)&lt;=0.000000001*MAX(1,ABS(Analysedaten!K25)),0,1)))</f>
        <v/>
      </c>
      <c r="AO25" s="25">
        <f>IF(AND(AB25="",Analysedaten!L25=""),0,IF(OR(AB25="",Analysedaten!L25=""),1,IF(ABS(AB25-Analysedaten!L25)&lt;=0.000000001*MAX(1,ABS(Analysedaten!L25)),0,1)))</f>
        <v/>
      </c>
      <c r="AP25" s="25">
        <f>IF(AND(AC25="",Analysedaten!M25=""),0,IF(OR(AC25="",Analysedaten!M25=""),1,IF(ABS(AC25-Analysedaten!M25)&lt;=0.000000001*MAX(1,ABS(Analysedaten!M25)),0,1)))</f>
        <v/>
      </c>
      <c r="AQ25" s="25">
        <f>IF(AND(AD25="",Analysedaten!N25=""),0,IF(OR(AD25="",Analysedaten!N25=""),1,IF(ABS(AD25-Analysedaten!N25)&lt;=0.000000001*MAX(1,ABS(Analysedaten!N25)),0,1)))</f>
        <v/>
      </c>
      <c r="AR25" s="25">
        <f>IF(AND(AE25="",Analysedaten!O25=""),0,IF(OR(AE25="",Analysedaten!O25=""),1,IF(ABS(AE25-Analysedaten!O25)&lt;=0.000000001*MAX(1,ABS(Analysedaten!O25)),0,1)))</f>
        <v/>
      </c>
      <c r="AS25" s="25">
        <f>SUM(AH25:AR25)</f>
        <v/>
      </c>
    </row>
    <row r="26">
      <c r="A26" s="5" t="inlineStr">
        <is>
          <t>VS-05</t>
        </is>
      </c>
      <c r="B26" s="5" t="inlineStr">
        <is>
          <t>KG</t>
        </is>
      </c>
      <c r="C26" s="5" t="inlineStr">
        <is>
          <t>C</t>
        </is>
      </c>
      <c r="D26" s="5" t="n">
        <v>0</v>
      </c>
      <c r="E26" s="25">
        <f>IF(ISNUMBER(INDEX(Personendaten!$E$2:$E$32,MATCH($A26,Personendaten!$A$2:$A$32,0))),INDEX(Personendaten!$E$2:$E$32,MATCH($A26,Personendaten!$A$2:$A$32,0))/2.54,"")</f>
        <v/>
      </c>
      <c r="F26" s="25">
        <f>IF(ISNUMBER(INDEX(Personendaten!$F$2:$F$32,MATCH($A26,Personendaten!$A$2:$A$32,0))),INDEX(Personendaten!$F$2:$F$32,MATCH($A26,Personendaten!$A$2:$A$32,0))/0.45359237,"")</f>
        <v/>
      </c>
      <c r="G26" s="25">
        <f>IF(AND(ISNUMBER(INDEX(Personendaten!$G$2:$G$32,MATCH($A26,Personendaten!$A$2:$A$32,0))),ISNUMBER(INDEX(Personendaten!$H$2:$H$32,MATCH($A26,Personendaten!$A$2:$A$32,0)))),(INDEX(Personendaten!$G$2:$G$32,MATCH($A26,Personendaten!$A$2:$A$32,0))/2.54+INDEX(Personendaten!$H$2:$H$32,MATCH($A26,Personendaten!$A$2:$A$32,0))/2.54)/2,"")</f>
        <v/>
      </c>
      <c r="H26" s="25">
        <f>INT(2*INDEX(Personendaten!$D$2:$D$32,MATCH($A26,Personendaten!$A$2:$A$32,0)))/2</f>
        <v/>
      </c>
      <c r="I26" s="25">
        <f>(INDEX(Personendaten!$D$2:$D$32,MATCH($A26,Personendaten!$A$2:$A$32,0))-H26)/0.5</f>
        <v/>
      </c>
      <c r="J26" s="25">
        <f>IF($I26=0,INDEX(Koeffizienten_KR!$B$2:$B$29,MATCH($H26,Koeffizienten_KR!$A$2:$A$29,0)),(1-$I26)*INDEX(Koeffizienten_KR!$B$2:$B$29,MATCH($H26,Koeffizienten_KR!$A$2:$A$29,0))+$I26*INDEX(Koeffizienten_KR!$B$2:$B$29,MATCH($H26+0.5,Koeffizienten_KR!$A$2:$A$29,0)))</f>
        <v/>
      </c>
      <c r="K26" s="25">
        <f>IF($I26=0,INDEX(Koeffizienten_KR!$C$2:$C$29,MATCH($H26,Koeffizienten_KR!$A$2:$A$29,0)),(1-$I26)*INDEX(Koeffizienten_KR!$C$2:$C$29,MATCH($H26,Koeffizienten_KR!$A$2:$A$29,0))+$I26*INDEX(Koeffizienten_KR!$C$2:$C$29,MATCH($H26+0.5,Koeffizienten_KR!$A$2:$A$29,0)))</f>
        <v/>
      </c>
      <c r="L26" s="25">
        <f>IF($I26=0,INDEX(Koeffizienten_KR!$D$2:$D$29,MATCH($H26,Koeffizienten_KR!$A$2:$A$29,0)),(1-$I26)*INDEX(Koeffizienten_KR!$D$2:$D$29,MATCH($H26,Koeffizienten_KR!$A$2:$A$29,0))+$I26*INDEX(Koeffizienten_KR!$D$2:$D$29,MATCH($H26+0.5,Koeffizienten_KR!$A$2:$A$29,0)))</f>
        <v/>
      </c>
      <c r="M26" s="25">
        <f>IF($I26=0,INDEX(Koeffizienten_KR!$E$2:$E$29,MATCH($H26,Koeffizienten_KR!$A$2:$A$29,0)),(1-$I26)*INDEX(Koeffizienten_KR!$E$2:$E$29,MATCH($H26,Koeffizienten_KR!$A$2:$A$29,0))+$I26*INDEX(Koeffizienten_KR!$E$2:$E$29,MATCH($H26+0.5,Koeffizienten_KR!$A$2:$A$29,0)))</f>
        <v/>
      </c>
      <c r="N26" s="25">
        <f>IF(AND(ISNUMBER(E26),ISNUMBER(F26),ISNUMBER(G26),INDEX(Personendaten!$D$2:$D$32,MATCH($A26,Personendaten!$A$2:$A$32,0))&gt;=4,INDEX(Personendaten!$D$2:$D$32,MATCH($A26,Personendaten!$A$2:$A$32,0))&lt;=17.5),J26+K26*E26+L26*F26+M26*G26,"")</f>
        <v/>
      </c>
      <c r="O26" s="25">
        <f>IF(ISNUMBER(N26),100*E26/N26,"")</f>
        <v/>
      </c>
      <c r="P26" s="25">
        <f>COUNTIFS(Versuchsdaten!$A$2:$A$1117,$A26,Versuchsdaten!$B$2:$B$1117,"prä",Versuchsdaten!$C$2:$C$1117,"Sprint_30m",Versuchsdaten!$O$2:$O$1117,1)</f>
        <v/>
      </c>
      <c r="Q26" s="25">
        <f>IF(COUNTIFS(Versuchsdaten!$A$2:$A$1117,$A26,Versuchsdaten!$B$2:$B$1117,"prä",Versuchsdaten!$C$2:$C$1117,"Sprint_30m",Versuchsdaten!$O$2:$O$1117,1)=0,"",_xlfn.MINIFS(Versuchsdaten!$F$2:$F$1117,Versuchsdaten!$A$2:$A$1117,$A26,Versuchsdaten!$B$2:$B$1117,"prä",Versuchsdaten!$C$2:$C$1117,"Sprint_30m",Versuchsdaten!$O$2:$O$1117,1))</f>
        <v/>
      </c>
      <c r="R26" s="25">
        <f>COUNTIFS(Versuchsdaten!$A$2:$A$1117,$A26,Versuchsdaten!$B$2:$B$1117,"post",Versuchsdaten!$C$2:$C$1117,"Sprint_30m",Versuchsdaten!$O$2:$O$1117,1)</f>
        <v/>
      </c>
      <c r="S26" s="25">
        <f>IF(COUNTIFS(Versuchsdaten!$A$2:$A$1117,$A26,Versuchsdaten!$B$2:$B$1117,"post",Versuchsdaten!$C$2:$C$1117,"Sprint_30m",Versuchsdaten!$O$2:$O$1117,1)=0,"",_xlfn.MINIFS(Versuchsdaten!$F$2:$F$1117,Versuchsdaten!$A$2:$A$1117,$A26,Versuchsdaten!$B$2:$B$1117,"post",Versuchsdaten!$C$2:$C$1117,"Sprint_30m",Versuchsdaten!$O$2:$O$1117,1))</f>
        <v/>
      </c>
      <c r="T26" s="25">
        <f>IF(COUNTIFS(Versuchsdaten!$A$2:$A$1117,$A26,Versuchsdaten!$B$2:$B$1117,"prä",Versuchsdaten!$C$2:$C$1117,"COD_505",Versuchsdaten!$O$2:$O$1117,1,Versuchsdaten!$D$2:$D$1117,"L")=0,"",_xlfn.MINIFS(Versuchsdaten!$F$2:$F$1117,Versuchsdaten!$A$2:$A$1117,$A26,Versuchsdaten!$B$2:$B$1117,"prä",Versuchsdaten!$C$2:$C$1117,"COD_505",Versuchsdaten!$O$2:$O$1117,1,Versuchsdaten!$D$2:$D$1117,"L"))</f>
        <v/>
      </c>
      <c r="U26" s="25">
        <f>IF(COUNTIFS(Versuchsdaten!$A$2:$A$1117,$A26,Versuchsdaten!$B$2:$B$1117,"prä",Versuchsdaten!$C$2:$C$1117,"COD_505",Versuchsdaten!$O$2:$O$1117,1,Versuchsdaten!$D$2:$D$1117,"R")=0,"",_xlfn.MINIFS(Versuchsdaten!$F$2:$F$1117,Versuchsdaten!$A$2:$A$1117,$A26,Versuchsdaten!$B$2:$B$1117,"prä",Versuchsdaten!$C$2:$C$1117,"COD_505",Versuchsdaten!$O$2:$O$1117,1,Versuchsdaten!$D$2:$D$1117,"R"))</f>
        <v/>
      </c>
      <c r="V26" s="25">
        <f>IF(AND(ISNUMBER(T26),ISNUMBER(U26)),(T26+U26)/2,"")</f>
        <v/>
      </c>
      <c r="W26" s="25">
        <f>IF(COUNTIFS(Versuchsdaten!$A$2:$A$1117,$A26,Versuchsdaten!$B$2:$B$1117,"post",Versuchsdaten!$C$2:$C$1117,"COD_505",Versuchsdaten!$O$2:$O$1117,1,Versuchsdaten!$D$2:$D$1117,"L")=0,"",_xlfn.MINIFS(Versuchsdaten!$F$2:$F$1117,Versuchsdaten!$A$2:$A$1117,$A26,Versuchsdaten!$B$2:$B$1117,"post",Versuchsdaten!$C$2:$C$1117,"COD_505",Versuchsdaten!$O$2:$O$1117,1,Versuchsdaten!$D$2:$D$1117,"L"))</f>
        <v/>
      </c>
      <c r="X26" s="25">
        <f>IF(COUNTIFS(Versuchsdaten!$A$2:$A$1117,$A26,Versuchsdaten!$B$2:$B$1117,"post",Versuchsdaten!$C$2:$C$1117,"COD_505",Versuchsdaten!$O$2:$O$1117,1,Versuchsdaten!$D$2:$D$1117,"R")=0,"",_xlfn.MINIFS(Versuchsdaten!$F$2:$F$1117,Versuchsdaten!$A$2:$A$1117,$A26,Versuchsdaten!$B$2:$B$1117,"post",Versuchsdaten!$C$2:$C$1117,"COD_505",Versuchsdaten!$O$2:$O$1117,1,Versuchsdaten!$D$2:$D$1117,"R"))</f>
        <v/>
      </c>
      <c r="Y26" s="25">
        <f>IF(AND(ISNUMBER(W26),ISNUMBER(X26)),(W26+X26)/2,"")</f>
        <v/>
      </c>
      <c r="Z26" s="25">
        <f>IF(COUNTIFS(Versuchsdaten!$A$2:$A$1117,$A26,Versuchsdaten!$B$2:$B$1117,"prä",Versuchsdaten!$C$2:$C$1117,"Standweitsprung",Versuchsdaten!$O$2:$O$1117,1)=0,"",_xlfn.MAXIFS(Versuchsdaten!$F$2:$F$1117,Versuchsdaten!$A$2:$A$1117,$A26,Versuchsdaten!$B$2:$B$1117,"prä",Versuchsdaten!$C$2:$C$1117,"Standweitsprung",Versuchsdaten!$O$2:$O$1117,1))</f>
        <v/>
      </c>
      <c r="AA26" s="25">
        <f>IF(COUNTIFS(Versuchsdaten!$A$2:$A$1117,$A26,Versuchsdaten!$B$2:$B$1117,"post",Versuchsdaten!$C$2:$C$1117,"Standweitsprung",Versuchsdaten!$O$2:$O$1117,1)=0,"",_xlfn.MAXIFS(Versuchsdaten!$F$2:$F$1117,Versuchsdaten!$A$2:$A$1117,$A26,Versuchsdaten!$B$2:$B$1117,"post",Versuchsdaten!$C$2:$C$1117,"Standweitsprung",Versuchsdaten!$O$2:$O$1117,1))</f>
        <v/>
      </c>
      <c r="AB26" s="25">
        <f>IF(AND(ISNUMBER(Q26),ISNUMBER(S26),ISNUMBER(O26)),1,0)</f>
        <v/>
      </c>
      <c r="AC26" s="25">
        <f>IF(AND(ISNUMBER(V26),ISNUMBER(Y26),ISNUMBER(O26)),1,0)</f>
        <v/>
      </c>
      <c r="AD26" s="25">
        <f>IF(AND(ISNUMBER(Z26),ISNUMBER(AA26),ISNUMBER(O26)),1,0)</f>
        <v/>
      </c>
      <c r="AE26" s="25">
        <f>IF(D26=0,"",IF(COUNTIF(Zuordnung!$B$2:$B$23,$A26)=0,"",COUNTIFS(Fragebogen_A!$M$2:$M$112,$A26,Fragebogen_A!$F$2:$F$112,1)))</f>
        <v/>
      </c>
      <c r="AF26" s="25">
        <f>IF(AB26=1,COUNTIF($AB$4:AB26,1),"")</f>
        <v/>
      </c>
      <c r="AH26" s="25">
        <f>IF(AND(O26="",Analysedaten!E26=""),0,IF(OR(O26="",Analysedaten!E26=""),1,IF(ABS(O26-Analysedaten!E26)&lt;=0.000000001*MAX(1,ABS(Analysedaten!E26)),0,1)))</f>
        <v/>
      </c>
      <c r="AI26" s="25">
        <f>IF(AND(Q26="",Analysedaten!F26=""),0,IF(OR(Q26="",Analysedaten!F26=""),1,IF(ABS(Q26-Analysedaten!F26)&lt;=0.000000001*MAX(1,ABS(Analysedaten!F26)),0,1)))</f>
        <v/>
      </c>
      <c r="AJ26" s="25">
        <f>IF(AND(S26="",Analysedaten!G26=""),0,IF(OR(S26="",Analysedaten!G26=""),1,IF(ABS(S26-Analysedaten!G26)&lt;=0.000000001*MAX(1,ABS(Analysedaten!G26)),0,1)))</f>
        <v/>
      </c>
      <c r="AK26" s="25">
        <f>IF(AND(V26="",Analysedaten!H26=""),0,IF(OR(V26="",Analysedaten!H26=""),1,IF(ABS(V26-Analysedaten!H26)&lt;=0.000000001*MAX(1,ABS(Analysedaten!H26)),0,1)))</f>
        <v/>
      </c>
      <c r="AL26" s="25">
        <f>IF(AND(Y26="",Analysedaten!I26=""),0,IF(OR(Y26="",Analysedaten!I26=""),1,IF(ABS(Y26-Analysedaten!I26)&lt;=0.000000001*MAX(1,ABS(Analysedaten!I26)),0,1)))</f>
        <v/>
      </c>
      <c r="AM26" s="25">
        <f>IF(AND(Z26="",Analysedaten!J26=""),0,IF(OR(Z26="",Analysedaten!J26=""),1,IF(ABS(Z26-Analysedaten!J26)&lt;=0.000000001*MAX(1,ABS(Analysedaten!J26)),0,1)))</f>
        <v/>
      </c>
      <c r="AN26" s="25">
        <f>IF(AND(AA26="",Analysedaten!K26=""),0,IF(OR(AA26="",Analysedaten!K26=""),1,IF(ABS(AA26-Analysedaten!K26)&lt;=0.000000001*MAX(1,ABS(Analysedaten!K26)),0,1)))</f>
        <v/>
      </c>
      <c r="AO26" s="25">
        <f>IF(AND(AB26="",Analysedaten!L26=""),0,IF(OR(AB26="",Analysedaten!L26=""),1,IF(ABS(AB26-Analysedaten!L26)&lt;=0.000000001*MAX(1,ABS(Analysedaten!L26)),0,1)))</f>
        <v/>
      </c>
      <c r="AP26" s="25">
        <f>IF(AND(AC26="",Analysedaten!M26=""),0,IF(OR(AC26="",Analysedaten!M26=""),1,IF(ABS(AC26-Analysedaten!M26)&lt;=0.000000001*MAX(1,ABS(Analysedaten!M26)),0,1)))</f>
        <v/>
      </c>
      <c r="AQ26" s="25">
        <f>IF(AND(AD26="",Analysedaten!N26=""),0,IF(OR(AD26="",Analysedaten!N26=""),1,IF(ABS(AD26-Analysedaten!N26)&lt;=0.000000001*MAX(1,ABS(Analysedaten!N26)),0,1)))</f>
        <v/>
      </c>
      <c r="AR26" s="25">
        <f>IF(AND(AE26="",Analysedaten!O26=""),0,IF(OR(AE26="",Analysedaten!O26=""),1,IF(ABS(AE26-Analysedaten!O26)&lt;=0.000000001*MAX(1,ABS(Analysedaten!O26)),0,1)))</f>
        <v/>
      </c>
      <c r="AS26" s="25">
        <f>SUM(AH26:AR26)</f>
        <v/>
      </c>
    </row>
    <row r="27">
      <c r="A27" s="5" t="inlineStr">
        <is>
          <t>VS-06</t>
        </is>
      </c>
      <c r="B27" s="5" t="inlineStr">
        <is>
          <t>KG</t>
        </is>
      </c>
      <c r="C27" s="5" t="inlineStr">
        <is>
          <t>C</t>
        </is>
      </c>
      <c r="D27" s="5" t="n">
        <v>0</v>
      </c>
      <c r="E27" s="25">
        <f>IF(ISNUMBER(INDEX(Personendaten!$E$2:$E$32,MATCH($A27,Personendaten!$A$2:$A$32,0))),INDEX(Personendaten!$E$2:$E$32,MATCH($A27,Personendaten!$A$2:$A$32,0))/2.54,"")</f>
        <v/>
      </c>
      <c r="F27" s="25">
        <f>IF(ISNUMBER(INDEX(Personendaten!$F$2:$F$32,MATCH($A27,Personendaten!$A$2:$A$32,0))),INDEX(Personendaten!$F$2:$F$32,MATCH($A27,Personendaten!$A$2:$A$32,0))/0.45359237,"")</f>
        <v/>
      </c>
      <c r="G27" s="25">
        <f>IF(AND(ISNUMBER(INDEX(Personendaten!$G$2:$G$32,MATCH($A27,Personendaten!$A$2:$A$32,0))),ISNUMBER(INDEX(Personendaten!$H$2:$H$32,MATCH($A27,Personendaten!$A$2:$A$32,0)))),(INDEX(Personendaten!$G$2:$G$32,MATCH($A27,Personendaten!$A$2:$A$32,0))/2.54+INDEX(Personendaten!$H$2:$H$32,MATCH($A27,Personendaten!$A$2:$A$32,0))/2.54)/2,"")</f>
        <v/>
      </c>
      <c r="H27" s="25">
        <f>INT(2*INDEX(Personendaten!$D$2:$D$32,MATCH($A27,Personendaten!$A$2:$A$32,0)))/2</f>
        <v/>
      </c>
      <c r="I27" s="25">
        <f>(INDEX(Personendaten!$D$2:$D$32,MATCH($A27,Personendaten!$A$2:$A$32,0))-H27)/0.5</f>
        <v/>
      </c>
      <c r="J27" s="25">
        <f>IF($I27=0,INDEX(Koeffizienten_KR!$B$2:$B$29,MATCH($H27,Koeffizienten_KR!$A$2:$A$29,0)),(1-$I27)*INDEX(Koeffizienten_KR!$B$2:$B$29,MATCH($H27,Koeffizienten_KR!$A$2:$A$29,0))+$I27*INDEX(Koeffizienten_KR!$B$2:$B$29,MATCH($H27+0.5,Koeffizienten_KR!$A$2:$A$29,0)))</f>
        <v/>
      </c>
      <c r="K27" s="25">
        <f>IF($I27=0,INDEX(Koeffizienten_KR!$C$2:$C$29,MATCH($H27,Koeffizienten_KR!$A$2:$A$29,0)),(1-$I27)*INDEX(Koeffizienten_KR!$C$2:$C$29,MATCH($H27,Koeffizienten_KR!$A$2:$A$29,0))+$I27*INDEX(Koeffizienten_KR!$C$2:$C$29,MATCH($H27+0.5,Koeffizienten_KR!$A$2:$A$29,0)))</f>
        <v/>
      </c>
      <c r="L27" s="25">
        <f>IF($I27=0,INDEX(Koeffizienten_KR!$D$2:$D$29,MATCH($H27,Koeffizienten_KR!$A$2:$A$29,0)),(1-$I27)*INDEX(Koeffizienten_KR!$D$2:$D$29,MATCH($H27,Koeffizienten_KR!$A$2:$A$29,0))+$I27*INDEX(Koeffizienten_KR!$D$2:$D$29,MATCH($H27+0.5,Koeffizienten_KR!$A$2:$A$29,0)))</f>
        <v/>
      </c>
      <c r="M27" s="25">
        <f>IF($I27=0,INDEX(Koeffizienten_KR!$E$2:$E$29,MATCH($H27,Koeffizienten_KR!$A$2:$A$29,0)),(1-$I27)*INDEX(Koeffizienten_KR!$E$2:$E$29,MATCH($H27,Koeffizienten_KR!$A$2:$A$29,0))+$I27*INDEX(Koeffizienten_KR!$E$2:$E$29,MATCH($H27+0.5,Koeffizienten_KR!$A$2:$A$29,0)))</f>
        <v/>
      </c>
      <c r="N27" s="25">
        <f>IF(AND(ISNUMBER(E27),ISNUMBER(F27),ISNUMBER(G27),INDEX(Personendaten!$D$2:$D$32,MATCH($A27,Personendaten!$A$2:$A$32,0))&gt;=4,INDEX(Personendaten!$D$2:$D$32,MATCH($A27,Personendaten!$A$2:$A$32,0))&lt;=17.5),J27+K27*E27+L27*F27+M27*G27,"")</f>
        <v/>
      </c>
      <c r="O27" s="25">
        <f>IF(ISNUMBER(N27),100*E27/N27,"")</f>
        <v/>
      </c>
      <c r="P27" s="25">
        <f>COUNTIFS(Versuchsdaten!$A$2:$A$1117,$A27,Versuchsdaten!$B$2:$B$1117,"prä",Versuchsdaten!$C$2:$C$1117,"Sprint_30m",Versuchsdaten!$O$2:$O$1117,1)</f>
        <v/>
      </c>
      <c r="Q27" s="25">
        <f>IF(COUNTIFS(Versuchsdaten!$A$2:$A$1117,$A27,Versuchsdaten!$B$2:$B$1117,"prä",Versuchsdaten!$C$2:$C$1117,"Sprint_30m",Versuchsdaten!$O$2:$O$1117,1)=0,"",_xlfn.MINIFS(Versuchsdaten!$F$2:$F$1117,Versuchsdaten!$A$2:$A$1117,$A27,Versuchsdaten!$B$2:$B$1117,"prä",Versuchsdaten!$C$2:$C$1117,"Sprint_30m",Versuchsdaten!$O$2:$O$1117,1))</f>
        <v/>
      </c>
      <c r="R27" s="25">
        <f>COUNTIFS(Versuchsdaten!$A$2:$A$1117,$A27,Versuchsdaten!$B$2:$B$1117,"post",Versuchsdaten!$C$2:$C$1117,"Sprint_30m",Versuchsdaten!$O$2:$O$1117,1)</f>
        <v/>
      </c>
      <c r="S27" s="25">
        <f>IF(COUNTIFS(Versuchsdaten!$A$2:$A$1117,$A27,Versuchsdaten!$B$2:$B$1117,"post",Versuchsdaten!$C$2:$C$1117,"Sprint_30m",Versuchsdaten!$O$2:$O$1117,1)=0,"",_xlfn.MINIFS(Versuchsdaten!$F$2:$F$1117,Versuchsdaten!$A$2:$A$1117,$A27,Versuchsdaten!$B$2:$B$1117,"post",Versuchsdaten!$C$2:$C$1117,"Sprint_30m",Versuchsdaten!$O$2:$O$1117,1))</f>
        <v/>
      </c>
      <c r="T27" s="25">
        <f>IF(COUNTIFS(Versuchsdaten!$A$2:$A$1117,$A27,Versuchsdaten!$B$2:$B$1117,"prä",Versuchsdaten!$C$2:$C$1117,"COD_505",Versuchsdaten!$O$2:$O$1117,1,Versuchsdaten!$D$2:$D$1117,"L")=0,"",_xlfn.MINIFS(Versuchsdaten!$F$2:$F$1117,Versuchsdaten!$A$2:$A$1117,$A27,Versuchsdaten!$B$2:$B$1117,"prä",Versuchsdaten!$C$2:$C$1117,"COD_505",Versuchsdaten!$O$2:$O$1117,1,Versuchsdaten!$D$2:$D$1117,"L"))</f>
        <v/>
      </c>
      <c r="U27" s="25">
        <f>IF(COUNTIFS(Versuchsdaten!$A$2:$A$1117,$A27,Versuchsdaten!$B$2:$B$1117,"prä",Versuchsdaten!$C$2:$C$1117,"COD_505",Versuchsdaten!$O$2:$O$1117,1,Versuchsdaten!$D$2:$D$1117,"R")=0,"",_xlfn.MINIFS(Versuchsdaten!$F$2:$F$1117,Versuchsdaten!$A$2:$A$1117,$A27,Versuchsdaten!$B$2:$B$1117,"prä",Versuchsdaten!$C$2:$C$1117,"COD_505",Versuchsdaten!$O$2:$O$1117,1,Versuchsdaten!$D$2:$D$1117,"R"))</f>
        <v/>
      </c>
      <c r="V27" s="25">
        <f>IF(AND(ISNUMBER(T27),ISNUMBER(U27)),(T27+U27)/2,"")</f>
        <v/>
      </c>
      <c r="W27" s="25">
        <f>IF(COUNTIFS(Versuchsdaten!$A$2:$A$1117,$A27,Versuchsdaten!$B$2:$B$1117,"post",Versuchsdaten!$C$2:$C$1117,"COD_505",Versuchsdaten!$O$2:$O$1117,1,Versuchsdaten!$D$2:$D$1117,"L")=0,"",_xlfn.MINIFS(Versuchsdaten!$F$2:$F$1117,Versuchsdaten!$A$2:$A$1117,$A27,Versuchsdaten!$B$2:$B$1117,"post",Versuchsdaten!$C$2:$C$1117,"COD_505",Versuchsdaten!$O$2:$O$1117,1,Versuchsdaten!$D$2:$D$1117,"L"))</f>
        <v/>
      </c>
      <c r="X27" s="25">
        <f>IF(COUNTIFS(Versuchsdaten!$A$2:$A$1117,$A27,Versuchsdaten!$B$2:$B$1117,"post",Versuchsdaten!$C$2:$C$1117,"COD_505",Versuchsdaten!$O$2:$O$1117,1,Versuchsdaten!$D$2:$D$1117,"R")=0,"",_xlfn.MINIFS(Versuchsdaten!$F$2:$F$1117,Versuchsdaten!$A$2:$A$1117,$A27,Versuchsdaten!$B$2:$B$1117,"post",Versuchsdaten!$C$2:$C$1117,"COD_505",Versuchsdaten!$O$2:$O$1117,1,Versuchsdaten!$D$2:$D$1117,"R"))</f>
        <v/>
      </c>
      <c r="Y27" s="25">
        <f>IF(AND(ISNUMBER(W27),ISNUMBER(X27)),(W27+X27)/2,"")</f>
        <v/>
      </c>
      <c r="Z27" s="25">
        <f>IF(COUNTIFS(Versuchsdaten!$A$2:$A$1117,$A27,Versuchsdaten!$B$2:$B$1117,"prä",Versuchsdaten!$C$2:$C$1117,"Standweitsprung",Versuchsdaten!$O$2:$O$1117,1)=0,"",_xlfn.MAXIFS(Versuchsdaten!$F$2:$F$1117,Versuchsdaten!$A$2:$A$1117,$A27,Versuchsdaten!$B$2:$B$1117,"prä",Versuchsdaten!$C$2:$C$1117,"Standweitsprung",Versuchsdaten!$O$2:$O$1117,1))</f>
        <v/>
      </c>
      <c r="AA27" s="25">
        <f>IF(COUNTIFS(Versuchsdaten!$A$2:$A$1117,$A27,Versuchsdaten!$B$2:$B$1117,"post",Versuchsdaten!$C$2:$C$1117,"Standweitsprung",Versuchsdaten!$O$2:$O$1117,1)=0,"",_xlfn.MAXIFS(Versuchsdaten!$F$2:$F$1117,Versuchsdaten!$A$2:$A$1117,$A27,Versuchsdaten!$B$2:$B$1117,"post",Versuchsdaten!$C$2:$C$1117,"Standweitsprung",Versuchsdaten!$O$2:$O$1117,1))</f>
        <v/>
      </c>
      <c r="AB27" s="25">
        <f>IF(AND(ISNUMBER(Q27),ISNUMBER(S27),ISNUMBER(O27)),1,0)</f>
        <v/>
      </c>
      <c r="AC27" s="25">
        <f>IF(AND(ISNUMBER(V27),ISNUMBER(Y27),ISNUMBER(O27)),1,0)</f>
        <v/>
      </c>
      <c r="AD27" s="25">
        <f>IF(AND(ISNUMBER(Z27),ISNUMBER(AA27),ISNUMBER(O27)),1,0)</f>
        <v/>
      </c>
      <c r="AE27" s="25">
        <f>IF(D27=0,"",IF(COUNTIF(Zuordnung!$B$2:$B$23,$A27)=0,"",COUNTIFS(Fragebogen_A!$M$2:$M$112,$A27,Fragebogen_A!$F$2:$F$112,1)))</f>
        <v/>
      </c>
      <c r="AF27" s="25">
        <f>IF(AB27=1,COUNTIF($AB$4:AB27,1),"")</f>
        <v/>
      </c>
      <c r="AH27" s="25">
        <f>IF(AND(O27="",Analysedaten!E27=""),0,IF(OR(O27="",Analysedaten!E27=""),1,IF(ABS(O27-Analysedaten!E27)&lt;=0.000000001*MAX(1,ABS(Analysedaten!E27)),0,1)))</f>
        <v/>
      </c>
      <c r="AI27" s="25">
        <f>IF(AND(Q27="",Analysedaten!F27=""),0,IF(OR(Q27="",Analysedaten!F27=""),1,IF(ABS(Q27-Analysedaten!F27)&lt;=0.000000001*MAX(1,ABS(Analysedaten!F27)),0,1)))</f>
        <v/>
      </c>
      <c r="AJ27" s="25">
        <f>IF(AND(S27="",Analysedaten!G27=""),0,IF(OR(S27="",Analysedaten!G27=""),1,IF(ABS(S27-Analysedaten!G27)&lt;=0.000000001*MAX(1,ABS(Analysedaten!G27)),0,1)))</f>
        <v/>
      </c>
      <c r="AK27" s="25">
        <f>IF(AND(V27="",Analysedaten!H27=""),0,IF(OR(V27="",Analysedaten!H27=""),1,IF(ABS(V27-Analysedaten!H27)&lt;=0.000000001*MAX(1,ABS(Analysedaten!H27)),0,1)))</f>
        <v/>
      </c>
      <c r="AL27" s="25">
        <f>IF(AND(Y27="",Analysedaten!I27=""),0,IF(OR(Y27="",Analysedaten!I27=""),1,IF(ABS(Y27-Analysedaten!I27)&lt;=0.000000001*MAX(1,ABS(Analysedaten!I27)),0,1)))</f>
        <v/>
      </c>
      <c r="AM27" s="25">
        <f>IF(AND(Z27="",Analysedaten!J27=""),0,IF(OR(Z27="",Analysedaten!J27=""),1,IF(ABS(Z27-Analysedaten!J27)&lt;=0.000000001*MAX(1,ABS(Analysedaten!J27)),0,1)))</f>
        <v/>
      </c>
      <c r="AN27" s="25">
        <f>IF(AND(AA27="",Analysedaten!K27=""),0,IF(OR(AA27="",Analysedaten!K27=""),1,IF(ABS(AA27-Analysedaten!K27)&lt;=0.000000001*MAX(1,ABS(Analysedaten!K27)),0,1)))</f>
        <v/>
      </c>
      <c r="AO27" s="25">
        <f>IF(AND(AB27="",Analysedaten!L27=""),0,IF(OR(AB27="",Analysedaten!L27=""),1,IF(ABS(AB27-Analysedaten!L27)&lt;=0.000000001*MAX(1,ABS(Analysedaten!L27)),0,1)))</f>
        <v/>
      </c>
      <c r="AP27" s="25">
        <f>IF(AND(AC27="",Analysedaten!M27=""),0,IF(OR(AC27="",Analysedaten!M27=""),1,IF(ABS(AC27-Analysedaten!M27)&lt;=0.000000001*MAX(1,ABS(Analysedaten!M27)),0,1)))</f>
        <v/>
      </c>
      <c r="AQ27" s="25">
        <f>IF(AND(AD27="",Analysedaten!N27=""),0,IF(OR(AD27="",Analysedaten!N27=""),1,IF(ABS(AD27-Analysedaten!N27)&lt;=0.000000001*MAX(1,ABS(Analysedaten!N27)),0,1)))</f>
        <v/>
      </c>
      <c r="AR27" s="25">
        <f>IF(AND(AE27="",Analysedaten!O27=""),0,IF(OR(AE27="",Analysedaten!O27=""),1,IF(ABS(AE27-Analysedaten!O27)&lt;=0.000000001*MAX(1,ABS(Analysedaten!O27)),0,1)))</f>
        <v/>
      </c>
      <c r="AS27" s="25">
        <f>SUM(AH27:AR27)</f>
        <v/>
      </c>
    </row>
    <row r="28">
      <c r="A28" s="5" t="inlineStr">
        <is>
          <t>VS-07</t>
        </is>
      </c>
      <c r="B28" s="5" t="inlineStr">
        <is>
          <t>KG</t>
        </is>
      </c>
      <c r="C28" s="5" t="inlineStr">
        <is>
          <t>C</t>
        </is>
      </c>
      <c r="D28" s="5" t="n">
        <v>0</v>
      </c>
      <c r="E28" s="25">
        <f>IF(ISNUMBER(INDEX(Personendaten!$E$2:$E$32,MATCH($A28,Personendaten!$A$2:$A$32,0))),INDEX(Personendaten!$E$2:$E$32,MATCH($A28,Personendaten!$A$2:$A$32,0))/2.54,"")</f>
        <v/>
      </c>
      <c r="F28" s="25">
        <f>IF(ISNUMBER(INDEX(Personendaten!$F$2:$F$32,MATCH($A28,Personendaten!$A$2:$A$32,0))),INDEX(Personendaten!$F$2:$F$32,MATCH($A28,Personendaten!$A$2:$A$32,0))/0.45359237,"")</f>
        <v/>
      </c>
      <c r="G28" s="25">
        <f>IF(AND(ISNUMBER(INDEX(Personendaten!$G$2:$G$32,MATCH($A28,Personendaten!$A$2:$A$32,0))),ISNUMBER(INDEX(Personendaten!$H$2:$H$32,MATCH($A28,Personendaten!$A$2:$A$32,0)))),(INDEX(Personendaten!$G$2:$G$32,MATCH($A28,Personendaten!$A$2:$A$32,0))/2.54+INDEX(Personendaten!$H$2:$H$32,MATCH($A28,Personendaten!$A$2:$A$32,0))/2.54)/2,"")</f>
        <v/>
      </c>
      <c r="H28" s="25">
        <f>INT(2*INDEX(Personendaten!$D$2:$D$32,MATCH($A28,Personendaten!$A$2:$A$32,0)))/2</f>
        <v/>
      </c>
      <c r="I28" s="25">
        <f>(INDEX(Personendaten!$D$2:$D$32,MATCH($A28,Personendaten!$A$2:$A$32,0))-H28)/0.5</f>
        <v/>
      </c>
      <c r="J28" s="25">
        <f>IF($I28=0,INDEX(Koeffizienten_KR!$B$2:$B$29,MATCH($H28,Koeffizienten_KR!$A$2:$A$29,0)),(1-$I28)*INDEX(Koeffizienten_KR!$B$2:$B$29,MATCH($H28,Koeffizienten_KR!$A$2:$A$29,0))+$I28*INDEX(Koeffizienten_KR!$B$2:$B$29,MATCH($H28+0.5,Koeffizienten_KR!$A$2:$A$29,0)))</f>
        <v/>
      </c>
      <c r="K28" s="25">
        <f>IF($I28=0,INDEX(Koeffizienten_KR!$C$2:$C$29,MATCH($H28,Koeffizienten_KR!$A$2:$A$29,0)),(1-$I28)*INDEX(Koeffizienten_KR!$C$2:$C$29,MATCH($H28,Koeffizienten_KR!$A$2:$A$29,0))+$I28*INDEX(Koeffizienten_KR!$C$2:$C$29,MATCH($H28+0.5,Koeffizienten_KR!$A$2:$A$29,0)))</f>
        <v/>
      </c>
      <c r="L28" s="25">
        <f>IF($I28=0,INDEX(Koeffizienten_KR!$D$2:$D$29,MATCH($H28,Koeffizienten_KR!$A$2:$A$29,0)),(1-$I28)*INDEX(Koeffizienten_KR!$D$2:$D$29,MATCH($H28,Koeffizienten_KR!$A$2:$A$29,0))+$I28*INDEX(Koeffizienten_KR!$D$2:$D$29,MATCH($H28+0.5,Koeffizienten_KR!$A$2:$A$29,0)))</f>
        <v/>
      </c>
      <c r="M28" s="25">
        <f>IF($I28=0,INDEX(Koeffizienten_KR!$E$2:$E$29,MATCH($H28,Koeffizienten_KR!$A$2:$A$29,0)),(1-$I28)*INDEX(Koeffizienten_KR!$E$2:$E$29,MATCH($H28,Koeffizienten_KR!$A$2:$A$29,0))+$I28*INDEX(Koeffizienten_KR!$E$2:$E$29,MATCH($H28+0.5,Koeffizienten_KR!$A$2:$A$29,0)))</f>
        <v/>
      </c>
      <c r="N28" s="25">
        <f>IF(AND(ISNUMBER(E28),ISNUMBER(F28),ISNUMBER(G28),INDEX(Personendaten!$D$2:$D$32,MATCH($A28,Personendaten!$A$2:$A$32,0))&gt;=4,INDEX(Personendaten!$D$2:$D$32,MATCH($A28,Personendaten!$A$2:$A$32,0))&lt;=17.5),J28+K28*E28+L28*F28+M28*G28,"")</f>
        <v/>
      </c>
      <c r="O28" s="25">
        <f>IF(ISNUMBER(N28),100*E28/N28,"")</f>
        <v/>
      </c>
      <c r="P28" s="25">
        <f>COUNTIFS(Versuchsdaten!$A$2:$A$1117,$A28,Versuchsdaten!$B$2:$B$1117,"prä",Versuchsdaten!$C$2:$C$1117,"Sprint_30m",Versuchsdaten!$O$2:$O$1117,1)</f>
        <v/>
      </c>
      <c r="Q28" s="25">
        <f>IF(COUNTIFS(Versuchsdaten!$A$2:$A$1117,$A28,Versuchsdaten!$B$2:$B$1117,"prä",Versuchsdaten!$C$2:$C$1117,"Sprint_30m",Versuchsdaten!$O$2:$O$1117,1)=0,"",_xlfn.MINIFS(Versuchsdaten!$F$2:$F$1117,Versuchsdaten!$A$2:$A$1117,$A28,Versuchsdaten!$B$2:$B$1117,"prä",Versuchsdaten!$C$2:$C$1117,"Sprint_30m",Versuchsdaten!$O$2:$O$1117,1))</f>
        <v/>
      </c>
      <c r="R28" s="25">
        <f>COUNTIFS(Versuchsdaten!$A$2:$A$1117,$A28,Versuchsdaten!$B$2:$B$1117,"post",Versuchsdaten!$C$2:$C$1117,"Sprint_30m",Versuchsdaten!$O$2:$O$1117,1)</f>
        <v/>
      </c>
      <c r="S28" s="25">
        <f>IF(COUNTIFS(Versuchsdaten!$A$2:$A$1117,$A28,Versuchsdaten!$B$2:$B$1117,"post",Versuchsdaten!$C$2:$C$1117,"Sprint_30m",Versuchsdaten!$O$2:$O$1117,1)=0,"",_xlfn.MINIFS(Versuchsdaten!$F$2:$F$1117,Versuchsdaten!$A$2:$A$1117,$A28,Versuchsdaten!$B$2:$B$1117,"post",Versuchsdaten!$C$2:$C$1117,"Sprint_30m",Versuchsdaten!$O$2:$O$1117,1))</f>
        <v/>
      </c>
      <c r="T28" s="25">
        <f>IF(COUNTIFS(Versuchsdaten!$A$2:$A$1117,$A28,Versuchsdaten!$B$2:$B$1117,"prä",Versuchsdaten!$C$2:$C$1117,"COD_505",Versuchsdaten!$O$2:$O$1117,1,Versuchsdaten!$D$2:$D$1117,"L")=0,"",_xlfn.MINIFS(Versuchsdaten!$F$2:$F$1117,Versuchsdaten!$A$2:$A$1117,$A28,Versuchsdaten!$B$2:$B$1117,"prä",Versuchsdaten!$C$2:$C$1117,"COD_505",Versuchsdaten!$O$2:$O$1117,1,Versuchsdaten!$D$2:$D$1117,"L"))</f>
        <v/>
      </c>
      <c r="U28" s="25">
        <f>IF(COUNTIFS(Versuchsdaten!$A$2:$A$1117,$A28,Versuchsdaten!$B$2:$B$1117,"prä",Versuchsdaten!$C$2:$C$1117,"COD_505",Versuchsdaten!$O$2:$O$1117,1,Versuchsdaten!$D$2:$D$1117,"R")=0,"",_xlfn.MINIFS(Versuchsdaten!$F$2:$F$1117,Versuchsdaten!$A$2:$A$1117,$A28,Versuchsdaten!$B$2:$B$1117,"prä",Versuchsdaten!$C$2:$C$1117,"COD_505",Versuchsdaten!$O$2:$O$1117,1,Versuchsdaten!$D$2:$D$1117,"R"))</f>
        <v/>
      </c>
      <c r="V28" s="25">
        <f>IF(AND(ISNUMBER(T28),ISNUMBER(U28)),(T28+U28)/2,"")</f>
        <v/>
      </c>
      <c r="W28" s="25">
        <f>IF(COUNTIFS(Versuchsdaten!$A$2:$A$1117,$A28,Versuchsdaten!$B$2:$B$1117,"post",Versuchsdaten!$C$2:$C$1117,"COD_505",Versuchsdaten!$O$2:$O$1117,1,Versuchsdaten!$D$2:$D$1117,"L")=0,"",_xlfn.MINIFS(Versuchsdaten!$F$2:$F$1117,Versuchsdaten!$A$2:$A$1117,$A28,Versuchsdaten!$B$2:$B$1117,"post",Versuchsdaten!$C$2:$C$1117,"COD_505",Versuchsdaten!$O$2:$O$1117,1,Versuchsdaten!$D$2:$D$1117,"L"))</f>
        <v/>
      </c>
      <c r="X28" s="25">
        <f>IF(COUNTIFS(Versuchsdaten!$A$2:$A$1117,$A28,Versuchsdaten!$B$2:$B$1117,"post",Versuchsdaten!$C$2:$C$1117,"COD_505",Versuchsdaten!$O$2:$O$1117,1,Versuchsdaten!$D$2:$D$1117,"R")=0,"",_xlfn.MINIFS(Versuchsdaten!$F$2:$F$1117,Versuchsdaten!$A$2:$A$1117,$A28,Versuchsdaten!$B$2:$B$1117,"post",Versuchsdaten!$C$2:$C$1117,"COD_505",Versuchsdaten!$O$2:$O$1117,1,Versuchsdaten!$D$2:$D$1117,"R"))</f>
        <v/>
      </c>
      <c r="Y28" s="25">
        <f>IF(AND(ISNUMBER(W28),ISNUMBER(X28)),(W28+X28)/2,"")</f>
        <v/>
      </c>
      <c r="Z28" s="25">
        <f>IF(COUNTIFS(Versuchsdaten!$A$2:$A$1117,$A28,Versuchsdaten!$B$2:$B$1117,"prä",Versuchsdaten!$C$2:$C$1117,"Standweitsprung",Versuchsdaten!$O$2:$O$1117,1)=0,"",_xlfn.MAXIFS(Versuchsdaten!$F$2:$F$1117,Versuchsdaten!$A$2:$A$1117,$A28,Versuchsdaten!$B$2:$B$1117,"prä",Versuchsdaten!$C$2:$C$1117,"Standweitsprung",Versuchsdaten!$O$2:$O$1117,1))</f>
        <v/>
      </c>
      <c r="AA28" s="25">
        <f>IF(COUNTIFS(Versuchsdaten!$A$2:$A$1117,$A28,Versuchsdaten!$B$2:$B$1117,"post",Versuchsdaten!$C$2:$C$1117,"Standweitsprung",Versuchsdaten!$O$2:$O$1117,1)=0,"",_xlfn.MAXIFS(Versuchsdaten!$F$2:$F$1117,Versuchsdaten!$A$2:$A$1117,$A28,Versuchsdaten!$B$2:$B$1117,"post",Versuchsdaten!$C$2:$C$1117,"Standweitsprung",Versuchsdaten!$O$2:$O$1117,1))</f>
        <v/>
      </c>
      <c r="AB28" s="25">
        <f>IF(AND(ISNUMBER(Q28),ISNUMBER(S28),ISNUMBER(O28)),1,0)</f>
        <v/>
      </c>
      <c r="AC28" s="25">
        <f>IF(AND(ISNUMBER(V28),ISNUMBER(Y28),ISNUMBER(O28)),1,0)</f>
        <v/>
      </c>
      <c r="AD28" s="25">
        <f>IF(AND(ISNUMBER(Z28),ISNUMBER(AA28),ISNUMBER(O28)),1,0)</f>
        <v/>
      </c>
      <c r="AE28" s="25">
        <f>IF(D28=0,"",IF(COUNTIF(Zuordnung!$B$2:$B$23,$A28)=0,"",COUNTIFS(Fragebogen_A!$M$2:$M$112,$A28,Fragebogen_A!$F$2:$F$112,1)))</f>
        <v/>
      </c>
      <c r="AF28" s="25">
        <f>IF(AB28=1,COUNTIF($AB$4:AB28,1),"")</f>
        <v/>
      </c>
      <c r="AH28" s="25">
        <f>IF(AND(O28="",Analysedaten!E28=""),0,IF(OR(O28="",Analysedaten!E28=""),1,IF(ABS(O28-Analysedaten!E28)&lt;=0.000000001*MAX(1,ABS(Analysedaten!E28)),0,1)))</f>
        <v/>
      </c>
      <c r="AI28" s="25">
        <f>IF(AND(Q28="",Analysedaten!F28=""),0,IF(OR(Q28="",Analysedaten!F28=""),1,IF(ABS(Q28-Analysedaten!F28)&lt;=0.000000001*MAX(1,ABS(Analysedaten!F28)),0,1)))</f>
        <v/>
      </c>
      <c r="AJ28" s="25">
        <f>IF(AND(S28="",Analysedaten!G28=""),0,IF(OR(S28="",Analysedaten!G28=""),1,IF(ABS(S28-Analysedaten!G28)&lt;=0.000000001*MAX(1,ABS(Analysedaten!G28)),0,1)))</f>
        <v/>
      </c>
      <c r="AK28" s="25">
        <f>IF(AND(V28="",Analysedaten!H28=""),0,IF(OR(V28="",Analysedaten!H28=""),1,IF(ABS(V28-Analysedaten!H28)&lt;=0.000000001*MAX(1,ABS(Analysedaten!H28)),0,1)))</f>
        <v/>
      </c>
      <c r="AL28" s="25">
        <f>IF(AND(Y28="",Analysedaten!I28=""),0,IF(OR(Y28="",Analysedaten!I28=""),1,IF(ABS(Y28-Analysedaten!I28)&lt;=0.000000001*MAX(1,ABS(Analysedaten!I28)),0,1)))</f>
        <v/>
      </c>
      <c r="AM28" s="25">
        <f>IF(AND(Z28="",Analysedaten!J28=""),0,IF(OR(Z28="",Analysedaten!J28=""),1,IF(ABS(Z28-Analysedaten!J28)&lt;=0.000000001*MAX(1,ABS(Analysedaten!J28)),0,1)))</f>
        <v/>
      </c>
      <c r="AN28" s="25">
        <f>IF(AND(AA28="",Analysedaten!K28=""),0,IF(OR(AA28="",Analysedaten!K28=""),1,IF(ABS(AA28-Analysedaten!K28)&lt;=0.000000001*MAX(1,ABS(Analysedaten!K28)),0,1)))</f>
        <v/>
      </c>
      <c r="AO28" s="25">
        <f>IF(AND(AB28="",Analysedaten!L28=""),0,IF(OR(AB28="",Analysedaten!L28=""),1,IF(ABS(AB28-Analysedaten!L28)&lt;=0.000000001*MAX(1,ABS(Analysedaten!L28)),0,1)))</f>
        <v/>
      </c>
      <c r="AP28" s="25">
        <f>IF(AND(AC28="",Analysedaten!M28=""),0,IF(OR(AC28="",Analysedaten!M28=""),1,IF(ABS(AC28-Analysedaten!M28)&lt;=0.000000001*MAX(1,ABS(Analysedaten!M28)),0,1)))</f>
        <v/>
      </c>
      <c r="AQ28" s="25">
        <f>IF(AND(AD28="",Analysedaten!N28=""),0,IF(OR(AD28="",Analysedaten!N28=""),1,IF(ABS(AD28-Analysedaten!N28)&lt;=0.000000001*MAX(1,ABS(Analysedaten!N28)),0,1)))</f>
        <v/>
      </c>
      <c r="AR28" s="25">
        <f>IF(AND(AE28="",Analysedaten!O28=""),0,IF(OR(AE28="",Analysedaten!O28=""),1,IF(ABS(AE28-Analysedaten!O28)&lt;=0.000000001*MAX(1,ABS(Analysedaten!O28)),0,1)))</f>
        <v/>
      </c>
      <c r="AS28" s="25">
        <f>SUM(AH28:AR28)</f>
        <v/>
      </c>
    </row>
    <row r="29">
      <c r="A29" s="5" t="inlineStr">
        <is>
          <t>VS-08</t>
        </is>
      </c>
      <c r="B29" s="5" t="inlineStr">
        <is>
          <t>KG</t>
        </is>
      </c>
      <c r="C29" s="5" t="inlineStr">
        <is>
          <t>C</t>
        </is>
      </c>
      <c r="D29" s="5" t="n">
        <v>0</v>
      </c>
      <c r="E29" s="25">
        <f>IF(ISNUMBER(INDEX(Personendaten!$E$2:$E$32,MATCH($A29,Personendaten!$A$2:$A$32,0))),INDEX(Personendaten!$E$2:$E$32,MATCH($A29,Personendaten!$A$2:$A$32,0))/2.54,"")</f>
        <v/>
      </c>
      <c r="F29" s="25">
        <f>IF(ISNUMBER(INDEX(Personendaten!$F$2:$F$32,MATCH($A29,Personendaten!$A$2:$A$32,0))),INDEX(Personendaten!$F$2:$F$32,MATCH($A29,Personendaten!$A$2:$A$32,0))/0.45359237,"")</f>
        <v/>
      </c>
      <c r="G29" s="25">
        <f>IF(AND(ISNUMBER(INDEX(Personendaten!$G$2:$G$32,MATCH($A29,Personendaten!$A$2:$A$32,0))),ISNUMBER(INDEX(Personendaten!$H$2:$H$32,MATCH($A29,Personendaten!$A$2:$A$32,0)))),(INDEX(Personendaten!$G$2:$G$32,MATCH($A29,Personendaten!$A$2:$A$32,0))/2.54+INDEX(Personendaten!$H$2:$H$32,MATCH($A29,Personendaten!$A$2:$A$32,0))/2.54)/2,"")</f>
        <v/>
      </c>
      <c r="H29" s="25">
        <f>INT(2*INDEX(Personendaten!$D$2:$D$32,MATCH($A29,Personendaten!$A$2:$A$32,0)))/2</f>
        <v/>
      </c>
      <c r="I29" s="25">
        <f>(INDEX(Personendaten!$D$2:$D$32,MATCH($A29,Personendaten!$A$2:$A$32,0))-H29)/0.5</f>
        <v/>
      </c>
      <c r="J29" s="25">
        <f>IF($I29=0,INDEX(Koeffizienten_KR!$B$2:$B$29,MATCH($H29,Koeffizienten_KR!$A$2:$A$29,0)),(1-$I29)*INDEX(Koeffizienten_KR!$B$2:$B$29,MATCH($H29,Koeffizienten_KR!$A$2:$A$29,0))+$I29*INDEX(Koeffizienten_KR!$B$2:$B$29,MATCH($H29+0.5,Koeffizienten_KR!$A$2:$A$29,0)))</f>
        <v/>
      </c>
      <c r="K29" s="25">
        <f>IF($I29=0,INDEX(Koeffizienten_KR!$C$2:$C$29,MATCH($H29,Koeffizienten_KR!$A$2:$A$29,0)),(1-$I29)*INDEX(Koeffizienten_KR!$C$2:$C$29,MATCH($H29,Koeffizienten_KR!$A$2:$A$29,0))+$I29*INDEX(Koeffizienten_KR!$C$2:$C$29,MATCH($H29+0.5,Koeffizienten_KR!$A$2:$A$29,0)))</f>
        <v/>
      </c>
      <c r="L29" s="25">
        <f>IF($I29=0,INDEX(Koeffizienten_KR!$D$2:$D$29,MATCH($H29,Koeffizienten_KR!$A$2:$A$29,0)),(1-$I29)*INDEX(Koeffizienten_KR!$D$2:$D$29,MATCH($H29,Koeffizienten_KR!$A$2:$A$29,0))+$I29*INDEX(Koeffizienten_KR!$D$2:$D$29,MATCH($H29+0.5,Koeffizienten_KR!$A$2:$A$29,0)))</f>
        <v/>
      </c>
      <c r="M29" s="25">
        <f>IF($I29=0,INDEX(Koeffizienten_KR!$E$2:$E$29,MATCH($H29,Koeffizienten_KR!$A$2:$A$29,0)),(1-$I29)*INDEX(Koeffizienten_KR!$E$2:$E$29,MATCH($H29,Koeffizienten_KR!$A$2:$A$29,0))+$I29*INDEX(Koeffizienten_KR!$E$2:$E$29,MATCH($H29+0.5,Koeffizienten_KR!$A$2:$A$29,0)))</f>
        <v/>
      </c>
      <c r="N29" s="25">
        <f>IF(AND(ISNUMBER(E29),ISNUMBER(F29),ISNUMBER(G29),INDEX(Personendaten!$D$2:$D$32,MATCH($A29,Personendaten!$A$2:$A$32,0))&gt;=4,INDEX(Personendaten!$D$2:$D$32,MATCH($A29,Personendaten!$A$2:$A$32,0))&lt;=17.5),J29+K29*E29+L29*F29+M29*G29,"")</f>
        <v/>
      </c>
      <c r="O29" s="25">
        <f>IF(ISNUMBER(N29),100*E29/N29,"")</f>
        <v/>
      </c>
      <c r="P29" s="25">
        <f>COUNTIFS(Versuchsdaten!$A$2:$A$1117,$A29,Versuchsdaten!$B$2:$B$1117,"prä",Versuchsdaten!$C$2:$C$1117,"Sprint_30m",Versuchsdaten!$O$2:$O$1117,1)</f>
        <v/>
      </c>
      <c r="Q29" s="25">
        <f>IF(COUNTIFS(Versuchsdaten!$A$2:$A$1117,$A29,Versuchsdaten!$B$2:$B$1117,"prä",Versuchsdaten!$C$2:$C$1117,"Sprint_30m",Versuchsdaten!$O$2:$O$1117,1)=0,"",_xlfn.MINIFS(Versuchsdaten!$F$2:$F$1117,Versuchsdaten!$A$2:$A$1117,$A29,Versuchsdaten!$B$2:$B$1117,"prä",Versuchsdaten!$C$2:$C$1117,"Sprint_30m",Versuchsdaten!$O$2:$O$1117,1))</f>
        <v/>
      </c>
      <c r="R29" s="25">
        <f>COUNTIFS(Versuchsdaten!$A$2:$A$1117,$A29,Versuchsdaten!$B$2:$B$1117,"post",Versuchsdaten!$C$2:$C$1117,"Sprint_30m",Versuchsdaten!$O$2:$O$1117,1)</f>
        <v/>
      </c>
      <c r="S29" s="25">
        <f>IF(COUNTIFS(Versuchsdaten!$A$2:$A$1117,$A29,Versuchsdaten!$B$2:$B$1117,"post",Versuchsdaten!$C$2:$C$1117,"Sprint_30m",Versuchsdaten!$O$2:$O$1117,1)=0,"",_xlfn.MINIFS(Versuchsdaten!$F$2:$F$1117,Versuchsdaten!$A$2:$A$1117,$A29,Versuchsdaten!$B$2:$B$1117,"post",Versuchsdaten!$C$2:$C$1117,"Sprint_30m",Versuchsdaten!$O$2:$O$1117,1))</f>
        <v/>
      </c>
      <c r="T29" s="25">
        <f>IF(COUNTIFS(Versuchsdaten!$A$2:$A$1117,$A29,Versuchsdaten!$B$2:$B$1117,"prä",Versuchsdaten!$C$2:$C$1117,"COD_505",Versuchsdaten!$O$2:$O$1117,1,Versuchsdaten!$D$2:$D$1117,"L")=0,"",_xlfn.MINIFS(Versuchsdaten!$F$2:$F$1117,Versuchsdaten!$A$2:$A$1117,$A29,Versuchsdaten!$B$2:$B$1117,"prä",Versuchsdaten!$C$2:$C$1117,"COD_505",Versuchsdaten!$O$2:$O$1117,1,Versuchsdaten!$D$2:$D$1117,"L"))</f>
        <v/>
      </c>
      <c r="U29" s="25">
        <f>IF(COUNTIFS(Versuchsdaten!$A$2:$A$1117,$A29,Versuchsdaten!$B$2:$B$1117,"prä",Versuchsdaten!$C$2:$C$1117,"COD_505",Versuchsdaten!$O$2:$O$1117,1,Versuchsdaten!$D$2:$D$1117,"R")=0,"",_xlfn.MINIFS(Versuchsdaten!$F$2:$F$1117,Versuchsdaten!$A$2:$A$1117,$A29,Versuchsdaten!$B$2:$B$1117,"prä",Versuchsdaten!$C$2:$C$1117,"COD_505",Versuchsdaten!$O$2:$O$1117,1,Versuchsdaten!$D$2:$D$1117,"R"))</f>
        <v/>
      </c>
      <c r="V29" s="25">
        <f>IF(AND(ISNUMBER(T29),ISNUMBER(U29)),(T29+U29)/2,"")</f>
        <v/>
      </c>
      <c r="W29" s="25">
        <f>IF(COUNTIFS(Versuchsdaten!$A$2:$A$1117,$A29,Versuchsdaten!$B$2:$B$1117,"post",Versuchsdaten!$C$2:$C$1117,"COD_505",Versuchsdaten!$O$2:$O$1117,1,Versuchsdaten!$D$2:$D$1117,"L")=0,"",_xlfn.MINIFS(Versuchsdaten!$F$2:$F$1117,Versuchsdaten!$A$2:$A$1117,$A29,Versuchsdaten!$B$2:$B$1117,"post",Versuchsdaten!$C$2:$C$1117,"COD_505",Versuchsdaten!$O$2:$O$1117,1,Versuchsdaten!$D$2:$D$1117,"L"))</f>
        <v/>
      </c>
      <c r="X29" s="25">
        <f>IF(COUNTIFS(Versuchsdaten!$A$2:$A$1117,$A29,Versuchsdaten!$B$2:$B$1117,"post",Versuchsdaten!$C$2:$C$1117,"COD_505",Versuchsdaten!$O$2:$O$1117,1,Versuchsdaten!$D$2:$D$1117,"R")=0,"",_xlfn.MINIFS(Versuchsdaten!$F$2:$F$1117,Versuchsdaten!$A$2:$A$1117,$A29,Versuchsdaten!$B$2:$B$1117,"post",Versuchsdaten!$C$2:$C$1117,"COD_505",Versuchsdaten!$O$2:$O$1117,1,Versuchsdaten!$D$2:$D$1117,"R"))</f>
        <v/>
      </c>
      <c r="Y29" s="25">
        <f>IF(AND(ISNUMBER(W29),ISNUMBER(X29)),(W29+X29)/2,"")</f>
        <v/>
      </c>
      <c r="Z29" s="25">
        <f>IF(COUNTIFS(Versuchsdaten!$A$2:$A$1117,$A29,Versuchsdaten!$B$2:$B$1117,"prä",Versuchsdaten!$C$2:$C$1117,"Standweitsprung",Versuchsdaten!$O$2:$O$1117,1)=0,"",_xlfn.MAXIFS(Versuchsdaten!$F$2:$F$1117,Versuchsdaten!$A$2:$A$1117,$A29,Versuchsdaten!$B$2:$B$1117,"prä",Versuchsdaten!$C$2:$C$1117,"Standweitsprung",Versuchsdaten!$O$2:$O$1117,1))</f>
        <v/>
      </c>
      <c r="AA29" s="25">
        <f>IF(COUNTIFS(Versuchsdaten!$A$2:$A$1117,$A29,Versuchsdaten!$B$2:$B$1117,"post",Versuchsdaten!$C$2:$C$1117,"Standweitsprung",Versuchsdaten!$O$2:$O$1117,1)=0,"",_xlfn.MAXIFS(Versuchsdaten!$F$2:$F$1117,Versuchsdaten!$A$2:$A$1117,$A29,Versuchsdaten!$B$2:$B$1117,"post",Versuchsdaten!$C$2:$C$1117,"Standweitsprung",Versuchsdaten!$O$2:$O$1117,1))</f>
        <v/>
      </c>
      <c r="AB29" s="25">
        <f>IF(AND(ISNUMBER(Q29),ISNUMBER(S29),ISNUMBER(O29)),1,0)</f>
        <v/>
      </c>
      <c r="AC29" s="25">
        <f>IF(AND(ISNUMBER(V29),ISNUMBER(Y29),ISNUMBER(O29)),1,0)</f>
        <v/>
      </c>
      <c r="AD29" s="25">
        <f>IF(AND(ISNUMBER(Z29),ISNUMBER(AA29),ISNUMBER(O29)),1,0)</f>
        <v/>
      </c>
      <c r="AE29" s="25">
        <f>IF(D29=0,"",IF(COUNTIF(Zuordnung!$B$2:$B$23,$A29)=0,"",COUNTIFS(Fragebogen_A!$M$2:$M$112,$A29,Fragebogen_A!$F$2:$F$112,1)))</f>
        <v/>
      </c>
      <c r="AF29" s="25">
        <f>IF(AB29=1,COUNTIF($AB$4:AB29,1),"")</f>
        <v/>
      </c>
      <c r="AH29" s="25">
        <f>IF(AND(O29="",Analysedaten!E29=""),0,IF(OR(O29="",Analysedaten!E29=""),1,IF(ABS(O29-Analysedaten!E29)&lt;=0.000000001*MAX(1,ABS(Analysedaten!E29)),0,1)))</f>
        <v/>
      </c>
      <c r="AI29" s="25">
        <f>IF(AND(Q29="",Analysedaten!F29=""),0,IF(OR(Q29="",Analysedaten!F29=""),1,IF(ABS(Q29-Analysedaten!F29)&lt;=0.000000001*MAX(1,ABS(Analysedaten!F29)),0,1)))</f>
        <v/>
      </c>
      <c r="AJ29" s="25">
        <f>IF(AND(S29="",Analysedaten!G29=""),0,IF(OR(S29="",Analysedaten!G29=""),1,IF(ABS(S29-Analysedaten!G29)&lt;=0.000000001*MAX(1,ABS(Analysedaten!G29)),0,1)))</f>
        <v/>
      </c>
      <c r="AK29" s="25">
        <f>IF(AND(V29="",Analysedaten!H29=""),0,IF(OR(V29="",Analysedaten!H29=""),1,IF(ABS(V29-Analysedaten!H29)&lt;=0.000000001*MAX(1,ABS(Analysedaten!H29)),0,1)))</f>
        <v/>
      </c>
      <c r="AL29" s="25">
        <f>IF(AND(Y29="",Analysedaten!I29=""),0,IF(OR(Y29="",Analysedaten!I29=""),1,IF(ABS(Y29-Analysedaten!I29)&lt;=0.000000001*MAX(1,ABS(Analysedaten!I29)),0,1)))</f>
        <v/>
      </c>
      <c r="AM29" s="25">
        <f>IF(AND(Z29="",Analysedaten!J29=""),0,IF(OR(Z29="",Analysedaten!J29=""),1,IF(ABS(Z29-Analysedaten!J29)&lt;=0.000000001*MAX(1,ABS(Analysedaten!J29)),0,1)))</f>
        <v/>
      </c>
      <c r="AN29" s="25">
        <f>IF(AND(AA29="",Analysedaten!K29=""),0,IF(OR(AA29="",Analysedaten!K29=""),1,IF(ABS(AA29-Analysedaten!K29)&lt;=0.000000001*MAX(1,ABS(Analysedaten!K29)),0,1)))</f>
        <v/>
      </c>
      <c r="AO29" s="25">
        <f>IF(AND(AB29="",Analysedaten!L29=""),0,IF(OR(AB29="",Analysedaten!L29=""),1,IF(ABS(AB29-Analysedaten!L29)&lt;=0.000000001*MAX(1,ABS(Analysedaten!L29)),0,1)))</f>
        <v/>
      </c>
      <c r="AP29" s="25">
        <f>IF(AND(AC29="",Analysedaten!M29=""),0,IF(OR(AC29="",Analysedaten!M29=""),1,IF(ABS(AC29-Analysedaten!M29)&lt;=0.000000001*MAX(1,ABS(Analysedaten!M29)),0,1)))</f>
        <v/>
      </c>
      <c r="AQ29" s="25">
        <f>IF(AND(AD29="",Analysedaten!N29=""),0,IF(OR(AD29="",Analysedaten!N29=""),1,IF(ABS(AD29-Analysedaten!N29)&lt;=0.000000001*MAX(1,ABS(Analysedaten!N29)),0,1)))</f>
        <v/>
      </c>
      <c r="AR29" s="25">
        <f>IF(AND(AE29="",Analysedaten!O29=""),0,IF(OR(AE29="",Analysedaten!O29=""),1,IF(ABS(AE29-Analysedaten!O29)&lt;=0.000000001*MAX(1,ABS(Analysedaten!O29)),0,1)))</f>
        <v/>
      </c>
      <c r="AS29" s="25">
        <f>SUM(AH29:AR29)</f>
        <v/>
      </c>
    </row>
    <row r="30">
      <c r="A30" s="5" t="inlineStr">
        <is>
          <t>VS-10</t>
        </is>
      </c>
      <c r="B30" s="5" t="inlineStr">
        <is>
          <t>KG</t>
        </is>
      </c>
      <c r="C30" s="5" t="inlineStr">
        <is>
          <t>C</t>
        </is>
      </c>
      <c r="D30" s="5" t="n">
        <v>0</v>
      </c>
      <c r="E30" s="25">
        <f>IF(ISNUMBER(INDEX(Personendaten!$E$2:$E$32,MATCH($A30,Personendaten!$A$2:$A$32,0))),INDEX(Personendaten!$E$2:$E$32,MATCH($A30,Personendaten!$A$2:$A$32,0))/2.54,"")</f>
        <v/>
      </c>
      <c r="F30" s="25">
        <f>IF(ISNUMBER(INDEX(Personendaten!$F$2:$F$32,MATCH($A30,Personendaten!$A$2:$A$32,0))),INDEX(Personendaten!$F$2:$F$32,MATCH($A30,Personendaten!$A$2:$A$32,0))/0.45359237,"")</f>
        <v/>
      </c>
      <c r="G30" s="25">
        <f>IF(AND(ISNUMBER(INDEX(Personendaten!$G$2:$G$32,MATCH($A30,Personendaten!$A$2:$A$32,0))),ISNUMBER(INDEX(Personendaten!$H$2:$H$32,MATCH($A30,Personendaten!$A$2:$A$32,0)))),(INDEX(Personendaten!$G$2:$G$32,MATCH($A30,Personendaten!$A$2:$A$32,0))/2.54+INDEX(Personendaten!$H$2:$H$32,MATCH($A30,Personendaten!$A$2:$A$32,0))/2.54)/2,"")</f>
        <v/>
      </c>
      <c r="H30" s="25">
        <f>INT(2*INDEX(Personendaten!$D$2:$D$32,MATCH($A30,Personendaten!$A$2:$A$32,0)))/2</f>
        <v/>
      </c>
      <c r="I30" s="25">
        <f>(INDEX(Personendaten!$D$2:$D$32,MATCH($A30,Personendaten!$A$2:$A$32,0))-H30)/0.5</f>
        <v/>
      </c>
      <c r="J30" s="25">
        <f>IF($I30=0,INDEX(Koeffizienten_KR!$B$2:$B$29,MATCH($H30,Koeffizienten_KR!$A$2:$A$29,0)),(1-$I30)*INDEX(Koeffizienten_KR!$B$2:$B$29,MATCH($H30,Koeffizienten_KR!$A$2:$A$29,0))+$I30*INDEX(Koeffizienten_KR!$B$2:$B$29,MATCH($H30+0.5,Koeffizienten_KR!$A$2:$A$29,0)))</f>
        <v/>
      </c>
      <c r="K30" s="25">
        <f>IF($I30=0,INDEX(Koeffizienten_KR!$C$2:$C$29,MATCH($H30,Koeffizienten_KR!$A$2:$A$29,0)),(1-$I30)*INDEX(Koeffizienten_KR!$C$2:$C$29,MATCH($H30,Koeffizienten_KR!$A$2:$A$29,0))+$I30*INDEX(Koeffizienten_KR!$C$2:$C$29,MATCH($H30+0.5,Koeffizienten_KR!$A$2:$A$29,0)))</f>
        <v/>
      </c>
      <c r="L30" s="25">
        <f>IF($I30=0,INDEX(Koeffizienten_KR!$D$2:$D$29,MATCH($H30,Koeffizienten_KR!$A$2:$A$29,0)),(1-$I30)*INDEX(Koeffizienten_KR!$D$2:$D$29,MATCH($H30,Koeffizienten_KR!$A$2:$A$29,0))+$I30*INDEX(Koeffizienten_KR!$D$2:$D$29,MATCH($H30+0.5,Koeffizienten_KR!$A$2:$A$29,0)))</f>
        <v/>
      </c>
      <c r="M30" s="25">
        <f>IF($I30=0,INDEX(Koeffizienten_KR!$E$2:$E$29,MATCH($H30,Koeffizienten_KR!$A$2:$A$29,0)),(1-$I30)*INDEX(Koeffizienten_KR!$E$2:$E$29,MATCH($H30,Koeffizienten_KR!$A$2:$A$29,0))+$I30*INDEX(Koeffizienten_KR!$E$2:$E$29,MATCH($H30+0.5,Koeffizienten_KR!$A$2:$A$29,0)))</f>
        <v/>
      </c>
      <c r="N30" s="25">
        <f>IF(AND(ISNUMBER(E30),ISNUMBER(F30),ISNUMBER(G30),INDEX(Personendaten!$D$2:$D$32,MATCH($A30,Personendaten!$A$2:$A$32,0))&gt;=4,INDEX(Personendaten!$D$2:$D$32,MATCH($A30,Personendaten!$A$2:$A$32,0))&lt;=17.5),J30+K30*E30+L30*F30+M30*G30,"")</f>
        <v/>
      </c>
      <c r="O30" s="25">
        <f>IF(ISNUMBER(N30),100*E30/N30,"")</f>
        <v/>
      </c>
      <c r="P30" s="25">
        <f>COUNTIFS(Versuchsdaten!$A$2:$A$1117,$A30,Versuchsdaten!$B$2:$B$1117,"prä",Versuchsdaten!$C$2:$C$1117,"Sprint_30m",Versuchsdaten!$O$2:$O$1117,1)</f>
        <v/>
      </c>
      <c r="Q30" s="25">
        <f>IF(COUNTIFS(Versuchsdaten!$A$2:$A$1117,$A30,Versuchsdaten!$B$2:$B$1117,"prä",Versuchsdaten!$C$2:$C$1117,"Sprint_30m",Versuchsdaten!$O$2:$O$1117,1)=0,"",_xlfn.MINIFS(Versuchsdaten!$F$2:$F$1117,Versuchsdaten!$A$2:$A$1117,$A30,Versuchsdaten!$B$2:$B$1117,"prä",Versuchsdaten!$C$2:$C$1117,"Sprint_30m",Versuchsdaten!$O$2:$O$1117,1))</f>
        <v/>
      </c>
      <c r="R30" s="25">
        <f>COUNTIFS(Versuchsdaten!$A$2:$A$1117,$A30,Versuchsdaten!$B$2:$B$1117,"post",Versuchsdaten!$C$2:$C$1117,"Sprint_30m",Versuchsdaten!$O$2:$O$1117,1)</f>
        <v/>
      </c>
      <c r="S30" s="25">
        <f>IF(COUNTIFS(Versuchsdaten!$A$2:$A$1117,$A30,Versuchsdaten!$B$2:$B$1117,"post",Versuchsdaten!$C$2:$C$1117,"Sprint_30m",Versuchsdaten!$O$2:$O$1117,1)=0,"",_xlfn.MINIFS(Versuchsdaten!$F$2:$F$1117,Versuchsdaten!$A$2:$A$1117,$A30,Versuchsdaten!$B$2:$B$1117,"post",Versuchsdaten!$C$2:$C$1117,"Sprint_30m",Versuchsdaten!$O$2:$O$1117,1))</f>
        <v/>
      </c>
      <c r="T30" s="25">
        <f>IF(COUNTIFS(Versuchsdaten!$A$2:$A$1117,$A30,Versuchsdaten!$B$2:$B$1117,"prä",Versuchsdaten!$C$2:$C$1117,"COD_505",Versuchsdaten!$O$2:$O$1117,1,Versuchsdaten!$D$2:$D$1117,"L")=0,"",_xlfn.MINIFS(Versuchsdaten!$F$2:$F$1117,Versuchsdaten!$A$2:$A$1117,$A30,Versuchsdaten!$B$2:$B$1117,"prä",Versuchsdaten!$C$2:$C$1117,"COD_505",Versuchsdaten!$O$2:$O$1117,1,Versuchsdaten!$D$2:$D$1117,"L"))</f>
        <v/>
      </c>
      <c r="U30" s="25">
        <f>IF(COUNTIFS(Versuchsdaten!$A$2:$A$1117,$A30,Versuchsdaten!$B$2:$B$1117,"prä",Versuchsdaten!$C$2:$C$1117,"COD_505",Versuchsdaten!$O$2:$O$1117,1,Versuchsdaten!$D$2:$D$1117,"R")=0,"",_xlfn.MINIFS(Versuchsdaten!$F$2:$F$1117,Versuchsdaten!$A$2:$A$1117,$A30,Versuchsdaten!$B$2:$B$1117,"prä",Versuchsdaten!$C$2:$C$1117,"COD_505",Versuchsdaten!$O$2:$O$1117,1,Versuchsdaten!$D$2:$D$1117,"R"))</f>
        <v/>
      </c>
      <c r="V30" s="25">
        <f>IF(AND(ISNUMBER(T30),ISNUMBER(U30)),(T30+U30)/2,"")</f>
        <v/>
      </c>
      <c r="W30" s="25">
        <f>IF(COUNTIFS(Versuchsdaten!$A$2:$A$1117,$A30,Versuchsdaten!$B$2:$B$1117,"post",Versuchsdaten!$C$2:$C$1117,"COD_505",Versuchsdaten!$O$2:$O$1117,1,Versuchsdaten!$D$2:$D$1117,"L")=0,"",_xlfn.MINIFS(Versuchsdaten!$F$2:$F$1117,Versuchsdaten!$A$2:$A$1117,$A30,Versuchsdaten!$B$2:$B$1117,"post",Versuchsdaten!$C$2:$C$1117,"COD_505",Versuchsdaten!$O$2:$O$1117,1,Versuchsdaten!$D$2:$D$1117,"L"))</f>
        <v/>
      </c>
      <c r="X30" s="25">
        <f>IF(COUNTIFS(Versuchsdaten!$A$2:$A$1117,$A30,Versuchsdaten!$B$2:$B$1117,"post",Versuchsdaten!$C$2:$C$1117,"COD_505",Versuchsdaten!$O$2:$O$1117,1,Versuchsdaten!$D$2:$D$1117,"R")=0,"",_xlfn.MINIFS(Versuchsdaten!$F$2:$F$1117,Versuchsdaten!$A$2:$A$1117,$A30,Versuchsdaten!$B$2:$B$1117,"post",Versuchsdaten!$C$2:$C$1117,"COD_505",Versuchsdaten!$O$2:$O$1117,1,Versuchsdaten!$D$2:$D$1117,"R"))</f>
        <v/>
      </c>
      <c r="Y30" s="25">
        <f>IF(AND(ISNUMBER(W30),ISNUMBER(X30)),(W30+X30)/2,"")</f>
        <v/>
      </c>
      <c r="Z30" s="25">
        <f>IF(COUNTIFS(Versuchsdaten!$A$2:$A$1117,$A30,Versuchsdaten!$B$2:$B$1117,"prä",Versuchsdaten!$C$2:$C$1117,"Standweitsprung",Versuchsdaten!$O$2:$O$1117,1)=0,"",_xlfn.MAXIFS(Versuchsdaten!$F$2:$F$1117,Versuchsdaten!$A$2:$A$1117,$A30,Versuchsdaten!$B$2:$B$1117,"prä",Versuchsdaten!$C$2:$C$1117,"Standweitsprung",Versuchsdaten!$O$2:$O$1117,1))</f>
        <v/>
      </c>
      <c r="AA30" s="25">
        <f>IF(COUNTIFS(Versuchsdaten!$A$2:$A$1117,$A30,Versuchsdaten!$B$2:$B$1117,"post",Versuchsdaten!$C$2:$C$1117,"Standweitsprung",Versuchsdaten!$O$2:$O$1117,1)=0,"",_xlfn.MAXIFS(Versuchsdaten!$F$2:$F$1117,Versuchsdaten!$A$2:$A$1117,$A30,Versuchsdaten!$B$2:$B$1117,"post",Versuchsdaten!$C$2:$C$1117,"Standweitsprung",Versuchsdaten!$O$2:$O$1117,1))</f>
        <v/>
      </c>
      <c r="AB30" s="25">
        <f>IF(AND(ISNUMBER(Q30),ISNUMBER(S30),ISNUMBER(O30)),1,0)</f>
        <v/>
      </c>
      <c r="AC30" s="25">
        <f>IF(AND(ISNUMBER(V30),ISNUMBER(Y30),ISNUMBER(O30)),1,0)</f>
        <v/>
      </c>
      <c r="AD30" s="25">
        <f>IF(AND(ISNUMBER(Z30),ISNUMBER(AA30),ISNUMBER(O30)),1,0)</f>
        <v/>
      </c>
      <c r="AE30" s="25">
        <f>IF(D30=0,"",IF(COUNTIF(Zuordnung!$B$2:$B$23,$A30)=0,"",COUNTIFS(Fragebogen_A!$M$2:$M$112,$A30,Fragebogen_A!$F$2:$F$112,1)))</f>
        <v/>
      </c>
      <c r="AF30" s="25">
        <f>IF(AB30=1,COUNTIF($AB$4:AB30,1),"")</f>
        <v/>
      </c>
      <c r="AH30" s="25">
        <f>IF(AND(O30="",Analysedaten!E30=""),0,IF(OR(O30="",Analysedaten!E30=""),1,IF(ABS(O30-Analysedaten!E30)&lt;=0.000000001*MAX(1,ABS(Analysedaten!E30)),0,1)))</f>
        <v/>
      </c>
      <c r="AI30" s="25">
        <f>IF(AND(Q30="",Analysedaten!F30=""),0,IF(OR(Q30="",Analysedaten!F30=""),1,IF(ABS(Q30-Analysedaten!F30)&lt;=0.000000001*MAX(1,ABS(Analysedaten!F30)),0,1)))</f>
        <v/>
      </c>
      <c r="AJ30" s="25">
        <f>IF(AND(S30="",Analysedaten!G30=""),0,IF(OR(S30="",Analysedaten!G30=""),1,IF(ABS(S30-Analysedaten!G30)&lt;=0.000000001*MAX(1,ABS(Analysedaten!G30)),0,1)))</f>
        <v/>
      </c>
      <c r="AK30" s="25">
        <f>IF(AND(V30="",Analysedaten!H30=""),0,IF(OR(V30="",Analysedaten!H30=""),1,IF(ABS(V30-Analysedaten!H30)&lt;=0.000000001*MAX(1,ABS(Analysedaten!H30)),0,1)))</f>
        <v/>
      </c>
      <c r="AL30" s="25">
        <f>IF(AND(Y30="",Analysedaten!I30=""),0,IF(OR(Y30="",Analysedaten!I30=""),1,IF(ABS(Y30-Analysedaten!I30)&lt;=0.000000001*MAX(1,ABS(Analysedaten!I30)),0,1)))</f>
        <v/>
      </c>
      <c r="AM30" s="25">
        <f>IF(AND(Z30="",Analysedaten!J30=""),0,IF(OR(Z30="",Analysedaten!J30=""),1,IF(ABS(Z30-Analysedaten!J30)&lt;=0.000000001*MAX(1,ABS(Analysedaten!J30)),0,1)))</f>
        <v/>
      </c>
      <c r="AN30" s="25">
        <f>IF(AND(AA30="",Analysedaten!K30=""),0,IF(OR(AA30="",Analysedaten!K30=""),1,IF(ABS(AA30-Analysedaten!K30)&lt;=0.000000001*MAX(1,ABS(Analysedaten!K30)),0,1)))</f>
        <v/>
      </c>
      <c r="AO30" s="25">
        <f>IF(AND(AB30="",Analysedaten!L30=""),0,IF(OR(AB30="",Analysedaten!L30=""),1,IF(ABS(AB30-Analysedaten!L30)&lt;=0.000000001*MAX(1,ABS(Analysedaten!L30)),0,1)))</f>
        <v/>
      </c>
      <c r="AP30" s="25">
        <f>IF(AND(AC30="",Analysedaten!M30=""),0,IF(OR(AC30="",Analysedaten!M30=""),1,IF(ABS(AC30-Analysedaten!M30)&lt;=0.000000001*MAX(1,ABS(Analysedaten!M30)),0,1)))</f>
        <v/>
      </c>
      <c r="AQ30" s="25">
        <f>IF(AND(AD30="",Analysedaten!N30=""),0,IF(OR(AD30="",Analysedaten!N30=""),1,IF(ABS(AD30-Analysedaten!N30)&lt;=0.000000001*MAX(1,ABS(Analysedaten!N30)),0,1)))</f>
        <v/>
      </c>
      <c r="AR30" s="25">
        <f>IF(AND(AE30="",Analysedaten!O30=""),0,IF(OR(AE30="",Analysedaten!O30=""),1,IF(ABS(AE30-Analysedaten!O30)&lt;=0.000000001*MAX(1,ABS(Analysedaten!O30)),0,1)))</f>
        <v/>
      </c>
      <c r="AS30" s="25">
        <f>SUM(AH30:AR30)</f>
        <v/>
      </c>
    </row>
    <row r="31">
      <c r="A31" s="5" t="inlineStr">
        <is>
          <t>VS-16</t>
        </is>
      </c>
      <c r="B31" s="5" t="inlineStr">
        <is>
          <t>KG</t>
        </is>
      </c>
      <c r="C31" s="5" t="inlineStr">
        <is>
          <t>C</t>
        </is>
      </c>
      <c r="D31" s="5" t="n">
        <v>0</v>
      </c>
      <c r="E31" s="25">
        <f>IF(ISNUMBER(INDEX(Personendaten!$E$2:$E$32,MATCH($A31,Personendaten!$A$2:$A$32,0))),INDEX(Personendaten!$E$2:$E$32,MATCH($A31,Personendaten!$A$2:$A$32,0))/2.54,"")</f>
        <v/>
      </c>
      <c r="F31" s="25">
        <f>IF(ISNUMBER(INDEX(Personendaten!$F$2:$F$32,MATCH($A31,Personendaten!$A$2:$A$32,0))),INDEX(Personendaten!$F$2:$F$32,MATCH($A31,Personendaten!$A$2:$A$32,0))/0.45359237,"")</f>
        <v/>
      </c>
      <c r="G31" s="25">
        <f>IF(AND(ISNUMBER(INDEX(Personendaten!$G$2:$G$32,MATCH($A31,Personendaten!$A$2:$A$32,0))),ISNUMBER(INDEX(Personendaten!$H$2:$H$32,MATCH($A31,Personendaten!$A$2:$A$32,0)))),(INDEX(Personendaten!$G$2:$G$32,MATCH($A31,Personendaten!$A$2:$A$32,0))/2.54+INDEX(Personendaten!$H$2:$H$32,MATCH($A31,Personendaten!$A$2:$A$32,0))/2.54)/2,"")</f>
        <v/>
      </c>
      <c r="H31" s="25">
        <f>INT(2*INDEX(Personendaten!$D$2:$D$32,MATCH($A31,Personendaten!$A$2:$A$32,0)))/2</f>
        <v/>
      </c>
      <c r="I31" s="25">
        <f>(INDEX(Personendaten!$D$2:$D$32,MATCH($A31,Personendaten!$A$2:$A$32,0))-H31)/0.5</f>
        <v/>
      </c>
      <c r="J31" s="25">
        <f>IF($I31=0,INDEX(Koeffizienten_KR!$B$2:$B$29,MATCH($H31,Koeffizienten_KR!$A$2:$A$29,0)),(1-$I31)*INDEX(Koeffizienten_KR!$B$2:$B$29,MATCH($H31,Koeffizienten_KR!$A$2:$A$29,0))+$I31*INDEX(Koeffizienten_KR!$B$2:$B$29,MATCH($H31+0.5,Koeffizienten_KR!$A$2:$A$29,0)))</f>
        <v/>
      </c>
      <c r="K31" s="25">
        <f>IF($I31=0,INDEX(Koeffizienten_KR!$C$2:$C$29,MATCH($H31,Koeffizienten_KR!$A$2:$A$29,0)),(1-$I31)*INDEX(Koeffizienten_KR!$C$2:$C$29,MATCH($H31,Koeffizienten_KR!$A$2:$A$29,0))+$I31*INDEX(Koeffizienten_KR!$C$2:$C$29,MATCH($H31+0.5,Koeffizienten_KR!$A$2:$A$29,0)))</f>
        <v/>
      </c>
      <c r="L31" s="25">
        <f>IF($I31=0,INDEX(Koeffizienten_KR!$D$2:$D$29,MATCH($H31,Koeffizienten_KR!$A$2:$A$29,0)),(1-$I31)*INDEX(Koeffizienten_KR!$D$2:$D$29,MATCH($H31,Koeffizienten_KR!$A$2:$A$29,0))+$I31*INDEX(Koeffizienten_KR!$D$2:$D$29,MATCH($H31+0.5,Koeffizienten_KR!$A$2:$A$29,0)))</f>
        <v/>
      </c>
      <c r="M31" s="25">
        <f>IF($I31=0,INDEX(Koeffizienten_KR!$E$2:$E$29,MATCH($H31,Koeffizienten_KR!$A$2:$A$29,0)),(1-$I31)*INDEX(Koeffizienten_KR!$E$2:$E$29,MATCH($H31,Koeffizienten_KR!$A$2:$A$29,0))+$I31*INDEX(Koeffizienten_KR!$E$2:$E$29,MATCH($H31+0.5,Koeffizienten_KR!$A$2:$A$29,0)))</f>
        <v/>
      </c>
      <c r="N31" s="25">
        <f>IF(AND(ISNUMBER(E31),ISNUMBER(F31),ISNUMBER(G31),INDEX(Personendaten!$D$2:$D$32,MATCH($A31,Personendaten!$A$2:$A$32,0))&gt;=4,INDEX(Personendaten!$D$2:$D$32,MATCH($A31,Personendaten!$A$2:$A$32,0))&lt;=17.5),J31+K31*E31+L31*F31+M31*G31,"")</f>
        <v/>
      </c>
      <c r="O31" s="25">
        <f>IF(ISNUMBER(N31),100*E31/N31,"")</f>
        <v/>
      </c>
      <c r="P31" s="25">
        <f>COUNTIFS(Versuchsdaten!$A$2:$A$1117,$A31,Versuchsdaten!$B$2:$B$1117,"prä",Versuchsdaten!$C$2:$C$1117,"Sprint_30m",Versuchsdaten!$O$2:$O$1117,1)</f>
        <v/>
      </c>
      <c r="Q31" s="25">
        <f>IF(COUNTIFS(Versuchsdaten!$A$2:$A$1117,$A31,Versuchsdaten!$B$2:$B$1117,"prä",Versuchsdaten!$C$2:$C$1117,"Sprint_30m",Versuchsdaten!$O$2:$O$1117,1)=0,"",_xlfn.MINIFS(Versuchsdaten!$F$2:$F$1117,Versuchsdaten!$A$2:$A$1117,$A31,Versuchsdaten!$B$2:$B$1117,"prä",Versuchsdaten!$C$2:$C$1117,"Sprint_30m",Versuchsdaten!$O$2:$O$1117,1))</f>
        <v/>
      </c>
      <c r="R31" s="25">
        <f>COUNTIFS(Versuchsdaten!$A$2:$A$1117,$A31,Versuchsdaten!$B$2:$B$1117,"post",Versuchsdaten!$C$2:$C$1117,"Sprint_30m",Versuchsdaten!$O$2:$O$1117,1)</f>
        <v/>
      </c>
      <c r="S31" s="25">
        <f>IF(COUNTIFS(Versuchsdaten!$A$2:$A$1117,$A31,Versuchsdaten!$B$2:$B$1117,"post",Versuchsdaten!$C$2:$C$1117,"Sprint_30m",Versuchsdaten!$O$2:$O$1117,1)=0,"",_xlfn.MINIFS(Versuchsdaten!$F$2:$F$1117,Versuchsdaten!$A$2:$A$1117,$A31,Versuchsdaten!$B$2:$B$1117,"post",Versuchsdaten!$C$2:$C$1117,"Sprint_30m",Versuchsdaten!$O$2:$O$1117,1))</f>
        <v/>
      </c>
      <c r="T31" s="25">
        <f>IF(COUNTIFS(Versuchsdaten!$A$2:$A$1117,$A31,Versuchsdaten!$B$2:$B$1117,"prä",Versuchsdaten!$C$2:$C$1117,"COD_505",Versuchsdaten!$O$2:$O$1117,1,Versuchsdaten!$D$2:$D$1117,"L")=0,"",_xlfn.MINIFS(Versuchsdaten!$F$2:$F$1117,Versuchsdaten!$A$2:$A$1117,$A31,Versuchsdaten!$B$2:$B$1117,"prä",Versuchsdaten!$C$2:$C$1117,"COD_505",Versuchsdaten!$O$2:$O$1117,1,Versuchsdaten!$D$2:$D$1117,"L"))</f>
        <v/>
      </c>
      <c r="U31" s="25">
        <f>IF(COUNTIFS(Versuchsdaten!$A$2:$A$1117,$A31,Versuchsdaten!$B$2:$B$1117,"prä",Versuchsdaten!$C$2:$C$1117,"COD_505",Versuchsdaten!$O$2:$O$1117,1,Versuchsdaten!$D$2:$D$1117,"R")=0,"",_xlfn.MINIFS(Versuchsdaten!$F$2:$F$1117,Versuchsdaten!$A$2:$A$1117,$A31,Versuchsdaten!$B$2:$B$1117,"prä",Versuchsdaten!$C$2:$C$1117,"COD_505",Versuchsdaten!$O$2:$O$1117,1,Versuchsdaten!$D$2:$D$1117,"R"))</f>
        <v/>
      </c>
      <c r="V31" s="25">
        <f>IF(AND(ISNUMBER(T31),ISNUMBER(U31)),(T31+U31)/2,"")</f>
        <v/>
      </c>
      <c r="W31" s="25">
        <f>IF(COUNTIFS(Versuchsdaten!$A$2:$A$1117,$A31,Versuchsdaten!$B$2:$B$1117,"post",Versuchsdaten!$C$2:$C$1117,"COD_505",Versuchsdaten!$O$2:$O$1117,1,Versuchsdaten!$D$2:$D$1117,"L")=0,"",_xlfn.MINIFS(Versuchsdaten!$F$2:$F$1117,Versuchsdaten!$A$2:$A$1117,$A31,Versuchsdaten!$B$2:$B$1117,"post",Versuchsdaten!$C$2:$C$1117,"COD_505",Versuchsdaten!$O$2:$O$1117,1,Versuchsdaten!$D$2:$D$1117,"L"))</f>
        <v/>
      </c>
      <c r="X31" s="25">
        <f>IF(COUNTIFS(Versuchsdaten!$A$2:$A$1117,$A31,Versuchsdaten!$B$2:$B$1117,"post",Versuchsdaten!$C$2:$C$1117,"COD_505",Versuchsdaten!$O$2:$O$1117,1,Versuchsdaten!$D$2:$D$1117,"R")=0,"",_xlfn.MINIFS(Versuchsdaten!$F$2:$F$1117,Versuchsdaten!$A$2:$A$1117,$A31,Versuchsdaten!$B$2:$B$1117,"post",Versuchsdaten!$C$2:$C$1117,"COD_505",Versuchsdaten!$O$2:$O$1117,1,Versuchsdaten!$D$2:$D$1117,"R"))</f>
        <v/>
      </c>
      <c r="Y31" s="25">
        <f>IF(AND(ISNUMBER(W31),ISNUMBER(X31)),(W31+X31)/2,"")</f>
        <v/>
      </c>
      <c r="Z31" s="25">
        <f>IF(COUNTIFS(Versuchsdaten!$A$2:$A$1117,$A31,Versuchsdaten!$B$2:$B$1117,"prä",Versuchsdaten!$C$2:$C$1117,"Standweitsprung",Versuchsdaten!$O$2:$O$1117,1)=0,"",_xlfn.MAXIFS(Versuchsdaten!$F$2:$F$1117,Versuchsdaten!$A$2:$A$1117,$A31,Versuchsdaten!$B$2:$B$1117,"prä",Versuchsdaten!$C$2:$C$1117,"Standweitsprung",Versuchsdaten!$O$2:$O$1117,1))</f>
        <v/>
      </c>
      <c r="AA31" s="25">
        <f>IF(COUNTIFS(Versuchsdaten!$A$2:$A$1117,$A31,Versuchsdaten!$B$2:$B$1117,"post",Versuchsdaten!$C$2:$C$1117,"Standweitsprung",Versuchsdaten!$O$2:$O$1117,1)=0,"",_xlfn.MAXIFS(Versuchsdaten!$F$2:$F$1117,Versuchsdaten!$A$2:$A$1117,$A31,Versuchsdaten!$B$2:$B$1117,"post",Versuchsdaten!$C$2:$C$1117,"Standweitsprung",Versuchsdaten!$O$2:$O$1117,1))</f>
        <v/>
      </c>
      <c r="AB31" s="25">
        <f>IF(AND(ISNUMBER(Q31),ISNUMBER(S31),ISNUMBER(O31)),1,0)</f>
        <v/>
      </c>
      <c r="AC31" s="25">
        <f>IF(AND(ISNUMBER(V31),ISNUMBER(Y31),ISNUMBER(O31)),1,0)</f>
        <v/>
      </c>
      <c r="AD31" s="25">
        <f>IF(AND(ISNUMBER(Z31),ISNUMBER(AA31),ISNUMBER(O31)),1,0)</f>
        <v/>
      </c>
      <c r="AE31" s="25">
        <f>IF(D31=0,"",IF(COUNTIF(Zuordnung!$B$2:$B$23,$A31)=0,"",COUNTIFS(Fragebogen_A!$M$2:$M$112,$A31,Fragebogen_A!$F$2:$F$112,1)))</f>
        <v/>
      </c>
      <c r="AF31" s="25">
        <f>IF(AB31=1,COUNTIF($AB$4:AB31,1),"")</f>
        <v/>
      </c>
      <c r="AH31" s="25">
        <f>IF(AND(O31="",Analysedaten!E31=""),0,IF(OR(O31="",Analysedaten!E31=""),1,IF(ABS(O31-Analysedaten!E31)&lt;=0.000000001*MAX(1,ABS(Analysedaten!E31)),0,1)))</f>
        <v/>
      </c>
      <c r="AI31" s="25">
        <f>IF(AND(Q31="",Analysedaten!F31=""),0,IF(OR(Q31="",Analysedaten!F31=""),1,IF(ABS(Q31-Analysedaten!F31)&lt;=0.000000001*MAX(1,ABS(Analysedaten!F31)),0,1)))</f>
        <v/>
      </c>
      <c r="AJ31" s="25">
        <f>IF(AND(S31="",Analysedaten!G31=""),0,IF(OR(S31="",Analysedaten!G31=""),1,IF(ABS(S31-Analysedaten!G31)&lt;=0.000000001*MAX(1,ABS(Analysedaten!G31)),0,1)))</f>
        <v/>
      </c>
      <c r="AK31" s="25">
        <f>IF(AND(V31="",Analysedaten!H31=""),0,IF(OR(V31="",Analysedaten!H31=""),1,IF(ABS(V31-Analysedaten!H31)&lt;=0.000000001*MAX(1,ABS(Analysedaten!H31)),0,1)))</f>
        <v/>
      </c>
      <c r="AL31" s="25">
        <f>IF(AND(Y31="",Analysedaten!I31=""),0,IF(OR(Y31="",Analysedaten!I31=""),1,IF(ABS(Y31-Analysedaten!I31)&lt;=0.000000001*MAX(1,ABS(Analysedaten!I31)),0,1)))</f>
        <v/>
      </c>
      <c r="AM31" s="25">
        <f>IF(AND(Z31="",Analysedaten!J31=""),0,IF(OR(Z31="",Analysedaten!J31=""),1,IF(ABS(Z31-Analysedaten!J31)&lt;=0.000000001*MAX(1,ABS(Analysedaten!J31)),0,1)))</f>
        <v/>
      </c>
      <c r="AN31" s="25">
        <f>IF(AND(AA31="",Analysedaten!K31=""),0,IF(OR(AA31="",Analysedaten!K31=""),1,IF(ABS(AA31-Analysedaten!K31)&lt;=0.000000001*MAX(1,ABS(Analysedaten!K31)),0,1)))</f>
        <v/>
      </c>
      <c r="AO31" s="25">
        <f>IF(AND(AB31="",Analysedaten!L31=""),0,IF(OR(AB31="",Analysedaten!L31=""),1,IF(ABS(AB31-Analysedaten!L31)&lt;=0.000000001*MAX(1,ABS(Analysedaten!L31)),0,1)))</f>
        <v/>
      </c>
      <c r="AP31" s="25">
        <f>IF(AND(AC31="",Analysedaten!M31=""),0,IF(OR(AC31="",Analysedaten!M31=""),1,IF(ABS(AC31-Analysedaten!M31)&lt;=0.000000001*MAX(1,ABS(Analysedaten!M31)),0,1)))</f>
        <v/>
      </c>
      <c r="AQ31" s="25">
        <f>IF(AND(AD31="",Analysedaten!N31=""),0,IF(OR(AD31="",Analysedaten!N31=""),1,IF(ABS(AD31-Analysedaten!N31)&lt;=0.000000001*MAX(1,ABS(Analysedaten!N31)),0,1)))</f>
        <v/>
      </c>
      <c r="AR31" s="25">
        <f>IF(AND(AE31="",Analysedaten!O31=""),0,IF(OR(AE31="",Analysedaten!O31=""),1,IF(ABS(AE31-Analysedaten!O31)&lt;=0.000000001*MAX(1,ABS(Analysedaten!O31)),0,1)))</f>
        <v/>
      </c>
      <c r="AS31" s="25">
        <f>SUM(AH31:AR31)</f>
        <v/>
      </c>
    </row>
    <row r="32">
      <c r="A32" s="5" t="inlineStr">
        <is>
          <t>VS-17</t>
        </is>
      </c>
      <c r="B32" s="5" t="inlineStr">
        <is>
          <t>KG</t>
        </is>
      </c>
      <c r="C32" s="5" t="inlineStr">
        <is>
          <t>C</t>
        </is>
      </c>
      <c r="D32" s="5" t="n">
        <v>0</v>
      </c>
      <c r="E32" s="25">
        <f>IF(ISNUMBER(INDEX(Personendaten!$E$2:$E$32,MATCH($A32,Personendaten!$A$2:$A$32,0))),INDEX(Personendaten!$E$2:$E$32,MATCH($A32,Personendaten!$A$2:$A$32,0))/2.54,"")</f>
        <v/>
      </c>
      <c r="F32" s="25">
        <f>IF(ISNUMBER(INDEX(Personendaten!$F$2:$F$32,MATCH($A32,Personendaten!$A$2:$A$32,0))),INDEX(Personendaten!$F$2:$F$32,MATCH($A32,Personendaten!$A$2:$A$32,0))/0.45359237,"")</f>
        <v/>
      </c>
      <c r="G32" s="25">
        <f>IF(AND(ISNUMBER(INDEX(Personendaten!$G$2:$G$32,MATCH($A32,Personendaten!$A$2:$A$32,0))),ISNUMBER(INDEX(Personendaten!$H$2:$H$32,MATCH($A32,Personendaten!$A$2:$A$32,0)))),(INDEX(Personendaten!$G$2:$G$32,MATCH($A32,Personendaten!$A$2:$A$32,0))/2.54+INDEX(Personendaten!$H$2:$H$32,MATCH($A32,Personendaten!$A$2:$A$32,0))/2.54)/2,"")</f>
        <v/>
      </c>
      <c r="H32" s="25">
        <f>INT(2*INDEX(Personendaten!$D$2:$D$32,MATCH($A32,Personendaten!$A$2:$A$32,0)))/2</f>
        <v/>
      </c>
      <c r="I32" s="25">
        <f>(INDEX(Personendaten!$D$2:$D$32,MATCH($A32,Personendaten!$A$2:$A$32,0))-H32)/0.5</f>
        <v/>
      </c>
      <c r="J32" s="25">
        <f>IF($I32=0,INDEX(Koeffizienten_KR!$B$2:$B$29,MATCH($H32,Koeffizienten_KR!$A$2:$A$29,0)),(1-$I32)*INDEX(Koeffizienten_KR!$B$2:$B$29,MATCH($H32,Koeffizienten_KR!$A$2:$A$29,0))+$I32*INDEX(Koeffizienten_KR!$B$2:$B$29,MATCH($H32+0.5,Koeffizienten_KR!$A$2:$A$29,0)))</f>
        <v/>
      </c>
      <c r="K32" s="25">
        <f>IF($I32=0,INDEX(Koeffizienten_KR!$C$2:$C$29,MATCH($H32,Koeffizienten_KR!$A$2:$A$29,0)),(1-$I32)*INDEX(Koeffizienten_KR!$C$2:$C$29,MATCH($H32,Koeffizienten_KR!$A$2:$A$29,0))+$I32*INDEX(Koeffizienten_KR!$C$2:$C$29,MATCH($H32+0.5,Koeffizienten_KR!$A$2:$A$29,0)))</f>
        <v/>
      </c>
      <c r="L32" s="25">
        <f>IF($I32=0,INDEX(Koeffizienten_KR!$D$2:$D$29,MATCH($H32,Koeffizienten_KR!$A$2:$A$29,0)),(1-$I32)*INDEX(Koeffizienten_KR!$D$2:$D$29,MATCH($H32,Koeffizienten_KR!$A$2:$A$29,0))+$I32*INDEX(Koeffizienten_KR!$D$2:$D$29,MATCH($H32+0.5,Koeffizienten_KR!$A$2:$A$29,0)))</f>
        <v/>
      </c>
      <c r="M32" s="25">
        <f>IF($I32=0,INDEX(Koeffizienten_KR!$E$2:$E$29,MATCH($H32,Koeffizienten_KR!$A$2:$A$29,0)),(1-$I32)*INDEX(Koeffizienten_KR!$E$2:$E$29,MATCH($H32,Koeffizienten_KR!$A$2:$A$29,0))+$I32*INDEX(Koeffizienten_KR!$E$2:$E$29,MATCH($H32+0.5,Koeffizienten_KR!$A$2:$A$29,0)))</f>
        <v/>
      </c>
      <c r="N32" s="25">
        <f>IF(AND(ISNUMBER(E32),ISNUMBER(F32),ISNUMBER(G32),INDEX(Personendaten!$D$2:$D$32,MATCH($A32,Personendaten!$A$2:$A$32,0))&gt;=4,INDEX(Personendaten!$D$2:$D$32,MATCH($A32,Personendaten!$A$2:$A$32,0))&lt;=17.5),J32+K32*E32+L32*F32+M32*G32,"")</f>
        <v/>
      </c>
      <c r="O32" s="25">
        <f>IF(ISNUMBER(N32),100*E32/N32,"")</f>
        <v/>
      </c>
      <c r="P32" s="25">
        <f>COUNTIFS(Versuchsdaten!$A$2:$A$1117,$A32,Versuchsdaten!$B$2:$B$1117,"prä",Versuchsdaten!$C$2:$C$1117,"Sprint_30m",Versuchsdaten!$O$2:$O$1117,1)</f>
        <v/>
      </c>
      <c r="Q32" s="25">
        <f>IF(COUNTIFS(Versuchsdaten!$A$2:$A$1117,$A32,Versuchsdaten!$B$2:$B$1117,"prä",Versuchsdaten!$C$2:$C$1117,"Sprint_30m",Versuchsdaten!$O$2:$O$1117,1)=0,"",_xlfn.MINIFS(Versuchsdaten!$F$2:$F$1117,Versuchsdaten!$A$2:$A$1117,$A32,Versuchsdaten!$B$2:$B$1117,"prä",Versuchsdaten!$C$2:$C$1117,"Sprint_30m",Versuchsdaten!$O$2:$O$1117,1))</f>
        <v/>
      </c>
      <c r="R32" s="25">
        <f>COUNTIFS(Versuchsdaten!$A$2:$A$1117,$A32,Versuchsdaten!$B$2:$B$1117,"post",Versuchsdaten!$C$2:$C$1117,"Sprint_30m",Versuchsdaten!$O$2:$O$1117,1)</f>
        <v/>
      </c>
      <c r="S32" s="25">
        <f>IF(COUNTIFS(Versuchsdaten!$A$2:$A$1117,$A32,Versuchsdaten!$B$2:$B$1117,"post",Versuchsdaten!$C$2:$C$1117,"Sprint_30m",Versuchsdaten!$O$2:$O$1117,1)=0,"",_xlfn.MINIFS(Versuchsdaten!$F$2:$F$1117,Versuchsdaten!$A$2:$A$1117,$A32,Versuchsdaten!$B$2:$B$1117,"post",Versuchsdaten!$C$2:$C$1117,"Sprint_30m",Versuchsdaten!$O$2:$O$1117,1))</f>
        <v/>
      </c>
      <c r="T32" s="25">
        <f>IF(COUNTIFS(Versuchsdaten!$A$2:$A$1117,$A32,Versuchsdaten!$B$2:$B$1117,"prä",Versuchsdaten!$C$2:$C$1117,"COD_505",Versuchsdaten!$O$2:$O$1117,1,Versuchsdaten!$D$2:$D$1117,"L")=0,"",_xlfn.MINIFS(Versuchsdaten!$F$2:$F$1117,Versuchsdaten!$A$2:$A$1117,$A32,Versuchsdaten!$B$2:$B$1117,"prä",Versuchsdaten!$C$2:$C$1117,"COD_505",Versuchsdaten!$O$2:$O$1117,1,Versuchsdaten!$D$2:$D$1117,"L"))</f>
        <v/>
      </c>
      <c r="U32" s="25">
        <f>IF(COUNTIFS(Versuchsdaten!$A$2:$A$1117,$A32,Versuchsdaten!$B$2:$B$1117,"prä",Versuchsdaten!$C$2:$C$1117,"COD_505",Versuchsdaten!$O$2:$O$1117,1,Versuchsdaten!$D$2:$D$1117,"R")=0,"",_xlfn.MINIFS(Versuchsdaten!$F$2:$F$1117,Versuchsdaten!$A$2:$A$1117,$A32,Versuchsdaten!$B$2:$B$1117,"prä",Versuchsdaten!$C$2:$C$1117,"COD_505",Versuchsdaten!$O$2:$O$1117,1,Versuchsdaten!$D$2:$D$1117,"R"))</f>
        <v/>
      </c>
      <c r="V32" s="25">
        <f>IF(AND(ISNUMBER(T32),ISNUMBER(U32)),(T32+U32)/2,"")</f>
        <v/>
      </c>
      <c r="W32" s="25">
        <f>IF(COUNTIFS(Versuchsdaten!$A$2:$A$1117,$A32,Versuchsdaten!$B$2:$B$1117,"post",Versuchsdaten!$C$2:$C$1117,"COD_505",Versuchsdaten!$O$2:$O$1117,1,Versuchsdaten!$D$2:$D$1117,"L")=0,"",_xlfn.MINIFS(Versuchsdaten!$F$2:$F$1117,Versuchsdaten!$A$2:$A$1117,$A32,Versuchsdaten!$B$2:$B$1117,"post",Versuchsdaten!$C$2:$C$1117,"COD_505",Versuchsdaten!$O$2:$O$1117,1,Versuchsdaten!$D$2:$D$1117,"L"))</f>
        <v/>
      </c>
      <c r="X32" s="25">
        <f>IF(COUNTIFS(Versuchsdaten!$A$2:$A$1117,$A32,Versuchsdaten!$B$2:$B$1117,"post",Versuchsdaten!$C$2:$C$1117,"COD_505",Versuchsdaten!$O$2:$O$1117,1,Versuchsdaten!$D$2:$D$1117,"R")=0,"",_xlfn.MINIFS(Versuchsdaten!$F$2:$F$1117,Versuchsdaten!$A$2:$A$1117,$A32,Versuchsdaten!$B$2:$B$1117,"post",Versuchsdaten!$C$2:$C$1117,"COD_505",Versuchsdaten!$O$2:$O$1117,1,Versuchsdaten!$D$2:$D$1117,"R"))</f>
        <v/>
      </c>
      <c r="Y32" s="25">
        <f>IF(AND(ISNUMBER(W32),ISNUMBER(X32)),(W32+X32)/2,"")</f>
        <v/>
      </c>
      <c r="Z32" s="25">
        <f>IF(COUNTIFS(Versuchsdaten!$A$2:$A$1117,$A32,Versuchsdaten!$B$2:$B$1117,"prä",Versuchsdaten!$C$2:$C$1117,"Standweitsprung",Versuchsdaten!$O$2:$O$1117,1)=0,"",_xlfn.MAXIFS(Versuchsdaten!$F$2:$F$1117,Versuchsdaten!$A$2:$A$1117,$A32,Versuchsdaten!$B$2:$B$1117,"prä",Versuchsdaten!$C$2:$C$1117,"Standweitsprung",Versuchsdaten!$O$2:$O$1117,1))</f>
        <v/>
      </c>
      <c r="AA32" s="25">
        <f>IF(COUNTIFS(Versuchsdaten!$A$2:$A$1117,$A32,Versuchsdaten!$B$2:$B$1117,"post",Versuchsdaten!$C$2:$C$1117,"Standweitsprung",Versuchsdaten!$O$2:$O$1117,1)=0,"",_xlfn.MAXIFS(Versuchsdaten!$F$2:$F$1117,Versuchsdaten!$A$2:$A$1117,$A32,Versuchsdaten!$B$2:$B$1117,"post",Versuchsdaten!$C$2:$C$1117,"Standweitsprung",Versuchsdaten!$O$2:$O$1117,1))</f>
        <v/>
      </c>
      <c r="AB32" s="25">
        <f>IF(AND(ISNUMBER(Q32),ISNUMBER(S32),ISNUMBER(O32)),1,0)</f>
        <v/>
      </c>
      <c r="AC32" s="25">
        <f>IF(AND(ISNUMBER(V32),ISNUMBER(Y32),ISNUMBER(O32)),1,0)</f>
        <v/>
      </c>
      <c r="AD32" s="25">
        <f>IF(AND(ISNUMBER(Z32),ISNUMBER(AA32),ISNUMBER(O32)),1,0)</f>
        <v/>
      </c>
      <c r="AE32" s="25">
        <f>IF(D32=0,"",IF(COUNTIF(Zuordnung!$B$2:$B$23,$A32)=0,"",COUNTIFS(Fragebogen_A!$M$2:$M$112,$A32,Fragebogen_A!$F$2:$F$112,1)))</f>
        <v/>
      </c>
      <c r="AF32" s="25">
        <f>IF(AB32=1,COUNTIF($AB$4:AB32,1),"")</f>
        <v/>
      </c>
      <c r="AH32" s="25">
        <f>IF(AND(O32="",Analysedaten!E32=""),0,IF(OR(O32="",Analysedaten!E32=""),1,IF(ABS(O32-Analysedaten!E32)&lt;=0.000000001*MAX(1,ABS(Analysedaten!E32)),0,1)))</f>
        <v/>
      </c>
      <c r="AI32" s="25">
        <f>IF(AND(Q32="",Analysedaten!F32=""),0,IF(OR(Q32="",Analysedaten!F32=""),1,IF(ABS(Q32-Analysedaten!F32)&lt;=0.000000001*MAX(1,ABS(Analysedaten!F32)),0,1)))</f>
        <v/>
      </c>
      <c r="AJ32" s="25">
        <f>IF(AND(S32="",Analysedaten!G32=""),0,IF(OR(S32="",Analysedaten!G32=""),1,IF(ABS(S32-Analysedaten!G32)&lt;=0.000000001*MAX(1,ABS(Analysedaten!G32)),0,1)))</f>
        <v/>
      </c>
      <c r="AK32" s="25">
        <f>IF(AND(V32="",Analysedaten!H32=""),0,IF(OR(V32="",Analysedaten!H32=""),1,IF(ABS(V32-Analysedaten!H32)&lt;=0.000000001*MAX(1,ABS(Analysedaten!H32)),0,1)))</f>
        <v/>
      </c>
      <c r="AL32" s="25">
        <f>IF(AND(Y32="",Analysedaten!I32=""),0,IF(OR(Y32="",Analysedaten!I32=""),1,IF(ABS(Y32-Analysedaten!I32)&lt;=0.000000001*MAX(1,ABS(Analysedaten!I32)),0,1)))</f>
        <v/>
      </c>
      <c r="AM32" s="25">
        <f>IF(AND(Z32="",Analysedaten!J32=""),0,IF(OR(Z32="",Analysedaten!J32=""),1,IF(ABS(Z32-Analysedaten!J32)&lt;=0.000000001*MAX(1,ABS(Analysedaten!J32)),0,1)))</f>
        <v/>
      </c>
      <c r="AN32" s="25">
        <f>IF(AND(AA32="",Analysedaten!K32=""),0,IF(OR(AA32="",Analysedaten!K32=""),1,IF(ABS(AA32-Analysedaten!K32)&lt;=0.000000001*MAX(1,ABS(Analysedaten!K32)),0,1)))</f>
        <v/>
      </c>
      <c r="AO32" s="25">
        <f>IF(AND(AB32="",Analysedaten!L32=""),0,IF(OR(AB32="",Analysedaten!L32=""),1,IF(ABS(AB32-Analysedaten!L32)&lt;=0.000000001*MAX(1,ABS(Analysedaten!L32)),0,1)))</f>
        <v/>
      </c>
      <c r="AP32" s="25">
        <f>IF(AND(AC32="",Analysedaten!M32=""),0,IF(OR(AC32="",Analysedaten!M32=""),1,IF(ABS(AC32-Analysedaten!M32)&lt;=0.000000001*MAX(1,ABS(Analysedaten!M32)),0,1)))</f>
        <v/>
      </c>
      <c r="AQ32" s="25">
        <f>IF(AND(AD32="",Analysedaten!N32=""),0,IF(OR(AD32="",Analysedaten!N32=""),1,IF(ABS(AD32-Analysedaten!N32)&lt;=0.000000001*MAX(1,ABS(Analysedaten!N32)),0,1)))</f>
        <v/>
      </c>
      <c r="AR32" s="25">
        <f>IF(AND(AE32="",Analysedaten!O32=""),0,IF(OR(AE32="",Analysedaten!O32=""),1,IF(ABS(AE32-Analysedaten!O32)&lt;=0.000000001*MAX(1,ABS(Analysedaten!O32)),0,1)))</f>
        <v/>
      </c>
      <c r="AS32" s="25">
        <f>SUM(AH32:AR32)</f>
        <v/>
      </c>
    </row>
    <row r="33">
      <c r="A33" s="5" t="inlineStr">
        <is>
          <t>VS-18</t>
        </is>
      </c>
      <c r="B33" s="5" t="inlineStr">
        <is>
          <t>KG</t>
        </is>
      </c>
      <c r="C33" s="5" t="inlineStr">
        <is>
          <t>C</t>
        </is>
      </c>
      <c r="D33" s="5" t="n">
        <v>0</v>
      </c>
      <c r="E33" s="25">
        <f>IF(ISNUMBER(INDEX(Personendaten!$E$2:$E$32,MATCH($A33,Personendaten!$A$2:$A$32,0))),INDEX(Personendaten!$E$2:$E$32,MATCH($A33,Personendaten!$A$2:$A$32,0))/2.54,"")</f>
        <v/>
      </c>
      <c r="F33" s="25">
        <f>IF(ISNUMBER(INDEX(Personendaten!$F$2:$F$32,MATCH($A33,Personendaten!$A$2:$A$32,0))),INDEX(Personendaten!$F$2:$F$32,MATCH($A33,Personendaten!$A$2:$A$32,0))/0.45359237,"")</f>
        <v/>
      </c>
      <c r="G33" s="25">
        <f>IF(AND(ISNUMBER(INDEX(Personendaten!$G$2:$G$32,MATCH($A33,Personendaten!$A$2:$A$32,0))),ISNUMBER(INDEX(Personendaten!$H$2:$H$32,MATCH($A33,Personendaten!$A$2:$A$32,0)))),(INDEX(Personendaten!$G$2:$G$32,MATCH($A33,Personendaten!$A$2:$A$32,0))/2.54+INDEX(Personendaten!$H$2:$H$32,MATCH($A33,Personendaten!$A$2:$A$32,0))/2.54)/2,"")</f>
        <v/>
      </c>
      <c r="H33" s="25">
        <f>INT(2*INDEX(Personendaten!$D$2:$D$32,MATCH($A33,Personendaten!$A$2:$A$32,0)))/2</f>
        <v/>
      </c>
      <c r="I33" s="25">
        <f>(INDEX(Personendaten!$D$2:$D$32,MATCH($A33,Personendaten!$A$2:$A$32,0))-H33)/0.5</f>
        <v/>
      </c>
      <c r="J33" s="25">
        <f>IF($I33=0,INDEX(Koeffizienten_KR!$B$2:$B$29,MATCH($H33,Koeffizienten_KR!$A$2:$A$29,0)),(1-$I33)*INDEX(Koeffizienten_KR!$B$2:$B$29,MATCH($H33,Koeffizienten_KR!$A$2:$A$29,0))+$I33*INDEX(Koeffizienten_KR!$B$2:$B$29,MATCH($H33+0.5,Koeffizienten_KR!$A$2:$A$29,0)))</f>
        <v/>
      </c>
      <c r="K33" s="25">
        <f>IF($I33=0,INDEX(Koeffizienten_KR!$C$2:$C$29,MATCH($H33,Koeffizienten_KR!$A$2:$A$29,0)),(1-$I33)*INDEX(Koeffizienten_KR!$C$2:$C$29,MATCH($H33,Koeffizienten_KR!$A$2:$A$29,0))+$I33*INDEX(Koeffizienten_KR!$C$2:$C$29,MATCH($H33+0.5,Koeffizienten_KR!$A$2:$A$29,0)))</f>
        <v/>
      </c>
      <c r="L33" s="25">
        <f>IF($I33=0,INDEX(Koeffizienten_KR!$D$2:$D$29,MATCH($H33,Koeffizienten_KR!$A$2:$A$29,0)),(1-$I33)*INDEX(Koeffizienten_KR!$D$2:$D$29,MATCH($H33,Koeffizienten_KR!$A$2:$A$29,0))+$I33*INDEX(Koeffizienten_KR!$D$2:$D$29,MATCH($H33+0.5,Koeffizienten_KR!$A$2:$A$29,0)))</f>
        <v/>
      </c>
      <c r="M33" s="25">
        <f>IF($I33=0,INDEX(Koeffizienten_KR!$E$2:$E$29,MATCH($H33,Koeffizienten_KR!$A$2:$A$29,0)),(1-$I33)*INDEX(Koeffizienten_KR!$E$2:$E$29,MATCH($H33,Koeffizienten_KR!$A$2:$A$29,0))+$I33*INDEX(Koeffizienten_KR!$E$2:$E$29,MATCH($H33+0.5,Koeffizienten_KR!$A$2:$A$29,0)))</f>
        <v/>
      </c>
      <c r="N33" s="25">
        <f>IF(AND(ISNUMBER(E33),ISNUMBER(F33),ISNUMBER(G33),INDEX(Personendaten!$D$2:$D$32,MATCH($A33,Personendaten!$A$2:$A$32,0))&gt;=4,INDEX(Personendaten!$D$2:$D$32,MATCH($A33,Personendaten!$A$2:$A$32,0))&lt;=17.5),J33+K33*E33+L33*F33+M33*G33,"")</f>
        <v/>
      </c>
      <c r="O33" s="25">
        <f>IF(ISNUMBER(N33),100*E33/N33,"")</f>
        <v/>
      </c>
      <c r="P33" s="25">
        <f>COUNTIFS(Versuchsdaten!$A$2:$A$1117,$A33,Versuchsdaten!$B$2:$B$1117,"prä",Versuchsdaten!$C$2:$C$1117,"Sprint_30m",Versuchsdaten!$O$2:$O$1117,1)</f>
        <v/>
      </c>
      <c r="Q33" s="25">
        <f>IF(COUNTIFS(Versuchsdaten!$A$2:$A$1117,$A33,Versuchsdaten!$B$2:$B$1117,"prä",Versuchsdaten!$C$2:$C$1117,"Sprint_30m",Versuchsdaten!$O$2:$O$1117,1)=0,"",_xlfn.MINIFS(Versuchsdaten!$F$2:$F$1117,Versuchsdaten!$A$2:$A$1117,$A33,Versuchsdaten!$B$2:$B$1117,"prä",Versuchsdaten!$C$2:$C$1117,"Sprint_30m",Versuchsdaten!$O$2:$O$1117,1))</f>
        <v/>
      </c>
      <c r="R33" s="25">
        <f>COUNTIFS(Versuchsdaten!$A$2:$A$1117,$A33,Versuchsdaten!$B$2:$B$1117,"post",Versuchsdaten!$C$2:$C$1117,"Sprint_30m",Versuchsdaten!$O$2:$O$1117,1)</f>
        <v/>
      </c>
      <c r="S33" s="25">
        <f>IF(COUNTIFS(Versuchsdaten!$A$2:$A$1117,$A33,Versuchsdaten!$B$2:$B$1117,"post",Versuchsdaten!$C$2:$C$1117,"Sprint_30m",Versuchsdaten!$O$2:$O$1117,1)=0,"",_xlfn.MINIFS(Versuchsdaten!$F$2:$F$1117,Versuchsdaten!$A$2:$A$1117,$A33,Versuchsdaten!$B$2:$B$1117,"post",Versuchsdaten!$C$2:$C$1117,"Sprint_30m",Versuchsdaten!$O$2:$O$1117,1))</f>
        <v/>
      </c>
      <c r="T33" s="25">
        <f>IF(COUNTIFS(Versuchsdaten!$A$2:$A$1117,$A33,Versuchsdaten!$B$2:$B$1117,"prä",Versuchsdaten!$C$2:$C$1117,"COD_505",Versuchsdaten!$O$2:$O$1117,1,Versuchsdaten!$D$2:$D$1117,"L")=0,"",_xlfn.MINIFS(Versuchsdaten!$F$2:$F$1117,Versuchsdaten!$A$2:$A$1117,$A33,Versuchsdaten!$B$2:$B$1117,"prä",Versuchsdaten!$C$2:$C$1117,"COD_505",Versuchsdaten!$O$2:$O$1117,1,Versuchsdaten!$D$2:$D$1117,"L"))</f>
        <v/>
      </c>
      <c r="U33" s="25">
        <f>IF(COUNTIFS(Versuchsdaten!$A$2:$A$1117,$A33,Versuchsdaten!$B$2:$B$1117,"prä",Versuchsdaten!$C$2:$C$1117,"COD_505",Versuchsdaten!$O$2:$O$1117,1,Versuchsdaten!$D$2:$D$1117,"R")=0,"",_xlfn.MINIFS(Versuchsdaten!$F$2:$F$1117,Versuchsdaten!$A$2:$A$1117,$A33,Versuchsdaten!$B$2:$B$1117,"prä",Versuchsdaten!$C$2:$C$1117,"COD_505",Versuchsdaten!$O$2:$O$1117,1,Versuchsdaten!$D$2:$D$1117,"R"))</f>
        <v/>
      </c>
      <c r="V33" s="25">
        <f>IF(AND(ISNUMBER(T33),ISNUMBER(U33)),(T33+U33)/2,"")</f>
        <v/>
      </c>
      <c r="W33" s="25">
        <f>IF(COUNTIFS(Versuchsdaten!$A$2:$A$1117,$A33,Versuchsdaten!$B$2:$B$1117,"post",Versuchsdaten!$C$2:$C$1117,"COD_505",Versuchsdaten!$O$2:$O$1117,1,Versuchsdaten!$D$2:$D$1117,"L")=0,"",_xlfn.MINIFS(Versuchsdaten!$F$2:$F$1117,Versuchsdaten!$A$2:$A$1117,$A33,Versuchsdaten!$B$2:$B$1117,"post",Versuchsdaten!$C$2:$C$1117,"COD_505",Versuchsdaten!$O$2:$O$1117,1,Versuchsdaten!$D$2:$D$1117,"L"))</f>
        <v/>
      </c>
      <c r="X33" s="25">
        <f>IF(COUNTIFS(Versuchsdaten!$A$2:$A$1117,$A33,Versuchsdaten!$B$2:$B$1117,"post",Versuchsdaten!$C$2:$C$1117,"COD_505",Versuchsdaten!$O$2:$O$1117,1,Versuchsdaten!$D$2:$D$1117,"R")=0,"",_xlfn.MINIFS(Versuchsdaten!$F$2:$F$1117,Versuchsdaten!$A$2:$A$1117,$A33,Versuchsdaten!$B$2:$B$1117,"post",Versuchsdaten!$C$2:$C$1117,"COD_505",Versuchsdaten!$O$2:$O$1117,1,Versuchsdaten!$D$2:$D$1117,"R"))</f>
        <v/>
      </c>
      <c r="Y33" s="25">
        <f>IF(AND(ISNUMBER(W33),ISNUMBER(X33)),(W33+X33)/2,"")</f>
        <v/>
      </c>
      <c r="Z33" s="25">
        <f>IF(COUNTIFS(Versuchsdaten!$A$2:$A$1117,$A33,Versuchsdaten!$B$2:$B$1117,"prä",Versuchsdaten!$C$2:$C$1117,"Standweitsprung",Versuchsdaten!$O$2:$O$1117,1)=0,"",_xlfn.MAXIFS(Versuchsdaten!$F$2:$F$1117,Versuchsdaten!$A$2:$A$1117,$A33,Versuchsdaten!$B$2:$B$1117,"prä",Versuchsdaten!$C$2:$C$1117,"Standweitsprung",Versuchsdaten!$O$2:$O$1117,1))</f>
        <v/>
      </c>
      <c r="AA33" s="25">
        <f>IF(COUNTIFS(Versuchsdaten!$A$2:$A$1117,$A33,Versuchsdaten!$B$2:$B$1117,"post",Versuchsdaten!$C$2:$C$1117,"Standweitsprung",Versuchsdaten!$O$2:$O$1117,1)=0,"",_xlfn.MAXIFS(Versuchsdaten!$F$2:$F$1117,Versuchsdaten!$A$2:$A$1117,$A33,Versuchsdaten!$B$2:$B$1117,"post",Versuchsdaten!$C$2:$C$1117,"Standweitsprung",Versuchsdaten!$O$2:$O$1117,1))</f>
        <v/>
      </c>
      <c r="AB33" s="25">
        <f>IF(AND(ISNUMBER(Q33),ISNUMBER(S33),ISNUMBER(O33)),1,0)</f>
        <v/>
      </c>
      <c r="AC33" s="25">
        <f>IF(AND(ISNUMBER(V33),ISNUMBER(Y33),ISNUMBER(O33)),1,0)</f>
        <v/>
      </c>
      <c r="AD33" s="25">
        <f>IF(AND(ISNUMBER(Z33),ISNUMBER(AA33),ISNUMBER(O33)),1,0)</f>
        <v/>
      </c>
      <c r="AE33" s="25">
        <f>IF(D33=0,"",IF(COUNTIF(Zuordnung!$B$2:$B$23,$A33)=0,"",COUNTIFS(Fragebogen_A!$M$2:$M$112,$A33,Fragebogen_A!$F$2:$F$112,1)))</f>
        <v/>
      </c>
      <c r="AF33" s="25">
        <f>IF(AB33=1,COUNTIF($AB$4:AB33,1),"")</f>
        <v/>
      </c>
      <c r="AH33" s="25">
        <f>IF(AND(O33="",Analysedaten!E33=""),0,IF(OR(O33="",Analysedaten!E33=""),1,IF(ABS(O33-Analysedaten!E33)&lt;=0.000000001*MAX(1,ABS(Analysedaten!E33)),0,1)))</f>
        <v/>
      </c>
      <c r="AI33" s="25">
        <f>IF(AND(Q33="",Analysedaten!F33=""),0,IF(OR(Q33="",Analysedaten!F33=""),1,IF(ABS(Q33-Analysedaten!F33)&lt;=0.000000001*MAX(1,ABS(Analysedaten!F33)),0,1)))</f>
        <v/>
      </c>
      <c r="AJ33" s="25">
        <f>IF(AND(S33="",Analysedaten!G33=""),0,IF(OR(S33="",Analysedaten!G33=""),1,IF(ABS(S33-Analysedaten!G33)&lt;=0.000000001*MAX(1,ABS(Analysedaten!G33)),0,1)))</f>
        <v/>
      </c>
      <c r="AK33" s="25">
        <f>IF(AND(V33="",Analysedaten!H33=""),0,IF(OR(V33="",Analysedaten!H33=""),1,IF(ABS(V33-Analysedaten!H33)&lt;=0.000000001*MAX(1,ABS(Analysedaten!H33)),0,1)))</f>
        <v/>
      </c>
      <c r="AL33" s="25">
        <f>IF(AND(Y33="",Analysedaten!I33=""),0,IF(OR(Y33="",Analysedaten!I33=""),1,IF(ABS(Y33-Analysedaten!I33)&lt;=0.000000001*MAX(1,ABS(Analysedaten!I33)),0,1)))</f>
        <v/>
      </c>
      <c r="AM33" s="25">
        <f>IF(AND(Z33="",Analysedaten!J33=""),0,IF(OR(Z33="",Analysedaten!J33=""),1,IF(ABS(Z33-Analysedaten!J33)&lt;=0.000000001*MAX(1,ABS(Analysedaten!J33)),0,1)))</f>
        <v/>
      </c>
      <c r="AN33" s="25">
        <f>IF(AND(AA33="",Analysedaten!K33=""),0,IF(OR(AA33="",Analysedaten!K33=""),1,IF(ABS(AA33-Analysedaten!K33)&lt;=0.000000001*MAX(1,ABS(Analysedaten!K33)),0,1)))</f>
        <v/>
      </c>
      <c r="AO33" s="25">
        <f>IF(AND(AB33="",Analysedaten!L33=""),0,IF(OR(AB33="",Analysedaten!L33=""),1,IF(ABS(AB33-Analysedaten!L33)&lt;=0.000000001*MAX(1,ABS(Analysedaten!L33)),0,1)))</f>
        <v/>
      </c>
      <c r="AP33" s="25">
        <f>IF(AND(AC33="",Analysedaten!M33=""),0,IF(OR(AC33="",Analysedaten!M33=""),1,IF(ABS(AC33-Analysedaten!M33)&lt;=0.000000001*MAX(1,ABS(Analysedaten!M33)),0,1)))</f>
        <v/>
      </c>
      <c r="AQ33" s="25">
        <f>IF(AND(AD33="",Analysedaten!N33=""),0,IF(OR(AD33="",Analysedaten!N33=""),1,IF(ABS(AD33-Analysedaten!N33)&lt;=0.000000001*MAX(1,ABS(Analysedaten!N33)),0,1)))</f>
        <v/>
      </c>
      <c r="AR33" s="25">
        <f>IF(AND(AE33="",Analysedaten!O33=""),0,IF(OR(AE33="",Analysedaten!O33=""),1,IF(ABS(AE33-Analysedaten!O33)&lt;=0.000000001*MAX(1,ABS(Analysedaten!O33)),0,1)))</f>
        <v/>
      </c>
      <c r="AS33" s="25">
        <f>SUM(AH33:AR33)</f>
        <v/>
      </c>
    </row>
    <row r="34">
      <c r="A34" s="5" t="inlineStr">
        <is>
          <t>VS-11</t>
        </is>
      </c>
      <c r="B34" s="5" t="inlineStr">
        <is>
          <t>KG</t>
        </is>
      </c>
      <c r="C34" s="5" t="inlineStr">
        <is>
          <t>C</t>
        </is>
      </c>
      <c r="D34" s="5" t="n">
        <v>0</v>
      </c>
      <c r="E34" s="25">
        <f>IF(ISNUMBER(INDEX(Personendaten!$E$2:$E$32,MATCH($A34,Personendaten!$A$2:$A$32,0))),INDEX(Personendaten!$E$2:$E$32,MATCH($A34,Personendaten!$A$2:$A$32,0))/2.54,"")</f>
        <v/>
      </c>
      <c r="F34" s="25">
        <f>IF(ISNUMBER(INDEX(Personendaten!$F$2:$F$32,MATCH($A34,Personendaten!$A$2:$A$32,0))),INDEX(Personendaten!$F$2:$F$32,MATCH($A34,Personendaten!$A$2:$A$32,0))/0.45359237,"")</f>
        <v/>
      </c>
      <c r="G34" s="25">
        <f>IF(AND(ISNUMBER(INDEX(Personendaten!$G$2:$G$32,MATCH($A34,Personendaten!$A$2:$A$32,0))),ISNUMBER(INDEX(Personendaten!$H$2:$H$32,MATCH($A34,Personendaten!$A$2:$A$32,0)))),(INDEX(Personendaten!$G$2:$G$32,MATCH($A34,Personendaten!$A$2:$A$32,0))/2.54+INDEX(Personendaten!$H$2:$H$32,MATCH($A34,Personendaten!$A$2:$A$32,0))/2.54)/2,"")</f>
        <v/>
      </c>
      <c r="H34" s="25">
        <f>INT(2*INDEX(Personendaten!$D$2:$D$32,MATCH($A34,Personendaten!$A$2:$A$32,0)))/2</f>
        <v/>
      </c>
      <c r="I34" s="25">
        <f>(INDEX(Personendaten!$D$2:$D$32,MATCH($A34,Personendaten!$A$2:$A$32,0))-H34)/0.5</f>
        <v/>
      </c>
      <c r="J34" s="25">
        <f>IF($I34=0,INDEX(Koeffizienten_KR!$B$2:$B$29,MATCH($H34,Koeffizienten_KR!$A$2:$A$29,0)),(1-$I34)*INDEX(Koeffizienten_KR!$B$2:$B$29,MATCH($H34,Koeffizienten_KR!$A$2:$A$29,0))+$I34*INDEX(Koeffizienten_KR!$B$2:$B$29,MATCH($H34+0.5,Koeffizienten_KR!$A$2:$A$29,0)))</f>
        <v/>
      </c>
      <c r="K34" s="25">
        <f>IF($I34=0,INDEX(Koeffizienten_KR!$C$2:$C$29,MATCH($H34,Koeffizienten_KR!$A$2:$A$29,0)),(1-$I34)*INDEX(Koeffizienten_KR!$C$2:$C$29,MATCH($H34,Koeffizienten_KR!$A$2:$A$29,0))+$I34*INDEX(Koeffizienten_KR!$C$2:$C$29,MATCH($H34+0.5,Koeffizienten_KR!$A$2:$A$29,0)))</f>
        <v/>
      </c>
      <c r="L34" s="25">
        <f>IF($I34=0,INDEX(Koeffizienten_KR!$D$2:$D$29,MATCH($H34,Koeffizienten_KR!$A$2:$A$29,0)),(1-$I34)*INDEX(Koeffizienten_KR!$D$2:$D$29,MATCH($H34,Koeffizienten_KR!$A$2:$A$29,0))+$I34*INDEX(Koeffizienten_KR!$D$2:$D$29,MATCH($H34+0.5,Koeffizienten_KR!$A$2:$A$29,0)))</f>
        <v/>
      </c>
      <c r="M34" s="25">
        <f>IF($I34=0,INDEX(Koeffizienten_KR!$E$2:$E$29,MATCH($H34,Koeffizienten_KR!$A$2:$A$29,0)),(1-$I34)*INDEX(Koeffizienten_KR!$E$2:$E$29,MATCH($H34,Koeffizienten_KR!$A$2:$A$29,0))+$I34*INDEX(Koeffizienten_KR!$E$2:$E$29,MATCH($H34+0.5,Koeffizienten_KR!$A$2:$A$29,0)))</f>
        <v/>
      </c>
      <c r="N34" s="25">
        <f>IF(AND(ISNUMBER(E34),ISNUMBER(F34),ISNUMBER(G34),INDEX(Personendaten!$D$2:$D$32,MATCH($A34,Personendaten!$A$2:$A$32,0))&gt;=4,INDEX(Personendaten!$D$2:$D$32,MATCH($A34,Personendaten!$A$2:$A$32,0))&lt;=17.5),J34+K34*E34+L34*F34+M34*G34,"")</f>
        <v/>
      </c>
      <c r="O34" s="25">
        <f>IF(ISNUMBER(N34),100*E34/N34,"")</f>
        <v/>
      </c>
      <c r="P34" s="25">
        <f>COUNTIFS(Versuchsdaten!$A$2:$A$1117,$A34,Versuchsdaten!$B$2:$B$1117,"prä",Versuchsdaten!$C$2:$C$1117,"Sprint_30m",Versuchsdaten!$O$2:$O$1117,1)</f>
        <v/>
      </c>
      <c r="Q34" s="25">
        <f>IF(COUNTIFS(Versuchsdaten!$A$2:$A$1117,$A34,Versuchsdaten!$B$2:$B$1117,"prä",Versuchsdaten!$C$2:$C$1117,"Sprint_30m",Versuchsdaten!$O$2:$O$1117,1)=0,"",_xlfn.MINIFS(Versuchsdaten!$F$2:$F$1117,Versuchsdaten!$A$2:$A$1117,$A34,Versuchsdaten!$B$2:$B$1117,"prä",Versuchsdaten!$C$2:$C$1117,"Sprint_30m",Versuchsdaten!$O$2:$O$1117,1))</f>
        <v/>
      </c>
      <c r="R34" s="25">
        <f>COUNTIFS(Versuchsdaten!$A$2:$A$1117,$A34,Versuchsdaten!$B$2:$B$1117,"post",Versuchsdaten!$C$2:$C$1117,"Sprint_30m",Versuchsdaten!$O$2:$O$1117,1)</f>
        <v/>
      </c>
      <c r="S34" s="25">
        <f>IF(COUNTIFS(Versuchsdaten!$A$2:$A$1117,$A34,Versuchsdaten!$B$2:$B$1117,"post",Versuchsdaten!$C$2:$C$1117,"Sprint_30m",Versuchsdaten!$O$2:$O$1117,1)=0,"",_xlfn.MINIFS(Versuchsdaten!$F$2:$F$1117,Versuchsdaten!$A$2:$A$1117,$A34,Versuchsdaten!$B$2:$B$1117,"post",Versuchsdaten!$C$2:$C$1117,"Sprint_30m",Versuchsdaten!$O$2:$O$1117,1))</f>
        <v/>
      </c>
      <c r="T34" s="25">
        <f>IF(COUNTIFS(Versuchsdaten!$A$2:$A$1117,$A34,Versuchsdaten!$B$2:$B$1117,"prä",Versuchsdaten!$C$2:$C$1117,"COD_505",Versuchsdaten!$O$2:$O$1117,1,Versuchsdaten!$D$2:$D$1117,"L")=0,"",_xlfn.MINIFS(Versuchsdaten!$F$2:$F$1117,Versuchsdaten!$A$2:$A$1117,$A34,Versuchsdaten!$B$2:$B$1117,"prä",Versuchsdaten!$C$2:$C$1117,"COD_505",Versuchsdaten!$O$2:$O$1117,1,Versuchsdaten!$D$2:$D$1117,"L"))</f>
        <v/>
      </c>
      <c r="U34" s="25">
        <f>IF(COUNTIFS(Versuchsdaten!$A$2:$A$1117,$A34,Versuchsdaten!$B$2:$B$1117,"prä",Versuchsdaten!$C$2:$C$1117,"COD_505",Versuchsdaten!$O$2:$O$1117,1,Versuchsdaten!$D$2:$D$1117,"R")=0,"",_xlfn.MINIFS(Versuchsdaten!$F$2:$F$1117,Versuchsdaten!$A$2:$A$1117,$A34,Versuchsdaten!$B$2:$B$1117,"prä",Versuchsdaten!$C$2:$C$1117,"COD_505",Versuchsdaten!$O$2:$O$1117,1,Versuchsdaten!$D$2:$D$1117,"R"))</f>
        <v/>
      </c>
      <c r="V34" s="25">
        <f>IF(AND(ISNUMBER(T34),ISNUMBER(U34)),(T34+U34)/2,"")</f>
        <v/>
      </c>
      <c r="W34" s="25">
        <f>IF(COUNTIFS(Versuchsdaten!$A$2:$A$1117,$A34,Versuchsdaten!$B$2:$B$1117,"post",Versuchsdaten!$C$2:$C$1117,"COD_505",Versuchsdaten!$O$2:$O$1117,1,Versuchsdaten!$D$2:$D$1117,"L")=0,"",_xlfn.MINIFS(Versuchsdaten!$F$2:$F$1117,Versuchsdaten!$A$2:$A$1117,$A34,Versuchsdaten!$B$2:$B$1117,"post",Versuchsdaten!$C$2:$C$1117,"COD_505",Versuchsdaten!$O$2:$O$1117,1,Versuchsdaten!$D$2:$D$1117,"L"))</f>
        <v/>
      </c>
      <c r="X34" s="25">
        <f>IF(COUNTIFS(Versuchsdaten!$A$2:$A$1117,$A34,Versuchsdaten!$B$2:$B$1117,"post",Versuchsdaten!$C$2:$C$1117,"COD_505",Versuchsdaten!$O$2:$O$1117,1,Versuchsdaten!$D$2:$D$1117,"R")=0,"",_xlfn.MINIFS(Versuchsdaten!$F$2:$F$1117,Versuchsdaten!$A$2:$A$1117,$A34,Versuchsdaten!$B$2:$B$1117,"post",Versuchsdaten!$C$2:$C$1117,"COD_505",Versuchsdaten!$O$2:$O$1117,1,Versuchsdaten!$D$2:$D$1117,"R"))</f>
        <v/>
      </c>
      <c r="Y34" s="25">
        <f>IF(AND(ISNUMBER(W34),ISNUMBER(X34)),(W34+X34)/2,"")</f>
        <v/>
      </c>
      <c r="Z34" s="25">
        <f>IF(COUNTIFS(Versuchsdaten!$A$2:$A$1117,$A34,Versuchsdaten!$B$2:$B$1117,"prä",Versuchsdaten!$C$2:$C$1117,"Standweitsprung",Versuchsdaten!$O$2:$O$1117,1)=0,"",_xlfn.MAXIFS(Versuchsdaten!$F$2:$F$1117,Versuchsdaten!$A$2:$A$1117,$A34,Versuchsdaten!$B$2:$B$1117,"prä",Versuchsdaten!$C$2:$C$1117,"Standweitsprung",Versuchsdaten!$O$2:$O$1117,1))</f>
        <v/>
      </c>
      <c r="AA34" s="25">
        <f>IF(COUNTIFS(Versuchsdaten!$A$2:$A$1117,$A34,Versuchsdaten!$B$2:$B$1117,"post",Versuchsdaten!$C$2:$C$1117,"Standweitsprung",Versuchsdaten!$O$2:$O$1117,1)=0,"",_xlfn.MAXIFS(Versuchsdaten!$F$2:$F$1117,Versuchsdaten!$A$2:$A$1117,$A34,Versuchsdaten!$B$2:$B$1117,"post",Versuchsdaten!$C$2:$C$1117,"Standweitsprung",Versuchsdaten!$O$2:$O$1117,1))</f>
        <v/>
      </c>
      <c r="AB34" s="25">
        <f>IF(AND(ISNUMBER(Q34),ISNUMBER(S34),ISNUMBER(O34)),1,0)</f>
        <v/>
      </c>
      <c r="AC34" s="25">
        <f>IF(AND(ISNUMBER(V34),ISNUMBER(Y34),ISNUMBER(O34)),1,0)</f>
        <v/>
      </c>
      <c r="AD34" s="25">
        <f>IF(AND(ISNUMBER(Z34),ISNUMBER(AA34),ISNUMBER(O34)),1,0)</f>
        <v/>
      </c>
      <c r="AE34" s="25">
        <f>IF(D34=0,"",IF(COUNTIF(Zuordnung!$B$2:$B$23,$A34)=0,"",COUNTIFS(Fragebogen_A!$M$2:$M$112,$A34,Fragebogen_A!$F$2:$F$112,1)))</f>
        <v/>
      </c>
      <c r="AF34" s="25">
        <f>IF(AB34=1,COUNTIF($AB$4:AB34,1),"")</f>
        <v/>
      </c>
      <c r="AH34" s="25">
        <f>IF(AND(O34="",Analysedaten!E34=""),0,IF(OR(O34="",Analysedaten!E34=""),1,IF(ABS(O34-Analysedaten!E34)&lt;=0.000000001*MAX(1,ABS(Analysedaten!E34)),0,1)))</f>
        <v/>
      </c>
      <c r="AI34" s="25">
        <f>IF(AND(Q34="",Analysedaten!F34=""),0,IF(OR(Q34="",Analysedaten!F34=""),1,IF(ABS(Q34-Analysedaten!F34)&lt;=0.000000001*MAX(1,ABS(Analysedaten!F34)),0,1)))</f>
        <v/>
      </c>
      <c r="AJ34" s="25">
        <f>IF(AND(S34="",Analysedaten!G34=""),0,IF(OR(S34="",Analysedaten!G34=""),1,IF(ABS(S34-Analysedaten!G34)&lt;=0.000000001*MAX(1,ABS(Analysedaten!G34)),0,1)))</f>
        <v/>
      </c>
      <c r="AK34" s="25">
        <f>IF(AND(V34="",Analysedaten!H34=""),0,IF(OR(V34="",Analysedaten!H34=""),1,IF(ABS(V34-Analysedaten!H34)&lt;=0.000000001*MAX(1,ABS(Analysedaten!H34)),0,1)))</f>
        <v/>
      </c>
      <c r="AL34" s="25">
        <f>IF(AND(Y34="",Analysedaten!I34=""),0,IF(OR(Y34="",Analysedaten!I34=""),1,IF(ABS(Y34-Analysedaten!I34)&lt;=0.000000001*MAX(1,ABS(Analysedaten!I34)),0,1)))</f>
        <v/>
      </c>
      <c r="AM34" s="25">
        <f>IF(AND(Z34="",Analysedaten!J34=""),0,IF(OR(Z34="",Analysedaten!J34=""),1,IF(ABS(Z34-Analysedaten!J34)&lt;=0.000000001*MAX(1,ABS(Analysedaten!J34)),0,1)))</f>
        <v/>
      </c>
      <c r="AN34" s="25">
        <f>IF(AND(AA34="",Analysedaten!K34=""),0,IF(OR(AA34="",Analysedaten!K34=""),1,IF(ABS(AA34-Analysedaten!K34)&lt;=0.000000001*MAX(1,ABS(Analysedaten!K34)),0,1)))</f>
        <v/>
      </c>
      <c r="AO34" s="25">
        <f>IF(AND(AB34="",Analysedaten!L34=""),0,IF(OR(AB34="",Analysedaten!L34=""),1,IF(ABS(AB34-Analysedaten!L34)&lt;=0.000000001*MAX(1,ABS(Analysedaten!L34)),0,1)))</f>
        <v/>
      </c>
      <c r="AP34" s="25">
        <f>IF(AND(AC34="",Analysedaten!M34=""),0,IF(OR(AC34="",Analysedaten!M34=""),1,IF(ABS(AC34-Analysedaten!M34)&lt;=0.000000001*MAX(1,ABS(Analysedaten!M34)),0,1)))</f>
        <v/>
      </c>
      <c r="AQ34" s="25">
        <f>IF(AND(AD34="",Analysedaten!N34=""),0,IF(OR(AD34="",Analysedaten!N34=""),1,IF(ABS(AD34-Analysedaten!N34)&lt;=0.000000001*MAX(1,ABS(Analysedaten!N34)),0,1)))</f>
        <v/>
      </c>
      <c r="AR34" s="25">
        <f>IF(AND(AE34="",Analysedaten!O34=""),0,IF(OR(AE34="",Analysedaten!O34=""),1,IF(ABS(AE34-Analysedaten!O34)&lt;=0.000000001*MAX(1,ABS(Analysedaten!O34)),0,1)))</f>
        <v/>
      </c>
      <c r="AS34" s="25">
        <f>SUM(AH34:AR34)</f>
        <v/>
      </c>
    </row>
    <row r="35"/>
    <row r="36">
      <c r="A36" s="6" t="inlineStr">
        <is>
          <t>Summe der Abweichungen gegen die berichtete Rechnung (Spalte AS):</t>
        </is>
      </c>
      <c r="AS36" s="25">
        <f>SUM(Formelwerte!$AS$4:$AS$34)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Gültige Versuche 30 m prä je Spieler (Formeln aus dem Blatt Versuchsdaten: Test Sprint_30m, Zeitpunkt prä, gültig = 1, S02). Leer = kein gültiger Versuch. k, Quadratsumme der Abweichungen vom Spielermittel und k − 1 nach S10 Regel 1 (nur Spieler mit k ≥ 2). Für die Kennwerte Nr. 15 und 16.</t>
        </is>
      </c>
    </row>
    <row r="2">
      <c r="A2" s="20" t="inlineStr">
        <is>
          <t>Code</t>
        </is>
      </c>
      <c r="B2" s="20" t="inlineStr">
        <is>
          <t>V1</t>
        </is>
      </c>
      <c r="C2" s="20" t="inlineStr">
        <is>
          <t>V2</t>
        </is>
      </c>
      <c r="D2" s="20" t="inlineStr">
        <is>
          <t>V3</t>
        </is>
      </c>
      <c r="E2" s="20" t="inlineStr">
        <is>
          <t>k</t>
        </is>
      </c>
      <c r="F2" s="20" t="inlineStr">
        <is>
          <t>SS_i = DEVSQ</t>
        </is>
      </c>
      <c r="G2" s="20" t="inlineStr">
        <is>
          <t>k − 1</t>
        </is>
      </c>
    </row>
    <row r="3">
      <c r="A3" s="5" t="inlineStr">
        <is>
          <t>BW-01</t>
        </is>
      </c>
      <c r="B3" s="25">
        <f>IF(COUNTIFS(Versuchsdaten!$A$2:$A$1117,$A3,Versuchsdaten!$B$2:$B$1117,"prä",Versuchsdaten!$C$2:$C$1117,"Sprint_30m",Versuchsdaten!$E$2:$E$1117,1,Versuchsdaten!$O$2:$O$1117,1)=1,SUMIFS(Versuchsdaten!$F$2:$F$1117,Versuchsdaten!$A$2:$A$1117,$A3,Versuchsdaten!$B$2:$B$1117,"prä",Versuchsdaten!$C$2:$C$1117,"Sprint_30m",Versuchsdaten!$E$2:$E$1117,1,Versuchsdaten!$O$2:$O$1117,1),"")</f>
        <v/>
      </c>
      <c r="C3" s="25">
        <f>IF(COUNTIFS(Versuchsdaten!$A$2:$A$1117,$A3,Versuchsdaten!$B$2:$B$1117,"prä",Versuchsdaten!$C$2:$C$1117,"Sprint_30m",Versuchsdaten!$E$2:$E$1117,2,Versuchsdaten!$O$2:$O$1117,1)=1,SUMIFS(Versuchsdaten!$F$2:$F$1117,Versuchsdaten!$A$2:$A$1117,$A3,Versuchsdaten!$B$2:$B$1117,"prä",Versuchsdaten!$C$2:$C$1117,"Sprint_30m",Versuchsdaten!$E$2:$E$1117,2,Versuchsdaten!$O$2:$O$1117,1),"")</f>
        <v/>
      </c>
      <c r="D3" s="25">
        <f>IF(COUNTIFS(Versuchsdaten!$A$2:$A$1117,$A3,Versuchsdaten!$B$2:$B$1117,"prä",Versuchsdaten!$C$2:$C$1117,"Sprint_30m",Versuchsdaten!$E$2:$E$1117,3,Versuchsdaten!$O$2:$O$1117,1)=1,SUMIFS(Versuchsdaten!$F$2:$F$1117,Versuchsdaten!$A$2:$A$1117,$A3,Versuchsdaten!$B$2:$B$1117,"prä",Versuchsdaten!$C$2:$C$1117,"Sprint_30m",Versuchsdaten!$E$2:$E$1117,3,Versuchsdaten!$O$2:$O$1117,1),"")</f>
        <v/>
      </c>
      <c r="E3" s="25">
        <f>COUNT(B3:D3)</f>
        <v/>
      </c>
      <c r="F3" s="25">
        <f>IF(E3&gt;=2,DEVSQ(B3:D3),"")</f>
        <v/>
      </c>
      <c r="G3" s="25">
        <f>IF(E3&gt;=2,E3-1,"")</f>
        <v/>
      </c>
    </row>
    <row r="4">
      <c r="A4" s="5" t="inlineStr">
        <is>
          <t>BW-02</t>
        </is>
      </c>
      <c r="B4" s="25">
        <f>IF(COUNTIFS(Versuchsdaten!$A$2:$A$1117,$A4,Versuchsdaten!$B$2:$B$1117,"prä",Versuchsdaten!$C$2:$C$1117,"Sprint_30m",Versuchsdaten!$E$2:$E$1117,1,Versuchsdaten!$O$2:$O$1117,1)=1,SUMIFS(Versuchsdaten!$F$2:$F$1117,Versuchsdaten!$A$2:$A$1117,$A4,Versuchsdaten!$B$2:$B$1117,"prä",Versuchsdaten!$C$2:$C$1117,"Sprint_30m",Versuchsdaten!$E$2:$E$1117,1,Versuchsdaten!$O$2:$O$1117,1),"")</f>
        <v/>
      </c>
      <c r="C4" s="25">
        <f>IF(COUNTIFS(Versuchsdaten!$A$2:$A$1117,$A4,Versuchsdaten!$B$2:$B$1117,"prä",Versuchsdaten!$C$2:$C$1117,"Sprint_30m",Versuchsdaten!$E$2:$E$1117,2,Versuchsdaten!$O$2:$O$1117,1)=1,SUMIFS(Versuchsdaten!$F$2:$F$1117,Versuchsdaten!$A$2:$A$1117,$A4,Versuchsdaten!$B$2:$B$1117,"prä",Versuchsdaten!$C$2:$C$1117,"Sprint_30m",Versuchsdaten!$E$2:$E$1117,2,Versuchsdaten!$O$2:$O$1117,1),"")</f>
        <v/>
      </c>
      <c r="D4" s="25">
        <f>IF(COUNTIFS(Versuchsdaten!$A$2:$A$1117,$A4,Versuchsdaten!$B$2:$B$1117,"prä",Versuchsdaten!$C$2:$C$1117,"Sprint_30m",Versuchsdaten!$E$2:$E$1117,3,Versuchsdaten!$O$2:$O$1117,1)=1,SUMIFS(Versuchsdaten!$F$2:$F$1117,Versuchsdaten!$A$2:$A$1117,$A4,Versuchsdaten!$B$2:$B$1117,"prä",Versuchsdaten!$C$2:$C$1117,"Sprint_30m",Versuchsdaten!$E$2:$E$1117,3,Versuchsdaten!$O$2:$O$1117,1),"")</f>
        <v/>
      </c>
      <c r="E4" s="25">
        <f>COUNT(B4:D4)</f>
        <v/>
      </c>
      <c r="F4" s="25">
        <f>IF(E4&gt;=2,DEVSQ(B4:D4),"")</f>
        <v/>
      </c>
      <c r="G4" s="25">
        <f>IF(E4&gt;=2,E4-1,"")</f>
        <v/>
      </c>
    </row>
    <row r="5">
      <c r="A5" s="5" t="inlineStr">
        <is>
          <t>BW-04</t>
        </is>
      </c>
      <c r="B5" s="25">
        <f>IF(COUNTIFS(Versuchsdaten!$A$2:$A$1117,$A5,Versuchsdaten!$B$2:$B$1117,"prä",Versuchsdaten!$C$2:$C$1117,"Sprint_30m",Versuchsdaten!$E$2:$E$1117,1,Versuchsdaten!$O$2:$O$1117,1)=1,SUMIFS(Versuchsdaten!$F$2:$F$1117,Versuchsdaten!$A$2:$A$1117,$A5,Versuchsdaten!$B$2:$B$1117,"prä",Versuchsdaten!$C$2:$C$1117,"Sprint_30m",Versuchsdaten!$E$2:$E$1117,1,Versuchsdaten!$O$2:$O$1117,1),"")</f>
        <v/>
      </c>
      <c r="C5" s="25">
        <f>IF(COUNTIFS(Versuchsdaten!$A$2:$A$1117,$A5,Versuchsdaten!$B$2:$B$1117,"prä",Versuchsdaten!$C$2:$C$1117,"Sprint_30m",Versuchsdaten!$E$2:$E$1117,2,Versuchsdaten!$O$2:$O$1117,1)=1,SUMIFS(Versuchsdaten!$F$2:$F$1117,Versuchsdaten!$A$2:$A$1117,$A5,Versuchsdaten!$B$2:$B$1117,"prä",Versuchsdaten!$C$2:$C$1117,"Sprint_30m",Versuchsdaten!$E$2:$E$1117,2,Versuchsdaten!$O$2:$O$1117,1),"")</f>
        <v/>
      </c>
      <c r="D5" s="25">
        <f>IF(COUNTIFS(Versuchsdaten!$A$2:$A$1117,$A5,Versuchsdaten!$B$2:$B$1117,"prä",Versuchsdaten!$C$2:$C$1117,"Sprint_30m",Versuchsdaten!$E$2:$E$1117,3,Versuchsdaten!$O$2:$O$1117,1)=1,SUMIFS(Versuchsdaten!$F$2:$F$1117,Versuchsdaten!$A$2:$A$1117,$A5,Versuchsdaten!$B$2:$B$1117,"prä",Versuchsdaten!$C$2:$C$1117,"Sprint_30m",Versuchsdaten!$E$2:$E$1117,3,Versuchsdaten!$O$2:$O$1117,1),"")</f>
        <v/>
      </c>
      <c r="E5" s="25">
        <f>COUNT(B5:D5)</f>
        <v/>
      </c>
      <c r="F5" s="25">
        <f>IF(E5&gt;=2,DEVSQ(B5:D5),"")</f>
        <v/>
      </c>
      <c r="G5" s="25">
        <f>IF(E5&gt;=2,E5-1,"")</f>
        <v/>
      </c>
    </row>
    <row r="6">
      <c r="A6" s="5" t="inlineStr">
        <is>
          <t>BW-05</t>
        </is>
      </c>
      <c r="B6" s="25">
        <f>IF(COUNTIFS(Versuchsdaten!$A$2:$A$1117,$A6,Versuchsdaten!$B$2:$B$1117,"prä",Versuchsdaten!$C$2:$C$1117,"Sprint_30m",Versuchsdaten!$E$2:$E$1117,1,Versuchsdaten!$O$2:$O$1117,1)=1,SUMIFS(Versuchsdaten!$F$2:$F$1117,Versuchsdaten!$A$2:$A$1117,$A6,Versuchsdaten!$B$2:$B$1117,"prä",Versuchsdaten!$C$2:$C$1117,"Sprint_30m",Versuchsdaten!$E$2:$E$1117,1,Versuchsdaten!$O$2:$O$1117,1),"")</f>
        <v/>
      </c>
      <c r="C6" s="25">
        <f>IF(COUNTIFS(Versuchsdaten!$A$2:$A$1117,$A6,Versuchsdaten!$B$2:$B$1117,"prä",Versuchsdaten!$C$2:$C$1117,"Sprint_30m",Versuchsdaten!$E$2:$E$1117,2,Versuchsdaten!$O$2:$O$1117,1)=1,SUMIFS(Versuchsdaten!$F$2:$F$1117,Versuchsdaten!$A$2:$A$1117,$A6,Versuchsdaten!$B$2:$B$1117,"prä",Versuchsdaten!$C$2:$C$1117,"Sprint_30m",Versuchsdaten!$E$2:$E$1117,2,Versuchsdaten!$O$2:$O$1117,1),"")</f>
        <v/>
      </c>
      <c r="D6" s="25">
        <f>IF(COUNTIFS(Versuchsdaten!$A$2:$A$1117,$A6,Versuchsdaten!$B$2:$B$1117,"prä",Versuchsdaten!$C$2:$C$1117,"Sprint_30m",Versuchsdaten!$E$2:$E$1117,3,Versuchsdaten!$O$2:$O$1117,1)=1,SUMIFS(Versuchsdaten!$F$2:$F$1117,Versuchsdaten!$A$2:$A$1117,$A6,Versuchsdaten!$B$2:$B$1117,"prä",Versuchsdaten!$C$2:$C$1117,"Sprint_30m",Versuchsdaten!$E$2:$E$1117,3,Versuchsdaten!$O$2:$O$1117,1),"")</f>
        <v/>
      </c>
      <c r="E6" s="25">
        <f>COUNT(B6:D6)</f>
        <v/>
      </c>
      <c r="F6" s="25">
        <f>IF(E6&gt;=2,DEVSQ(B6:D6),"")</f>
        <v/>
      </c>
      <c r="G6" s="25">
        <f>IF(E6&gt;=2,E6-1,"")</f>
        <v/>
      </c>
    </row>
    <row r="7">
      <c r="A7" s="5" t="inlineStr">
        <is>
          <t>BW-06</t>
        </is>
      </c>
      <c r="B7" s="25">
        <f>IF(COUNTIFS(Versuchsdaten!$A$2:$A$1117,$A7,Versuchsdaten!$B$2:$B$1117,"prä",Versuchsdaten!$C$2:$C$1117,"Sprint_30m",Versuchsdaten!$E$2:$E$1117,1,Versuchsdaten!$O$2:$O$1117,1)=1,SUMIFS(Versuchsdaten!$F$2:$F$1117,Versuchsdaten!$A$2:$A$1117,$A7,Versuchsdaten!$B$2:$B$1117,"prä",Versuchsdaten!$C$2:$C$1117,"Sprint_30m",Versuchsdaten!$E$2:$E$1117,1,Versuchsdaten!$O$2:$O$1117,1),"")</f>
        <v/>
      </c>
      <c r="C7" s="25">
        <f>IF(COUNTIFS(Versuchsdaten!$A$2:$A$1117,$A7,Versuchsdaten!$B$2:$B$1117,"prä",Versuchsdaten!$C$2:$C$1117,"Sprint_30m",Versuchsdaten!$E$2:$E$1117,2,Versuchsdaten!$O$2:$O$1117,1)=1,SUMIFS(Versuchsdaten!$F$2:$F$1117,Versuchsdaten!$A$2:$A$1117,$A7,Versuchsdaten!$B$2:$B$1117,"prä",Versuchsdaten!$C$2:$C$1117,"Sprint_30m",Versuchsdaten!$E$2:$E$1117,2,Versuchsdaten!$O$2:$O$1117,1),"")</f>
        <v/>
      </c>
      <c r="D7" s="25">
        <f>IF(COUNTIFS(Versuchsdaten!$A$2:$A$1117,$A7,Versuchsdaten!$B$2:$B$1117,"prä",Versuchsdaten!$C$2:$C$1117,"Sprint_30m",Versuchsdaten!$E$2:$E$1117,3,Versuchsdaten!$O$2:$O$1117,1)=1,SUMIFS(Versuchsdaten!$F$2:$F$1117,Versuchsdaten!$A$2:$A$1117,$A7,Versuchsdaten!$B$2:$B$1117,"prä",Versuchsdaten!$C$2:$C$1117,"Sprint_30m",Versuchsdaten!$E$2:$E$1117,3,Versuchsdaten!$O$2:$O$1117,1),"")</f>
        <v/>
      </c>
      <c r="E7" s="25">
        <f>COUNT(B7:D7)</f>
        <v/>
      </c>
      <c r="F7" s="25">
        <f>IF(E7&gt;=2,DEVSQ(B7:D7),"")</f>
        <v/>
      </c>
      <c r="G7" s="25">
        <f>IF(E7&gt;=2,E7-1,"")</f>
        <v/>
      </c>
    </row>
    <row r="8">
      <c r="A8" s="5" t="inlineStr">
        <is>
          <t>BW-07</t>
        </is>
      </c>
      <c r="B8" s="25">
        <f>IF(COUNTIFS(Versuchsdaten!$A$2:$A$1117,$A8,Versuchsdaten!$B$2:$B$1117,"prä",Versuchsdaten!$C$2:$C$1117,"Sprint_30m",Versuchsdaten!$E$2:$E$1117,1,Versuchsdaten!$O$2:$O$1117,1)=1,SUMIFS(Versuchsdaten!$F$2:$F$1117,Versuchsdaten!$A$2:$A$1117,$A8,Versuchsdaten!$B$2:$B$1117,"prä",Versuchsdaten!$C$2:$C$1117,"Sprint_30m",Versuchsdaten!$E$2:$E$1117,1,Versuchsdaten!$O$2:$O$1117,1),"")</f>
        <v/>
      </c>
      <c r="C8" s="25">
        <f>IF(COUNTIFS(Versuchsdaten!$A$2:$A$1117,$A8,Versuchsdaten!$B$2:$B$1117,"prä",Versuchsdaten!$C$2:$C$1117,"Sprint_30m",Versuchsdaten!$E$2:$E$1117,2,Versuchsdaten!$O$2:$O$1117,1)=1,SUMIFS(Versuchsdaten!$F$2:$F$1117,Versuchsdaten!$A$2:$A$1117,$A8,Versuchsdaten!$B$2:$B$1117,"prä",Versuchsdaten!$C$2:$C$1117,"Sprint_30m",Versuchsdaten!$E$2:$E$1117,2,Versuchsdaten!$O$2:$O$1117,1),"")</f>
        <v/>
      </c>
      <c r="D8" s="25">
        <f>IF(COUNTIFS(Versuchsdaten!$A$2:$A$1117,$A8,Versuchsdaten!$B$2:$B$1117,"prä",Versuchsdaten!$C$2:$C$1117,"Sprint_30m",Versuchsdaten!$E$2:$E$1117,3,Versuchsdaten!$O$2:$O$1117,1)=1,SUMIFS(Versuchsdaten!$F$2:$F$1117,Versuchsdaten!$A$2:$A$1117,$A8,Versuchsdaten!$B$2:$B$1117,"prä",Versuchsdaten!$C$2:$C$1117,"Sprint_30m",Versuchsdaten!$E$2:$E$1117,3,Versuchsdaten!$O$2:$O$1117,1),"")</f>
        <v/>
      </c>
      <c r="E8" s="25">
        <f>COUNT(B8:D8)</f>
        <v/>
      </c>
      <c r="F8" s="25">
        <f>IF(E8&gt;=2,DEVSQ(B8:D8),"")</f>
        <v/>
      </c>
      <c r="G8" s="25">
        <f>IF(E8&gt;=2,E8-1,"")</f>
        <v/>
      </c>
    </row>
    <row r="9">
      <c r="A9" s="5" t="inlineStr">
        <is>
          <t>BW-08</t>
        </is>
      </c>
      <c r="B9" s="25">
        <f>IF(COUNTIFS(Versuchsdaten!$A$2:$A$1117,$A9,Versuchsdaten!$B$2:$B$1117,"prä",Versuchsdaten!$C$2:$C$1117,"Sprint_30m",Versuchsdaten!$E$2:$E$1117,1,Versuchsdaten!$O$2:$O$1117,1)=1,SUMIFS(Versuchsdaten!$F$2:$F$1117,Versuchsdaten!$A$2:$A$1117,$A9,Versuchsdaten!$B$2:$B$1117,"prä",Versuchsdaten!$C$2:$C$1117,"Sprint_30m",Versuchsdaten!$E$2:$E$1117,1,Versuchsdaten!$O$2:$O$1117,1),"")</f>
        <v/>
      </c>
      <c r="C9" s="25">
        <f>IF(COUNTIFS(Versuchsdaten!$A$2:$A$1117,$A9,Versuchsdaten!$B$2:$B$1117,"prä",Versuchsdaten!$C$2:$C$1117,"Sprint_30m",Versuchsdaten!$E$2:$E$1117,2,Versuchsdaten!$O$2:$O$1117,1)=1,SUMIFS(Versuchsdaten!$F$2:$F$1117,Versuchsdaten!$A$2:$A$1117,$A9,Versuchsdaten!$B$2:$B$1117,"prä",Versuchsdaten!$C$2:$C$1117,"Sprint_30m",Versuchsdaten!$E$2:$E$1117,2,Versuchsdaten!$O$2:$O$1117,1),"")</f>
        <v/>
      </c>
      <c r="D9" s="25">
        <f>IF(COUNTIFS(Versuchsdaten!$A$2:$A$1117,$A9,Versuchsdaten!$B$2:$B$1117,"prä",Versuchsdaten!$C$2:$C$1117,"Sprint_30m",Versuchsdaten!$E$2:$E$1117,3,Versuchsdaten!$O$2:$O$1117,1)=1,SUMIFS(Versuchsdaten!$F$2:$F$1117,Versuchsdaten!$A$2:$A$1117,$A9,Versuchsdaten!$B$2:$B$1117,"prä",Versuchsdaten!$C$2:$C$1117,"Sprint_30m",Versuchsdaten!$E$2:$E$1117,3,Versuchsdaten!$O$2:$O$1117,1),"")</f>
        <v/>
      </c>
      <c r="E9" s="25">
        <f>COUNT(B9:D9)</f>
        <v/>
      </c>
      <c r="F9" s="25">
        <f>IF(E9&gt;=2,DEVSQ(B9:D9),"")</f>
        <v/>
      </c>
      <c r="G9" s="25">
        <f>IF(E9&gt;=2,E9-1,"")</f>
        <v/>
      </c>
    </row>
    <row r="10">
      <c r="A10" s="5" t="inlineStr">
        <is>
          <t>BW-09</t>
        </is>
      </c>
      <c r="B10" s="25">
        <f>IF(COUNTIFS(Versuchsdaten!$A$2:$A$1117,$A10,Versuchsdaten!$B$2:$B$1117,"prä",Versuchsdaten!$C$2:$C$1117,"Sprint_30m",Versuchsdaten!$E$2:$E$1117,1,Versuchsdaten!$O$2:$O$1117,1)=1,SUMIFS(Versuchsdaten!$F$2:$F$1117,Versuchsdaten!$A$2:$A$1117,$A10,Versuchsdaten!$B$2:$B$1117,"prä",Versuchsdaten!$C$2:$C$1117,"Sprint_30m",Versuchsdaten!$E$2:$E$1117,1,Versuchsdaten!$O$2:$O$1117,1),"")</f>
        <v/>
      </c>
      <c r="C10" s="25">
        <f>IF(COUNTIFS(Versuchsdaten!$A$2:$A$1117,$A10,Versuchsdaten!$B$2:$B$1117,"prä",Versuchsdaten!$C$2:$C$1117,"Sprint_30m",Versuchsdaten!$E$2:$E$1117,2,Versuchsdaten!$O$2:$O$1117,1)=1,SUMIFS(Versuchsdaten!$F$2:$F$1117,Versuchsdaten!$A$2:$A$1117,$A10,Versuchsdaten!$B$2:$B$1117,"prä",Versuchsdaten!$C$2:$C$1117,"Sprint_30m",Versuchsdaten!$E$2:$E$1117,2,Versuchsdaten!$O$2:$O$1117,1),"")</f>
        <v/>
      </c>
      <c r="D10" s="25">
        <f>IF(COUNTIFS(Versuchsdaten!$A$2:$A$1117,$A10,Versuchsdaten!$B$2:$B$1117,"prä",Versuchsdaten!$C$2:$C$1117,"Sprint_30m",Versuchsdaten!$E$2:$E$1117,3,Versuchsdaten!$O$2:$O$1117,1)=1,SUMIFS(Versuchsdaten!$F$2:$F$1117,Versuchsdaten!$A$2:$A$1117,$A10,Versuchsdaten!$B$2:$B$1117,"prä",Versuchsdaten!$C$2:$C$1117,"Sprint_30m",Versuchsdaten!$E$2:$E$1117,3,Versuchsdaten!$O$2:$O$1117,1),"")</f>
        <v/>
      </c>
      <c r="E10" s="25">
        <f>COUNT(B10:D10)</f>
        <v/>
      </c>
      <c r="F10" s="25">
        <f>IF(E10&gt;=2,DEVSQ(B10:D10),"")</f>
        <v/>
      </c>
      <c r="G10" s="25">
        <f>IF(E10&gt;=2,E10-1,"")</f>
        <v/>
      </c>
    </row>
    <row r="11">
      <c r="A11" s="5" t="inlineStr">
        <is>
          <t>BW-10</t>
        </is>
      </c>
      <c r="B11" s="25">
        <f>IF(COUNTIFS(Versuchsdaten!$A$2:$A$1117,$A11,Versuchsdaten!$B$2:$B$1117,"prä",Versuchsdaten!$C$2:$C$1117,"Sprint_30m",Versuchsdaten!$E$2:$E$1117,1,Versuchsdaten!$O$2:$O$1117,1)=1,SUMIFS(Versuchsdaten!$F$2:$F$1117,Versuchsdaten!$A$2:$A$1117,$A11,Versuchsdaten!$B$2:$B$1117,"prä",Versuchsdaten!$C$2:$C$1117,"Sprint_30m",Versuchsdaten!$E$2:$E$1117,1,Versuchsdaten!$O$2:$O$1117,1),"")</f>
        <v/>
      </c>
      <c r="C11" s="25">
        <f>IF(COUNTIFS(Versuchsdaten!$A$2:$A$1117,$A11,Versuchsdaten!$B$2:$B$1117,"prä",Versuchsdaten!$C$2:$C$1117,"Sprint_30m",Versuchsdaten!$E$2:$E$1117,2,Versuchsdaten!$O$2:$O$1117,1)=1,SUMIFS(Versuchsdaten!$F$2:$F$1117,Versuchsdaten!$A$2:$A$1117,$A11,Versuchsdaten!$B$2:$B$1117,"prä",Versuchsdaten!$C$2:$C$1117,"Sprint_30m",Versuchsdaten!$E$2:$E$1117,2,Versuchsdaten!$O$2:$O$1117,1),"")</f>
        <v/>
      </c>
      <c r="D11" s="25">
        <f>IF(COUNTIFS(Versuchsdaten!$A$2:$A$1117,$A11,Versuchsdaten!$B$2:$B$1117,"prä",Versuchsdaten!$C$2:$C$1117,"Sprint_30m",Versuchsdaten!$E$2:$E$1117,3,Versuchsdaten!$O$2:$O$1117,1)=1,SUMIFS(Versuchsdaten!$F$2:$F$1117,Versuchsdaten!$A$2:$A$1117,$A11,Versuchsdaten!$B$2:$B$1117,"prä",Versuchsdaten!$C$2:$C$1117,"Sprint_30m",Versuchsdaten!$E$2:$E$1117,3,Versuchsdaten!$O$2:$O$1117,1),"")</f>
        <v/>
      </c>
      <c r="E11" s="25">
        <f>COUNT(B11:D11)</f>
        <v/>
      </c>
      <c r="F11" s="25">
        <f>IF(E11&gt;=2,DEVSQ(B11:D11),"")</f>
        <v/>
      </c>
      <c r="G11" s="25">
        <f>IF(E11&gt;=2,E11-1,"")</f>
        <v/>
      </c>
    </row>
    <row r="12">
      <c r="A12" s="5" t="inlineStr">
        <is>
          <t>BW-11</t>
        </is>
      </c>
      <c r="B12" s="25">
        <f>IF(COUNTIFS(Versuchsdaten!$A$2:$A$1117,$A12,Versuchsdaten!$B$2:$B$1117,"prä",Versuchsdaten!$C$2:$C$1117,"Sprint_30m",Versuchsdaten!$E$2:$E$1117,1,Versuchsdaten!$O$2:$O$1117,1)=1,SUMIFS(Versuchsdaten!$F$2:$F$1117,Versuchsdaten!$A$2:$A$1117,$A12,Versuchsdaten!$B$2:$B$1117,"prä",Versuchsdaten!$C$2:$C$1117,"Sprint_30m",Versuchsdaten!$E$2:$E$1117,1,Versuchsdaten!$O$2:$O$1117,1),"")</f>
        <v/>
      </c>
      <c r="C12" s="25">
        <f>IF(COUNTIFS(Versuchsdaten!$A$2:$A$1117,$A12,Versuchsdaten!$B$2:$B$1117,"prä",Versuchsdaten!$C$2:$C$1117,"Sprint_30m",Versuchsdaten!$E$2:$E$1117,2,Versuchsdaten!$O$2:$O$1117,1)=1,SUMIFS(Versuchsdaten!$F$2:$F$1117,Versuchsdaten!$A$2:$A$1117,$A12,Versuchsdaten!$B$2:$B$1117,"prä",Versuchsdaten!$C$2:$C$1117,"Sprint_30m",Versuchsdaten!$E$2:$E$1117,2,Versuchsdaten!$O$2:$O$1117,1),"")</f>
        <v/>
      </c>
      <c r="D12" s="25">
        <f>IF(COUNTIFS(Versuchsdaten!$A$2:$A$1117,$A12,Versuchsdaten!$B$2:$B$1117,"prä",Versuchsdaten!$C$2:$C$1117,"Sprint_30m",Versuchsdaten!$E$2:$E$1117,3,Versuchsdaten!$O$2:$O$1117,1)=1,SUMIFS(Versuchsdaten!$F$2:$F$1117,Versuchsdaten!$A$2:$A$1117,$A12,Versuchsdaten!$B$2:$B$1117,"prä",Versuchsdaten!$C$2:$C$1117,"Sprint_30m",Versuchsdaten!$E$2:$E$1117,3,Versuchsdaten!$O$2:$O$1117,1),"")</f>
        <v/>
      </c>
      <c r="E12" s="25">
        <f>COUNT(B12:D12)</f>
        <v/>
      </c>
      <c r="F12" s="25">
        <f>IF(E12&gt;=2,DEVSQ(B12:D12),"")</f>
        <v/>
      </c>
      <c r="G12" s="25">
        <f>IF(E12&gt;=2,E12-1,"")</f>
        <v/>
      </c>
    </row>
    <row r="13">
      <c r="A13" s="5" t="inlineStr">
        <is>
          <t>BW-21</t>
        </is>
      </c>
      <c r="B13" s="25">
        <f>IF(COUNTIFS(Versuchsdaten!$A$2:$A$1117,$A13,Versuchsdaten!$B$2:$B$1117,"prä",Versuchsdaten!$C$2:$C$1117,"Sprint_30m",Versuchsdaten!$E$2:$E$1117,1,Versuchsdaten!$O$2:$O$1117,1)=1,SUMIFS(Versuchsdaten!$F$2:$F$1117,Versuchsdaten!$A$2:$A$1117,$A13,Versuchsdaten!$B$2:$B$1117,"prä",Versuchsdaten!$C$2:$C$1117,"Sprint_30m",Versuchsdaten!$E$2:$E$1117,1,Versuchsdaten!$O$2:$O$1117,1),"")</f>
        <v/>
      </c>
      <c r="C13" s="25">
        <f>IF(COUNTIFS(Versuchsdaten!$A$2:$A$1117,$A13,Versuchsdaten!$B$2:$B$1117,"prä",Versuchsdaten!$C$2:$C$1117,"Sprint_30m",Versuchsdaten!$E$2:$E$1117,2,Versuchsdaten!$O$2:$O$1117,1)=1,SUMIFS(Versuchsdaten!$F$2:$F$1117,Versuchsdaten!$A$2:$A$1117,$A13,Versuchsdaten!$B$2:$B$1117,"prä",Versuchsdaten!$C$2:$C$1117,"Sprint_30m",Versuchsdaten!$E$2:$E$1117,2,Versuchsdaten!$O$2:$O$1117,1),"")</f>
        <v/>
      </c>
      <c r="D13" s="25">
        <f>IF(COUNTIFS(Versuchsdaten!$A$2:$A$1117,$A13,Versuchsdaten!$B$2:$B$1117,"prä",Versuchsdaten!$C$2:$C$1117,"Sprint_30m",Versuchsdaten!$E$2:$E$1117,3,Versuchsdaten!$O$2:$O$1117,1)=1,SUMIFS(Versuchsdaten!$F$2:$F$1117,Versuchsdaten!$A$2:$A$1117,$A13,Versuchsdaten!$B$2:$B$1117,"prä",Versuchsdaten!$C$2:$C$1117,"Sprint_30m",Versuchsdaten!$E$2:$E$1117,3,Versuchsdaten!$O$2:$O$1117,1),"")</f>
        <v/>
      </c>
      <c r="E13" s="25">
        <f>COUNT(B13:D13)</f>
        <v/>
      </c>
      <c r="F13" s="25">
        <f>IF(E13&gt;=2,DEVSQ(B13:D13),"")</f>
        <v/>
      </c>
      <c r="G13" s="25">
        <f>IF(E13&gt;=2,E13-1,"")</f>
        <v/>
      </c>
    </row>
    <row r="14">
      <c r="A14" s="5" t="inlineStr">
        <is>
          <t>HL-01</t>
        </is>
      </c>
      <c r="B14" s="25">
        <f>IF(COUNTIFS(Versuchsdaten!$A$2:$A$1117,$A14,Versuchsdaten!$B$2:$B$1117,"prä",Versuchsdaten!$C$2:$C$1117,"Sprint_30m",Versuchsdaten!$E$2:$E$1117,1,Versuchsdaten!$O$2:$O$1117,1)=1,SUMIFS(Versuchsdaten!$F$2:$F$1117,Versuchsdaten!$A$2:$A$1117,$A14,Versuchsdaten!$B$2:$B$1117,"prä",Versuchsdaten!$C$2:$C$1117,"Sprint_30m",Versuchsdaten!$E$2:$E$1117,1,Versuchsdaten!$O$2:$O$1117,1),"")</f>
        <v/>
      </c>
      <c r="C14" s="25">
        <f>IF(COUNTIFS(Versuchsdaten!$A$2:$A$1117,$A14,Versuchsdaten!$B$2:$B$1117,"prä",Versuchsdaten!$C$2:$C$1117,"Sprint_30m",Versuchsdaten!$E$2:$E$1117,2,Versuchsdaten!$O$2:$O$1117,1)=1,SUMIFS(Versuchsdaten!$F$2:$F$1117,Versuchsdaten!$A$2:$A$1117,$A14,Versuchsdaten!$B$2:$B$1117,"prä",Versuchsdaten!$C$2:$C$1117,"Sprint_30m",Versuchsdaten!$E$2:$E$1117,2,Versuchsdaten!$O$2:$O$1117,1),"")</f>
        <v/>
      </c>
      <c r="D14" s="25">
        <f>IF(COUNTIFS(Versuchsdaten!$A$2:$A$1117,$A14,Versuchsdaten!$B$2:$B$1117,"prä",Versuchsdaten!$C$2:$C$1117,"Sprint_30m",Versuchsdaten!$E$2:$E$1117,3,Versuchsdaten!$O$2:$O$1117,1)=1,SUMIFS(Versuchsdaten!$F$2:$F$1117,Versuchsdaten!$A$2:$A$1117,$A14,Versuchsdaten!$B$2:$B$1117,"prä",Versuchsdaten!$C$2:$C$1117,"Sprint_30m",Versuchsdaten!$E$2:$E$1117,3,Versuchsdaten!$O$2:$O$1117,1),"")</f>
        <v/>
      </c>
      <c r="E14" s="25">
        <f>COUNT(B14:D14)</f>
        <v/>
      </c>
      <c r="F14" s="25">
        <f>IF(E14&gt;=2,DEVSQ(B14:D14),"")</f>
        <v/>
      </c>
      <c r="G14" s="25">
        <f>IF(E14&gt;=2,E14-1,"")</f>
        <v/>
      </c>
    </row>
    <row r="15">
      <c r="A15" s="5" t="inlineStr">
        <is>
          <t>HL-02</t>
        </is>
      </c>
      <c r="B15" s="25">
        <f>IF(COUNTIFS(Versuchsdaten!$A$2:$A$1117,$A15,Versuchsdaten!$B$2:$B$1117,"prä",Versuchsdaten!$C$2:$C$1117,"Sprint_30m",Versuchsdaten!$E$2:$E$1117,1,Versuchsdaten!$O$2:$O$1117,1)=1,SUMIFS(Versuchsdaten!$F$2:$F$1117,Versuchsdaten!$A$2:$A$1117,$A15,Versuchsdaten!$B$2:$B$1117,"prä",Versuchsdaten!$C$2:$C$1117,"Sprint_30m",Versuchsdaten!$E$2:$E$1117,1,Versuchsdaten!$O$2:$O$1117,1),"")</f>
        <v/>
      </c>
      <c r="C15" s="25">
        <f>IF(COUNTIFS(Versuchsdaten!$A$2:$A$1117,$A15,Versuchsdaten!$B$2:$B$1117,"prä",Versuchsdaten!$C$2:$C$1117,"Sprint_30m",Versuchsdaten!$E$2:$E$1117,2,Versuchsdaten!$O$2:$O$1117,1)=1,SUMIFS(Versuchsdaten!$F$2:$F$1117,Versuchsdaten!$A$2:$A$1117,$A15,Versuchsdaten!$B$2:$B$1117,"prä",Versuchsdaten!$C$2:$C$1117,"Sprint_30m",Versuchsdaten!$E$2:$E$1117,2,Versuchsdaten!$O$2:$O$1117,1),"")</f>
        <v/>
      </c>
      <c r="D15" s="25">
        <f>IF(COUNTIFS(Versuchsdaten!$A$2:$A$1117,$A15,Versuchsdaten!$B$2:$B$1117,"prä",Versuchsdaten!$C$2:$C$1117,"Sprint_30m",Versuchsdaten!$E$2:$E$1117,3,Versuchsdaten!$O$2:$O$1117,1)=1,SUMIFS(Versuchsdaten!$F$2:$F$1117,Versuchsdaten!$A$2:$A$1117,$A15,Versuchsdaten!$B$2:$B$1117,"prä",Versuchsdaten!$C$2:$C$1117,"Sprint_30m",Versuchsdaten!$E$2:$E$1117,3,Versuchsdaten!$O$2:$O$1117,1),"")</f>
        <v/>
      </c>
      <c r="E15" s="25">
        <f>COUNT(B15:D15)</f>
        <v/>
      </c>
      <c r="F15" s="25">
        <f>IF(E15&gt;=2,DEVSQ(B15:D15),"")</f>
        <v/>
      </c>
      <c r="G15" s="25">
        <f>IF(E15&gt;=2,E15-1,"")</f>
        <v/>
      </c>
    </row>
    <row r="16">
      <c r="A16" s="5" t="inlineStr">
        <is>
          <t>HL-03</t>
        </is>
      </c>
      <c r="B16" s="25">
        <f>IF(COUNTIFS(Versuchsdaten!$A$2:$A$1117,$A16,Versuchsdaten!$B$2:$B$1117,"prä",Versuchsdaten!$C$2:$C$1117,"Sprint_30m",Versuchsdaten!$E$2:$E$1117,1,Versuchsdaten!$O$2:$O$1117,1)=1,SUMIFS(Versuchsdaten!$F$2:$F$1117,Versuchsdaten!$A$2:$A$1117,$A16,Versuchsdaten!$B$2:$B$1117,"prä",Versuchsdaten!$C$2:$C$1117,"Sprint_30m",Versuchsdaten!$E$2:$E$1117,1,Versuchsdaten!$O$2:$O$1117,1),"")</f>
        <v/>
      </c>
      <c r="C16" s="25">
        <f>IF(COUNTIFS(Versuchsdaten!$A$2:$A$1117,$A16,Versuchsdaten!$B$2:$B$1117,"prä",Versuchsdaten!$C$2:$C$1117,"Sprint_30m",Versuchsdaten!$E$2:$E$1117,2,Versuchsdaten!$O$2:$O$1117,1)=1,SUMIFS(Versuchsdaten!$F$2:$F$1117,Versuchsdaten!$A$2:$A$1117,$A16,Versuchsdaten!$B$2:$B$1117,"prä",Versuchsdaten!$C$2:$C$1117,"Sprint_30m",Versuchsdaten!$E$2:$E$1117,2,Versuchsdaten!$O$2:$O$1117,1),"")</f>
        <v/>
      </c>
      <c r="D16" s="25">
        <f>IF(COUNTIFS(Versuchsdaten!$A$2:$A$1117,$A16,Versuchsdaten!$B$2:$B$1117,"prä",Versuchsdaten!$C$2:$C$1117,"Sprint_30m",Versuchsdaten!$E$2:$E$1117,3,Versuchsdaten!$O$2:$O$1117,1)=1,SUMIFS(Versuchsdaten!$F$2:$F$1117,Versuchsdaten!$A$2:$A$1117,$A16,Versuchsdaten!$B$2:$B$1117,"prä",Versuchsdaten!$C$2:$C$1117,"Sprint_30m",Versuchsdaten!$E$2:$E$1117,3,Versuchsdaten!$O$2:$O$1117,1),"")</f>
        <v/>
      </c>
      <c r="E16" s="25">
        <f>COUNT(B16:D16)</f>
        <v/>
      </c>
      <c r="F16" s="25">
        <f>IF(E16&gt;=2,DEVSQ(B16:D16),"")</f>
        <v/>
      </c>
      <c r="G16" s="25">
        <f>IF(E16&gt;=2,E16-1,"")</f>
        <v/>
      </c>
    </row>
    <row r="17">
      <c r="A17" s="5" t="inlineStr">
        <is>
          <t>HL-05</t>
        </is>
      </c>
      <c r="B17" s="25">
        <f>IF(COUNTIFS(Versuchsdaten!$A$2:$A$1117,$A17,Versuchsdaten!$B$2:$B$1117,"prä",Versuchsdaten!$C$2:$C$1117,"Sprint_30m",Versuchsdaten!$E$2:$E$1117,1,Versuchsdaten!$O$2:$O$1117,1)=1,SUMIFS(Versuchsdaten!$F$2:$F$1117,Versuchsdaten!$A$2:$A$1117,$A17,Versuchsdaten!$B$2:$B$1117,"prä",Versuchsdaten!$C$2:$C$1117,"Sprint_30m",Versuchsdaten!$E$2:$E$1117,1,Versuchsdaten!$O$2:$O$1117,1),"")</f>
        <v/>
      </c>
      <c r="C17" s="25">
        <f>IF(COUNTIFS(Versuchsdaten!$A$2:$A$1117,$A17,Versuchsdaten!$B$2:$B$1117,"prä",Versuchsdaten!$C$2:$C$1117,"Sprint_30m",Versuchsdaten!$E$2:$E$1117,2,Versuchsdaten!$O$2:$O$1117,1)=1,SUMIFS(Versuchsdaten!$F$2:$F$1117,Versuchsdaten!$A$2:$A$1117,$A17,Versuchsdaten!$B$2:$B$1117,"prä",Versuchsdaten!$C$2:$C$1117,"Sprint_30m",Versuchsdaten!$E$2:$E$1117,2,Versuchsdaten!$O$2:$O$1117,1),"")</f>
        <v/>
      </c>
      <c r="D17" s="25">
        <f>IF(COUNTIFS(Versuchsdaten!$A$2:$A$1117,$A17,Versuchsdaten!$B$2:$B$1117,"prä",Versuchsdaten!$C$2:$C$1117,"Sprint_30m",Versuchsdaten!$E$2:$E$1117,3,Versuchsdaten!$O$2:$O$1117,1)=1,SUMIFS(Versuchsdaten!$F$2:$F$1117,Versuchsdaten!$A$2:$A$1117,$A17,Versuchsdaten!$B$2:$B$1117,"prä",Versuchsdaten!$C$2:$C$1117,"Sprint_30m",Versuchsdaten!$E$2:$E$1117,3,Versuchsdaten!$O$2:$O$1117,1),"")</f>
        <v/>
      </c>
      <c r="E17" s="25">
        <f>COUNT(B17:D17)</f>
        <v/>
      </c>
      <c r="F17" s="25">
        <f>IF(E17&gt;=2,DEVSQ(B17:D17),"")</f>
        <v/>
      </c>
      <c r="G17" s="25">
        <f>IF(E17&gt;=2,E17-1,"")</f>
        <v/>
      </c>
    </row>
    <row r="18">
      <c r="A18" s="5" t="inlineStr">
        <is>
          <t>HL-06</t>
        </is>
      </c>
      <c r="B18" s="25">
        <f>IF(COUNTIFS(Versuchsdaten!$A$2:$A$1117,$A18,Versuchsdaten!$B$2:$B$1117,"prä",Versuchsdaten!$C$2:$C$1117,"Sprint_30m",Versuchsdaten!$E$2:$E$1117,1,Versuchsdaten!$O$2:$O$1117,1)=1,SUMIFS(Versuchsdaten!$F$2:$F$1117,Versuchsdaten!$A$2:$A$1117,$A18,Versuchsdaten!$B$2:$B$1117,"prä",Versuchsdaten!$C$2:$C$1117,"Sprint_30m",Versuchsdaten!$E$2:$E$1117,1,Versuchsdaten!$O$2:$O$1117,1),"")</f>
        <v/>
      </c>
      <c r="C18" s="25">
        <f>IF(COUNTIFS(Versuchsdaten!$A$2:$A$1117,$A18,Versuchsdaten!$B$2:$B$1117,"prä",Versuchsdaten!$C$2:$C$1117,"Sprint_30m",Versuchsdaten!$E$2:$E$1117,2,Versuchsdaten!$O$2:$O$1117,1)=1,SUMIFS(Versuchsdaten!$F$2:$F$1117,Versuchsdaten!$A$2:$A$1117,$A18,Versuchsdaten!$B$2:$B$1117,"prä",Versuchsdaten!$C$2:$C$1117,"Sprint_30m",Versuchsdaten!$E$2:$E$1117,2,Versuchsdaten!$O$2:$O$1117,1),"")</f>
        <v/>
      </c>
      <c r="D18" s="25">
        <f>IF(COUNTIFS(Versuchsdaten!$A$2:$A$1117,$A18,Versuchsdaten!$B$2:$B$1117,"prä",Versuchsdaten!$C$2:$C$1117,"Sprint_30m",Versuchsdaten!$E$2:$E$1117,3,Versuchsdaten!$O$2:$O$1117,1)=1,SUMIFS(Versuchsdaten!$F$2:$F$1117,Versuchsdaten!$A$2:$A$1117,$A18,Versuchsdaten!$B$2:$B$1117,"prä",Versuchsdaten!$C$2:$C$1117,"Sprint_30m",Versuchsdaten!$E$2:$E$1117,3,Versuchsdaten!$O$2:$O$1117,1),"")</f>
        <v/>
      </c>
      <c r="E18" s="25">
        <f>COUNT(B18:D18)</f>
        <v/>
      </c>
      <c r="F18" s="25">
        <f>IF(E18&gt;=2,DEVSQ(B18:D18),"")</f>
        <v/>
      </c>
      <c r="G18" s="25">
        <f>IF(E18&gt;=2,E18-1,"")</f>
        <v/>
      </c>
    </row>
    <row r="19">
      <c r="A19" s="5" t="inlineStr">
        <is>
          <t>HL-07</t>
        </is>
      </c>
      <c r="B19" s="25">
        <f>IF(COUNTIFS(Versuchsdaten!$A$2:$A$1117,$A19,Versuchsdaten!$B$2:$B$1117,"prä",Versuchsdaten!$C$2:$C$1117,"Sprint_30m",Versuchsdaten!$E$2:$E$1117,1,Versuchsdaten!$O$2:$O$1117,1)=1,SUMIFS(Versuchsdaten!$F$2:$F$1117,Versuchsdaten!$A$2:$A$1117,$A19,Versuchsdaten!$B$2:$B$1117,"prä",Versuchsdaten!$C$2:$C$1117,"Sprint_30m",Versuchsdaten!$E$2:$E$1117,1,Versuchsdaten!$O$2:$O$1117,1),"")</f>
        <v/>
      </c>
      <c r="C19" s="25">
        <f>IF(COUNTIFS(Versuchsdaten!$A$2:$A$1117,$A19,Versuchsdaten!$B$2:$B$1117,"prä",Versuchsdaten!$C$2:$C$1117,"Sprint_30m",Versuchsdaten!$E$2:$E$1117,2,Versuchsdaten!$O$2:$O$1117,1)=1,SUMIFS(Versuchsdaten!$F$2:$F$1117,Versuchsdaten!$A$2:$A$1117,$A19,Versuchsdaten!$B$2:$B$1117,"prä",Versuchsdaten!$C$2:$C$1117,"Sprint_30m",Versuchsdaten!$E$2:$E$1117,2,Versuchsdaten!$O$2:$O$1117,1),"")</f>
        <v/>
      </c>
      <c r="D19" s="25">
        <f>IF(COUNTIFS(Versuchsdaten!$A$2:$A$1117,$A19,Versuchsdaten!$B$2:$B$1117,"prä",Versuchsdaten!$C$2:$C$1117,"Sprint_30m",Versuchsdaten!$E$2:$E$1117,3,Versuchsdaten!$O$2:$O$1117,1)=1,SUMIFS(Versuchsdaten!$F$2:$F$1117,Versuchsdaten!$A$2:$A$1117,$A19,Versuchsdaten!$B$2:$B$1117,"prä",Versuchsdaten!$C$2:$C$1117,"Sprint_30m",Versuchsdaten!$E$2:$E$1117,3,Versuchsdaten!$O$2:$O$1117,1),"")</f>
        <v/>
      </c>
      <c r="E19" s="25">
        <f>COUNT(B19:D19)</f>
        <v/>
      </c>
      <c r="F19" s="25">
        <f>IF(E19&gt;=2,DEVSQ(B19:D19),"")</f>
        <v/>
      </c>
      <c r="G19" s="25">
        <f>IF(E19&gt;=2,E19-1,"")</f>
        <v/>
      </c>
    </row>
    <row r="20">
      <c r="A20" s="5" t="inlineStr">
        <is>
          <t>HL-08</t>
        </is>
      </c>
      <c r="B20" s="25">
        <f>IF(COUNTIFS(Versuchsdaten!$A$2:$A$1117,$A20,Versuchsdaten!$B$2:$B$1117,"prä",Versuchsdaten!$C$2:$C$1117,"Sprint_30m",Versuchsdaten!$E$2:$E$1117,1,Versuchsdaten!$O$2:$O$1117,1)=1,SUMIFS(Versuchsdaten!$F$2:$F$1117,Versuchsdaten!$A$2:$A$1117,$A20,Versuchsdaten!$B$2:$B$1117,"prä",Versuchsdaten!$C$2:$C$1117,"Sprint_30m",Versuchsdaten!$E$2:$E$1117,1,Versuchsdaten!$O$2:$O$1117,1),"")</f>
        <v/>
      </c>
      <c r="C20" s="25">
        <f>IF(COUNTIFS(Versuchsdaten!$A$2:$A$1117,$A20,Versuchsdaten!$B$2:$B$1117,"prä",Versuchsdaten!$C$2:$C$1117,"Sprint_30m",Versuchsdaten!$E$2:$E$1117,2,Versuchsdaten!$O$2:$O$1117,1)=1,SUMIFS(Versuchsdaten!$F$2:$F$1117,Versuchsdaten!$A$2:$A$1117,$A20,Versuchsdaten!$B$2:$B$1117,"prä",Versuchsdaten!$C$2:$C$1117,"Sprint_30m",Versuchsdaten!$E$2:$E$1117,2,Versuchsdaten!$O$2:$O$1117,1),"")</f>
        <v/>
      </c>
      <c r="D20" s="25">
        <f>IF(COUNTIFS(Versuchsdaten!$A$2:$A$1117,$A20,Versuchsdaten!$B$2:$B$1117,"prä",Versuchsdaten!$C$2:$C$1117,"Sprint_30m",Versuchsdaten!$E$2:$E$1117,3,Versuchsdaten!$O$2:$O$1117,1)=1,SUMIFS(Versuchsdaten!$F$2:$F$1117,Versuchsdaten!$A$2:$A$1117,$A20,Versuchsdaten!$B$2:$B$1117,"prä",Versuchsdaten!$C$2:$C$1117,"Sprint_30m",Versuchsdaten!$E$2:$E$1117,3,Versuchsdaten!$O$2:$O$1117,1),"")</f>
        <v/>
      </c>
      <c r="E20" s="25">
        <f>COUNT(B20:D20)</f>
        <v/>
      </c>
      <c r="F20" s="25">
        <f>IF(E20&gt;=2,DEVSQ(B20:D20),"")</f>
        <v/>
      </c>
      <c r="G20" s="25">
        <f>IF(E20&gt;=2,E20-1,"")</f>
        <v/>
      </c>
    </row>
    <row r="21">
      <c r="A21" s="5" t="inlineStr">
        <is>
          <t>VS-01</t>
        </is>
      </c>
      <c r="B21" s="25">
        <f>IF(COUNTIFS(Versuchsdaten!$A$2:$A$1117,$A21,Versuchsdaten!$B$2:$B$1117,"prä",Versuchsdaten!$C$2:$C$1117,"Sprint_30m",Versuchsdaten!$E$2:$E$1117,1,Versuchsdaten!$O$2:$O$1117,1)=1,SUMIFS(Versuchsdaten!$F$2:$F$1117,Versuchsdaten!$A$2:$A$1117,$A21,Versuchsdaten!$B$2:$B$1117,"prä",Versuchsdaten!$C$2:$C$1117,"Sprint_30m",Versuchsdaten!$E$2:$E$1117,1,Versuchsdaten!$O$2:$O$1117,1),"")</f>
        <v/>
      </c>
      <c r="C21" s="25">
        <f>IF(COUNTIFS(Versuchsdaten!$A$2:$A$1117,$A21,Versuchsdaten!$B$2:$B$1117,"prä",Versuchsdaten!$C$2:$C$1117,"Sprint_30m",Versuchsdaten!$E$2:$E$1117,2,Versuchsdaten!$O$2:$O$1117,1)=1,SUMIFS(Versuchsdaten!$F$2:$F$1117,Versuchsdaten!$A$2:$A$1117,$A21,Versuchsdaten!$B$2:$B$1117,"prä",Versuchsdaten!$C$2:$C$1117,"Sprint_30m",Versuchsdaten!$E$2:$E$1117,2,Versuchsdaten!$O$2:$O$1117,1),"")</f>
        <v/>
      </c>
      <c r="D21" s="25">
        <f>IF(COUNTIFS(Versuchsdaten!$A$2:$A$1117,$A21,Versuchsdaten!$B$2:$B$1117,"prä",Versuchsdaten!$C$2:$C$1117,"Sprint_30m",Versuchsdaten!$E$2:$E$1117,3,Versuchsdaten!$O$2:$O$1117,1)=1,SUMIFS(Versuchsdaten!$F$2:$F$1117,Versuchsdaten!$A$2:$A$1117,$A21,Versuchsdaten!$B$2:$B$1117,"prä",Versuchsdaten!$C$2:$C$1117,"Sprint_30m",Versuchsdaten!$E$2:$E$1117,3,Versuchsdaten!$O$2:$O$1117,1),"")</f>
        <v/>
      </c>
      <c r="E21" s="25">
        <f>COUNT(B21:D21)</f>
        <v/>
      </c>
      <c r="F21" s="25">
        <f>IF(E21&gt;=2,DEVSQ(B21:D21),"")</f>
        <v/>
      </c>
      <c r="G21" s="25">
        <f>IF(E21&gt;=2,E21-1,"")</f>
        <v/>
      </c>
    </row>
    <row r="22">
      <c r="A22" s="5" t="inlineStr">
        <is>
          <t>VS-02</t>
        </is>
      </c>
      <c r="B22" s="25">
        <f>IF(COUNTIFS(Versuchsdaten!$A$2:$A$1117,$A22,Versuchsdaten!$B$2:$B$1117,"prä",Versuchsdaten!$C$2:$C$1117,"Sprint_30m",Versuchsdaten!$E$2:$E$1117,1,Versuchsdaten!$O$2:$O$1117,1)=1,SUMIFS(Versuchsdaten!$F$2:$F$1117,Versuchsdaten!$A$2:$A$1117,$A22,Versuchsdaten!$B$2:$B$1117,"prä",Versuchsdaten!$C$2:$C$1117,"Sprint_30m",Versuchsdaten!$E$2:$E$1117,1,Versuchsdaten!$O$2:$O$1117,1),"")</f>
        <v/>
      </c>
      <c r="C22" s="25">
        <f>IF(COUNTIFS(Versuchsdaten!$A$2:$A$1117,$A22,Versuchsdaten!$B$2:$B$1117,"prä",Versuchsdaten!$C$2:$C$1117,"Sprint_30m",Versuchsdaten!$E$2:$E$1117,2,Versuchsdaten!$O$2:$O$1117,1)=1,SUMIFS(Versuchsdaten!$F$2:$F$1117,Versuchsdaten!$A$2:$A$1117,$A22,Versuchsdaten!$B$2:$B$1117,"prä",Versuchsdaten!$C$2:$C$1117,"Sprint_30m",Versuchsdaten!$E$2:$E$1117,2,Versuchsdaten!$O$2:$O$1117,1),"")</f>
        <v/>
      </c>
      <c r="D22" s="25">
        <f>IF(COUNTIFS(Versuchsdaten!$A$2:$A$1117,$A22,Versuchsdaten!$B$2:$B$1117,"prä",Versuchsdaten!$C$2:$C$1117,"Sprint_30m",Versuchsdaten!$E$2:$E$1117,3,Versuchsdaten!$O$2:$O$1117,1)=1,SUMIFS(Versuchsdaten!$F$2:$F$1117,Versuchsdaten!$A$2:$A$1117,$A22,Versuchsdaten!$B$2:$B$1117,"prä",Versuchsdaten!$C$2:$C$1117,"Sprint_30m",Versuchsdaten!$E$2:$E$1117,3,Versuchsdaten!$O$2:$O$1117,1),"")</f>
        <v/>
      </c>
      <c r="E22" s="25">
        <f>COUNT(B22:D22)</f>
        <v/>
      </c>
      <c r="F22" s="25">
        <f>IF(E22&gt;=2,DEVSQ(B22:D22),"")</f>
        <v/>
      </c>
      <c r="G22" s="25">
        <f>IF(E22&gt;=2,E22-1,"")</f>
        <v/>
      </c>
    </row>
    <row r="23">
      <c r="A23" s="5" t="inlineStr">
        <is>
          <t>VS-03</t>
        </is>
      </c>
      <c r="B23" s="25">
        <f>IF(COUNTIFS(Versuchsdaten!$A$2:$A$1117,$A23,Versuchsdaten!$B$2:$B$1117,"prä",Versuchsdaten!$C$2:$C$1117,"Sprint_30m",Versuchsdaten!$E$2:$E$1117,1,Versuchsdaten!$O$2:$O$1117,1)=1,SUMIFS(Versuchsdaten!$F$2:$F$1117,Versuchsdaten!$A$2:$A$1117,$A23,Versuchsdaten!$B$2:$B$1117,"prä",Versuchsdaten!$C$2:$C$1117,"Sprint_30m",Versuchsdaten!$E$2:$E$1117,1,Versuchsdaten!$O$2:$O$1117,1),"")</f>
        <v/>
      </c>
      <c r="C23" s="25">
        <f>IF(COUNTIFS(Versuchsdaten!$A$2:$A$1117,$A23,Versuchsdaten!$B$2:$B$1117,"prä",Versuchsdaten!$C$2:$C$1117,"Sprint_30m",Versuchsdaten!$E$2:$E$1117,2,Versuchsdaten!$O$2:$O$1117,1)=1,SUMIFS(Versuchsdaten!$F$2:$F$1117,Versuchsdaten!$A$2:$A$1117,$A23,Versuchsdaten!$B$2:$B$1117,"prä",Versuchsdaten!$C$2:$C$1117,"Sprint_30m",Versuchsdaten!$E$2:$E$1117,2,Versuchsdaten!$O$2:$O$1117,1),"")</f>
        <v/>
      </c>
      <c r="D23" s="25">
        <f>IF(COUNTIFS(Versuchsdaten!$A$2:$A$1117,$A23,Versuchsdaten!$B$2:$B$1117,"prä",Versuchsdaten!$C$2:$C$1117,"Sprint_30m",Versuchsdaten!$E$2:$E$1117,3,Versuchsdaten!$O$2:$O$1117,1)=1,SUMIFS(Versuchsdaten!$F$2:$F$1117,Versuchsdaten!$A$2:$A$1117,$A23,Versuchsdaten!$B$2:$B$1117,"prä",Versuchsdaten!$C$2:$C$1117,"Sprint_30m",Versuchsdaten!$E$2:$E$1117,3,Versuchsdaten!$O$2:$O$1117,1),"")</f>
        <v/>
      </c>
      <c r="E23" s="25">
        <f>COUNT(B23:D23)</f>
        <v/>
      </c>
      <c r="F23" s="25">
        <f>IF(E23&gt;=2,DEVSQ(B23:D23),"")</f>
        <v/>
      </c>
      <c r="G23" s="25">
        <f>IF(E23&gt;=2,E23-1,"")</f>
        <v/>
      </c>
    </row>
    <row r="24">
      <c r="A24" s="5" t="inlineStr">
        <is>
          <t>VS-04</t>
        </is>
      </c>
      <c r="B24" s="25">
        <f>IF(COUNTIFS(Versuchsdaten!$A$2:$A$1117,$A24,Versuchsdaten!$B$2:$B$1117,"prä",Versuchsdaten!$C$2:$C$1117,"Sprint_30m",Versuchsdaten!$E$2:$E$1117,1,Versuchsdaten!$O$2:$O$1117,1)=1,SUMIFS(Versuchsdaten!$F$2:$F$1117,Versuchsdaten!$A$2:$A$1117,$A24,Versuchsdaten!$B$2:$B$1117,"prä",Versuchsdaten!$C$2:$C$1117,"Sprint_30m",Versuchsdaten!$E$2:$E$1117,1,Versuchsdaten!$O$2:$O$1117,1),"")</f>
        <v/>
      </c>
      <c r="C24" s="25">
        <f>IF(COUNTIFS(Versuchsdaten!$A$2:$A$1117,$A24,Versuchsdaten!$B$2:$B$1117,"prä",Versuchsdaten!$C$2:$C$1117,"Sprint_30m",Versuchsdaten!$E$2:$E$1117,2,Versuchsdaten!$O$2:$O$1117,1)=1,SUMIFS(Versuchsdaten!$F$2:$F$1117,Versuchsdaten!$A$2:$A$1117,$A24,Versuchsdaten!$B$2:$B$1117,"prä",Versuchsdaten!$C$2:$C$1117,"Sprint_30m",Versuchsdaten!$E$2:$E$1117,2,Versuchsdaten!$O$2:$O$1117,1),"")</f>
        <v/>
      </c>
      <c r="D24" s="25">
        <f>IF(COUNTIFS(Versuchsdaten!$A$2:$A$1117,$A24,Versuchsdaten!$B$2:$B$1117,"prä",Versuchsdaten!$C$2:$C$1117,"Sprint_30m",Versuchsdaten!$E$2:$E$1117,3,Versuchsdaten!$O$2:$O$1117,1)=1,SUMIFS(Versuchsdaten!$F$2:$F$1117,Versuchsdaten!$A$2:$A$1117,$A24,Versuchsdaten!$B$2:$B$1117,"prä",Versuchsdaten!$C$2:$C$1117,"Sprint_30m",Versuchsdaten!$E$2:$E$1117,3,Versuchsdaten!$O$2:$O$1117,1),"")</f>
        <v/>
      </c>
      <c r="E24" s="25">
        <f>COUNT(B24:D24)</f>
        <v/>
      </c>
      <c r="F24" s="25">
        <f>IF(E24&gt;=2,DEVSQ(B24:D24),"")</f>
        <v/>
      </c>
      <c r="G24" s="25">
        <f>IF(E24&gt;=2,E24-1,"")</f>
        <v/>
      </c>
    </row>
    <row r="25">
      <c r="A25" s="5" t="inlineStr">
        <is>
          <t>VS-05</t>
        </is>
      </c>
      <c r="B25" s="25">
        <f>IF(COUNTIFS(Versuchsdaten!$A$2:$A$1117,$A25,Versuchsdaten!$B$2:$B$1117,"prä",Versuchsdaten!$C$2:$C$1117,"Sprint_30m",Versuchsdaten!$E$2:$E$1117,1,Versuchsdaten!$O$2:$O$1117,1)=1,SUMIFS(Versuchsdaten!$F$2:$F$1117,Versuchsdaten!$A$2:$A$1117,$A25,Versuchsdaten!$B$2:$B$1117,"prä",Versuchsdaten!$C$2:$C$1117,"Sprint_30m",Versuchsdaten!$E$2:$E$1117,1,Versuchsdaten!$O$2:$O$1117,1),"")</f>
        <v/>
      </c>
      <c r="C25" s="25">
        <f>IF(COUNTIFS(Versuchsdaten!$A$2:$A$1117,$A25,Versuchsdaten!$B$2:$B$1117,"prä",Versuchsdaten!$C$2:$C$1117,"Sprint_30m",Versuchsdaten!$E$2:$E$1117,2,Versuchsdaten!$O$2:$O$1117,1)=1,SUMIFS(Versuchsdaten!$F$2:$F$1117,Versuchsdaten!$A$2:$A$1117,$A25,Versuchsdaten!$B$2:$B$1117,"prä",Versuchsdaten!$C$2:$C$1117,"Sprint_30m",Versuchsdaten!$E$2:$E$1117,2,Versuchsdaten!$O$2:$O$1117,1),"")</f>
        <v/>
      </c>
      <c r="D25" s="25">
        <f>IF(COUNTIFS(Versuchsdaten!$A$2:$A$1117,$A25,Versuchsdaten!$B$2:$B$1117,"prä",Versuchsdaten!$C$2:$C$1117,"Sprint_30m",Versuchsdaten!$E$2:$E$1117,3,Versuchsdaten!$O$2:$O$1117,1)=1,SUMIFS(Versuchsdaten!$F$2:$F$1117,Versuchsdaten!$A$2:$A$1117,$A25,Versuchsdaten!$B$2:$B$1117,"prä",Versuchsdaten!$C$2:$C$1117,"Sprint_30m",Versuchsdaten!$E$2:$E$1117,3,Versuchsdaten!$O$2:$O$1117,1),"")</f>
        <v/>
      </c>
      <c r="E25" s="25">
        <f>COUNT(B25:D25)</f>
        <v/>
      </c>
      <c r="F25" s="25">
        <f>IF(E25&gt;=2,DEVSQ(B25:D25),"")</f>
        <v/>
      </c>
      <c r="G25" s="25">
        <f>IF(E25&gt;=2,E25-1,"")</f>
        <v/>
      </c>
    </row>
    <row r="26">
      <c r="A26" s="5" t="inlineStr">
        <is>
          <t>VS-06</t>
        </is>
      </c>
      <c r="B26" s="25">
        <f>IF(COUNTIFS(Versuchsdaten!$A$2:$A$1117,$A26,Versuchsdaten!$B$2:$B$1117,"prä",Versuchsdaten!$C$2:$C$1117,"Sprint_30m",Versuchsdaten!$E$2:$E$1117,1,Versuchsdaten!$O$2:$O$1117,1)=1,SUMIFS(Versuchsdaten!$F$2:$F$1117,Versuchsdaten!$A$2:$A$1117,$A26,Versuchsdaten!$B$2:$B$1117,"prä",Versuchsdaten!$C$2:$C$1117,"Sprint_30m",Versuchsdaten!$E$2:$E$1117,1,Versuchsdaten!$O$2:$O$1117,1),"")</f>
        <v/>
      </c>
      <c r="C26" s="25">
        <f>IF(COUNTIFS(Versuchsdaten!$A$2:$A$1117,$A26,Versuchsdaten!$B$2:$B$1117,"prä",Versuchsdaten!$C$2:$C$1117,"Sprint_30m",Versuchsdaten!$E$2:$E$1117,2,Versuchsdaten!$O$2:$O$1117,1)=1,SUMIFS(Versuchsdaten!$F$2:$F$1117,Versuchsdaten!$A$2:$A$1117,$A26,Versuchsdaten!$B$2:$B$1117,"prä",Versuchsdaten!$C$2:$C$1117,"Sprint_30m",Versuchsdaten!$E$2:$E$1117,2,Versuchsdaten!$O$2:$O$1117,1),"")</f>
        <v/>
      </c>
      <c r="D26" s="25">
        <f>IF(COUNTIFS(Versuchsdaten!$A$2:$A$1117,$A26,Versuchsdaten!$B$2:$B$1117,"prä",Versuchsdaten!$C$2:$C$1117,"Sprint_30m",Versuchsdaten!$E$2:$E$1117,3,Versuchsdaten!$O$2:$O$1117,1)=1,SUMIFS(Versuchsdaten!$F$2:$F$1117,Versuchsdaten!$A$2:$A$1117,$A26,Versuchsdaten!$B$2:$B$1117,"prä",Versuchsdaten!$C$2:$C$1117,"Sprint_30m",Versuchsdaten!$E$2:$E$1117,3,Versuchsdaten!$O$2:$O$1117,1),"")</f>
        <v/>
      </c>
      <c r="E26" s="25">
        <f>COUNT(B26:D26)</f>
        <v/>
      </c>
      <c r="F26" s="25">
        <f>IF(E26&gt;=2,DEVSQ(B26:D26),"")</f>
        <v/>
      </c>
      <c r="G26" s="25">
        <f>IF(E26&gt;=2,E26-1,"")</f>
        <v/>
      </c>
    </row>
    <row r="27">
      <c r="A27" s="5" t="inlineStr">
        <is>
          <t>VS-07</t>
        </is>
      </c>
      <c r="B27" s="25">
        <f>IF(COUNTIFS(Versuchsdaten!$A$2:$A$1117,$A27,Versuchsdaten!$B$2:$B$1117,"prä",Versuchsdaten!$C$2:$C$1117,"Sprint_30m",Versuchsdaten!$E$2:$E$1117,1,Versuchsdaten!$O$2:$O$1117,1)=1,SUMIFS(Versuchsdaten!$F$2:$F$1117,Versuchsdaten!$A$2:$A$1117,$A27,Versuchsdaten!$B$2:$B$1117,"prä",Versuchsdaten!$C$2:$C$1117,"Sprint_30m",Versuchsdaten!$E$2:$E$1117,1,Versuchsdaten!$O$2:$O$1117,1),"")</f>
        <v/>
      </c>
      <c r="C27" s="25">
        <f>IF(COUNTIFS(Versuchsdaten!$A$2:$A$1117,$A27,Versuchsdaten!$B$2:$B$1117,"prä",Versuchsdaten!$C$2:$C$1117,"Sprint_30m",Versuchsdaten!$E$2:$E$1117,2,Versuchsdaten!$O$2:$O$1117,1)=1,SUMIFS(Versuchsdaten!$F$2:$F$1117,Versuchsdaten!$A$2:$A$1117,$A27,Versuchsdaten!$B$2:$B$1117,"prä",Versuchsdaten!$C$2:$C$1117,"Sprint_30m",Versuchsdaten!$E$2:$E$1117,2,Versuchsdaten!$O$2:$O$1117,1),"")</f>
        <v/>
      </c>
      <c r="D27" s="25">
        <f>IF(COUNTIFS(Versuchsdaten!$A$2:$A$1117,$A27,Versuchsdaten!$B$2:$B$1117,"prä",Versuchsdaten!$C$2:$C$1117,"Sprint_30m",Versuchsdaten!$E$2:$E$1117,3,Versuchsdaten!$O$2:$O$1117,1)=1,SUMIFS(Versuchsdaten!$F$2:$F$1117,Versuchsdaten!$A$2:$A$1117,$A27,Versuchsdaten!$B$2:$B$1117,"prä",Versuchsdaten!$C$2:$C$1117,"Sprint_30m",Versuchsdaten!$E$2:$E$1117,3,Versuchsdaten!$O$2:$O$1117,1),"")</f>
        <v/>
      </c>
      <c r="E27" s="25">
        <f>COUNT(B27:D27)</f>
        <v/>
      </c>
      <c r="F27" s="25">
        <f>IF(E27&gt;=2,DEVSQ(B27:D27),"")</f>
        <v/>
      </c>
      <c r="G27" s="25">
        <f>IF(E27&gt;=2,E27-1,"")</f>
        <v/>
      </c>
    </row>
    <row r="28">
      <c r="A28" s="5" t="inlineStr">
        <is>
          <t>VS-08</t>
        </is>
      </c>
      <c r="B28" s="25">
        <f>IF(COUNTIFS(Versuchsdaten!$A$2:$A$1117,$A28,Versuchsdaten!$B$2:$B$1117,"prä",Versuchsdaten!$C$2:$C$1117,"Sprint_30m",Versuchsdaten!$E$2:$E$1117,1,Versuchsdaten!$O$2:$O$1117,1)=1,SUMIFS(Versuchsdaten!$F$2:$F$1117,Versuchsdaten!$A$2:$A$1117,$A28,Versuchsdaten!$B$2:$B$1117,"prä",Versuchsdaten!$C$2:$C$1117,"Sprint_30m",Versuchsdaten!$E$2:$E$1117,1,Versuchsdaten!$O$2:$O$1117,1),"")</f>
        <v/>
      </c>
      <c r="C28" s="25">
        <f>IF(COUNTIFS(Versuchsdaten!$A$2:$A$1117,$A28,Versuchsdaten!$B$2:$B$1117,"prä",Versuchsdaten!$C$2:$C$1117,"Sprint_30m",Versuchsdaten!$E$2:$E$1117,2,Versuchsdaten!$O$2:$O$1117,1)=1,SUMIFS(Versuchsdaten!$F$2:$F$1117,Versuchsdaten!$A$2:$A$1117,$A28,Versuchsdaten!$B$2:$B$1117,"prä",Versuchsdaten!$C$2:$C$1117,"Sprint_30m",Versuchsdaten!$E$2:$E$1117,2,Versuchsdaten!$O$2:$O$1117,1),"")</f>
        <v/>
      </c>
      <c r="D28" s="25">
        <f>IF(COUNTIFS(Versuchsdaten!$A$2:$A$1117,$A28,Versuchsdaten!$B$2:$B$1117,"prä",Versuchsdaten!$C$2:$C$1117,"Sprint_30m",Versuchsdaten!$E$2:$E$1117,3,Versuchsdaten!$O$2:$O$1117,1)=1,SUMIFS(Versuchsdaten!$F$2:$F$1117,Versuchsdaten!$A$2:$A$1117,$A28,Versuchsdaten!$B$2:$B$1117,"prä",Versuchsdaten!$C$2:$C$1117,"Sprint_30m",Versuchsdaten!$E$2:$E$1117,3,Versuchsdaten!$O$2:$O$1117,1),"")</f>
        <v/>
      </c>
      <c r="E28" s="25">
        <f>COUNT(B28:D28)</f>
        <v/>
      </c>
      <c r="F28" s="25">
        <f>IF(E28&gt;=2,DEVSQ(B28:D28),"")</f>
        <v/>
      </c>
      <c r="G28" s="25">
        <f>IF(E28&gt;=2,E28-1,"")</f>
        <v/>
      </c>
    </row>
    <row r="29">
      <c r="A29" s="5" t="inlineStr">
        <is>
          <t>VS-10</t>
        </is>
      </c>
      <c r="B29" s="25">
        <f>IF(COUNTIFS(Versuchsdaten!$A$2:$A$1117,$A29,Versuchsdaten!$B$2:$B$1117,"prä",Versuchsdaten!$C$2:$C$1117,"Sprint_30m",Versuchsdaten!$E$2:$E$1117,1,Versuchsdaten!$O$2:$O$1117,1)=1,SUMIFS(Versuchsdaten!$F$2:$F$1117,Versuchsdaten!$A$2:$A$1117,$A29,Versuchsdaten!$B$2:$B$1117,"prä",Versuchsdaten!$C$2:$C$1117,"Sprint_30m",Versuchsdaten!$E$2:$E$1117,1,Versuchsdaten!$O$2:$O$1117,1),"")</f>
        <v/>
      </c>
      <c r="C29" s="25">
        <f>IF(COUNTIFS(Versuchsdaten!$A$2:$A$1117,$A29,Versuchsdaten!$B$2:$B$1117,"prä",Versuchsdaten!$C$2:$C$1117,"Sprint_30m",Versuchsdaten!$E$2:$E$1117,2,Versuchsdaten!$O$2:$O$1117,1)=1,SUMIFS(Versuchsdaten!$F$2:$F$1117,Versuchsdaten!$A$2:$A$1117,$A29,Versuchsdaten!$B$2:$B$1117,"prä",Versuchsdaten!$C$2:$C$1117,"Sprint_30m",Versuchsdaten!$E$2:$E$1117,2,Versuchsdaten!$O$2:$O$1117,1),"")</f>
        <v/>
      </c>
      <c r="D29" s="25">
        <f>IF(COUNTIFS(Versuchsdaten!$A$2:$A$1117,$A29,Versuchsdaten!$B$2:$B$1117,"prä",Versuchsdaten!$C$2:$C$1117,"Sprint_30m",Versuchsdaten!$E$2:$E$1117,3,Versuchsdaten!$O$2:$O$1117,1)=1,SUMIFS(Versuchsdaten!$F$2:$F$1117,Versuchsdaten!$A$2:$A$1117,$A29,Versuchsdaten!$B$2:$B$1117,"prä",Versuchsdaten!$C$2:$C$1117,"Sprint_30m",Versuchsdaten!$E$2:$E$1117,3,Versuchsdaten!$O$2:$O$1117,1),"")</f>
        <v/>
      </c>
      <c r="E29" s="25">
        <f>COUNT(B29:D29)</f>
        <v/>
      </c>
      <c r="F29" s="25">
        <f>IF(E29&gt;=2,DEVSQ(B29:D29),"")</f>
        <v/>
      </c>
      <c r="G29" s="25">
        <f>IF(E29&gt;=2,E29-1,"")</f>
        <v/>
      </c>
    </row>
    <row r="30">
      <c r="A30" s="5" t="inlineStr">
        <is>
          <t>VS-16</t>
        </is>
      </c>
      <c r="B30" s="25">
        <f>IF(COUNTIFS(Versuchsdaten!$A$2:$A$1117,$A30,Versuchsdaten!$B$2:$B$1117,"prä",Versuchsdaten!$C$2:$C$1117,"Sprint_30m",Versuchsdaten!$E$2:$E$1117,1,Versuchsdaten!$O$2:$O$1117,1)=1,SUMIFS(Versuchsdaten!$F$2:$F$1117,Versuchsdaten!$A$2:$A$1117,$A30,Versuchsdaten!$B$2:$B$1117,"prä",Versuchsdaten!$C$2:$C$1117,"Sprint_30m",Versuchsdaten!$E$2:$E$1117,1,Versuchsdaten!$O$2:$O$1117,1),"")</f>
        <v/>
      </c>
      <c r="C30" s="25">
        <f>IF(COUNTIFS(Versuchsdaten!$A$2:$A$1117,$A30,Versuchsdaten!$B$2:$B$1117,"prä",Versuchsdaten!$C$2:$C$1117,"Sprint_30m",Versuchsdaten!$E$2:$E$1117,2,Versuchsdaten!$O$2:$O$1117,1)=1,SUMIFS(Versuchsdaten!$F$2:$F$1117,Versuchsdaten!$A$2:$A$1117,$A30,Versuchsdaten!$B$2:$B$1117,"prä",Versuchsdaten!$C$2:$C$1117,"Sprint_30m",Versuchsdaten!$E$2:$E$1117,2,Versuchsdaten!$O$2:$O$1117,1),"")</f>
        <v/>
      </c>
      <c r="D30" s="25">
        <f>IF(COUNTIFS(Versuchsdaten!$A$2:$A$1117,$A30,Versuchsdaten!$B$2:$B$1117,"prä",Versuchsdaten!$C$2:$C$1117,"Sprint_30m",Versuchsdaten!$E$2:$E$1117,3,Versuchsdaten!$O$2:$O$1117,1)=1,SUMIFS(Versuchsdaten!$F$2:$F$1117,Versuchsdaten!$A$2:$A$1117,$A30,Versuchsdaten!$B$2:$B$1117,"prä",Versuchsdaten!$C$2:$C$1117,"Sprint_30m",Versuchsdaten!$E$2:$E$1117,3,Versuchsdaten!$O$2:$O$1117,1),"")</f>
        <v/>
      </c>
      <c r="E30" s="25">
        <f>COUNT(B30:D30)</f>
        <v/>
      </c>
      <c r="F30" s="25">
        <f>IF(E30&gt;=2,DEVSQ(B30:D30),"")</f>
        <v/>
      </c>
      <c r="G30" s="25">
        <f>IF(E30&gt;=2,E30-1,"")</f>
        <v/>
      </c>
    </row>
    <row r="31">
      <c r="A31" s="5" t="inlineStr">
        <is>
          <t>VS-17</t>
        </is>
      </c>
      <c r="B31" s="25">
        <f>IF(COUNTIFS(Versuchsdaten!$A$2:$A$1117,$A31,Versuchsdaten!$B$2:$B$1117,"prä",Versuchsdaten!$C$2:$C$1117,"Sprint_30m",Versuchsdaten!$E$2:$E$1117,1,Versuchsdaten!$O$2:$O$1117,1)=1,SUMIFS(Versuchsdaten!$F$2:$F$1117,Versuchsdaten!$A$2:$A$1117,$A31,Versuchsdaten!$B$2:$B$1117,"prä",Versuchsdaten!$C$2:$C$1117,"Sprint_30m",Versuchsdaten!$E$2:$E$1117,1,Versuchsdaten!$O$2:$O$1117,1),"")</f>
        <v/>
      </c>
      <c r="C31" s="25">
        <f>IF(COUNTIFS(Versuchsdaten!$A$2:$A$1117,$A31,Versuchsdaten!$B$2:$B$1117,"prä",Versuchsdaten!$C$2:$C$1117,"Sprint_30m",Versuchsdaten!$E$2:$E$1117,2,Versuchsdaten!$O$2:$O$1117,1)=1,SUMIFS(Versuchsdaten!$F$2:$F$1117,Versuchsdaten!$A$2:$A$1117,$A31,Versuchsdaten!$B$2:$B$1117,"prä",Versuchsdaten!$C$2:$C$1117,"Sprint_30m",Versuchsdaten!$E$2:$E$1117,2,Versuchsdaten!$O$2:$O$1117,1),"")</f>
        <v/>
      </c>
      <c r="D31" s="25">
        <f>IF(COUNTIFS(Versuchsdaten!$A$2:$A$1117,$A31,Versuchsdaten!$B$2:$B$1117,"prä",Versuchsdaten!$C$2:$C$1117,"Sprint_30m",Versuchsdaten!$E$2:$E$1117,3,Versuchsdaten!$O$2:$O$1117,1)=1,SUMIFS(Versuchsdaten!$F$2:$F$1117,Versuchsdaten!$A$2:$A$1117,$A31,Versuchsdaten!$B$2:$B$1117,"prä",Versuchsdaten!$C$2:$C$1117,"Sprint_30m",Versuchsdaten!$E$2:$E$1117,3,Versuchsdaten!$O$2:$O$1117,1),"")</f>
        <v/>
      </c>
      <c r="E31" s="25">
        <f>COUNT(B31:D31)</f>
        <v/>
      </c>
      <c r="F31" s="25">
        <f>IF(E31&gt;=2,DEVSQ(B31:D31),"")</f>
        <v/>
      </c>
      <c r="G31" s="25">
        <f>IF(E31&gt;=2,E31-1,"")</f>
        <v/>
      </c>
    </row>
    <row r="32">
      <c r="A32" s="5" t="inlineStr">
        <is>
          <t>VS-18</t>
        </is>
      </c>
      <c r="B32" s="25">
        <f>IF(COUNTIFS(Versuchsdaten!$A$2:$A$1117,$A32,Versuchsdaten!$B$2:$B$1117,"prä",Versuchsdaten!$C$2:$C$1117,"Sprint_30m",Versuchsdaten!$E$2:$E$1117,1,Versuchsdaten!$O$2:$O$1117,1)=1,SUMIFS(Versuchsdaten!$F$2:$F$1117,Versuchsdaten!$A$2:$A$1117,$A32,Versuchsdaten!$B$2:$B$1117,"prä",Versuchsdaten!$C$2:$C$1117,"Sprint_30m",Versuchsdaten!$E$2:$E$1117,1,Versuchsdaten!$O$2:$O$1117,1),"")</f>
        <v/>
      </c>
      <c r="C32" s="25">
        <f>IF(COUNTIFS(Versuchsdaten!$A$2:$A$1117,$A32,Versuchsdaten!$B$2:$B$1117,"prä",Versuchsdaten!$C$2:$C$1117,"Sprint_30m",Versuchsdaten!$E$2:$E$1117,2,Versuchsdaten!$O$2:$O$1117,1)=1,SUMIFS(Versuchsdaten!$F$2:$F$1117,Versuchsdaten!$A$2:$A$1117,$A32,Versuchsdaten!$B$2:$B$1117,"prä",Versuchsdaten!$C$2:$C$1117,"Sprint_30m",Versuchsdaten!$E$2:$E$1117,2,Versuchsdaten!$O$2:$O$1117,1),"")</f>
        <v/>
      </c>
      <c r="D32" s="25">
        <f>IF(COUNTIFS(Versuchsdaten!$A$2:$A$1117,$A32,Versuchsdaten!$B$2:$B$1117,"prä",Versuchsdaten!$C$2:$C$1117,"Sprint_30m",Versuchsdaten!$E$2:$E$1117,3,Versuchsdaten!$O$2:$O$1117,1)=1,SUMIFS(Versuchsdaten!$F$2:$F$1117,Versuchsdaten!$A$2:$A$1117,$A32,Versuchsdaten!$B$2:$B$1117,"prä",Versuchsdaten!$C$2:$C$1117,"Sprint_30m",Versuchsdaten!$E$2:$E$1117,3,Versuchsdaten!$O$2:$O$1117,1),"")</f>
        <v/>
      </c>
      <c r="E32" s="25">
        <f>COUNT(B32:D32)</f>
        <v/>
      </c>
      <c r="F32" s="25">
        <f>IF(E32&gt;=2,DEVSQ(B32:D32),"")</f>
        <v/>
      </c>
      <c r="G32" s="25">
        <f>IF(E32&gt;=2,E32-1,"")</f>
        <v/>
      </c>
    </row>
    <row r="33">
      <c r="A33" s="5" t="inlineStr">
        <is>
          <t>VS-11</t>
        </is>
      </c>
      <c r="B33" s="25">
        <f>IF(COUNTIFS(Versuchsdaten!$A$2:$A$1117,$A33,Versuchsdaten!$B$2:$B$1117,"prä",Versuchsdaten!$C$2:$C$1117,"Sprint_30m",Versuchsdaten!$E$2:$E$1117,1,Versuchsdaten!$O$2:$O$1117,1)=1,SUMIFS(Versuchsdaten!$F$2:$F$1117,Versuchsdaten!$A$2:$A$1117,$A33,Versuchsdaten!$B$2:$B$1117,"prä",Versuchsdaten!$C$2:$C$1117,"Sprint_30m",Versuchsdaten!$E$2:$E$1117,1,Versuchsdaten!$O$2:$O$1117,1),"")</f>
        <v/>
      </c>
      <c r="C33" s="25">
        <f>IF(COUNTIFS(Versuchsdaten!$A$2:$A$1117,$A33,Versuchsdaten!$B$2:$B$1117,"prä",Versuchsdaten!$C$2:$C$1117,"Sprint_30m",Versuchsdaten!$E$2:$E$1117,2,Versuchsdaten!$O$2:$O$1117,1)=1,SUMIFS(Versuchsdaten!$F$2:$F$1117,Versuchsdaten!$A$2:$A$1117,$A33,Versuchsdaten!$B$2:$B$1117,"prä",Versuchsdaten!$C$2:$C$1117,"Sprint_30m",Versuchsdaten!$E$2:$E$1117,2,Versuchsdaten!$O$2:$O$1117,1),"")</f>
        <v/>
      </c>
      <c r="D33" s="25">
        <f>IF(COUNTIFS(Versuchsdaten!$A$2:$A$1117,$A33,Versuchsdaten!$B$2:$B$1117,"prä",Versuchsdaten!$C$2:$C$1117,"Sprint_30m",Versuchsdaten!$E$2:$E$1117,3,Versuchsdaten!$O$2:$O$1117,1)=1,SUMIFS(Versuchsdaten!$F$2:$F$1117,Versuchsdaten!$A$2:$A$1117,$A33,Versuchsdaten!$B$2:$B$1117,"prä",Versuchsdaten!$C$2:$C$1117,"Sprint_30m",Versuchsdaten!$E$2:$E$1117,3,Versuchsdaten!$O$2:$O$1117,1),"")</f>
        <v/>
      </c>
      <c r="E33" s="25">
        <f>COUNT(B33:D33)</f>
        <v/>
      </c>
      <c r="F33" s="25">
        <f>IF(E33&gt;=2,DEVSQ(B33:D33),"")</f>
        <v/>
      </c>
      <c r="G33" s="25">
        <f>IF(E33&gt;=2,E33-1,"")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5" t="inlineStr">
        <is>
          <t>ITT-Set 30 m in Blockform: Zeile j holt über den Rang aus dem Blatt Formelwerte den j-ten Spieler mit ITT Z30 = 1. Modell S13: Post = b0 + b1·G + b2·Prä + b3·%PAH, geschätzt mit LINEST (Kleinste Quadrate). LINEST gibt die Koeffizienten in umgekehrter Reihenfolge der x-Spalten aus, b1 (Gruppe) steht in Zeile 1, Spalte 3, sein Standardfehler in Zeile 2, Spalte 3. Blockgröße = Zahl der ITT-Spieler, geprüft in Zusatzprüfung Z3.</t>
        </is>
      </c>
    </row>
    <row r="2">
      <c r="A2" s="20" t="inlineStr">
        <is>
          <t>j</t>
        </is>
      </c>
      <c r="B2" s="20" t="inlineStr">
        <is>
          <t>Code</t>
        </is>
      </c>
      <c r="C2" s="20" t="inlineStr">
        <is>
          <t>G</t>
        </is>
      </c>
      <c r="D2" s="20" t="inlineStr">
        <is>
          <t>Prä (BEST Z30)</t>
        </is>
      </c>
      <c r="E2" s="20" t="inlineStr">
        <is>
          <t>%PAH</t>
        </is>
      </c>
      <c r="F2" s="20" t="inlineStr">
        <is>
          <t>Post (BEST Z30)</t>
        </is>
      </c>
      <c r="G2" s="20" t="inlineStr">
        <is>
          <t>Prä IG</t>
        </is>
      </c>
      <c r="H2" s="20" t="inlineStr">
        <is>
          <t>Prä KG</t>
        </is>
      </c>
      <c r="I2" s="20" t="inlineStr">
        <is>
          <t>Post IG</t>
        </is>
      </c>
      <c r="J2" s="20" t="inlineStr">
        <is>
          <t>Post KG</t>
        </is>
      </c>
    </row>
    <row r="3">
      <c r="A3" s="5" t="n">
        <v>1</v>
      </c>
      <c r="B3" s="25">
        <f>INDEX(Formelwerte!$A$4:$A$34,MATCH(A3,Formelwerte!$AF$4:$AF$34,0))</f>
        <v/>
      </c>
      <c r="C3" s="25">
        <f>INDEX(Formelwerte!$D$4:$D$34,MATCH($B3,Formelwerte!$A$4:$A$34,0))</f>
        <v/>
      </c>
      <c r="D3" s="25">
        <f>INDEX(Formelwerte!$Q$4:$Q$34,MATCH($B3,Formelwerte!$A$4:$A$34,0))</f>
        <v/>
      </c>
      <c r="E3" s="25">
        <f>INDEX(Formelwerte!$O$4:$O$34,MATCH($B3,Formelwerte!$A$4:$A$34,0))</f>
        <v/>
      </c>
      <c r="F3" s="25">
        <f>INDEX(Formelwerte!$S$4:$S$34,MATCH($B3,Formelwerte!$A$4:$A$34,0))</f>
        <v/>
      </c>
      <c r="G3" s="25">
        <f>IF(C3=1,D3,"")</f>
        <v/>
      </c>
      <c r="H3" s="25">
        <f>IF(C3=0,D3,"")</f>
        <v/>
      </c>
      <c r="I3" s="25">
        <f>IF(C3=1,F3,"")</f>
        <v/>
      </c>
      <c r="J3" s="25">
        <f>IF(C3=0,F3,"")</f>
        <v/>
      </c>
    </row>
    <row r="4">
      <c r="A4" s="5" t="n">
        <v>2</v>
      </c>
      <c r="B4" s="25">
        <f>INDEX(Formelwerte!$A$4:$A$34,MATCH(A4,Formelwerte!$AF$4:$AF$34,0))</f>
        <v/>
      </c>
      <c r="C4" s="25">
        <f>INDEX(Formelwerte!$D$4:$D$34,MATCH($B4,Formelwerte!$A$4:$A$34,0))</f>
        <v/>
      </c>
      <c r="D4" s="25">
        <f>INDEX(Formelwerte!$Q$4:$Q$34,MATCH($B4,Formelwerte!$A$4:$A$34,0))</f>
        <v/>
      </c>
      <c r="E4" s="25">
        <f>INDEX(Formelwerte!$O$4:$O$34,MATCH($B4,Formelwerte!$A$4:$A$34,0))</f>
        <v/>
      </c>
      <c r="F4" s="25">
        <f>INDEX(Formelwerte!$S$4:$S$34,MATCH($B4,Formelwerte!$A$4:$A$34,0))</f>
        <v/>
      </c>
      <c r="G4" s="25">
        <f>IF(C4=1,D4,"")</f>
        <v/>
      </c>
      <c r="H4" s="25">
        <f>IF(C4=0,D4,"")</f>
        <v/>
      </c>
      <c r="I4" s="25">
        <f>IF(C4=1,F4,"")</f>
        <v/>
      </c>
      <c r="J4" s="25">
        <f>IF(C4=0,F4,"")</f>
        <v/>
      </c>
    </row>
    <row r="5">
      <c r="A5" s="5" t="n">
        <v>3</v>
      </c>
      <c r="B5" s="25">
        <f>INDEX(Formelwerte!$A$4:$A$34,MATCH(A5,Formelwerte!$AF$4:$AF$34,0))</f>
        <v/>
      </c>
      <c r="C5" s="25">
        <f>INDEX(Formelwerte!$D$4:$D$34,MATCH($B5,Formelwerte!$A$4:$A$34,0))</f>
        <v/>
      </c>
      <c r="D5" s="25">
        <f>INDEX(Formelwerte!$Q$4:$Q$34,MATCH($B5,Formelwerte!$A$4:$A$34,0))</f>
        <v/>
      </c>
      <c r="E5" s="25">
        <f>INDEX(Formelwerte!$O$4:$O$34,MATCH($B5,Formelwerte!$A$4:$A$34,0))</f>
        <v/>
      </c>
      <c r="F5" s="25">
        <f>INDEX(Formelwerte!$S$4:$S$34,MATCH($B5,Formelwerte!$A$4:$A$34,0))</f>
        <v/>
      </c>
      <c r="G5" s="25">
        <f>IF(C5=1,D5,"")</f>
        <v/>
      </c>
      <c r="H5" s="25">
        <f>IF(C5=0,D5,"")</f>
        <v/>
      </c>
      <c r="I5" s="25">
        <f>IF(C5=1,F5,"")</f>
        <v/>
      </c>
      <c r="J5" s="25">
        <f>IF(C5=0,F5,"")</f>
        <v/>
      </c>
    </row>
    <row r="6">
      <c r="A6" s="5" t="n">
        <v>4</v>
      </c>
      <c r="B6" s="25">
        <f>INDEX(Formelwerte!$A$4:$A$34,MATCH(A6,Formelwerte!$AF$4:$AF$34,0))</f>
        <v/>
      </c>
      <c r="C6" s="25">
        <f>INDEX(Formelwerte!$D$4:$D$34,MATCH($B6,Formelwerte!$A$4:$A$34,0))</f>
        <v/>
      </c>
      <c r="D6" s="25">
        <f>INDEX(Formelwerte!$Q$4:$Q$34,MATCH($B6,Formelwerte!$A$4:$A$34,0))</f>
        <v/>
      </c>
      <c r="E6" s="25">
        <f>INDEX(Formelwerte!$O$4:$O$34,MATCH($B6,Formelwerte!$A$4:$A$34,0))</f>
        <v/>
      </c>
      <c r="F6" s="25">
        <f>INDEX(Formelwerte!$S$4:$S$34,MATCH($B6,Formelwerte!$A$4:$A$34,0))</f>
        <v/>
      </c>
      <c r="G6" s="25">
        <f>IF(C6=1,D6,"")</f>
        <v/>
      </c>
      <c r="H6" s="25">
        <f>IF(C6=0,D6,"")</f>
        <v/>
      </c>
      <c r="I6" s="25">
        <f>IF(C6=1,F6,"")</f>
        <v/>
      </c>
      <c r="J6" s="25">
        <f>IF(C6=0,F6,"")</f>
        <v/>
      </c>
    </row>
    <row r="7">
      <c r="A7" s="5" t="n">
        <v>5</v>
      </c>
      <c r="B7" s="25">
        <f>INDEX(Formelwerte!$A$4:$A$34,MATCH(A7,Formelwerte!$AF$4:$AF$34,0))</f>
        <v/>
      </c>
      <c r="C7" s="25">
        <f>INDEX(Formelwerte!$D$4:$D$34,MATCH($B7,Formelwerte!$A$4:$A$34,0))</f>
        <v/>
      </c>
      <c r="D7" s="25">
        <f>INDEX(Formelwerte!$Q$4:$Q$34,MATCH($B7,Formelwerte!$A$4:$A$34,0))</f>
        <v/>
      </c>
      <c r="E7" s="25">
        <f>INDEX(Formelwerte!$O$4:$O$34,MATCH($B7,Formelwerte!$A$4:$A$34,0))</f>
        <v/>
      </c>
      <c r="F7" s="25">
        <f>INDEX(Formelwerte!$S$4:$S$34,MATCH($B7,Formelwerte!$A$4:$A$34,0))</f>
        <v/>
      </c>
      <c r="G7" s="25">
        <f>IF(C7=1,D7,"")</f>
        <v/>
      </c>
      <c r="H7" s="25">
        <f>IF(C7=0,D7,"")</f>
        <v/>
      </c>
      <c r="I7" s="25">
        <f>IF(C7=1,F7,"")</f>
        <v/>
      </c>
      <c r="J7" s="25">
        <f>IF(C7=0,F7,"")</f>
        <v/>
      </c>
    </row>
    <row r="8">
      <c r="A8" s="5" t="n">
        <v>6</v>
      </c>
      <c r="B8" s="25">
        <f>INDEX(Formelwerte!$A$4:$A$34,MATCH(A8,Formelwerte!$AF$4:$AF$34,0))</f>
        <v/>
      </c>
      <c r="C8" s="25">
        <f>INDEX(Formelwerte!$D$4:$D$34,MATCH($B8,Formelwerte!$A$4:$A$34,0))</f>
        <v/>
      </c>
      <c r="D8" s="25">
        <f>INDEX(Formelwerte!$Q$4:$Q$34,MATCH($B8,Formelwerte!$A$4:$A$34,0))</f>
        <v/>
      </c>
      <c r="E8" s="25">
        <f>INDEX(Formelwerte!$O$4:$O$34,MATCH($B8,Formelwerte!$A$4:$A$34,0))</f>
        <v/>
      </c>
      <c r="F8" s="25">
        <f>INDEX(Formelwerte!$S$4:$S$34,MATCH($B8,Formelwerte!$A$4:$A$34,0))</f>
        <v/>
      </c>
      <c r="G8" s="25">
        <f>IF(C8=1,D8,"")</f>
        <v/>
      </c>
      <c r="H8" s="25">
        <f>IF(C8=0,D8,"")</f>
        <v/>
      </c>
      <c r="I8" s="25">
        <f>IF(C8=1,F8,"")</f>
        <v/>
      </c>
      <c r="J8" s="25">
        <f>IF(C8=0,F8,"")</f>
        <v/>
      </c>
    </row>
    <row r="9">
      <c r="A9" s="5" t="n">
        <v>7</v>
      </c>
      <c r="B9" s="25">
        <f>INDEX(Formelwerte!$A$4:$A$34,MATCH(A9,Formelwerte!$AF$4:$AF$34,0))</f>
        <v/>
      </c>
      <c r="C9" s="25">
        <f>INDEX(Formelwerte!$D$4:$D$34,MATCH($B9,Formelwerte!$A$4:$A$34,0))</f>
        <v/>
      </c>
      <c r="D9" s="25">
        <f>INDEX(Formelwerte!$Q$4:$Q$34,MATCH($B9,Formelwerte!$A$4:$A$34,0))</f>
        <v/>
      </c>
      <c r="E9" s="25">
        <f>INDEX(Formelwerte!$O$4:$O$34,MATCH($B9,Formelwerte!$A$4:$A$34,0))</f>
        <v/>
      </c>
      <c r="F9" s="25">
        <f>INDEX(Formelwerte!$S$4:$S$34,MATCH($B9,Formelwerte!$A$4:$A$34,0))</f>
        <v/>
      </c>
      <c r="G9" s="25">
        <f>IF(C9=1,D9,"")</f>
        <v/>
      </c>
      <c r="H9" s="25">
        <f>IF(C9=0,D9,"")</f>
        <v/>
      </c>
      <c r="I9" s="25">
        <f>IF(C9=1,F9,"")</f>
        <v/>
      </c>
      <c r="J9" s="25">
        <f>IF(C9=0,F9,"")</f>
        <v/>
      </c>
    </row>
    <row r="10">
      <c r="A10" s="5" t="n">
        <v>8</v>
      </c>
      <c r="B10" s="25">
        <f>INDEX(Formelwerte!$A$4:$A$34,MATCH(A10,Formelwerte!$AF$4:$AF$34,0))</f>
        <v/>
      </c>
      <c r="C10" s="25">
        <f>INDEX(Formelwerte!$D$4:$D$34,MATCH($B10,Formelwerte!$A$4:$A$34,0))</f>
        <v/>
      </c>
      <c r="D10" s="25">
        <f>INDEX(Formelwerte!$Q$4:$Q$34,MATCH($B10,Formelwerte!$A$4:$A$34,0))</f>
        <v/>
      </c>
      <c r="E10" s="25">
        <f>INDEX(Formelwerte!$O$4:$O$34,MATCH($B10,Formelwerte!$A$4:$A$34,0))</f>
        <v/>
      </c>
      <c r="F10" s="25">
        <f>INDEX(Formelwerte!$S$4:$S$34,MATCH($B10,Formelwerte!$A$4:$A$34,0))</f>
        <v/>
      </c>
      <c r="G10" s="25">
        <f>IF(C10=1,D10,"")</f>
        <v/>
      </c>
      <c r="H10" s="25">
        <f>IF(C10=0,D10,"")</f>
        <v/>
      </c>
      <c r="I10" s="25">
        <f>IF(C10=1,F10,"")</f>
        <v/>
      </c>
      <c r="J10" s="25">
        <f>IF(C10=0,F10,"")</f>
        <v/>
      </c>
    </row>
    <row r="11">
      <c r="A11" s="5" t="n">
        <v>9</v>
      </c>
      <c r="B11" s="25">
        <f>INDEX(Formelwerte!$A$4:$A$34,MATCH(A11,Formelwerte!$AF$4:$AF$34,0))</f>
        <v/>
      </c>
      <c r="C11" s="25">
        <f>INDEX(Formelwerte!$D$4:$D$34,MATCH($B11,Formelwerte!$A$4:$A$34,0))</f>
        <v/>
      </c>
      <c r="D11" s="25">
        <f>INDEX(Formelwerte!$Q$4:$Q$34,MATCH($B11,Formelwerte!$A$4:$A$34,0))</f>
        <v/>
      </c>
      <c r="E11" s="25">
        <f>INDEX(Formelwerte!$O$4:$O$34,MATCH($B11,Formelwerte!$A$4:$A$34,0))</f>
        <v/>
      </c>
      <c r="F11" s="25">
        <f>INDEX(Formelwerte!$S$4:$S$34,MATCH($B11,Formelwerte!$A$4:$A$34,0))</f>
        <v/>
      </c>
      <c r="G11" s="25">
        <f>IF(C11=1,D11,"")</f>
        <v/>
      </c>
      <c r="H11" s="25">
        <f>IF(C11=0,D11,"")</f>
        <v/>
      </c>
      <c r="I11" s="25">
        <f>IF(C11=1,F11,"")</f>
        <v/>
      </c>
      <c r="J11" s="25">
        <f>IF(C11=0,F11,"")</f>
        <v/>
      </c>
    </row>
    <row r="12">
      <c r="A12" s="5" t="n">
        <v>10</v>
      </c>
      <c r="B12" s="25">
        <f>INDEX(Formelwerte!$A$4:$A$34,MATCH(A12,Formelwerte!$AF$4:$AF$34,0))</f>
        <v/>
      </c>
      <c r="C12" s="25">
        <f>INDEX(Formelwerte!$D$4:$D$34,MATCH($B12,Formelwerte!$A$4:$A$34,0))</f>
        <v/>
      </c>
      <c r="D12" s="25">
        <f>INDEX(Formelwerte!$Q$4:$Q$34,MATCH($B12,Formelwerte!$A$4:$A$34,0))</f>
        <v/>
      </c>
      <c r="E12" s="25">
        <f>INDEX(Formelwerte!$O$4:$O$34,MATCH($B12,Formelwerte!$A$4:$A$34,0))</f>
        <v/>
      </c>
      <c r="F12" s="25">
        <f>INDEX(Formelwerte!$S$4:$S$34,MATCH($B12,Formelwerte!$A$4:$A$34,0))</f>
        <v/>
      </c>
      <c r="G12" s="25">
        <f>IF(C12=1,D12,"")</f>
        <v/>
      </c>
      <c r="H12" s="25">
        <f>IF(C12=0,D12,"")</f>
        <v/>
      </c>
      <c r="I12" s="25">
        <f>IF(C12=1,F12,"")</f>
        <v/>
      </c>
      <c r="J12" s="25">
        <f>IF(C12=0,F12,"")</f>
        <v/>
      </c>
    </row>
    <row r="13">
      <c r="A13" s="5" t="n">
        <v>11</v>
      </c>
      <c r="B13" s="25">
        <f>INDEX(Formelwerte!$A$4:$A$34,MATCH(A13,Formelwerte!$AF$4:$AF$34,0))</f>
        <v/>
      </c>
      <c r="C13" s="25">
        <f>INDEX(Formelwerte!$D$4:$D$34,MATCH($B13,Formelwerte!$A$4:$A$34,0))</f>
        <v/>
      </c>
      <c r="D13" s="25">
        <f>INDEX(Formelwerte!$Q$4:$Q$34,MATCH($B13,Formelwerte!$A$4:$A$34,0))</f>
        <v/>
      </c>
      <c r="E13" s="25">
        <f>INDEX(Formelwerte!$O$4:$O$34,MATCH($B13,Formelwerte!$A$4:$A$34,0))</f>
        <v/>
      </c>
      <c r="F13" s="25">
        <f>INDEX(Formelwerte!$S$4:$S$34,MATCH($B13,Formelwerte!$A$4:$A$34,0))</f>
        <v/>
      </c>
      <c r="G13" s="25">
        <f>IF(C13=1,D13,"")</f>
        <v/>
      </c>
      <c r="H13" s="25">
        <f>IF(C13=0,D13,"")</f>
        <v/>
      </c>
      <c r="I13" s="25">
        <f>IF(C13=1,F13,"")</f>
        <v/>
      </c>
      <c r="J13" s="25">
        <f>IF(C13=0,F13,"")</f>
        <v/>
      </c>
    </row>
    <row r="14">
      <c r="A14" s="5" t="n">
        <v>12</v>
      </c>
      <c r="B14" s="25">
        <f>INDEX(Formelwerte!$A$4:$A$34,MATCH(A14,Formelwerte!$AF$4:$AF$34,0))</f>
        <v/>
      </c>
      <c r="C14" s="25">
        <f>INDEX(Formelwerte!$D$4:$D$34,MATCH($B14,Formelwerte!$A$4:$A$34,0))</f>
        <v/>
      </c>
      <c r="D14" s="25">
        <f>INDEX(Formelwerte!$Q$4:$Q$34,MATCH($B14,Formelwerte!$A$4:$A$34,0))</f>
        <v/>
      </c>
      <c r="E14" s="25">
        <f>INDEX(Formelwerte!$O$4:$O$34,MATCH($B14,Formelwerte!$A$4:$A$34,0))</f>
        <v/>
      </c>
      <c r="F14" s="25">
        <f>INDEX(Formelwerte!$S$4:$S$34,MATCH($B14,Formelwerte!$A$4:$A$34,0))</f>
        <v/>
      </c>
      <c r="G14" s="25">
        <f>IF(C14=1,D14,"")</f>
        <v/>
      </c>
      <c r="H14" s="25">
        <f>IF(C14=0,D14,"")</f>
        <v/>
      </c>
      <c r="I14" s="25">
        <f>IF(C14=1,F14,"")</f>
        <v/>
      </c>
      <c r="J14" s="25">
        <f>IF(C14=0,F14,"")</f>
        <v/>
      </c>
    </row>
    <row r="15">
      <c r="A15" s="5" t="n">
        <v>13</v>
      </c>
      <c r="B15" s="25">
        <f>INDEX(Formelwerte!$A$4:$A$34,MATCH(A15,Formelwerte!$AF$4:$AF$34,0))</f>
        <v/>
      </c>
      <c r="C15" s="25">
        <f>INDEX(Formelwerte!$D$4:$D$34,MATCH($B15,Formelwerte!$A$4:$A$34,0))</f>
        <v/>
      </c>
      <c r="D15" s="25">
        <f>INDEX(Formelwerte!$Q$4:$Q$34,MATCH($B15,Formelwerte!$A$4:$A$34,0))</f>
        <v/>
      </c>
      <c r="E15" s="25">
        <f>INDEX(Formelwerte!$O$4:$O$34,MATCH($B15,Formelwerte!$A$4:$A$34,0))</f>
        <v/>
      </c>
      <c r="F15" s="25">
        <f>INDEX(Formelwerte!$S$4:$S$34,MATCH($B15,Formelwerte!$A$4:$A$34,0))</f>
        <v/>
      </c>
      <c r="G15" s="25">
        <f>IF(C15=1,D15,"")</f>
        <v/>
      </c>
      <c r="H15" s="25">
        <f>IF(C15=0,D15,"")</f>
        <v/>
      </c>
      <c r="I15" s="25">
        <f>IF(C15=1,F15,"")</f>
        <v/>
      </c>
      <c r="J15" s="25">
        <f>IF(C15=0,F15,"")</f>
        <v/>
      </c>
    </row>
    <row r="16">
      <c r="A16" s="5" t="n">
        <v>14</v>
      </c>
      <c r="B16" s="25">
        <f>INDEX(Formelwerte!$A$4:$A$34,MATCH(A16,Formelwerte!$AF$4:$AF$34,0))</f>
        <v/>
      </c>
      <c r="C16" s="25">
        <f>INDEX(Formelwerte!$D$4:$D$34,MATCH($B16,Formelwerte!$A$4:$A$34,0))</f>
        <v/>
      </c>
      <c r="D16" s="25">
        <f>INDEX(Formelwerte!$Q$4:$Q$34,MATCH($B16,Formelwerte!$A$4:$A$34,0))</f>
        <v/>
      </c>
      <c r="E16" s="25">
        <f>INDEX(Formelwerte!$O$4:$O$34,MATCH($B16,Formelwerte!$A$4:$A$34,0))</f>
        <v/>
      </c>
      <c r="F16" s="25">
        <f>INDEX(Formelwerte!$S$4:$S$34,MATCH($B16,Formelwerte!$A$4:$A$34,0))</f>
        <v/>
      </c>
      <c r="G16" s="25">
        <f>IF(C16=1,D16,"")</f>
        <v/>
      </c>
      <c r="H16" s="25">
        <f>IF(C16=0,D16,"")</f>
        <v/>
      </c>
      <c r="I16" s="25">
        <f>IF(C16=1,F16,"")</f>
        <v/>
      </c>
      <c r="J16" s="25">
        <f>IF(C16=0,F16,"")</f>
        <v/>
      </c>
    </row>
    <row r="17">
      <c r="A17" s="5" t="n">
        <v>15</v>
      </c>
      <c r="B17" s="25">
        <f>INDEX(Formelwerte!$A$4:$A$34,MATCH(A17,Formelwerte!$AF$4:$AF$34,0))</f>
        <v/>
      </c>
      <c r="C17" s="25">
        <f>INDEX(Formelwerte!$D$4:$D$34,MATCH($B17,Formelwerte!$A$4:$A$34,0))</f>
        <v/>
      </c>
      <c r="D17" s="25">
        <f>INDEX(Formelwerte!$Q$4:$Q$34,MATCH($B17,Formelwerte!$A$4:$A$34,0))</f>
        <v/>
      </c>
      <c r="E17" s="25">
        <f>INDEX(Formelwerte!$O$4:$O$34,MATCH($B17,Formelwerte!$A$4:$A$34,0))</f>
        <v/>
      </c>
      <c r="F17" s="25">
        <f>INDEX(Formelwerte!$S$4:$S$34,MATCH($B17,Formelwerte!$A$4:$A$34,0))</f>
        <v/>
      </c>
      <c r="G17" s="25">
        <f>IF(C17=1,D17,"")</f>
        <v/>
      </c>
      <c r="H17" s="25">
        <f>IF(C17=0,D17,"")</f>
        <v/>
      </c>
      <c r="I17" s="25">
        <f>IF(C17=1,F17,"")</f>
        <v/>
      </c>
      <c r="J17" s="25">
        <f>IF(C17=0,F17,"")</f>
        <v/>
      </c>
    </row>
    <row r="18">
      <c r="A18" s="5" t="n">
        <v>16</v>
      </c>
      <c r="B18" s="25">
        <f>INDEX(Formelwerte!$A$4:$A$34,MATCH(A18,Formelwerte!$AF$4:$AF$34,0))</f>
        <v/>
      </c>
      <c r="C18" s="25">
        <f>INDEX(Formelwerte!$D$4:$D$34,MATCH($B18,Formelwerte!$A$4:$A$34,0))</f>
        <v/>
      </c>
      <c r="D18" s="25">
        <f>INDEX(Formelwerte!$Q$4:$Q$34,MATCH($B18,Formelwerte!$A$4:$A$34,0))</f>
        <v/>
      </c>
      <c r="E18" s="25">
        <f>INDEX(Formelwerte!$O$4:$O$34,MATCH($B18,Formelwerte!$A$4:$A$34,0))</f>
        <v/>
      </c>
      <c r="F18" s="25">
        <f>INDEX(Formelwerte!$S$4:$S$34,MATCH($B18,Formelwerte!$A$4:$A$34,0))</f>
        <v/>
      </c>
      <c r="G18" s="25">
        <f>IF(C18=1,D18,"")</f>
        <v/>
      </c>
      <c r="H18" s="25">
        <f>IF(C18=0,D18,"")</f>
        <v/>
      </c>
      <c r="I18" s="25">
        <f>IF(C18=1,F18,"")</f>
        <v/>
      </c>
      <c r="J18" s="25">
        <f>IF(C18=0,F18,"")</f>
        <v/>
      </c>
    </row>
    <row r="19">
      <c r="A19" s="5" t="n">
        <v>17</v>
      </c>
      <c r="B19" s="25">
        <f>INDEX(Formelwerte!$A$4:$A$34,MATCH(A19,Formelwerte!$AF$4:$AF$34,0))</f>
        <v/>
      </c>
      <c r="C19" s="25">
        <f>INDEX(Formelwerte!$D$4:$D$34,MATCH($B19,Formelwerte!$A$4:$A$34,0))</f>
        <v/>
      </c>
      <c r="D19" s="25">
        <f>INDEX(Formelwerte!$Q$4:$Q$34,MATCH($B19,Formelwerte!$A$4:$A$34,0))</f>
        <v/>
      </c>
      <c r="E19" s="25">
        <f>INDEX(Formelwerte!$O$4:$O$34,MATCH($B19,Formelwerte!$A$4:$A$34,0))</f>
        <v/>
      </c>
      <c r="F19" s="25">
        <f>INDEX(Formelwerte!$S$4:$S$34,MATCH($B19,Formelwerte!$A$4:$A$34,0))</f>
        <v/>
      </c>
      <c r="G19" s="25">
        <f>IF(C19=1,D19,"")</f>
        <v/>
      </c>
      <c r="H19" s="25">
        <f>IF(C19=0,D19,"")</f>
        <v/>
      </c>
      <c r="I19" s="25">
        <f>IF(C19=1,F19,"")</f>
        <v/>
      </c>
      <c r="J19" s="25">
        <f>IF(C19=0,F19,"")</f>
        <v/>
      </c>
    </row>
    <row r="20">
      <c r="A20" s="5" t="n">
        <v>18</v>
      </c>
      <c r="B20" s="25">
        <f>INDEX(Formelwerte!$A$4:$A$34,MATCH(A20,Formelwerte!$AF$4:$AF$34,0))</f>
        <v/>
      </c>
      <c r="C20" s="25">
        <f>INDEX(Formelwerte!$D$4:$D$34,MATCH($B20,Formelwerte!$A$4:$A$34,0))</f>
        <v/>
      </c>
      <c r="D20" s="25">
        <f>INDEX(Formelwerte!$Q$4:$Q$34,MATCH($B20,Formelwerte!$A$4:$A$34,0))</f>
        <v/>
      </c>
      <c r="E20" s="25">
        <f>INDEX(Formelwerte!$O$4:$O$34,MATCH($B20,Formelwerte!$A$4:$A$34,0))</f>
        <v/>
      </c>
      <c r="F20" s="25">
        <f>INDEX(Formelwerte!$S$4:$S$34,MATCH($B20,Formelwerte!$A$4:$A$34,0))</f>
        <v/>
      </c>
      <c r="G20" s="25">
        <f>IF(C20=1,D20,"")</f>
        <v/>
      </c>
      <c r="H20" s="25">
        <f>IF(C20=0,D20,"")</f>
        <v/>
      </c>
      <c r="I20" s="25">
        <f>IF(C20=1,F20,"")</f>
        <v/>
      </c>
      <c r="J20" s="25">
        <f>IF(C20=0,F20,"")</f>
        <v/>
      </c>
    </row>
    <row r="21">
      <c r="A21" s="5" t="n">
        <v>19</v>
      </c>
      <c r="B21" s="25">
        <f>INDEX(Formelwerte!$A$4:$A$34,MATCH(A21,Formelwerte!$AF$4:$AF$34,0))</f>
        <v/>
      </c>
      <c r="C21" s="25">
        <f>INDEX(Formelwerte!$D$4:$D$34,MATCH($B21,Formelwerte!$A$4:$A$34,0))</f>
        <v/>
      </c>
      <c r="D21" s="25">
        <f>INDEX(Formelwerte!$Q$4:$Q$34,MATCH($B21,Formelwerte!$A$4:$A$34,0))</f>
        <v/>
      </c>
      <c r="E21" s="25">
        <f>INDEX(Formelwerte!$O$4:$O$34,MATCH($B21,Formelwerte!$A$4:$A$34,0))</f>
        <v/>
      </c>
      <c r="F21" s="25">
        <f>INDEX(Formelwerte!$S$4:$S$34,MATCH($B21,Formelwerte!$A$4:$A$34,0))</f>
        <v/>
      </c>
      <c r="G21" s="25">
        <f>IF(C21=1,D21,"")</f>
        <v/>
      </c>
      <c r="H21" s="25">
        <f>IF(C21=0,D21,"")</f>
        <v/>
      </c>
      <c r="I21" s="25">
        <f>IF(C21=1,F21,"")</f>
        <v/>
      </c>
      <c r="J21" s="25">
        <f>IF(C21=0,F21,"")</f>
        <v/>
      </c>
    </row>
    <row r="22">
      <c r="A22" s="5" t="n">
        <v>20</v>
      </c>
      <c r="B22" s="25">
        <f>INDEX(Formelwerte!$A$4:$A$34,MATCH(A22,Formelwerte!$AF$4:$AF$34,0))</f>
        <v/>
      </c>
      <c r="C22" s="25">
        <f>INDEX(Formelwerte!$D$4:$D$34,MATCH($B22,Formelwerte!$A$4:$A$34,0))</f>
        <v/>
      </c>
      <c r="D22" s="25">
        <f>INDEX(Formelwerte!$Q$4:$Q$34,MATCH($B22,Formelwerte!$A$4:$A$34,0))</f>
        <v/>
      </c>
      <c r="E22" s="25">
        <f>INDEX(Formelwerte!$O$4:$O$34,MATCH($B22,Formelwerte!$A$4:$A$34,0))</f>
        <v/>
      </c>
      <c r="F22" s="25">
        <f>INDEX(Formelwerte!$S$4:$S$34,MATCH($B22,Formelwerte!$A$4:$A$34,0))</f>
        <v/>
      </c>
      <c r="G22" s="25">
        <f>IF(C22=1,D22,"")</f>
        <v/>
      </c>
      <c r="H22" s="25">
        <f>IF(C22=0,D22,"")</f>
        <v/>
      </c>
      <c r="I22" s="25">
        <f>IF(C22=1,F22,"")</f>
        <v/>
      </c>
      <c r="J22" s="25">
        <f>IF(C22=0,F22,"")</f>
        <v/>
      </c>
    </row>
    <row r="23">
      <c r="A23" s="5" t="n">
        <v>21</v>
      </c>
      <c r="B23" s="25">
        <f>INDEX(Formelwerte!$A$4:$A$34,MATCH(A23,Formelwerte!$AF$4:$AF$34,0))</f>
        <v/>
      </c>
      <c r="C23" s="25">
        <f>INDEX(Formelwerte!$D$4:$D$34,MATCH($B23,Formelwerte!$A$4:$A$34,0))</f>
        <v/>
      </c>
      <c r="D23" s="25">
        <f>INDEX(Formelwerte!$Q$4:$Q$34,MATCH($B23,Formelwerte!$A$4:$A$34,0))</f>
        <v/>
      </c>
      <c r="E23" s="25">
        <f>INDEX(Formelwerte!$O$4:$O$34,MATCH($B23,Formelwerte!$A$4:$A$34,0))</f>
        <v/>
      </c>
      <c r="F23" s="25">
        <f>INDEX(Formelwerte!$S$4:$S$34,MATCH($B23,Formelwerte!$A$4:$A$34,0))</f>
        <v/>
      </c>
      <c r="G23" s="25">
        <f>IF(C23=1,D23,"")</f>
        <v/>
      </c>
      <c r="H23" s="25">
        <f>IF(C23=0,D23,"")</f>
        <v/>
      </c>
      <c r="I23" s="25">
        <f>IF(C23=1,F23,"")</f>
        <v/>
      </c>
      <c r="J23" s="25">
        <f>IF(C23=0,F23,"")</f>
        <v/>
      </c>
    </row>
    <row r="24">
      <c r="A24" s="5" t="n">
        <v>22</v>
      </c>
      <c r="B24" s="25">
        <f>INDEX(Formelwerte!$A$4:$A$34,MATCH(A24,Formelwerte!$AF$4:$AF$34,0))</f>
        <v/>
      </c>
      <c r="C24" s="25">
        <f>INDEX(Formelwerte!$D$4:$D$34,MATCH($B24,Formelwerte!$A$4:$A$34,0))</f>
        <v/>
      </c>
      <c r="D24" s="25">
        <f>INDEX(Formelwerte!$Q$4:$Q$34,MATCH($B24,Formelwerte!$A$4:$A$34,0))</f>
        <v/>
      </c>
      <c r="E24" s="25">
        <f>INDEX(Formelwerte!$O$4:$O$34,MATCH($B24,Formelwerte!$A$4:$A$34,0))</f>
        <v/>
      </c>
      <c r="F24" s="25">
        <f>INDEX(Formelwerte!$S$4:$S$34,MATCH($B24,Formelwerte!$A$4:$A$34,0))</f>
        <v/>
      </c>
      <c r="G24" s="25">
        <f>IF(C24=1,D24,"")</f>
        <v/>
      </c>
      <c r="H24" s="25">
        <f>IF(C24=0,D24,"")</f>
        <v/>
      </c>
      <c r="I24" s="25">
        <f>IF(C24=1,F24,"")</f>
        <v/>
      </c>
      <c r="J24" s="25">
        <f>IF(C24=0,F24,"")</f>
        <v/>
      </c>
    </row>
    <row r="25">
      <c r="A25" s="5" t="n">
        <v>23</v>
      </c>
      <c r="B25" s="25">
        <f>INDEX(Formelwerte!$A$4:$A$34,MATCH(A25,Formelwerte!$AF$4:$AF$34,0))</f>
        <v/>
      </c>
      <c r="C25" s="25">
        <f>INDEX(Formelwerte!$D$4:$D$34,MATCH($B25,Formelwerte!$A$4:$A$34,0))</f>
        <v/>
      </c>
      <c r="D25" s="25">
        <f>INDEX(Formelwerte!$Q$4:$Q$34,MATCH($B25,Formelwerte!$A$4:$A$34,0))</f>
        <v/>
      </c>
      <c r="E25" s="25">
        <f>INDEX(Formelwerte!$O$4:$O$34,MATCH($B25,Formelwerte!$A$4:$A$34,0))</f>
        <v/>
      </c>
      <c r="F25" s="25">
        <f>INDEX(Formelwerte!$S$4:$S$34,MATCH($B25,Formelwerte!$A$4:$A$34,0))</f>
        <v/>
      </c>
      <c r="G25" s="25">
        <f>IF(C25=1,D25,"")</f>
        <v/>
      </c>
      <c r="H25" s="25">
        <f>IF(C25=0,D25,"")</f>
        <v/>
      </c>
      <c r="I25" s="25">
        <f>IF(C25=1,F25,"")</f>
        <v/>
      </c>
      <c r="J25" s="25">
        <f>IF(C25=0,F25,"")</f>
        <v/>
      </c>
    </row>
    <row r="26">
      <c r="A26" s="5" t="n">
        <v>24</v>
      </c>
      <c r="B26" s="25">
        <f>INDEX(Formelwerte!$A$4:$A$34,MATCH(A26,Formelwerte!$AF$4:$AF$34,0))</f>
        <v/>
      </c>
      <c r="C26" s="25">
        <f>INDEX(Formelwerte!$D$4:$D$34,MATCH($B26,Formelwerte!$A$4:$A$34,0))</f>
        <v/>
      </c>
      <c r="D26" s="25">
        <f>INDEX(Formelwerte!$Q$4:$Q$34,MATCH($B26,Formelwerte!$A$4:$A$34,0))</f>
        <v/>
      </c>
      <c r="E26" s="25">
        <f>INDEX(Formelwerte!$O$4:$O$34,MATCH($B26,Formelwerte!$A$4:$A$34,0))</f>
        <v/>
      </c>
      <c r="F26" s="25">
        <f>INDEX(Formelwerte!$S$4:$S$34,MATCH($B26,Formelwerte!$A$4:$A$34,0))</f>
        <v/>
      </c>
      <c r="G26" s="25">
        <f>IF(C26=1,D26,"")</f>
        <v/>
      </c>
      <c r="H26" s="25">
        <f>IF(C26=0,D26,"")</f>
        <v/>
      </c>
      <c r="I26" s="25">
        <f>IF(C26=1,F26,"")</f>
        <v/>
      </c>
      <c r="J26" s="25">
        <f>IF(C26=0,F26,"")</f>
        <v/>
      </c>
    </row>
    <row r="27">
      <c r="A27" s="5" t="n">
        <v>25</v>
      </c>
      <c r="B27" s="25">
        <f>INDEX(Formelwerte!$A$4:$A$34,MATCH(A27,Formelwerte!$AF$4:$AF$34,0))</f>
        <v/>
      </c>
      <c r="C27" s="25">
        <f>INDEX(Formelwerte!$D$4:$D$34,MATCH($B27,Formelwerte!$A$4:$A$34,0))</f>
        <v/>
      </c>
      <c r="D27" s="25">
        <f>INDEX(Formelwerte!$Q$4:$Q$34,MATCH($B27,Formelwerte!$A$4:$A$34,0))</f>
        <v/>
      </c>
      <c r="E27" s="25">
        <f>INDEX(Formelwerte!$O$4:$O$34,MATCH($B27,Formelwerte!$A$4:$A$34,0))</f>
        <v/>
      </c>
      <c r="F27" s="25">
        <f>INDEX(Formelwerte!$S$4:$S$34,MATCH($B27,Formelwerte!$A$4:$A$34,0))</f>
        <v/>
      </c>
      <c r="G27" s="25">
        <f>IF(C27=1,D27,"")</f>
        <v/>
      </c>
      <c r="H27" s="25">
        <f>IF(C27=0,D27,"")</f>
        <v/>
      </c>
      <c r="I27" s="25">
        <f>IF(C27=1,F27,"")</f>
        <v/>
      </c>
      <c r="J27" s="25">
        <f>IF(C27=0,F27,"")</f>
        <v/>
      </c>
    </row>
    <row r="28">
      <c r="A28" s="5" t="n">
        <v>26</v>
      </c>
      <c r="B28" s="25">
        <f>INDEX(Formelwerte!$A$4:$A$34,MATCH(A28,Formelwerte!$AF$4:$AF$34,0))</f>
        <v/>
      </c>
      <c r="C28" s="25">
        <f>INDEX(Formelwerte!$D$4:$D$34,MATCH($B28,Formelwerte!$A$4:$A$34,0))</f>
        <v/>
      </c>
      <c r="D28" s="25">
        <f>INDEX(Formelwerte!$Q$4:$Q$34,MATCH($B28,Formelwerte!$A$4:$A$34,0))</f>
        <v/>
      </c>
      <c r="E28" s="25">
        <f>INDEX(Formelwerte!$O$4:$O$34,MATCH($B28,Formelwerte!$A$4:$A$34,0))</f>
        <v/>
      </c>
      <c r="F28" s="25">
        <f>INDEX(Formelwerte!$S$4:$S$34,MATCH($B28,Formelwerte!$A$4:$A$34,0))</f>
        <v/>
      </c>
      <c r="G28" s="25">
        <f>IF(C28=1,D28,"")</f>
        <v/>
      </c>
      <c r="H28" s="25">
        <f>IF(C28=0,D28,"")</f>
        <v/>
      </c>
      <c r="I28" s="25">
        <f>IF(C28=1,F28,"")</f>
        <v/>
      </c>
      <c r="J28" s="25">
        <f>IF(C28=0,F28,"")</f>
        <v/>
      </c>
    </row>
    <row r="29"/>
    <row r="30">
      <c r="A30" s="6" t="inlineStr">
        <is>
          <t>Kennwerte des Blocks (Formeln)</t>
        </is>
      </c>
    </row>
    <row r="31">
      <c r="A31" s="5" t="inlineStr">
        <is>
          <t>n_IG</t>
        </is>
      </c>
      <c r="B31" s="25">
        <f>COUNTIF(ANCOVA_Z30!$C$3:$C$28,1)</f>
        <v/>
      </c>
    </row>
    <row r="32">
      <c r="A32" s="5" t="inlineStr">
        <is>
          <t>n_KG</t>
        </is>
      </c>
      <c r="B32" s="25">
        <f>COUNTIF(ANCOVA_Z30!$C$3:$C$28,0)</f>
        <v/>
      </c>
    </row>
    <row r="33">
      <c r="A33" s="5" t="inlineStr">
        <is>
          <t>N</t>
        </is>
      </c>
      <c r="B33" s="25">
        <f>B31+B32</f>
        <v/>
      </c>
    </row>
    <row r="34">
      <c r="A34" s="5" t="inlineStr">
        <is>
          <t>df = N − 4</t>
        </is>
      </c>
      <c r="B34" s="25">
        <f>B33-4</f>
        <v/>
      </c>
    </row>
    <row r="35">
      <c r="A35" s="5" t="inlineStr">
        <is>
          <t>b1 (LINEST Zeile 1, Spalte 3)</t>
        </is>
      </c>
      <c r="B35" s="25">
        <f>INDEX(LINEST(ANCOVA_Z30!$F$3:$F$28,ANCOVA_Z30!$C$3:$E$28,TRUE,TRUE),1,3)</f>
        <v/>
      </c>
    </row>
    <row r="36">
      <c r="A36" s="5" t="inlineStr">
        <is>
          <t>SE(b1) (LINEST Zeile 2, Spalte 3)</t>
        </is>
      </c>
      <c r="B36" s="25">
        <f>INDEX(LINEST(ANCOVA_Z30!$F$3:$F$28,ANCOVA_Z30!$C$3:$E$28,TRUE,TRUE),2,3)</f>
        <v/>
      </c>
    </row>
    <row r="37">
      <c r="A37" s="5" t="inlineStr">
        <is>
          <t>Prüfung: Zahl der Spieler mit ITT Z30 = 1 im Blatt Formelwerte</t>
        </is>
      </c>
      <c r="B37" s="25">
        <f>COUNTIF(Formelwerte!$AB$4:$AB$34,1)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2026-09-25T11:45:13Z</dcterms:created>
  <dcterms:modified xmlns:dcterms="http://purl.org/dc/terms/" xmlns:xsi="http://www.w3.org/2001/XMLSchema-instance" xsi:type="dcterms:W3CDTF">2026-09-25T11:45:14Z</dcterms:modified>
</cp:coreProperties>
</file>